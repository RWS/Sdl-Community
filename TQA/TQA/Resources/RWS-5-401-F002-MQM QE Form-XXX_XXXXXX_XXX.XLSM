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bbulawa\OneDrive - SDL\Desktop\Projects\Reports\Translation\MQM\"/>
    </mc:Choice>
  </mc:AlternateContent>
  <bookViews>
    <workbookView xWindow="0" yWindow="0" windowWidth="28800" windowHeight="11835" tabRatio="795"/>
  </bookViews>
  <sheets>
    <sheet name="Evaluation Report_Initial" sheetId="11" r:id="rId1"/>
    <sheet name="Evaluation Report_Final Result" sheetId="29" r:id="rId2"/>
    <sheet name="Evaluation details_input" sheetId="23" r:id="rId3"/>
    <sheet name="Errors &amp; Weighting definitions" sheetId="35" r:id="rId4"/>
    <sheet name="Version History" sheetId="39" state="hidden" r:id="rId5"/>
    <sheet name="Setup" sheetId="26" state="veryHidden" r:id="rId6"/>
    <sheet name="Data" sheetId="37" state="veryHidden" r:id="rId7"/>
  </sheets>
  <externalReferences>
    <externalReference r:id="rId8"/>
  </externalReferences>
  <definedNames>
    <definedName name="_xlnm._FilterDatabase" localSheetId="2" hidden="1">'Evaluation details_input'!$A$3:$V$2000</definedName>
    <definedName name="Acc">Setup!$K$3:$K$10</definedName>
    <definedName name="Adequacy" localSheetId="3">'[1]Evaluation Report_Initial'!$L$11</definedName>
    <definedName name="Adequacy">'Evaluation Report_Initial'!$M$12</definedName>
    <definedName name="adequacy_weight" localSheetId="3">'[1]Adequacy scoring'!$O$9:$R$43</definedName>
    <definedName name="adequacy_weight">#REF!</definedName>
    <definedName name="aLevel1" localSheetId="3">'[1]Adequacy scoring'!$F$9:$F$17</definedName>
    <definedName name="aLevel1">#REF!,#REF!</definedName>
    <definedName name="aLevel2" localSheetId="3">'[1]Adequacy scoring'!$B$9:$B$19</definedName>
    <definedName name="aLevel2">Setup!$J$2:$Q$2</definedName>
    <definedName name="Audience">Setup!$O$3:$O$4</definedName>
    <definedName name="BlankList" localSheetId="3">'[1]Adequacy scoring'!$T$11:$T$12</definedName>
    <definedName name="BlankList">#REF!</definedName>
    <definedName name="BUS_UNIT">Setup!$B$2:$B$42</definedName>
    <definedName name="clients" localSheetId="3">[1]VLOOKUP!$A$2:$B$3163</definedName>
    <definedName name="clients">Setup!$S$3:$T$1406</definedName>
    <definedName name="Conventions">Setup!$L$3:$L$8</definedName>
    <definedName name="Design">Setup!$P$3:$P$9</definedName>
    <definedName name="Error_categories" localSheetId="3">[1]Sheet1!$G$2:$G$6</definedName>
    <definedName name="Error_categories">Setup!$E$3:$E$7</definedName>
    <definedName name="languages" localSheetId="3">[1]Sheet1!$C$2:$C$220</definedName>
    <definedName name="languages">Setup!$C$3:$C$204</definedName>
    <definedName name="Locale">Setup!$N$3:$N$11</definedName>
    <definedName name="NotImp" localSheetId="3">[1]Sheet1!$L$2:$L$5</definedName>
    <definedName name="NotImp">Setup!$G$3:$G$6</definedName>
    <definedName name="OFFICE" localSheetId="3">[1]Sheet1!$B$2:$B$34</definedName>
    <definedName name="OFFICE">Setup!$B$3:$B$36</definedName>
    <definedName name="Offices" localSheetId="3">'[1]Office mapping'!$A$1:$B$103</definedName>
    <definedName name="Other">Setup!$Q$3:$Q$5</definedName>
    <definedName name="_xlnm.Print_Area" localSheetId="3">'Errors &amp; Weighting definitions'!$B$1:$F$359</definedName>
    <definedName name="_xlnm.Print_Area" localSheetId="2">'Evaluation details_input'!$A$1:$V$50</definedName>
    <definedName name="_xlnm.Print_Area" localSheetId="5">Setup!$B$1:$F$114</definedName>
    <definedName name="SECTOR" localSheetId="3">[1]Sheet1!$D$2:$D$18</definedName>
    <definedName name="SignOff" localSheetId="3">[1]Sheet1!$P$2:$P$4</definedName>
    <definedName name="SignOff">Setup!$F$3:$F$5</definedName>
    <definedName name="Status" localSheetId="4">#REF!</definedName>
    <definedName name="Status">#REF!</definedName>
    <definedName name="Style">Setup!$M$3:$M$10</definedName>
    <definedName name="Terminology">Setup!$J$3:$J$6</definedName>
    <definedName name="TRANS_TYPE" localSheetId="3">[1]Sheet1!$E$2:$E$3</definedName>
    <definedName name="TRANS_TYPE">Setup!$D$3:$D$4</definedName>
    <definedName name="WrongTermDef">#REF!</definedName>
  </definedNames>
  <calcPr calcId="152511"/>
</workbook>
</file>

<file path=xl/calcChain.xml><?xml version="1.0" encoding="utf-8"?>
<calcChain xmlns="http://schemas.openxmlformats.org/spreadsheetml/2006/main">
  <c r="B3" i="29" l="1"/>
  <c r="B7" i="35" l="1"/>
  <c r="B12" i="35"/>
  <c r="B42" i="29" l="1"/>
  <c r="B61" i="35" l="1"/>
  <c r="B60" i="35"/>
  <c r="B59" i="35"/>
  <c r="B57" i="35"/>
  <c r="B56" i="35"/>
  <c r="B55" i="35"/>
  <c r="B54" i="35"/>
  <c r="B53" i="35"/>
  <c r="B52" i="35"/>
  <c r="B51" i="35"/>
  <c r="B49" i="35"/>
  <c r="B48" i="35"/>
  <c r="B39" i="35"/>
  <c r="B40" i="35"/>
  <c r="B41" i="35"/>
  <c r="B42" i="35"/>
  <c r="B43" i="35"/>
  <c r="B44" i="35"/>
  <c r="B45" i="35"/>
  <c r="B46" i="35"/>
  <c r="B38" i="35"/>
  <c r="B34" i="35"/>
  <c r="B35" i="35"/>
  <c r="B36" i="35"/>
  <c r="B33" i="35"/>
  <c r="B32" i="35"/>
  <c r="B31" i="35"/>
  <c r="B30" i="35"/>
  <c r="B29" i="35"/>
  <c r="B27" i="35"/>
  <c r="B26" i="35"/>
  <c r="B25" i="35"/>
  <c r="B24" i="35"/>
  <c r="B23" i="35"/>
  <c r="B22" i="35"/>
  <c r="B20" i="35"/>
  <c r="B19" i="35"/>
  <c r="B18" i="35"/>
  <c r="B17" i="35"/>
  <c r="B16" i="35"/>
  <c r="B15" i="35"/>
  <c r="B14" i="35"/>
  <c r="B11" i="35"/>
  <c r="B10" i="35"/>
  <c r="B9" i="35"/>
  <c r="B8" i="35"/>
  <c r="B13" i="35"/>
  <c r="AV1" i="37" l="1"/>
  <c r="AW1" i="37"/>
  <c r="B58" i="35" l="1"/>
  <c r="B312" i="35" s="1"/>
  <c r="B50" i="35"/>
  <c r="B268" i="35" s="1"/>
  <c r="B47" i="35"/>
  <c r="B254" i="35" s="1"/>
  <c r="B37" i="35"/>
  <c r="B210" i="35" s="1"/>
  <c r="B28" i="35"/>
  <c r="B168" i="35" s="1"/>
  <c r="B21" i="35"/>
  <c r="B139" i="35" s="1"/>
  <c r="B75" i="35"/>
  <c r="B100" i="35"/>
  <c r="S38" i="11" l="1"/>
  <c r="X22" i="29" l="1"/>
  <c r="BD2" i="37" s="1"/>
  <c r="T22" i="29"/>
  <c r="BC2" i="37" s="1"/>
  <c r="X17" i="29"/>
  <c r="BA2" i="37" s="1"/>
  <c r="T17" i="29"/>
  <c r="AZ2" i="37" l="1"/>
  <c r="K22" i="29" l="1"/>
  <c r="K22" i="11"/>
  <c r="S39" i="11"/>
  <c r="V61" i="26" l="1"/>
  <c r="V60" i="26"/>
  <c r="V59" i="26"/>
  <c r="V58" i="26"/>
  <c r="V57" i="26"/>
  <c r="V56" i="26"/>
  <c r="V55" i="26"/>
  <c r="V54" i="26"/>
  <c r="V53" i="26"/>
  <c r="V52" i="26"/>
  <c r="V51" i="26"/>
  <c r="V50" i="26"/>
  <c r="V49" i="26"/>
  <c r="V48" i="26"/>
  <c r="V47" i="26"/>
  <c r="V46" i="26"/>
  <c r="V45" i="26"/>
  <c r="V44" i="26"/>
  <c r="V43" i="26"/>
  <c r="V42" i="26"/>
  <c r="V41" i="26"/>
  <c r="V40" i="26"/>
  <c r="V39" i="26"/>
  <c r="V38" i="26"/>
  <c r="V37" i="26"/>
  <c r="V36" i="26"/>
  <c r="V35" i="26"/>
  <c r="V34" i="26"/>
  <c r="V33" i="26"/>
  <c r="V32" i="26"/>
  <c r="V31" i="26"/>
  <c r="V30" i="26"/>
  <c r="V29" i="26"/>
  <c r="V28" i="26"/>
  <c r="V27" i="26"/>
  <c r="V26" i="26"/>
  <c r="V25" i="26"/>
  <c r="V24" i="26"/>
  <c r="V23" i="26"/>
  <c r="V22" i="26"/>
  <c r="V21" i="26"/>
  <c r="V20" i="26"/>
  <c r="V19" i="26"/>
  <c r="V18" i="26"/>
  <c r="V17" i="26"/>
  <c r="V16" i="26"/>
  <c r="V15" i="26"/>
  <c r="V14" i="26"/>
  <c r="V13" i="26"/>
  <c r="V12" i="26"/>
  <c r="V11" i="26"/>
  <c r="V10" i="26"/>
  <c r="V9" i="26"/>
  <c r="V8" i="26"/>
  <c r="V7" i="26"/>
  <c r="AA61" i="26"/>
  <c r="AA60" i="26"/>
  <c r="AA59" i="26"/>
  <c r="AA58" i="26"/>
  <c r="AA57" i="26"/>
  <c r="AA56" i="26"/>
  <c r="AA55" i="26"/>
  <c r="AA54" i="26"/>
  <c r="AA53" i="26"/>
  <c r="AA52" i="26"/>
  <c r="AA51" i="26"/>
  <c r="AA50" i="26"/>
  <c r="AA49" i="26"/>
  <c r="AA48" i="26"/>
  <c r="AA47" i="26"/>
  <c r="AA46" i="26"/>
  <c r="AA45" i="26"/>
  <c r="AA44" i="26"/>
  <c r="AA43" i="26"/>
  <c r="AA42" i="26"/>
  <c r="AA41" i="26"/>
  <c r="AA40" i="26"/>
  <c r="AA39" i="26"/>
  <c r="AA38" i="26"/>
  <c r="AA37" i="26"/>
  <c r="AA36" i="26"/>
  <c r="AA35" i="26"/>
  <c r="AA34" i="26"/>
  <c r="AA33" i="26"/>
  <c r="AA32" i="26"/>
  <c r="AA31" i="26"/>
  <c r="AA30" i="26"/>
  <c r="AA29" i="26"/>
  <c r="AA28" i="26"/>
  <c r="AA27" i="26"/>
  <c r="AA26" i="26"/>
  <c r="AA25" i="26"/>
  <c r="AA24" i="26"/>
  <c r="AA23" i="26"/>
  <c r="AA22" i="26"/>
  <c r="AA21" i="26"/>
  <c r="AA20" i="26"/>
  <c r="AA19" i="26"/>
  <c r="AA18" i="26"/>
  <c r="AA17" i="26"/>
  <c r="AA16" i="26"/>
  <c r="AA15" i="26"/>
  <c r="AA14" i="26"/>
  <c r="AA13" i="26"/>
  <c r="AA12" i="26"/>
  <c r="AA11" i="26"/>
  <c r="AA10" i="26"/>
  <c r="AA9" i="26"/>
  <c r="AA8" i="26"/>
  <c r="AA7" i="26"/>
  <c r="AF61" i="26"/>
  <c r="AF60" i="26"/>
  <c r="AF59" i="26"/>
  <c r="AF58" i="26"/>
  <c r="AF57" i="26"/>
  <c r="AF56" i="26"/>
  <c r="AF55" i="26"/>
  <c r="AF54" i="26"/>
  <c r="AF53" i="26"/>
  <c r="AF52" i="26"/>
  <c r="AF51" i="26"/>
  <c r="AF50" i="26"/>
  <c r="AF49" i="26"/>
  <c r="AF48" i="26"/>
  <c r="AF47" i="26"/>
  <c r="AF46" i="26"/>
  <c r="AF45" i="26"/>
  <c r="AF44" i="26"/>
  <c r="AF43" i="26"/>
  <c r="AF42" i="26"/>
  <c r="AF41" i="26"/>
  <c r="AF40" i="26"/>
  <c r="AF39" i="26"/>
  <c r="AF38" i="26"/>
  <c r="AF37" i="26"/>
  <c r="AF36" i="26"/>
  <c r="AF35" i="26"/>
  <c r="AF34" i="26"/>
  <c r="AF33" i="26"/>
  <c r="AF32" i="26"/>
  <c r="AF31" i="26"/>
  <c r="AF30" i="26"/>
  <c r="AF29" i="26"/>
  <c r="AF28" i="26"/>
  <c r="AF27" i="26"/>
  <c r="AF26" i="26"/>
  <c r="AF25" i="26"/>
  <c r="AF24" i="26"/>
  <c r="AF23" i="26"/>
  <c r="AF22" i="26"/>
  <c r="AF21" i="26"/>
  <c r="AF20" i="26"/>
  <c r="AF19" i="26"/>
  <c r="AF18" i="26"/>
  <c r="AF17" i="26"/>
  <c r="AF16" i="26"/>
  <c r="AF15" i="26"/>
  <c r="AF14" i="26"/>
  <c r="AF13" i="26"/>
  <c r="AF12" i="26"/>
  <c r="AF11" i="26"/>
  <c r="AF10" i="26"/>
  <c r="AF9" i="26"/>
  <c r="AF8" i="26"/>
  <c r="AF7" i="26"/>
  <c r="AK61" i="26"/>
  <c r="AK60" i="26"/>
  <c r="AK59" i="26"/>
  <c r="AK58" i="26"/>
  <c r="AK57" i="26"/>
  <c r="AK56" i="26"/>
  <c r="AK55" i="26"/>
  <c r="AK54" i="26"/>
  <c r="AK53" i="26"/>
  <c r="AK52" i="26"/>
  <c r="AK51" i="26"/>
  <c r="AK50" i="26"/>
  <c r="AK49" i="26"/>
  <c r="AK48" i="26"/>
  <c r="AK47" i="26"/>
  <c r="AK46" i="26"/>
  <c r="AK45" i="26"/>
  <c r="AK44" i="26"/>
  <c r="AK43" i="26"/>
  <c r="AK42" i="26"/>
  <c r="AK41" i="26"/>
  <c r="AK40" i="26"/>
  <c r="AK39" i="26"/>
  <c r="AK38" i="26"/>
  <c r="AK37" i="26"/>
  <c r="AK36" i="26"/>
  <c r="AK35" i="26"/>
  <c r="AK34" i="26"/>
  <c r="AK33" i="26"/>
  <c r="AK32" i="26"/>
  <c r="AK31" i="26"/>
  <c r="AK30" i="26"/>
  <c r="AK29" i="26"/>
  <c r="AK28" i="26"/>
  <c r="AK27" i="26"/>
  <c r="AK26" i="26"/>
  <c r="AK25" i="26"/>
  <c r="AK24" i="26"/>
  <c r="AK23" i="26"/>
  <c r="AK22" i="26"/>
  <c r="AK21" i="26"/>
  <c r="AK20" i="26"/>
  <c r="AK19" i="26"/>
  <c r="AK18" i="26"/>
  <c r="AK17" i="26"/>
  <c r="AK16" i="26"/>
  <c r="AK15" i="26"/>
  <c r="AK14" i="26"/>
  <c r="AK13" i="26"/>
  <c r="AK12" i="26"/>
  <c r="AK11" i="26"/>
  <c r="AK10" i="26"/>
  <c r="AK9" i="26"/>
  <c r="AK8" i="26"/>
  <c r="AK7" i="26"/>
  <c r="AP61" i="26"/>
  <c r="AP60" i="26"/>
  <c r="AP59" i="26"/>
  <c r="AP58" i="26"/>
  <c r="AP57" i="26"/>
  <c r="AP56" i="26"/>
  <c r="AP55" i="26"/>
  <c r="AP54" i="26"/>
  <c r="AP53" i="26"/>
  <c r="AP52" i="26"/>
  <c r="AP51" i="26"/>
  <c r="AP50" i="26"/>
  <c r="AP49" i="26"/>
  <c r="AP48" i="26"/>
  <c r="AP47" i="26"/>
  <c r="AP46" i="26"/>
  <c r="AP45" i="26"/>
  <c r="AP44" i="26"/>
  <c r="AP43" i="26"/>
  <c r="AP42" i="26"/>
  <c r="AP41" i="26"/>
  <c r="AP40" i="26"/>
  <c r="AP39" i="26"/>
  <c r="AP38" i="26"/>
  <c r="AP37" i="26"/>
  <c r="AP36" i="26"/>
  <c r="AP35" i="26"/>
  <c r="AP34" i="26"/>
  <c r="AP33" i="26"/>
  <c r="AP32" i="26"/>
  <c r="AP31" i="26"/>
  <c r="AP30" i="26"/>
  <c r="AP29" i="26"/>
  <c r="AP28" i="26"/>
  <c r="AP27" i="26"/>
  <c r="AP26" i="26"/>
  <c r="AP25" i="26"/>
  <c r="AP24" i="26"/>
  <c r="AP23" i="26"/>
  <c r="AP22" i="26"/>
  <c r="AP21" i="26"/>
  <c r="AP20" i="26"/>
  <c r="AP19" i="26"/>
  <c r="AP18" i="26"/>
  <c r="AP17" i="26"/>
  <c r="AP16" i="26"/>
  <c r="AP15" i="26"/>
  <c r="AP14" i="26"/>
  <c r="AP13" i="26"/>
  <c r="AP12" i="26"/>
  <c r="AP11" i="26"/>
  <c r="AP10" i="26"/>
  <c r="AP9" i="26"/>
  <c r="AP8" i="26"/>
  <c r="AP7" i="26"/>
  <c r="AW57" i="26" l="1"/>
  <c r="AW58" i="26"/>
  <c r="AW56" i="26"/>
  <c r="AV58" i="26"/>
  <c r="AV57" i="26"/>
  <c r="BA57" i="26" s="1"/>
  <c r="AV56" i="26"/>
  <c r="BA56" i="26" s="1"/>
  <c r="AV55" i="26"/>
  <c r="BA58" i="26" l="1"/>
  <c r="BC58" i="26"/>
  <c r="AY56" i="26"/>
  <c r="E22" i="29" s="1"/>
  <c r="BC56" i="26"/>
  <c r="AY57" i="26"/>
  <c r="BC57" i="26"/>
  <c r="AY58" i="26"/>
  <c r="O22" i="29"/>
  <c r="G22" i="29"/>
  <c r="O22" i="11"/>
  <c r="G22" i="11"/>
  <c r="AW2" i="26"/>
  <c r="BD57" i="26" l="1"/>
  <c r="BD58" i="26"/>
  <c r="BB58" i="26"/>
  <c r="AZ57" i="26"/>
  <c r="BB57" i="26"/>
  <c r="AZ58" i="26"/>
  <c r="AZ56" i="26"/>
  <c r="BB56" i="26"/>
  <c r="BD56" i="26"/>
  <c r="AX58" i="26"/>
  <c r="AX56" i="26"/>
  <c r="AX57" i="26"/>
  <c r="B2" i="37" l="1"/>
  <c r="AV49" i="26"/>
  <c r="AV50" i="26"/>
  <c r="AV51" i="26"/>
  <c r="AV52" i="26"/>
  <c r="AV53" i="26"/>
  <c r="AV54" i="26"/>
  <c r="AV48" i="26"/>
  <c r="AV47" i="26"/>
  <c r="AV46" i="26"/>
  <c r="AV45" i="26"/>
  <c r="BA45" i="26" s="1"/>
  <c r="AV44" i="26"/>
  <c r="AV41" i="26"/>
  <c r="AV42" i="26"/>
  <c r="AV43" i="26"/>
  <c r="AV36" i="26"/>
  <c r="AV37" i="26"/>
  <c r="AV38" i="26"/>
  <c r="AV39" i="26"/>
  <c r="AV40" i="26"/>
  <c r="AV35" i="26"/>
  <c r="AV34" i="26"/>
  <c r="AV33" i="26"/>
  <c r="AV31" i="26"/>
  <c r="BA31" i="26" s="1"/>
  <c r="AV32" i="26"/>
  <c r="AV29" i="26"/>
  <c r="BA29" i="26" s="1"/>
  <c r="AV30" i="26"/>
  <c r="AV27" i="26"/>
  <c r="AV28" i="26"/>
  <c r="AV26" i="26"/>
  <c r="AV25" i="26"/>
  <c r="AV20" i="26"/>
  <c r="BA20" i="26" s="1"/>
  <c r="AV21" i="26"/>
  <c r="BA21" i="26" s="1"/>
  <c r="AV22" i="26"/>
  <c r="BA22" i="26" s="1"/>
  <c r="AV23" i="26"/>
  <c r="BA23" i="26" s="1"/>
  <c r="AV24" i="26"/>
  <c r="AV19" i="26"/>
  <c r="BA19" i="26" s="1"/>
  <c r="AV18" i="26"/>
  <c r="AV11" i="26"/>
  <c r="AV12" i="26"/>
  <c r="BA12" i="26" s="1"/>
  <c r="AV13" i="26"/>
  <c r="BA13" i="26" s="1"/>
  <c r="AV14" i="26"/>
  <c r="BA14" i="26" s="1"/>
  <c r="AV15" i="26"/>
  <c r="BA15" i="26" s="1"/>
  <c r="AV16" i="26"/>
  <c r="BA16" i="26" s="1"/>
  <c r="AV17" i="26"/>
  <c r="BA17" i="26" s="1"/>
  <c r="AV10" i="26"/>
  <c r="BA10" i="26" s="1"/>
  <c r="AV9" i="26"/>
  <c r="AV8" i="26"/>
  <c r="AV6" i="26"/>
  <c r="AV7" i="26"/>
  <c r="AV4" i="26"/>
  <c r="AV5" i="26"/>
  <c r="BA36" i="26" l="1"/>
  <c r="BA48" i="26"/>
  <c r="BC17" i="26"/>
  <c r="AY10" i="26"/>
  <c r="BC13" i="26"/>
  <c r="AY14" i="26"/>
  <c r="BC14" i="26"/>
  <c r="BC10" i="26"/>
  <c r="AY11" i="26"/>
  <c r="BC12" i="26"/>
  <c r="AY13" i="26"/>
  <c r="BC11" i="26"/>
  <c r="AY12" i="26"/>
  <c r="BC15" i="26"/>
  <c r="AY16" i="26"/>
  <c r="BC16" i="26"/>
  <c r="AY17" i="26"/>
  <c r="AY15" i="26"/>
  <c r="BA11" i="26"/>
  <c r="BA33" i="26"/>
  <c r="BC31" i="26"/>
  <c r="AY32" i="26"/>
  <c r="AY27" i="26"/>
  <c r="BC28" i="26"/>
  <c r="BC32" i="26"/>
  <c r="AY33" i="26"/>
  <c r="BC27" i="26"/>
  <c r="AY28" i="26"/>
  <c r="AY29" i="26"/>
  <c r="BC33" i="26"/>
  <c r="AY26" i="26"/>
  <c r="BC26" i="26"/>
  <c r="BC29" i="26"/>
  <c r="AY30" i="26"/>
  <c r="BC30" i="26"/>
  <c r="AY31" i="26"/>
  <c r="BC7" i="26"/>
  <c r="AY8" i="26"/>
  <c r="AY6" i="26"/>
  <c r="BC8" i="26"/>
  <c r="AY5" i="26"/>
  <c r="BC6" i="26"/>
  <c r="AY7" i="26"/>
  <c r="BC5" i="26"/>
  <c r="BA5" i="26"/>
  <c r="BC24" i="26"/>
  <c r="AY19" i="26"/>
  <c r="BC19" i="26"/>
  <c r="BC21" i="26"/>
  <c r="AY20" i="26"/>
  <c r="BC20" i="26"/>
  <c r="AY21" i="26"/>
  <c r="AY22" i="26"/>
  <c r="BC22" i="26"/>
  <c r="AY23" i="26"/>
  <c r="BC23" i="26"/>
  <c r="AY24" i="26"/>
  <c r="BC41" i="26"/>
  <c r="AY42" i="26"/>
  <c r="BC35" i="26"/>
  <c r="BC37" i="26"/>
  <c r="AY38" i="26"/>
  <c r="AY39" i="26"/>
  <c r="BC42" i="26"/>
  <c r="AY43" i="26"/>
  <c r="BC36" i="26"/>
  <c r="AY37" i="26"/>
  <c r="BC38" i="26"/>
  <c r="BC43" i="26"/>
  <c r="AY36" i="26"/>
  <c r="AY35" i="26"/>
  <c r="BC39" i="26"/>
  <c r="AY40" i="26"/>
  <c r="BC40" i="26"/>
  <c r="AY41" i="26"/>
  <c r="BA53" i="26"/>
  <c r="BA35" i="26"/>
  <c r="BA41" i="26"/>
  <c r="BA24" i="26"/>
  <c r="BA46" i="26"/>
  <c r="BB46" i="26" s="1"/>
  <c r="AY46" i="26"/>
  <c r="BC46" i="26"/>
  <c r="AY45" i="26"/>
  <c r="BC45" i="26"/>
  <c r="BA54" i="26"/>
  <c r="BB54" i="26" s="1"/>
  <c r="BC48" i="26"/>
  <c r="AY49" i="26"/>
  <c r="BC49" i="26"/>
  <c r="AY50" i="26"/>
  <c r="BC50" i="26"/>
  <c r="AY51" i="26"/>
  <c r="BC51" i="26"/>
  <c r="AY52" i="26"/>
  <c r="BC52" i="26"/>
  <c r="BC53" i="26"/>
  <c r="AY54" i="26"/>
  <c r="BC54" i="26"/>
  <c r="AY48" i="26"/>
  <c r="AY53" i="26"/>
  <c r="BA52" i="26"/>
  <c r="BD54" i="26"/>
  <c r="BA51" i="26"/>
  <c r="BD51" i="26" s="1"/>
  <c r="BA50" i="26"/>
  <c r="BD50" i="26" s="1"/>
  <c r="BA49" i="26"/>
  <c r="BD49" i="26" s="1"/>
  <c r="BD46" i="26"/>
  <c r="BA43" i="26"/>
  <c r="BD43" i="26" s="1"/>
  <c r="BA42" i="26"/>
  <c r="BB42" i="26" s="1"/>
  <c r="BA40" i="26"/>
  <c r="BA39" i="26"/>
  <c r="BB39" i="26" s="1"/>
  <c r="BA38" i="26"/>
  <c r="BD38" i="26" s="1"/>
  <c r="BA37" i="26"/>
  <c r="BD37" i="26" s="1"/>
  <c r="BA26" i="26"/>
  <c r="BD26" i="26" s="1"/>
  <c r="BA28" i="26"/>
  <c r="BB28" i="26" s="1"/>
  <c r="BA27" i="26"/>
  <c r="BD27" i="26" s="1"/>
  <c r="BD33" i="26"/>
  <c r="BB33" i="26"/>
  <c r="BA30" i="26"/>
  <c r="BD30" i="26" s="1"/>
  <c r="BA32" i="26"/>
  <c r="BB32" i="26" s="1"/>
  <c r="BD53" i="26"/>
  <c r="BB53" i="26"/>
  <c r="BD52" i="26"/>
  <c r="BB52" i="26"/>
  <c r="BD48" i="26"/>
  <c r="BB48" i="26"/>
  <c r="BD45" i="26"/>
  <c r="BB45" i="26"/>
  <c r="BD42" i="26"/>
  <c r="BD41" i="26"/>
  <c r="BB41" i="26"/>
  <c r="BD40" i="26"/>
  <c r="BB40" i="26"/>
  <c r="BD36" i="26"/>
  <c r="BB36" i="26"/>
  <c r="BD35" i="26"/>
  <c r="BB35" i="26"/>
  <c r="BD31" i="26"/>
  <c r="BB31" i="26"/>
  <c r="BD29" i="26"/>
  <c r="BB29" i="26"/>
  <c r="BD24" i="26"/>
  <c r="BB24" i="26"/>
  <c r="BD23" i="26"/>
  <c r="BB23" i="26"/>
  <c r="BD22" i="26"/>
  <c r="BB22" i="26"/>
  <c r="BD21" i="26"/>
  <c r="BB21" i="26"/>
  <c r="BD20" i="26"/>
  <c r="BB20" i="26"/>
  <c r="BD19" i="26"/>
  <c r="BB19" i="26"/>
  <c r="BD17" i="26"/>
  <c r="BB17" i="26"/>
  <c r="BD11" i="26"/>
  <c r="BB11" i="26"/>
  <c r="BD10" i="26"/>
  <c r="BB10" i="26"/>
  <c r="BD16" i="26"/>
  <c r="BB16" i="26"/>
  <c r="BD15" i="26"/>
  <c r="BB15" i="26"/>
  <c r="BD14" i="26"/>
  <c r="BB14" i="26"/>
  <c r="BD13" i="26"/>
  <c r="BB13" i="26"/>
  <c r="BD12" i="26"/>
  <c r="BB12" i="26"/>
  <c r="BA6" i="26"/>
  <c r="BA7" i="26"/>
  <c r="BA8" i="26"/>
  <c r="AW6" i="26"/>
  <c r="AX6" i="26" s="1"/>
  <c r="AW7" i="26"/>
  <c r="AX7" i="26" s="1"/>
  <c r="AW5" i="26"/>
  <c r="AW8" i="26"/>
  <c r="AX8" i="26" s="1"/>
  <c r="AW53" i="26"/>
  <c r="AX53" i="26" s="1"/>
  <c r="AW51" i="26"/>
  <c r="AX51" i="26" s="1"/>
  <c r="AW54" i="26"/>
  <c r="AX54" i="26" s="1"/>
  <c r="AW48" i="26"/>
  <c r="AX48" i="26" s="1"/>
  <c r="AW49" i="26"/>
  <c r="AX49" i="26" s="1"/>
  <c r="AW50" i="26"/>
  <c r="AX50" i="26" s="1"/>
  <c r="AW52" i="26"/>
  <c r="AX52" i="26" s="1"/>
  <c r="AW46" i="26"/>
  <c r="AX46" i="26" s="1"/>
  <c r="AW45" i="26"/>
  <c r="AX45" i="26" s="1"/>
  <c r="AW15" i="26"/>
  <c r="AX15" i="26" s="1"/>
  <c r="AW16" i="26"/>
  <c r="AX16" i="26" s="1"/>
  <c r="AW13" i="26"/>
  <c r="AX13" i="26" s="1"/>
  <c r="AW17" i="26"/>
  <c r="AX17" i="26" s="1"/>
  <c r="AW10" i="26"/>
  <c r="AX10" i="26" s="1"/>
  <c r="AW11" i="26"/>
  <c r="AX11" i="26" s="1"/>
  <c r="AW12" i="26"/>
  <c r="AX12" i="26" s="1"/>
  <c r="AW14" i="26"/>
  <c r="AX14" i="26" s="1"/>
  <c r="AW29" i="26"/>
  <c r="AX29" i="26" s="1"/>
  <c r="AW30" i="26"/>
  <c r="AX30" i="26" s="1"/>
  <c r="AW31" i="26"/>
  <c r="AX31" i="26" s="1"/>
  <c r="AW27" i="26"/>
  <c r="AX27" i="26" s="1"/>
  <c r="AW32" i="26"/>
  <c r="AX32" i="26" s="1"/>
  <c r="AW33" i="26"/>
  <c r="AX33" i="26" s="1"/>
  <c r="AW26" i="26"/>
  <c r="AX26" i="26" s="1"/>
  <c r="AW28" i="26"/>
  <c r="AX28" i="26" s="1"/>
  <c r="AW22" i="26"/>
  <c r="AX22" i="26" s="1"/>
  <c r="AW23" i="26"/>
  <c r="AX23" i="26" s="1"/>
  <c r="AW24" i="26"/>
  <c r="AX24" i="26" s="1"/>
  <c r="AW19" i="26"/>
  <c r="AX19" i="26" s="1"/>
  <c r="AW20" i="26"/>
  <c r="AX20" i="26" s="1"/>
  <c r="AW21" i="26"/>
  <c r="AX21" i="26" s="1"/>
  <c r="AW39" i="26"/>
  <c r="AX39" i="26" s="1"/>
  <c r="AW40" i="26"/>
  <c r="AX40" i="26" s="1"/>
  <c r="AW41" i="26"/>
  <c r="AX41" i="26" s="1"/>
  <c r="AW42" i="26"/>
  <c r="AX42" i="26" s="1"/>
  <c r="AW43" i="26"/>
  <c r="AX43" i="26" s="1"/>
  <c r="AW36" i="26"/>
  <c r="AX36" i="26" s="1"/>
  <c r="AW35" i="26"/>
  <c r="AX35" i="26" s="1"/>
  <c r="AW37" i="26"/>
  <c r="AX37" i="26" s="1"/>
  <c r="AW38" i="26"/>
  <c r="AX38" i="26" s="1"/>
  <c r="C5" i="11"/>
  <c r="S10" i="11"/>
  <c r="BB27" i="26" l="1"/>
  <c r="BB37" i="26"/>
  <c r="BD39" i="26"/>
  <c r="K19" i="29" s="1"/>
  <c r="BB49" i="26"/>
  <c r="K20" i="29"/>
  <c r="BD28" i="26"/>
  <c r="BB43" i="26"/>
  <c r="BB50" i="26"/>
  <c r="AX5" i="26"/>
  <c r="K20" i="11"/>
  <c r="BB51" i="26"/>
  <c r="BB38" i="26"/>
  <c r="BB26" i="26"/>
  <c r="BB30" i="26"/>
  <c r="BD32" i="26"/>
  <c r="K21" i="29"/>
  <c r="K17" i="11"/>
  <c r="K17" i="29"/>
  <c r="K16" i="11"/>
  <c r="K16" i="29"/>
  <c r="BD5" i="26"/>
  <c r="BB5" i="26"/>
  <c r="BD8" i="26"/>
  <c r="BB8" i="26"/>
  <c r="BB7" i="26"/>
  <c r="BD7" i="26"/>
  <c r="BB6" i="26"/>
  <c r="BD6" i="26"/>
  <c r="AZ24" i="26"/>
  <c r="AZ31" i="26"/>
  <c r="AZ13" i="26"/>
  <c r="AZ48" i="26"/>
  <c r="AZ19" i="26"/>
  <c r="AZ42" i="26"/>
  <c r="AZ23" i="26"/>
  <c r="AZ30" i="26"/>
  <c r="AZ16" i="26"/>
  <c r="AZ54" i="26"/>
  <c r="AZ43" i="26"/>
  <c r="AZ41" i="26"/>
  <c r="AZ22" i="26"/>
  <c r="AZ29" i="26"/>
  <c r="AZ15" i="26"/>
  <c r="AZ51" i="26"/>
  <c r="AZ36" i="26"/>
  <c r="AZ40" i="26"/>
  <c r="AZ28" i="26"/>
  <c r="AZ14" i="26"/>
  <c r="AZ45" i="26"/>
  <c r="AZ53" i="26"/>
  <c r="AZ39" i="26"/>
  <c r="AZ26" i="26"/>
  <c r="AZ12" i="26"/>
  <c r="AZ46" i="26"/>
  <c r="AZ8" i="26"/>
  <c r="AZ37" i="26"/>
  <c r="AZ21" i="26"/>
  <c r="AZ33" i="26"/>
  <c r="AZ11" i="26"/>
  <c r="AZ52" i="26"/>
  <c r="AZ35" i="26"/>
  <c r="AZ20" i="26"/>
  <c r="AZ32" i="26"/>
  <c r="AZ10" i="26"/>
  <c r="AZ50" i="26"/>
  <c r="AZ7" i="26"/>
  <c r="AZ38" i="26"/>
  <c r="AZ27" i="26"/>
  <c r="AZ17" i="26"/>
  <c r="AZ49" i="26"/>
  <c r="AZ6" i="26"/>
  <c r="Q14" i="29"/>
  <c r="K18" i="11" l="1"/>
  <c r="K21" i="11"/>
  <c r="K18" i="29"/>
  <c r="K19" i="11"/>
  <c r="K15" i="11"/>
  <c r="K15" i="29"/>
  <c r="E15" i="29"/>
  <c r="AZ5" i="26"/>
  <c r="G15" i="29" s="1"/>
  <c r="G15" i="11"/>
  <c r="G19" i="11"/>
  <c r="G16" i="11"/>
  <c r="G20" i="11"/>
  <c r="E16" i="29"/>
  <c r="G16" i="29"/>
  <c r="E20" i="29"/>
  <c r="G20" i="29"/>
  <c r="E17" i="29"/>
  <c r="G17" i="29"/>
  <c r="G18" i="11"/>
  <c r="G21" i="11"/>
  <c r="E21" i="29"/>
  <c r="G21" i="29"/>
  <c r="E18" i="29"/>
  <c r="G18" i="29"/>
  <c r="E19" i="29"/>
  <c r="G19" i="29"/>
  <c r="G17" i="11"/>
  <c r="AY2" i="37"/>
  <c r="AX2" i="37"/>
  <c r="AU1" i="37"/>
  <c r="AS1" i="37"/>
  <c r="AR1" i="37"/>
  <c r="AQ1" i="37"/>
  <c r="AP1" i="37"/>
  <c r="O41" i="29" l="1"/>
  <c r="C30" i="11"/>
  <c r="U5" i="23" l="1"/>
  <c r="U6" i="23"/>
  <c r="U7" i="23"/>
  <c r="U8" i="23"/>
  <c r="U9" i="23"/>
  <c r="U10" i="23"/>
  <c r="U11" i="23"/>
  <c r="U12" i="23"/>
  <c r="U13" i="23"/>
  <c r="U14" i="23"/>
  <c r="U15" i="23"/>
  <c r="U16" i="23"/>
  <c r="U17" i="23"/>
  <c r="U18" i="23"/>
  <c r="U19" i="23"/>
  <c r="U20" i="23"/>
  <c r="U21" i="23"/>
  <c r="U22" i="23"/>
  <c r="U23" i="23"/>
  <c r="U24" i="23"/>
  <c r="U25" i="23"/>
  <c r="U26" i="23"/>
  <c r="U27" i="23"/>
  <c r="U28" i="23"/>
  <c r="U29" i="23"/>
  <c r="U30" i="23"/>
  <c r="U31" i="23"/>
  <c r="U32" i="23"/>
  <c r="U33" i="23"/>
  <c r="U34" i="23"/>
  <c r="U35" i="23"/>
  <c r="U36" i="23"/>
  <c r="U37" i="23"/>
  <c r="U38" i="23"/>
  <c r="U39" i="23"/>
  <c r="U40" i="23"/>
  <c r="U41" i="23"/>
  <c r="U42" i="23"/>
  <c r="U43" i="23"/>
  <c r="U44" i="23"/>
  <c r="U45" i="23"/>
  <c r="U46" i="23"/>
  <c r="U47" i="23"/>
  <c r="U48" i="23"/>
  <c r="U49" i="23"/>
  <c r="U50" i="23"/>
  <c r="U51" i="23"/>
  <c r="U52" i="23"/>
  <c r="U53" i="23"/>
  <c r="U54" i="23"/>
  <c r="U55" i="23"/>
  <c r="U56" i="23"/>
  <c r="U57" i="23"/>
  <c r="U58" i="23"/>
  <c r="U59" i="23"/>
  <c r="U60" i="23"/>
  <c r="U61" i="23"/>
  <c r="U62" i="23"/>
  <c r="U63" i="23"/>
  <c r="U64" i="23"/>
  <c r="U65" i="23"/>
  <c r="U66" i="23"/>
  <c r="U67" i="23"/>
  <c r="U68" i="23"/>
  <c r="U69" i="23"/>
  <c r="U70" i="23"/>
  <c r="U71" i="23"/>
  <c r="U72" i="23"/>
  <c r="U73" i="23"/>
  <c r="U74" i="23"/>
  <c r="U75" i="23"/>
  <c r="U76" i="23"/>
  <c r="U77" i="23"/>
  <c r="U78" i="23"/>
  <c r="U79" i="23"/>
  <c r="U80" i="23"/>
  <c r="U81" i="23"/>
  <c r="U82" i="23"/>
  <c r="U83" i="23"/>
  <c r="U84" i="23"/>
  <c r="U85" i="23"/>
  <c r="U86" i="23"/>
  <c r="U87" i="23"/>
  <c r="U88" i="23"/>
  <c r="U89" i="23"/>
  <c r="U90" i="23"/>
  <c r="U91" i="23"/>
  <c r="U92" i="23"/>
  <c r="U93" i="23"/>
  <c r="U94" i="23"/>
  <c r="U95" i="23"/>
  <c r="U96" i="23"/>
  <c r="U97" i="23"/>
  <c r="U98" i="23"/>
  <c r="U99" i="23"/>
  <c r="U100" i="23"/>
  <c r="U101" i="23"/>
  <c r="U102" i="23"/>
  <c r="U103" i="23"/>
  <c r="U104" i="23"/>
  <c r="U105" i="23"/>
  <c r="U106" i="23"/>
  <c r="U107" i="23"/>
  <c r="U108" i="23"/>
  <c r="U109" i="23"/>
  <c r="U110" i="23"/>
  <c r="U111" i="23"/>
  <c r="U112" i="23"/>
  <c r="U113" i="23"/>
  <c r="U114" i="23"/>
  <c r="U115" i="23"/>
  <c r="U116" i="23"/>
  <c r="U117" i="23"/>
  <c r="U118" i="23"/>
  <c r="U119" i="23"/>
  <c r="U120" i="23"/>
  <c r="U121" i="23"/>
  <c r="U122" i="23"/>
  <c r="U123" i="23"/>
  <c r="U124" i="23"/>
  <c r="U125" i="23"/>
  <c r="U126" i="23"/>
  <c r="U127" i="23"/>
  <c r="U128" i="23"/>
  <c r="U129" i="23"/>
  <c r="U130" i="23"/>
  <c r="U131" i="23"/>
  <c r="U132" i="23"/>
  <c r="U133" i="23"/>
  <c r="U134" i="23"/>
  <c r="U135" i="23"/>
  <c r="U136" i="23"/>
  <c r="U137" i="23"/>
  <c r="U138" i="23"/>
  <c r="U139" i="23"/>
  <c r="U140" i="23"/>
  <c r="U141" i="23"/>
  <c r="U142" i="23"/>
  <c r="U143" i="23"/>
  <c r="U144" i="23"/>
  <c r="U145" i="23"/>
  <c r="U146" i="23"/>
  <c r="U147" i="23"/>
  <c r="U148" i="23"/>
  <c r="U149" i="23"/>
  <c r="U150" i="23"/>
  <c r="U151" i="23"/>
  <c r="U152" i="23"/>
  <c r="U153" i="23"/>
  <c r="U154" i="23"/>
  <c r="U155" i="23"/>
  <c r="U156" i="23"/>
  <c r="U157" i="23"/>
  <c r="U158" i="23"/>
  <c r="U159" i="23"/>
  <c r="U160" i="23"/>
  <c r="U161" i="23"/>
  <c r="U162" i="23"/>
  <c r="U163" i="23"/>
  <c r="U164" i="23"/>
  <c r="U165" i="23"/>
  <c r="U166" i="23"/>
  <c r="U167" i="23"/>
  <c r="U168" i="23"/>
  <c r="U169" i="23"/>
  <c r="U170" i="23"/>
  <c r="U171" i="23"/>
  <c r="U172" i="23"/>
  <c r="U173" i="23"/>
  <c r="U174" i="23"/>
  <c r="U175" i="23"/>
  <c r="U176" i="23"/>
  <c r="U177" i="23"/>
  <c r="U178" i="23"/>
  <c r="U179" i="23"/>
  <c r="U180" i="23"/>
  <c r="U181" i="23"/>
  <c r="U182" i="23"/>
  <c r="U183" i="23"/>
  <c r="U184" i="23"/>
  <c r="U185" i="23"/>
  <c r="U186" i="23"/>
  <c r="U187" i="23"/>
  <c r="U188" i="23"/>
  <c r="U189" i="23"/>
  <c r="U190" i="23"/>
  <c r="U191" i="23"/>
  <c r="U192" i="23"/>
  <c r="U193" i="23"/>
  <c r="U194" i="23"/>
  <c r="U195" i="23"/>
  <c r="U196" i="23"/>
  <c r="U197" i="23"/>
  <c r="U198" i="23"/>
  <c r="U199" i="23"/>
  <c r="U200" i="23"/>
  <c r="U201" i="23"/>
  <c r="U202" i="23"/>
  <c r="U203" i="23"/>
  <c r="U204" i="23"/>
  <c r="U205" i="23"/>
  <c r="U206" i="23"/>
  <c r="U207" i="23"/>
  <c r="U208" i="23"/>
  <c r="U209" i="23"/>
  <c r="U210" i="23"/>
  <c r="U211" i="23"/>
  <c r="U212" i="23"/>
  <c r="U213" i="23"/>
  <c r="U214" i="23"/>
  <c r="U215" i="23"/>
  <c r="U216" i="23"/>
  <c r="U217" i="23"/>
  <c r="U218" i="23"/>
  <c r="U219" i="23"/>
  <c r="U220" i="23"/>
  <c r="U221" i="23"/>
  <c r="U222" i="23"/>
  <c r="U223" i="23"/>
  <c r="U224" i="23"/>
  <c r="U225" i="23"/>
  <c r="U226" i="23"/>
  <c r="U227" i="23"/>
  <c r="U228" i="23"/>
  <c r="U229" i="23"/>
  <c r="U230" i="23"/>
  <c r="U231" i="23"/>
  <c r="U232" i="23"/>
  <c r="U233" i="23"/>
  <c r="U234" i="23"/>
  <c r="U235" i="23"/>
  <c r="U236" i="23"/>
  <c r="U237" i="23"/>
  <c r="U238" i="23"/>
  <c r="U239" i="23"/>
  <c r="U240" i="23"/>
  <c r="U241" i="23"/>
  <c r="U242" i="23"/>
  <c r="U243" i="23"/>
  <c r="U244" i="23"/>
  <c r="U245" i="23"/>
  <c r="U246" i="23"/>
  <c r="U247" i="23"/>
  <c r="U248" i="23"/>
  <c r="U249" i="23"/>
  <c r="U250" i="23"/>
  <c r="U251" i="23"/>
  <c r="U252" i="23"/>
  <c r="U253" i="23"/>
  <c r="U254" i="23"/>
  <c r="U255" i="23"/>
  <c r="U256" i="23"/>
  <c r="U257" i="23"/>
  <c r="U258" i="23"/>
  <c r="U259" i="23"/>
  <c r="U260" i="23"/>
  <c r="U261" i="23"/>
  <c r="U262" i="23"/>
  <c r="U263" i="23"/>
  <c r="U264" i="23"/>
  <c r="U265" i="23"/>
  <c r="U266" i="23"/>
  <c r="U267" i="23"/>
  <c r="U268" i="23"/>
  <c r="U269" i="23"/>
  <c r="U270" i="23"/>
  <c r="U271" i="23"/>
  <c r="U272" i="23"/>
  <c r="U273" i="23"/>
  <c r="U274" i="23"/>
  <c r="U275" i="23"/>
  <c r="U276" i="23"/>
  <c r="U277" i="23"/>
  <c r="U278" i="23"/>
  <c r="U279" i="23"/>
  <c r="U280" i="23"/>
  <c r="U281" i="23"/>
  <c r="U282" i="23"/>
  <c r="U283" i="23"/>
  <c r="U284" i="23"/>
  <c r="U285" i="23"/>
  <c r="U286" i="23"/>
  <c r="U287" i="23"/>
  <c r="U288" i="23"/>
  <c r="U289" i="23"/>
  <c r="U290" i="23"/>
  <c r="U291" i="23"/>
  <c r="U292" i="23"/>
  <c r="U293" i="23"/>
  <c r="U294" i="23"/>
  <c r="U295" i="23"/>
  <c r="U296" i="23"/>
  <c r="U297" i="23"/>
  <c r="U298" i="23"/>
  <c r="U299" i="23"/>
  <c r="U300" i="23"/>
  <c r="U301" i="23"/>
  <c r="U302" i="23"/>
  <c r="U303" i="23"/>
  <c r="U304" i="23"/>
  <c r="U305" i="23"/>
  <c r="U306" i="23"/>
  <c r="U307" i="23"/>
  <c r="U308" i="23"/>
  <c r="U309" i="23"/>
  <c r="U310" i="23"/>
  <c r="U311" i="23"/>
  <c r="U312" i="23"/>
  <c r="U313" i="23"/>
  <c r="U314" i="23"/>
  <c r="U315" i="23"/>
  <c r="U316" i="23"/>
  <c r="U317" i="23"/>
  <c r="U318" i="23"/>
  <c r="U319" i="23"/>
  <c r="U320" i="23"/>
  <c r="U321" i="23"/>
  <c r="U322" i="23"/>
  <c r="U323" i="23"/>
  <c r="U324" i="23"/>
  <c r="U325" i="23"/>
  <c r="U326" i="23"/>
  <c r="U327" i="23"/>
  <c r="U328" i="23"/>
  <c r="U329" i="23"/>
  <c r="U330" i="23"/>
  <c r="U331" i="23"/>
  <c r="U332" i="23"/>
  <c r="U333" i="23"/>
  <c r="U334" i="23"/>
  <c r="U335" i="23"/>
  <c r="U336" i="23"/>
  <c r="U337" i="23"/>
  <c r="U338" i="23"/>
  <c r="U339" i="23"/>
  <c r="U340" i="23"/>
  <c r="U341" i="23"/>
  <c r="U342" i="23"/>
  <c r="U343" i="23"/>
  <c r="U344" i="23"/>
  <c r="U345" i="23"/>
  <c r="U346" i="23"/>
  <c r="U347" i="23"/>
  <c r="U348" i="23"/>
  <c r="U349" i="23"/>
  <c r="U350" i="23"/>
  <c r="U351" i="23"/>
  <c r="U352" i="23"/>
  <c r="U353" i="23"/>
  <c r="U354" i="23"/>
  <c r="U355" i="23"/>
  <c r="U356" i="23"/>
  <c r="U357" i="23"/>
  <c r="U358" i="23"/>
  <c r="U359" i="23"/>
  <c r="U360" i="23"/>
  <c r="U361" i="23"/>
  <c r="U362" i="23"/>
  <c r="U363" i="23"/>
  <c r="U364" i="23"/>
  <c r="U365" i="23"/>
  <c r="U366" i="23"/>
  <c r="U367" i="23"/>
  <c r="U368" i="23"/>
  <c r="U369" i="23"/>
  <c r="U370" i="23"/>
  <c r="U371" i="23"/>
  <c r="U372" i="23"/>
  <c r="U373" i="23"/>
  <c r="U374" i="23"/>
  <c r="U375" i="23"/>
  <c r="U376" i="23"/>
  <c r="U377" i="23"/>
  <c r="U378" i="23"/>
  <c r="U379" i="23"/>
  <c r="U380" i="23"/>
  <c r="U381" i="23"/>
  <c r="U382" i="23"/>
  <c r="U383" i="23"/>
  <c r="U384" i="23"/>
  <c r="U385" i="23"/>
  <c r="U386" i="23"/>
  <c r="U387" i="23"/>
  <c r="U388" i="23"/>
  <c r="U389" i="23"/>
  <c r="U390" i="23"/>
  <c r="U391" i="23"/>
  <c r="U392" i="23"/>
  <c r="U393" i="23"/>
  <c r="U394" i="23"/>
  <c r="U395" i="23"/>
  <c r="U396" i="23"/>
  <c r="U397" i="23"/>
  <c r="U398" i="23"/>
  <c r="U399" i="23"/>
  <c r="U400" i="23"/>
  <c r="U401" i="23"/>
  <c r="U402" i="23"/>
  <c r="U403" i="23"/>
  <c r="U404" i="23"/>
  <c r="U405" i="23"/>
  <c r="U406" i="23"/>
  <c r="U407" i="23"/>
  <c r="U408" i="23"/>
  <c r="U409" i="23"/>
  <c r="U410" i="23"/>
  <c r="U411" i="23"/>
  <c r="U412" i="23"/>
  <c r="U413" i="23"/>
  <c r="U414" i="23"/>
  <c r="U415" i="23"/>
  <c r="U416" i="23"/>
  <c r="U417" i="23"/>
  <c r="U418" i="23"/>
  <c r="U419" i="23"/>
  <c r="U420" i="23"/>
  <c r="U421" i="23"/>
  <c r="U422" i="23"/>
  <c r="U423" i="23"/>
  <c r="U424" i="23"/>
  <c r="U425" i="23"/>
  <c r="U426" i="23"/>
  <c r="U427" i="23"/>
  <c r="U428" i="23"/>
  <c r="U429" i="23"/>
  <c r="U430" i="23"/>
  <c r="U431" i="23"/>
  <c r="U432" i="23"/>
  <c r="U433" i="23"/>
  <c r="U434" i="23"/>
  <c r="U435" i="23"/>
  <c r="U436" i="23"/>
  <c r="U437" i="23"/>
  <c r="U438" i="23"/>
  <c r="U439" i="23"/>
  <c r="U440" i="23"/>
  <c r="U441" i="23"/>
  <c r="U442" i="23"/>
  <c r="U443" i="23"/>
  <c r="U444" i="23"/>
  <c r="U445" i="23"/>
  <c r="U446" i="23"/>
  <c r="U447" i="23"/>
  <c r="U448" i="23"/>
  <c r="U449" i="23"/>
  <c r="U450" i="23"/>
  <c r="U451" i="23"/>
  <c r="U452" i="23"/>
  <c r="U453" i="23"/>
  <c r="U454" i="23"/>
  <c r="U455" i="23"/>
  <c r="U456" i="23"/>
  <c r="U457" i="23"/>
  <c r="U458" i="23"/>
  <c r="U459" i="23"/>
  <c r="U460" i="23"/>
  <c r="U461" i="23"/>
  <c r="U462" i="23"/>
  <c r="U463" i="23"/>
  <c r="U464" i="23"/>
  <c r="U465" i="23"/>
  <c r="U466" i="23"/>
  <c r="U467" i="23"/>
  <c r="U468" i="23"/>
  <c r="U469" i="23"/>
  <c r="U470" i="23"/>
  <c r="U471" i="23"/>
  <c r="U472" i="23"/>
  <c r="U473" i="23"/>
  <c r="U474" i="23"/>
  <c r="U475" i="23"/>
  <c r="U476" i="23"/>
  <c r="U477" i="23"/>
  <c r="U478" i="23"/>
  <c r="U479" i="23"/>
  <c r="U480" i="23"/>
  <c r="U481" i="23"/>
  <c r="U482" i="23"/>
  <c r="U483" i="23"/>
  <c r="U484" i="23"/>
  <c r="U485" i="23"/>
  <c r="U486" i="23"/>
  <c r="U487" i="23"/>
  <c r="U488" i="23"/>
  <c r="U489" i="23"/>
  <c r="U490" i="23"/>
  <c r="U491" i="23"/>
  <c r="U492" i="23"/>
  <c r="U493" i="23"/>
  <c r="U494" i="23"/>
  <c r="U495" i="23"/>
  <c r="U496" i="23"/>
  <c r="U497" i="23"/>
  <c r="U498" i="23"/>
  <c r="U499" i="23"/>
  <c r="U500" i="23"/>
  <c r="U501" i="23"/>
  <c r="U502" i="23"/>
  <c r="U503" i="23"/>
  <c r="U504" i="23"/>
  <c r="U505" i="23"/>
  <c r="U506" i="23"/>
  <c r="U507" i="23"/>
  <c r="U508" i="23"/>
  <c r="U509" i="23"/>
  <c r="U510" i="23"/>
  <c r="U511" i="23"/>
  <c r="U512" i="23"/>
  <c r="U513" i="23"/>
  <c r="U514" i="23"/>
  <c r="U515" i="23"/>
  <c r="U516" i="23"/>
  <c r="U517" i="23"/>
  <c r="U518" i="23"/>
  <c r="U519" i="23"/>
  <c r="U520" i="23"/>
  <c r="U521" i="23"/>
  <c r="U522" i="23"/>
  <c r="U523" i="23"/>
  <c r="U524" i="23"/>
  <c r="U525" i="23"/>
  <c r="U526" i="23"/>
  <c r="U527" i="23"/>
  <c r="U528" i="23"/>
  <c r="U529" i="23"/>
  <c r="U530" i="23"/>
  <c r="U531" i="23"/>
  <c r="U532" i="23"/>
  <c r="U533" i="23"/>
  <c r="U534" i="23"/>
  <c r="U535" i="23"/>
  <c r="U536" i="23"/>
  <c r="U537" i="23"/>
  <c r="U538" i="23"/>
  <c r="U539" i="23"/>
  <c r="U540" i="23"/>
  <c r="U541" i="23"/>
  <c r="U542" i="23"/>
  <c r="U543" i="23"/>
  <c r="U544" i="23"/>
  <c r="U545" i="23"/>
  <c r="U546" i="23"/>
  <c r="U547" i="23"/>
  <c r="U548" i="23"/>
  <c r="U549" i="23"/>
  <c r="U550" i="23"/>
  <c r="U551" i="23"/>
  <c r="U552" i="23"/>
  <c r="U553" i="23"/>
  <c r="U554" i="23"/>
  <c r="U555" i="23"/>
  <c r="U556" i="23"/>
  <c r="U557" i="23"/>
  <c r="U558" i="23"/>
  <c r="U559" i="23"/>
  <c r="U560" i="23"/>
  <c r="U561" i="23"/>
  <c r="U562" i="23"/>
  <c r="U563" i="23"/>
  <c r="U564" i="23"/>
  <c r="U565" i="23"/>
  <c r="U566" i="23"/>
  <c r="U567" i="23"/>
  <c r="U568" i="23"/>
  <c r="U569" i="23"/>
  <c r="U570" i="23"/>
  <c r="U571" i="23"/>
  <c r="U572" i="23"/>
  <c r="U573" i="23"/>
  <c r="U574" i="23"/>
  <c r="U575" i="23"/>
  <c r="U576" i="23"/>
  <c r="U577" i="23"/>
  <c r="U578" i="23"/>
  <c r="U579" i="23"/>
  <c r="U580" i="23"/>
  <c r="U581" i="23"/>
  <c r="U582" i="23"/>
  <c r="U583" i="23"/>
  <c r="U584" i="23"/>
  <c r="U585" i="23"/>
  <c r="U586" i="23"/>
  <c r="U587" i="23"/>
  <c r="U588" i="23"/>
  <c r="U589" i="23"/>
  <c r="U590" i="23"/>
  <c r="U591" i="23"/>
  <c r="U592" i="23"/>
  <c r="U593" i="23"/>
  <c r="U594" i="23"/>
  <c r="U595" i="23"/>
  <c r="U596" i="23"/>
  <c r="U597" i="23"/>
  <c r="U598" i="23"/>
  <c r="U599" i="23"/>
  <c r="U600" i="23"/>
  <c r="U601" i="23"/>
  <c r="U602" i="23"/>
  <c r="U603" i="23"/>
  <c r="U604" i="23"/>
  <c r="U605" i="23"/>
  <c r="U606" i="23"/>
  <c r="U607" i="23"/>
  <c r="U608" i="23"/>
  <c r="U609" i="23"/>
  <c r="U610" i="23"/>
  <c r="U611" i="23"/>
  <c r="U612" i="23"/>
  <c r="U613" i="23"/>
  <c r="U614" i="23"/>
  <c r="U615" i="23"/>
  <c r="U616" i="23"/>
  <c r="U617" i="23"/>
  <c r="U618" i="23"/>
  <c r="U619" i="23"/>
  <c r="U620" i="23"/>
  <c r="U621" i="23"/>
  <c r="U622" i="23"/>
  <c r="U623" i="23"/>
  <c r="U624" i="23"/>
  <c r="U625" i="23"/>
  <c r="U626" i="23"/>
  <c r="U627" i="23"/>
  <c r="U628" i="23"/>
  <c r="U629" i="23"/>
  <c r="U630" i="23"/>
  <c r="U631" i="23"/>
  <c r="U632" i="23"/>
  <c r="U633" i="23"/>
  <c r="U634" i="23"/>
  <c r="U635" i="23"/>
  <c r="U636" i="23"/>
  <c r="U637" i="23"/>
  <c r="U638" i="23"/>
  <c r="U639" i="23"/>
  <c r="U640" i="23"/>
  <c r="U641" i="23"/>
  <c r="U642" i="23"/>
  <c r="U643" i="23"/>
  <c r="U644" i="23"/>
  <c r="U645" i="23"/>
  <c r="U646" i="23"/>
  <c r="U647" i="23"/>
  <c r="U648" i="23"/>
  <c r="U649" i="23"/>
  <c r="U650" i="23"/>
  <c r="U651" i="23"/>
  <c r="U652" i="23"/>
  <c r="U653" i="23"/>
  <c r="U654" i="23"/>
  <c r="U655" i="23"/>
  <c r="U656" i="23"/>
  <c r="U657" i="23"/>
  <c r="U658" i="23"/>
  <c r="U659" i="23"/>
  <c r="U660" i="23"/>
  <c r="U661" i="23"/>
  <c r="U662" i="23"/>
  <c r="U663" i="23"/>
  <c r="U664" i="23"/>
  <c r="U665" i="23"/>
  <c r="U666" i="23"/>
  <c r="U667" i="23"/>
  <c r="U668" i="23"/>
  <c r="U669" i="23"/>
  <c r="U670" i="23"/>
  <c r="U671" i="23"/>
  <c r="U672" i="23"/>
  <c r="U673" i="23"/>
  <c r="U674" i="23"/>
  <c r="U675" i="23"/>
  <c r="U676" i="23"/>
  <c r="U677" i="23"/>
  <c r="U678" i="23"/>
  <c r="U679" i="23"/>
  <c r="U680" i="23"/>
  <c r="U681" i="23"/>
  <c r="U682" i="23"/>
  <c r="U683" i="23"/>
  <c r="U684" i="23"/>
  <c r="U685" i="23"/>
  <c r="U686" i="23"/>
  <c r="U687" i="23"/>
  <c r="U688" i="23"/>
  <c r="U689" i="23"/>
  <c r="U690" i="23"/>
  <c r="U691" i="23"/>
  <c r="U692" i="23"/>
  <c r="U693" i="23"/>
  <c r="U694" i="23"/>
  <c r="U695" i="23"/>
  <c r="U696" i="23"/>
  <c r="U697" i="23"/>
  <c r="U698" i="23"/>
  <c r="U699" i="23"/>
  <c r="U700" i="23"/>
  <c r="U701" i="23"/>
  <c r="U702" i="23"/>
  <c r="U703" i="23"/>
  <c r="U704" i="23"/>
  <c r="U705" i="23"/>
  <c r="U706" i="23"/>
  <c r="U707" i="23"/>
  <c r="U708" i="23"/>
  <c r="U709" i="23"/>
  <c r="U710" i="23"/>
  <c r="U711" i="23"/>
  <c r="U712" i="23"/>
  <c r="U713" i="23"/>
  <c r="U714" i="23"/>
  <c r="U715" i="23"/>
  <c r="U716" i="23"/>
  <c r="U717" i="23"/>
  <c r="U718" i="23"/>
  <c r="U719" i="23"/>
  <c r="U720" i="23"/>
  <c r="U721" i="23"/>
  <c r="U722" i="23"/>
  <c r="U723" i="23"/>
  <c r="U724" i="23"/>
  <c r="U725" i="23"/>
  <c r="U726" i="23"/>
  <c r="U727" i="23"/>
  <c r="U728" i="23"/>
  <c r="U729" i="23"/>
  <c r="U730" i="23"/>
  <c r="U731" i="23"/>
  <c r="U732" i="23"/>
  <c r="U733" i="23"/>
  <c r="U734" i="23"/>
  <c r="U735" i="23"/>
  <c r="U736" i="23"/>
  <c r="U737" i="23"/>
  <c r="U738" i="23"/>
  <c r="U739" i="23"/>
  <c r="U740" i="23"/>
  <c r="U741" i="23"/>
  <c r="U742" i="23"/>
  <c r="U743" i="23"/>
  <c r="U744" i="23"/>
  <c r="U745" i="23"/>
  <c r="U746" i="23"/>
  <c r="U747" i="23"/>
  <c r="U748" i="23"/>
  <c r="U749" i="23"/>
  <c r="U750" i="23"/>
  <c r="U751" i="23"/>
  <c r="U752" i="23"/>
  <c r="U753" i="23"/>
  <c r="U754" i="23"/>
  <c r="U755" i="23"/>
  <c r="U756" i="23"/>
  <c r="U757" i="23"/>
  <c r="U758" i="23"/>
  <c r="U759" i="23"/>
  <c r="U760" i="23"/>
  <c r="U761" i="23"/>
  <c r="U762" i="23"/>
  <c r="U763" i="23"/>
  <c r="U764" i="23"/>
  <c r="U765" i="23"/>
  <c r="U766" i="23"/>
  <c r="U767" i="23"/>
  <c r="U768" i="23"/>
  <c r="U769" i="23"/>
  <c r="U770" i="23"/>
  <c r="U771" i="23"/>
  <c r="U772" i="23"/>
  <c r="U773" i="23"/>
  <c r="U774" i="23"/>
  <c r="U775" i="23"/>
  <c r="U776" i="23"/>
  <c r="U777" i="23"/>
  <c r="U778" i="23"/>
  <c r="U779" i="23"/>
  <c r="U780" i="23"/>
  <c r="U781" i="23"/>
  <c r="U782" i="23"/>
  <c r="U783" i="23"/>
  <c r="U784" i="23"/>
  <c r="U785" i="23"/>
  <c r="U786" i="23"/>
  <c r="U787" i="23"/>
  <c r="U788" i="23"/>
  <c r="U789" i="23"/>
  <c r="U790" i="23"/>
  <c r="U791" i="23"/>
  <c r="U792" i="23"/>
  <c r="U793" i="23"/>
  <c r="U794" i="23"/>
  <c r="U795" i="23"/>
  <c r="U796" i="23"/>
  <c r="U797" i="23"/>
  <c r="U798" i="23"/>
  <c r="U799" i="23"/>
  <c r="U800" i="23"/>
  <c r="U801" i="23"/>
  <c r="U802" i="23"/>
  <c r="U803" i="23"/>
  <c r="U804" i="23"/>
  <c r="U805" i="23"/>
  <c r="U806" i="23"/>
  <c r="U807" i="23"/>
  <c r="U808" i="23"/>
  <c r="U809" i="23"/>
  <c r="U810" i="23"/>
  <c r="U811" i="23"/>
  <c r="U812" i="23"/>
  <c r="U813" i="23"/>
  <c r="U814" i="23"/>
  <c r="U815" i="23"/>
  <c r="U816" i="23"/>
  <c r="U817" i="23"/>
  <c r="U818" i="23"/>
  <c r="U819" i="23"/>
  <c r="U820" i="23"/>
  <c r="U821" i="23"/>
  <c r="U822" i="23"/>
  <c r="U823" i="23"/>
  <c r="U824" i="23"/>
  <c r="U825" i="23"/>
  <c r="U826" i="23"/>
  <c r="U827" i="23"/>
  <c r="U828" i="23"/>
  <c r="U829" i="23"/>
  <c r="U830" i="23"/>
  <c r="U831" i="23"/>
  <c r="U832" i="23"/>
  <c r="U833" i="23"/>
  <c r="U834" i="23"/>
  <c r="U835" i="23"/>
  <c r="U836" i="23"/>
  <c r="U837" i="23"/>
  <c r="U838" i="23"/>
  <c r="U839" i="23"/>
  <c r="U840" i="23"/>
  <c r="U841" i="23"/>
  <c r="U842" i="23"/>
  <c r="U843" i="23"/>
  <c r="U844" i="23"/>
  <c r="U845" i="23"/>
  <c r="U846" i="23"/>
  <c r="U847" i="23"/>
  <c r="U848" i="23"/>
  <c r="U849" i="23"/>
  <c r="U850" i="23"/>
  <c r="U851" i="23"/>
  <c r="U852" i="23"/>
  <c r="U853" i="23"/>
  <c r="U854" i="23"/>
  <c r="U855" i="23"/>
  <c r="U856" i="23"/>
  <c r="U857" i="23"/>
  <c r="U858" i="23"/>
  <c r="U859" i="23"/>
  <c r="U860" i="23"/>
  <c r="U861" i="23"/>
  <c r="U862" i="23"/>
  <c r="U863" i="23"/>
  <c r="U864" i="23"/>
  <c r="U865" i="23"/>
  <c r="U866" i="23"/>
  <c r="U867" i="23"/>
  <c r="U868" i="23"/>
  <c r="U869" i="23"/>
  <c r="U870" i="23"/>
  <c r="U871" i="23"/>
  <c r="U872" i="23"/>
  <c r="U873" i="23"/>
  <c r="U874" i="23"/>
  <c r="U875" i="23"/>
  <c r="U876" i="23"/>
  <c r="U877" i="23"/>
  <c r="U878" i="23"/>
  <c r="U879" i="23"/>
  <c r="U880" i="23"/>
  <c r="U881" i="23"/>
  <c r="U882" i="23"/>
  <c r="U883" i="23"/>
  <c r="U884" i="23"/>
  <c r="U885" i="23"/>
  <c r="U886" i="23"/>
  <c r="U887" i="23"/>
  <c r="U888" i="23"/>
  <c r="U889" i="23"/>
  <c r="U890" i="23"/>
  <c r="U891" i="23"/>
  <c r="U892" i="23"/>
  <c r="U893" i="23"/>
  <c r="U894" i="23"/>
  <c r="U895" i="23"/>
  <c r="U896" i="23"/>
  <c r="U897" i="23"/>
  <c r="U898" i="23"/>
  <c r="U899" i="23"/>
  <c r="U900" i="23"/>
  <c r="U901" i="23"/>
  <c r="U902" i="23"/>
  <c r="U903" i="23"/>
  <c r="U904" i="23"/>
  <c r="U905" i="23"/>
  <c r="U906" i="23"/>
  <c r="U907" i="23"/>
  <c r="U908" i="23"/>
  <c r="U909" i="23"/>
  <c r="U910" i="23"/>
  <c r="U911" i="23"/>
  <c r="U912" i="23"/>
  <c r="U913" i="23"/>
  <c r="U914" i="23"/>
  <c r="U915" i="23"/>
  <c r="U916" i="23"/>
  <c r="U917" i="23"/>
  <c r="U918" i="23"/>
  <c r="U919" i="23"/>
  <c r="U920" i="23"/>
  <c r="U921" i="23"/>
  <c r="U922" i="23"/>
  <c r="U923" i="23"/>
  <c r="U924" i="23"/>
  <c r="U925" i="23"/>
  <c r="U926" i="23"/>
  <c r="U927" i="23"/>
  <c r="U928" i="23"/>
  <c r="U929" i="23"/>
  <c r="U930" i="23"/>
  <c r="U931" i="23"/>
  <c r="U932" i="23"/>
  <c r="U933" i="23"/>
  <c r="U934" i="23"/>
  <c r="U935" i="23"/>
  <c r="U936" i="23"/>
  <c r="U937" i="23"/>
  <c r="U938" i="23"/>
  <c r="U939" i="23"/>
  <c r="U940" i="23"/>
  <c r="U941" i="23"/>
  <c r="U942" i="23"/>
  <c r="U943" i="23"/>
  <c r="U944" i="23"/>
  <c r="U945" i="23"/>
  <c r="U946" i="23"/>
  <c r="U947" i="23"/>
  <c r="U948" i="23"/>
  <c r="U949" i="23"/>
  <c r="U950" i="23"/>
  <c r="U951" i="23"/>
  <c r="U952" i="23"/>
  <c r="U953" i="23"/>
  <c r="U954" i="23"/>
  <c r="U955" i="23"/>
  <c r="U956" i="23"/>
  <c r="U957" i="23"/>
  <c r="U958" i="23"/>
  <c r="U959" i="23"/>
  <c r="U960" i="23"/>
  <c r="U961" i="23"/>
  <c r="U962" i="23"/>
  <c r="U963" i="23"/>
  <c r="U964" i="23"/>
  <c r="U965" i="23"/>
  <c r="U966" i="23"/>
  <c r="U967" i="23"/>
  <c r="U968" i="23"/>
  <c r="U969" i="23"/>
  <c r="U970" i="23"/>
  <c r="U971" i="23"/>
  <c r="U972" i="23"/>
  <c r="U973" i="23"/>
  <c r="U974" i="23"/>
  <c r="U975" i="23"/>
  <c r="U976" i="23"/>
  <c r="U977" i="23"/>
  <c r="U978" i="23"/>
  <c r="U979" i="23"/>
  <c r="U980" i="23"/>
  <c r="U981" i="23"/>
  <c r="U982" i="23"/>
  <c r="U983" i="23"/>
  <c r="U984" i="23"/>
  <c r="U985" i="23"/>
  <c r="U986" i="23"/>
  <c r="U987" i="23"/>
  <c r="U988" i="23"/>
  <c r="U989" i="23"/>
  <c r="U990" i="23"/>
  <c r="U991" i="23"/>
  <c r="U992" i="23"/>
  <c r="U993" i="23"/>
  <c r="U994" i="23"/>
  <c r="U995" i="23"/>
  <c r="U996" i="23"/>
  <c r="U997" i="23"/>
  <c r="U998" i="23"/>
  <c r="U999" i="23"/>
  <c r="U1000" i="23"/>
  <c r="U1001" i="23"/>
  <c r="U1002" i="23"/>
  <c r="U1003" i="23"/>
  <c r="U1004" i="23"/>
  <c r="U1005" i="23"/>
  <c r="U1006" i="23"/>
  <c r="U1007" i="23"/>
  <c r="U1008" i="23"/>
  <c r="U1009" i="23"/>
  <c r="U1010" i="23"/>
  <c r="U1011" i="23"/>
  <c r="U1012" i="23"/>
  <c r="U1013" i="23"/>
  <c r="U1014" i="23"/>
  <c r="U1015" i="23"/>
  <c r="U1016" i="23"/>
  <c r="U1017" i="23"/>
  <c r="U1018" i="23"/>
  <c r="U1019" i="23"/>
  <c r="U1020" i="23"/>
  <c r="U1021" i="23"/>
  <c r="U1022" i="23"/>
  <c r="U1023" i="23"/>
  <c r="U1024" i="23"/>
  <c r="U1025" i="23"/>
  <c r="U1026" i="23"/>
  <c r="U1027" i="23"/>
  <c r="U1028" i="23"/>
  <c r="U1029" i="23"/>
  <c r="U1030" i="23"/>
  <c r="U1031" i="23"/>
  <c r="U1032" i="23"/>
  <c r="U1033" i="23"/>
  <c r="U1034" i="23"/>
  <c r="U1035" i="23"/>
  <c r="U1036" i="23"/>
  <c r="U1037" i="23"/>
  <c r="U1038" i="23"/>
  <c r="U1039" i="23"/>
  <c r="U1040" i="23"/>
  <c r="U1041" i="23"/>
  <c r="U1042" i="23"/>
  <c r="U1043" i="23"/>
  <c r="U1044" i="23"/>
  <c r="U1045" i="23"/>
  <c r="U1046" i="23"/>
  <c r="U1047" i="23"/>
  <c r="U1048" i="23"/>
  <c r="U1049" i="23"/>
  <c r="U1050" i="23"/>
  <c r="U1051" i="23"/>
  <c r="U1052" i="23"/>
  <c r="U1053" i="23"/>
  <c r="U1054" i="23"/>
  <c r="U1055" i="23"/>
  <c r="U1056" i="23"/>
  <c r="U1057" i="23"/>
  <c r="U1058" i="23"/>
  <c r="U1059" i="23"/>
  <c r="U1060" i="23"/>
  <c r="U1061" i="23"/>
  <c r="U1062" i="23"/>
  <c r="U1063" i="23"/>
  <c r="U1064" i="23"/>
  <c r="U1065" i="23"/>
  <c r="U1066" i="23"/>
  <c r="U1067" i="23"/>
  <c r="U1068" i="23"/>
  <c r="U1069" i="23"/>
  <c r="U1070" i="23"/>
  <c r="U1071" i="23"/>
  <c r="U1072" i="23"/>
  <c r="U1073" i="23"/>
  <c r="U1074" i="23"/>
  <c r="U1075" i="23"/>
  <c r="U1076" i="23"/>
  <c r="U1077" i="23"/>
  <c r="U1078" i="23"/>
  <c r="U1079" i="23"/>
  <c r="U1080" i="23"/>
  <c r="U1081" i="23"/>
  <c r="U1082" i="23"/>
  <c r="U1083" i="23"/>
  <c r="U1084" i="23"/>
  <c r="U1085" i="23"/>
  <c r="U1086" i="23"/>
  <c r="U1087" i="23"/>
  <c r="U1088" i="23"/>
  <c r="U1089" i="23"/>
  <c r="U1090" i="23"/>
  <c r="U1091" i="23"/>
  <c r="U1092" i="23"/>
  <c r="U1093" i="23"/>
  <c r="U1094" i="23"/>
  <c r="U1095" i="23"/>
  <c r="U1096" i="23"/>
  <c r="U1097" i="23"/>
  <c r="U1098" i="23"/>
  <c r="U1099" i="23"/>
  <c r="U1100" i="23"/>
  <c r="U1101" i="23"/>
  <c r="U1102" i="23"/>
  <c r="U1103" i="23"/>
  <c r="U1104" i="23"/>
  <c r="U1105" i="23"/>
  <c r="U1106" i="23"/>
  <c r="U1107" i="23"/>
  <c r="U1108" i="23"/>
  <c r="U1109" i="23"/>
  <c r="U1110" i="23"/>
  <c r="U1111" i="23"/>
  <c r="U1112" i="23"/>
  <c r="U1113" i="23"/>
  <c r="U1114" i="23"/>
  <c r="U1115" i="23"/>
  <c r="U1116" i="23"/>
  <c r="U1117" i="23"/>
  <c r="U1118" i="23"/>
  <c r="U1119" i="23"/>
  <c r="U1120" i="23"/>
  <c r="U1121" i="23"/>
  <c r="U1122" i="23"/>
  <c r="U1123" i="23"/>
  <c r="U1124" i="23"/>
  <c r="U1125" i="23"/>
  <c r="U1126" i="23"/>
  <c r="U1127" i="23"/>
  <c r="U1128" i="23"/>
  <c r="U1129" i="23"/>
  <c r="U1130" i="23"/>
  <c r="U1131" i="23"/>
  <c r="U1132" i="23"/>
  <c r="U1133" i="23"/>
  <c r="U1134" i="23"/>
  <c r="U1135" i="23"/>
  <c r="U1136" i="23"/>
  <c r="U1137" i="23"/>
  <c r="U1138" i="23"/>
  <c r="U1139" i="23"/>
  <c r="U1140" i="23"/>
  <c r="U1141" i="23"/>
  <c r="U1142" i="23"/>
  <c r="U1143" i="23"/>
  <c r="U1144" i="23"/>
  <c r="U1145" i="23"/>
  <c r="U1146" i="23"/>
  <c r="U1147" i="23"/>
  <c r="U1148" i="23"/>
  <c r="U1149" i="23"/>
  <c r="U1150" i="23"/>
  <c r="U1151" i="23"/>
  <c r="U1152" i="23"/>
  <c r="U1153" i="23"/>
  <c r="U1154" i="23"/>
  <c r="U1155" i="23"/>
  <c r="U1156" i="23"/>
  <c r="U1157" i="23"/>
  <c r="U1158" i="23"/>
  <c r="U1159" i="23"/>
  <c r="U1160" i="23"/>
  <c r="U1161" i="23"/>
  <c r="U1162" i="23"/>
  <c r="U1163" i="23"/>
  <c r="U1164" i="23"/>
  <c r="U1165" i="23"/>
  <c r="U1166" i="23"/>
  <c r="U1167" i="23"/>
  <c r="U1168" i="23"/>
  <c r="U1169" i="23"/>
  <c r="U1170" i="23"/>
  <c r="U1171" i="23"/>
  <c r="U1172" i="23"/>
  <c r="U1173" i="23"/>
  <c r="U1174" i="23"/>
  <c r="U1175" i="23"/>
  <c r="U1176" i="23"/>
  <c r="U1177" i="23"/>
  <c r="U1178" i="23"/>
  <c r="U1179" i="23"/>
  <c r="U1180" i="23"/>
  <c r="U1181" i="23"/>
  <c r="U1182" i="23"/>
  <c r="U1183" i="23"/>
  <c r="U1184" i="23"/>
  <c r="U1185" i="23"/>
  <c r="U1186" i="23"/>
  <c r="U1187" i="23"/>
  <c r="U1188" i="23"/>
  <c r="U1189" i="23"/>
  <c r="U1190" i="23"/>
  <c r="U1191" i="23"/>
  <c r="U1192" i="23"/>
  <c r="U1193" i="23"/>
  <c r="U1194" i="23"/>
  <c r="U1195" i="23"/>
  <c r="U1196" i="23"/>
  <c r="U1197" i="23"/>
  <c r="U1198" i="23"/>
  <c r="U1199" i="23"/>
  <c r="U1200" i="23"/>
  <c r="U1201" i="23"/>
  <c r="U1202" i="23"/>
  <c r="U1203" i="23"/>
  <c r="U1204" i="23"/>
  <c r="U1205" i="23"/>
  <c r="U1206" i="23"/>
  <c r="U1207" i="23"/>
  <c r="U1208" i="23"/>
  <c r="U1209" i="23"/>
  <c r="U1210" i="23"/>
  <c r="U1211" i="23"/>
  <c r="U1212" i="23"/>
  <c r="U1213" i="23"/>
  <c r="U1214" i="23"/>
  <c r="U1215" i="23"/>
  <c r="U1216" i="23"/>
  <c r="U1217" i="23"/>
  <c r="U1218" i="23"/>
  <c r="U1219" i="23"/>
  <c r="U1220" i="23"/>
  <c r="U1221" i="23"/>
  <c r="U1222" i="23"/>
  <c r="U1223" i="23"/>
  <c r="U1224" i="23"/>
  <c r="U1225" i="23"/>
  <c r="U1226" i="23"/>
  <c r="U1227" i="23"/>
  <c r="U1228" i="23"/>
  <c r="U1229" i="23"/>
  <c r="U1230" i="23"/>
  <c r="U1231" i="23"/>
  <c r="U1232" i="23"/>
  <c r="U1233" i="23"/>
  <c r="U1234" i="23"/>
  <c r="U1235" i="23"/>
  <c r="U1236" i="23"/>
  <c r="U1237" i="23"/>
  <c r="U1238" i="23"/>
  <c r="U1239" i="23"/>
  <c r="U1240" i="23"/>
  <c r="U1241" i="23"/>
  <c r="U1242" i="23"/>
  <c r="U1243" i="23"/>
  <c r="U1244" i="23"/>
  <c r="U1245" i="23"/>
  <c r="U1246" i="23"/>
  <c r="U1247" i="23"/>
  <c r="U1248" i="23"/>
  <c r="U1249" i="23"/>
  <c r="U1250" i="23"/>
  <c r="U1251" i="23"/>
  <c r="U1252" i="23"/>
  <c r="U1253" i="23"/>
  <c r="U1254" i="23"/>
  <c r="U1255" i="23"/>
  <c r="U1256" i="23"/>
  <c r="U1257" i="23"/>
  <c r="U1258" i="23"/>
  <c r="U1259" i="23"/>
  <c r="U1260" i="23"/>
  <c r="U1261" i="23"/>
  <c r="U1262" i="23"/>
  <c r="U1263" i="23"/>
  <c r="U1264" i="23"/>
  <c r="U1265" i="23"/>
  <c r="U1266" i="23"/>
  <c r="U1267" i="23"/>
  <c r="U1268" i="23"/>
  <c r="U1269" i="23"/>
  <c r="U1270" i="23"/>
  <c r="U1271" i="23"/>
  <c r="U1272" i="23"/>
  <c r="U1273" i="23"/>
  <c r="U1274" i="23"/>
  <c r="U1275" i="23"/>
  <c r="U1276" i="23"/>
  <c r="U1277" i="23"/>
  <c r="U1278" i="23"/>
  <c r="U1279" i="23"/>
  <c r="U1280" i="23"/>
  <c r="U1281" i="23"/>
  <c r="U1282" i="23"/>
  <c r="U1283" i="23"/>
  <c r="U1284" i="23"/>
  <c r="U1285" i="23"/>
  <c r="U1286" i="23"/>
  <c r="U1287" i="23"/>
  <c r="U1288" i="23"/>
  <c r="U1289" i="23"/>
  <c r="U1290" i="23"/>
  <c r="U1291" i="23"/>
  <c r="U1292" i="23"/>
  <c r="U1293" i="23"/>
  <c r="U1294" i="23"/>
  <c r="U1295" i="23"/>
  <c r="U1296" i="23"/>
  <c r="U1297" i="23"/>
  <c r="U1298" i="23"/>
  <c r="U1299" i="23"/>
  <c r="U1300" i="23"/>
  <c r="U1301" i="23"/>
  <c r="U1302" i="23"/>
  <c r="U1303" i="23"/>
  <c r="U1304" i="23"/>
  <c r="U1305" i="23"/>
  <c r="U1306" i="23"/>
  <c r="U1307" i="23"/>
  <c r="U1308" i="23"/>
  <c r="U1309" i="23"/>
  <c r="U1310" i="23"/>
  <c r="U1311" i="23"/>
  <c r="U1312" i="23"/>
  <c r="U1313" i="23"/>
  <c r="U1314" i="23"/>
  <c r="U1315" i="23"/>
  <c r="U1316" i="23"/>
  <c r="U1317" i="23"/>
  <c r="U1318" i="23"/>
  <c r="U1319" i="23"/>
  <c r="U1320" i="23"/>
  <c r="U1321" i="23"/>
  <c r="U1322" i="23"/>
  <c r="U1323" i="23"/>
  <c r="U1324" i="23"/>
  <c r="U1325" i="23"/>
  <c r="U1326" i="23"/>
  <c r="U1327" i="23"/>
  <c r="U1328" i="23"/>
  <c r="U1329" i="23"/>
  <c r="U1330" i="23"/>
  <c r="U1331" i="23"/>
  <c r="U1332" i="23"/>
  <c r="U1333" i="23"/>
  <c r="U1334" i="23"/>
  <c r="U1335" i="23"/>
  <c r="U1336" i="23"/>
  <c r="U1337" i="23"/>
  <c r="U1338" i="23"/>
  <c r="U1339" i="23"/>
  <c r="U1340" i="23"/>
  <c r="U1341" i="23"/>
  <c r="U1342" i="23"/>
  <c r="U1343" i="23"/>
  <c r="U1344" i="23"/>
  <c r="U1345" i="23"/>
  <c r="U1346" i="23"/>
  <c r="U1347" i="23"/>
  <c r="U1348" i="23"/>
  <c r="U1349" i="23"/>
  <c r="U1350" i="23"/>
  <c r="U1351" i="23"/>
  <c r="U1352" i="23"/>
  <c r="U1353" i="23"/>
  <c r="U1354" i="23"/>
  <c r="U1355" i="23"/>
  <c r="U1356" i="23"/>
  <c r="U1357" i="23"/>
  <c r="U1358" i="23"/>
  <c r="U1359" i="23"/>
  <c r="U1360" i="23"/>
  <c r="U1361" i="23"/>
  <c r="U1362" i="23"/>
  <c r="U1363" i="23"/>
  <c r="U1364" i="23"/>
  <c r="U1365" i="23"/>
  <c r="U1366" i="23"/>
  <c r="U1367" i="23"/>
  <c r="U1368" i="23"/>
  <c r="U1369" i="23"/>
  <c r="U1370" i="23"/>
  <c r="U1371" i="23"/>
  <c r="U1372" i="23"/>
  <c r="U1373" i="23"/>
  <c r="U1374" i="23"/>
  <c r="U1375" i="23"/>
  <c r="U1376" i="23"/>
  <c r="U1377" i="23"/>
  <c r="U1378" i="23"/>
  <c r="U1379" i="23"/>
  <c r="U1380" i="23"/>
  <c r="U1381" i="23"/>
  <c r="U1382" i="23"/>
  <c r="U1383" i="23"/>
  <c r="U1384" i="23"/>
  <c r="U1385" i="23"/>
  <c r="U1386" i="23"/>
  <c r="U1387" i="23"/>
  <c r="U1388" i="23"/>
  <c r="U1389" i="23"/>
  <c r="U1390" i="23"/>
  <c r="U1391" i="23"/>
  <c r="U1392" i="23"/>
  <c r="U1393" i="23"/>
  <c r="U1394" i="23"/>
  <c r="U1395" i="23"/>
  <c r="U1396" i="23"/>
  <c r="U1397" i="23"/>
  <c r="U1398" i="23"/>
  <c r="U1399" i="23"/>
  <c r="U1400" i="23"/>
  <c r="U1401" i="23"/>
  <c r="U1402" i="23"/>
  <c r="U1403" i="23"/>
  <c r="U1404" i="23"/>
  <c r="U1405" i="23"/>
  <c r="U1406" i="23"/>
  <c r="U1407" i="23"/>
  <c r="U1408" i="23"/>
  <c r="U1409" i="23"/>
  <c r="U1410" i="23"/>
  <c r="U1411" i="23"/>
  <c r="U1412" i="23"/>
  <c r="U1413" i="23"/>
  <c r="U1414" i="23"/>
  <c r="U1415" i="23"/>
  <c r="U1416" i="23"/>
  <c r="U1417" i="23"/>
  <c r="U1418" i="23"/>
  <c r="U1419" i="23"/>
  <c r="U1420" i="23"/>
  <c r="U1421" i="23"/>
  <c r="U1422" i="23"/>
  <c r="U1423" i="23"/>
  <c r="U1424" i="23"/>
  <c r="U1425" i="23"/>
  <c r="U1426" i="23"/>
  <c r="U1427" i="23"/>
  <c r="U1428" i="23"/>
  <c r="U1429" i="23"/>
  <c r="U1430" i="23"/>
  <c r="U1431" i="23"/>
  <c r="U1432" i="23"/>
  <c r="U1433" i="23"/>
  <c r="U1434" i="23"/>
  <c r="U1435" i="23"/>
  <c r="U1436" i="23"/>
  <c r="U1437" i="23"/>
  <c r="U1438" i="23"/>
  <c r="U1439" i="23"/>
  <c r="U1440" i="23"/>
  <c r="U1441" i="23"/>
  <c r="U1442" i="23"/>
  <c r="U1443" i="23"/>
  <c r="U1444" i="23"/>
  <c r="U1445" i="23"/>
  <c r="U1446" i="23"/>
  <c r="U1447" i="23"/>
  <c r="U1448" i="23"/>
  <c r="U1449" i="23"/>
  <c r="U1450" i="23"/>
  <c r="U1451" i="23"/>
  <c r="U1452" i="23"/>
  <c r="U1453" i="23"/>
  <c r="U1454" i="23"/>
  <c r="U1455" i="23"/>
  <c r="U1456" i="23"/>
  <c r="U1457" i="23"/>
  <c r="U1458" i="23"/>
  <c r="U1459" i="23"/>
  <c r="U1460" i="23"/>
  <c r="U1461" i="23"/>
  <c r="U1462" i="23"/>
  <c r="U1463" i="23"/>
  <c r="U1464" i="23"/>
  <c r="U1465" i="23"/>
  <c r="U1466" i="23"/>
  <c r="U1467" i="23"/>
  <c r="U1468" i="23"/>
  <c r="U1469" i="23"/>
  <c r="U1470" i="23"/>
  <c r="U1471" i="23"/>
  <c r="U1472" i="23"/>
  <c r="U1473" i="23"/>
  <c r="U1474" i="23"/>
  <c r="U1475" i="23"/>
  <c r="U1476" i="23"/>
  <c r="U1477" i="23"/>
  <c r="U1478" i="23"/>
  <c r="U1479" i="23"/>
  <c r="U1480" i="23"/>
  <c r="U1481" i="23"/>
  <c r="U1482" i="23"/>
  <c r="U1483" i="23"/>
  <c r="U1484" i="23"/>
  <c r="U1485" i="23"/>
  <c r="U1486" i="23"/>
  <c r="U1487" i="23"/>
  <c r="U1488" i="23"/>
  <c r="U1489" i="23"/>
  <c r="U1490" i="23"/>
  <c r="U1491" i="23"/>
  <c r="U1492" i="23"/>
  <c r="U1493" i="23"/>
  <c r="U1494" i="23"/>
  <c r="U1495" i="23"/>
  <c r="U1496" i="23"/>
  <c r="U1497" i="23"/>
  <c r="U1498" i="23"/>
  <c r="U1499" i="23"/>
  <c r="U1500" i="23"/>
  <c r="U1501" i="23"/>
  <c r="U1502" i="23"/>
  <c r="U1503" i="23"/>
  <c r="U1504" i="23"/>
  <c r="U1505" i="23"/>
  <c r="U1506" i="23"/>
  <c r="U1507" i="23"/>
  <c r="U1508" i="23"/>
  <c r="U1509" i="23"/>
  <c r="U1510" i="23"/>
  <c r="U1511" i="23"/>
  <c r="U1512" i="23"/>
  <c r="U1513" i="23"/>
  <c r="U1514" i="23"/>
  <c r="U1515" i="23"/>
  <c r="U1516" i="23"/>
  <c r="U1517" i="23"/>
  <c r="U1518" i="23"/>
  <c r="U1519" i="23"/>
  <c r="U1520" i="23"/>
  <c r="U1521" i="23"/>
  <c r="U1522" i="23"/>
  <c r="U1523" i="23"/>
  <c r="U1524" i="23"/>
  <c r="U1525" i="23"/>
  <c r="U1526" i="23"/>
  <c r="U1527" i="23"/>
  <c r="U1528" i="23"/>
  <c r="U1529" i="23"/>
  <c r="U1530" i="23"/>
  <c r="U1531" i="23"/>
  <c r="U1532" i="23"/>
  <c r="U1533" i="23"/>
  <c r="U1534" i="23"/>
  <c r="U1535" i="23"/>
  <c r="U1536" i="23"/>
  <c r="U1537" i="23"/>
  <c r="U1538" i="23"/>
  <c r="U1539" i="23"/>
  <c r="U1540" i="23"/>
  <c r="U1541" i="23"/>
  <c r="U1542" i="23"/>
  <c r="U1543" i="23"/>
  <c r="U1544" i="23"/>
  <c r="U1545" i="23"/>
  <c r="U1546" i="23"/>
  <c r="U1547" i="23"/>
  <c r="U1548" i="23"/>
  <c r="U1549" i="23"/>
  <c r="U1550" i="23"/>
  <c r="U1551" i="23"/>
  <c r="U1552" i="23"/>
  <c r="U1553" i="23"/>
  <c r="U1554" i="23"/>
  <c r="U1555" i="23"/>
  <c r="U1556" i="23"/>
  <c r="U1557" i="23"/>
  <c r="U1558" i="23"/>
  <c r="U1559" i="23"/>
  <c r="U1560" i="23"/>
  <c r="U1561" i="23"/>
  <c r="U1562" i="23"/>
  <c r="U1563" i="23"/>
  <c r="U1564" i="23"/>
  <c r="U1565" i="23"/>
  <c r="U1566" i="23"/>
  <c r="U1567" i="23"/>
  <c r="U1568" i="23"/>
  <c r="U1569" i="23"/>
  <c r="U1570" i="23"/>
  <c r="U1571" i="23"/>
  <c r="U1572" i="23"/>
  <c r="U1573" i="23"/>
  <c r="U1574" i="23"/>
  <c r="U1575" i="23"/>
  <c r="U1576" i="23"/>
  <c r="U1577" i="23"/>
  <c r="U1578" i="23"/>
  <c r="U1579" i="23"/>
  <c r="U1580" i="23"/>
  <c r="U1581" i="23"/>
  <c r="U1582" i="23"/>
  <c r="U1583" i="23"/>
  <c r="U1584" i="23"/>
  <c r="U1585" i="23"/>
  <c r="U1586" i="23"/>
  <c r="U1587" i="23"/>
  <c r="U1588" i="23"/>
  <c r="U1589" i="23"/>
  <c r="U1590" i="23"/>
  <c r="U1591" i="23"/>
  <c r="U1592" i="23"/>
  <c r="U1593" i="23"/>
  <c r="U1594" i="23"/>
  <c r="U1595" i="23"/>
  <c r="U1596" i="23"/>
  <c r="U1597" i="23"/>
  <c r="U1598" i="23"/>
  <c r="U1599" i="23"/>
  <c r="U1600" i="23"/>
  <c r="U1601" i="23"/>
  <c r="U1602" i="23"/>
  <c r="U1603" i="23"/>
  <c r="U1604" i="23"/>
  <c r="U1605" i="23"/>
  <c r="U1606" i="23"/>
  <c r="U1607" i="23"/>
  <c r="U1608" i="23"/>
  <c r="U1609" i="23"/>
  <c r="U1610" i="23"/>
  <c r="U1611" i="23"/>
  <c r="U1612" i="23"/>
  <c r="U1613" i="23"/>
  <c r="U1614" i="23"/>
  <c r="U1615" i="23"/>
  <c r="U1616" i="23"/>
  <c r="U1617" i="23"/>
  <c r="U1618" i="23"/>
  <c r="U1619" i="23"/>
  <c r="U1620" i="23"/>
  <c r="U1621" i="23"/>
  <c r="U1622" i="23"/>
  <c r="U1623" i="23"/>
  <c r="U1624" i="23"/>
  <c r="U1625" i="23"/>
  <c r="U1626" i="23"/>
  <c r="U1627" i="23"/>
  <c r="U1628" i="23"/>
  <c r="U1629" i="23"/>
  <c r="U1630" i="23"/>
  <c r="U1631" i="23"/>
  <c r="U1632" i="23"/>
  <c r="U1633" i="23"/>
  <c r="U1634" i="23"/>
  <c r="U1635" i="23"/>
  <c r="U1636" i="23"/>
  <c r="U1637" i="23"/>
  <c r="U1638" i="23"/>
  <c r="U1639" i="23"/>
  <c r="U1640" i="23"/>
  <c r="U1641" i="23"/>
  <c r="U1642" i="23"/>
  <c r="U1643" i="23"/>
  <c r="U1644" i="23"/>
  <c r="U1645" i="23"/>
  <c r="U1646" i="23"/>
  <c r="U1647" i="23"/>
  <c r="U1648" i="23"/>
  <c r="U1649" i="23"/>
  <c r="U1650" i="23"/>
  <c r="U1651" i="23"/>
  <c r="U1652" i="23"/>
  <c r="U1653" i="23"/>
  <c r="U1654" i="23"/>
  <c r="U1655" i="23"/>
  <c r="U1656" i="23"/>
  <c r="U1657" i="23"/>
  <c r="U1658" i="23"/>
  <c r="U1659" i="23"/>
  <c r="U1660" i="23"/>
  <c r="U1661" i="23"/>
  <c r="U1662" i="23"/>
  <c r="U1663" i="23"/>
  <c r="U1664" i="23"/>
  <c r="U1665" i="23"/>
  <c r="U1666" i="23"/>
  <c r="U1667" i="23"/>
  <c r="U1668" i="23"/>
  <c r="U1669" i="23"/>
  <c r="U1670" i="23"/>
  <c r="U1671" i="23"/>
  <c r="U1672" i="23"/>
  <c r="U1673" i="23"/>
  <c r="U1674" i="23"/>
  <c r="U1675" i="23"/>
  <c r="U1676" i="23"/>
  <c r="U1677" i="23"/>
  <c r="U1678" i="23"/>
  <c r="U1679" i="23"/>
  <c r="U1680" i="23"/>
  <c r="U1681" i="23"/>
  <c r="U1682" i="23"/>
  <c r="U1683" i="23"/>
  <c r="U1684" i="23"/>
  <c r="U1685" i="23"/>
  <c r="U1686" i="23"/>
  <c r="U1687" i="23"/>
  <c r="U1688" i="23"/>
  <c r="U1689" i="23"/>
  <c r="U1690" i="23"/>
  <c r="U1691" i="23"/>
  <c r="U1692" i="23"/>
  <c r="U1693" i="23"/>
  <c r="U1694" i="23"/>
  <c r="U1695" i="23"/>
  <c r="U1696" i="23"/>
  <c r="U1697" i="23"/>
  <c r="U1698" i="23"/>
  <c r="U1699" i="23"/>
  <c r="U1700" i="23"/>
  <c r="U1701" i="23"/>
  <c r="U1702" i="23"/>
  <c r="U1703" i="23"/>
  <c r="U1704" i="23"/>
  <c r="U1705" i="23"/>
  <c r="U1706" i="23"/>
  <c r="U1707" i="23"/>
  <c r="U1708" i="23"/>
  <c r="U1709" i="23"/>
  <c r="U1710" i="23"/>
  <c r="U1711" i="23"/>
  <c r="U1712" i="23"/>
  <c r="U1713" i="23"/>
  <c r="U1714" i="23"/>
  <c r="U1715" i="23"/>
  <c r="U1716" i="23"/>
  <c r="U1717" i="23"/>
  <c r="U1718" i="23"/>
  <c r="U1719" i="23"/>
  <c r="U1720" i="23"/>
  <c r="U1721" i="23"/>
  <c r="U1722" i="23"/>
  <c r="U1723" i="23"/>
  <c r="U1724" i="23"/>
  <c r="U1725" i="23"/>
  <c r="U1726" i="23"/>
  <c r="U1727" i="23"/>
  <c r="U1728" i="23"/>
  <c r="U1729" i="23"/>
  <c r="U1730" i="23"/>
  <c r="U1731" i="23"/>
  <c r="U1732" i="23"/>
  <c r="U1733" i="23"/>
  <c r="U1734" i="23"/>
  <c r="U1735" i="23"/>
  <c r="U1736" i="23"/>
  <c r="U1737" i="23"/>
  <c r="U1738" i="23"/>
  <c r="U1739" i="23"/>
  <c r="U1740" i="23"/>
  <c r="U1741" i="23"/>
  <c r="U1742" i="23"/>
  <c r="U1743" i="23"/>
  <c r="U1744" i="23"/>
  <c r="U1745" i="23"/>
  <c r="U1746" i="23"/>
  <c r="U1747" i="23"/>
  <c r="U1748" i="23"/>
  <c r="U1749" i="23"/>
  <c r="U1750" i="23"/>
  <c r="U1751" i="23"/>
  <c r="U1752" i="23"/>
  <c r="U1753" i="23"/>
  <c r="U1754" i="23"/>
  <c r="U1755" i="23"/>
  <c r="U1756" i="23"/>
  <c r="U1757" i="23"/>
  <c r="U1758" i="23"/>
  <c r="U1759" i="23"/>
  <c r="U1760" i="23"/>
  <c r="U1761" i="23"/>
  <c r="U1762" i="23"/>
  <c r="U1763" i="23"/>
  <c r="U1764" i="23"/>
  <c r="U1765" i="23"/>
  <c r="U1766" i="23"/>
  <c r="U1767" i="23"/>
  <c r="U1768" i="23"/>
  <c r="U1769" i="23"/>
  <c r="U1770" i="23"/>
  <c r="U1771" i="23"/>
  <c r="U1772" i="23"/>
  <c r="U1773" i="23"/>
  <c r="U1774" i="23"/>
  <c r="U1775" i="23"/>
  <c r="U1776" i="23"/>
  <c r="U1777" i="23"/>
  <c r="U1778" i="23"/>
  <c r="U1779" i="23"/>
  <c r="U1780" i="23"/>
  <c r="U1781" i="23"/>
  <c r="U1782" i="23"/>
  <c r="U1783" i="23"/>
  <c r="U1784" i="23"/>
  <c r="U1785" i="23"/>
  <c r="U1786" i="23"/>
  <c r="U1787" i="23"/>
  <c r="U1788" i="23"/>
  <c r="U1789" i="23"/>
  <c r="U1790" i="23"/>
  <c r="U1791" i="23"/>
  <c r="U1792" i="23"/>
  <c r="U1793" i="23"/>
  <c r="U1794" i="23"/>
  <c r="U1795" i="23"/>
  <c r="U1796" i="23"/>
  <c r="U1797" i="23"/>
  <c r="U1798" i="23"/>
  <c r="U1799" i="23"/>
  <c r="U1800" i="23"/>
  <c r="U1801" i="23"/>
  <c r="U1802" i="23"/>
  <c r="U1803" i="23"/>
  <c r="U1804" i="23"/>
  <c r="U1805" i="23"/>
  <c r="U1806" i="23"/>
  <c r="U1807" i="23"/>
  <c r="U1808" i="23"/>
  <c r="U1809" i="23"/>
  <c r="U1810" i="23"/>
  <c r="U1811" i="23"/>
  <c r="U1812" i="23"/>
  <c r="U1813" i="23"/>
  <c r="U1814" i="23"/>
  <c r="U1815" i="23"/>
  <c r="U1816" i="23"/>
  <c r="U1817" i="23"/>
  <c r="U1818" i="23"/>
  <c r="U1819" i="23"/>
  <c r="U1820" i="23"/>
  <c r="U1821" i="23"/>
  <c r="U1822" i="23"/>
  <c r="U1823" i="23"/>
  <c r="U1824" i="23"/>
  <c r="U1825" i="23"/>
  <c r="U1826" i="23"/>
  <c r="U1827" i="23"/>
  <c r="U1828" i="23"/>
  <c r="U1829" i="23"/>
  <c r="U1830" i="23"/>
  <c r="U1831" i="23"/>
  <c r="U1832" i="23"/>
  <c r="U1833" i="23"/>
  <c r="U1834" i="23"/>
  <c r="U1835" i="23"/>
  <c r="U1836" i="23"/>
  <c r="U1837" i="23"/>
  <c r="U1838" i="23"/>
  <c r="U1839" i="23"/>
  <c r="U1840" i="23"/>
  <c r="U1841" i="23"/>
  <c r="U1842" i="23"/>
  <c r="U1843" i="23"/>
  <c r="U1844" i="23"/>
  <c r="U1845" i="23"/>
  <c r="U1846" i="23"/>
  <c r="U1847" i="23"/>
  <c r="U1848" i="23"/>
  <c r="U1849" i="23"/>
  <c r="U1850" i="23"/>
  <c r="U1851" i="23"/>
  <c r="U1852" i="23"/>
  <c r="U1853" i="23"/>
  <c r="U1854" i="23"/>
  <c r="U1855" i="23"/>
  <c r="U1856" i="23"/>
  <c r="U1857" i="23"/>
  <c r="U1858" i="23"/>
  <c r="U1859" i="23"/>
  <c r="U1860" i="23"/>
  <c r="U1861" i="23"/>
  <c r="U1862" i="23"/>
  <c r="U1863" i="23"/>
  <c r="U1864" i="23"/>
  <c r="U1865" i="23"/>
  <c r="U1866" i="23"/>
  <c r="U1867" i="23"/>
  <c r="U1868" i="23"/>
  <c r="U1869" i="23"/>
  <c r="U1870" i="23"/>
  <c r="U1871" i="23"/>
  <c r="U1872" i="23"/>
  <c r="U1873" i="23"/>
  <c r="U1874" i="23"/>
  <c r="U1875" i="23"/>
  <c r="U1876" i="23"/>
  <c r="U1877" i="23"/>
  <c r="U1878" i="23"/>
  <c r="U1879" i="23"/>
  <c r="U1880" i="23"/>
  <c r="U1881" i="23"/>
  <c r="U1882" i="23"/>
  <c r="U1883" i="23"/>
  <c r="U1884" i="23"/>
  <c r="U1885" i="23"/>
  <c r="U1886" i="23"/>
  <c r="U1887" i="23"/>
  <c r="U1888" i="23"/>
  <c r="U1889" i="23"/>
  <c r="U1890" i="23"/>
  <c r="U1891" i="23"/>
  <c r="U1892" i="23"/>
  <c r="U1893" i="23"/>
  <c r="U1894" i="23"/>
  <c r="U1895" i="23"/>
  <c r="U1896" i="23"/>
  <c r="U1897" i="23"/>
  <c r="U1898" i="23"/>
  <c r="U1899" i="23"/>
  <c r="U1900" i="23"/>
  <c r="U1901" i="23"/>
  <c r="U1902" i="23"/>
  <c r="U1903" i="23"/>
  <c r="U1904" i="23"/>
  <c r="U1905" i="23"/>
  <c r="U1906" i="23"/>
  <c r="U1907" i="23"/>
  <c r="U1908" i="23"/>
  <c r="U1909" i="23"/>
  <c r="U1910" i="23"/>
  <c r="U1911" i="23"/>
  <c r="U1912" i="23"/>
  <c r="U1913" i="23"/>
  <c r="U1914" i="23"/>
  <c r="U1915" i="23"/>
  <c r="U1916" i="23"/>
  <c r="U1917" i="23"/>
  <c r="U1918" i="23"/>
  <c r="U1919" i="23"/>
  <c r="U1920" i="23"/>
  <c r="U1921" i="23"/>
  <c r="U1922" i="23"/>
  <c r="U1923" i="23"/>
  <c r="U1924" i="23"/>
  <c r="U1925" i="23"/>
  <c r="U1926" i="23"/>
  <c r="U1927" i="23"/>
  <c r="U1928" i="23"/>
  <c r="U1929" i="23"/>
  <c r="U1930" i="23"/>
  <c r="U1931" i="23"/>
  <c r="U1932" i="23"/>
  <c r="U1933" i="23"/>
  <c r="U1934" i="23"/>
  <c r="U1935" i="23"/>
  <c r="U1936" i="23"/>
  <c r="U1937" i="23"/>
  <c r="U1938" i="23"/>
  <c r="U1939" i="23"/>
  <c r="U1940" i="23"/>
  <c r="U1941" i="23"/>
  <c r="U1942" i="23"/>
  <c r="U1943" i="23"/>
  <c r="U1944" i="23"/>
  <c r="U1945" i="23"/>
  <c r="U1946" i="23"/>
  <c r="U1947" i="23"/>
  <c r="U1948" i="23"/>
  <c r="U1949" i="23"/>
  <c r="U1950" i="23"/>
  <c r="U1951" i="23"/>
  <c r="U1952" i="23"/>
  <c r="U1953" i="23"/>
  <c r="U1954" i="23"/>
  <c r="U1955" i="23"/>
  <c r="U1956" i="23"/>
  <c r="U1957" i="23"/>
  <c r="U1958" i="23"/>
  <c r="U1959" i="23"/>
  <c r="U1960" i="23"/>
  <c r="U1961" i="23"/>
  <c r="U1962" i="23"/>
  <c r="U1963" i="23"/>
  <c r="U1964" i="23"/>
  <c r="U1965" i="23"/>
  <c r="U1966" i="23"/>
  <c r="U1967" i="23"/>
  <c r="U1968" i="23"/>
  <c r="U1969" i="23"/>
  <c r="U1970" i="23"/>
  <c r="U1971" i="23"/>
  <c r="U1972" i="23"/>
  <c r="U1973" i="23"/>
  <c r="U1974" i="23"/>
  <c r="U1975" i="23"/>
  <c r="U1976" i="23"/>
  <c r="U1977" i="23"/>
  <c r="U1978" i="23"/>
  <c r="U1979" i="23"/>
  <c r="U1980" i="23"/>
  <c r="U1981" i="23"/>
  <c r="U1982" i="23"/>
  <c r="U1983" i="23"/>
  <c r="U1984" i="23"/>
  <c r="U1985" i="23"/>
  <c r="U1986" i="23"/>
  <c r="U1987" i="23"/>
  <c r="U1988" i="23"/>
  <c r="U1989" i="23"/>
  <c r="U1990" i="23"/>
  <c r="U1991" i="23"/>
  <c r="U1992" i="23"/>
  <c r="U1993" i="23"/>
  <c r="U1994" i="23"/>
  <c r="U1995" i="23"/>
  <c r="U1996" i="23"/>
  <c r="U1997" i="23"/>
  <c r="U1998" i="23"/>
  <c r="U1999" i="23"/>
  <c r="U2000" i="23"/>
  <c r="U4" i="23"/>
  <c r="T5" i="23"/>
  <c r="T6" i="23"/>
  <c r="T7" i="23"/>
  <c r="T8" i="23"/>
  <c r="T9" i="23"/>
  <c r="T10" i="23"/>
  <c r="T11" i="23"/>
  <c r="T12" i="23"/>
  <c r="T13" i="23"/>
  <c r="T14" i="23"/>
  <c r="T15" i="23"/>
  <c r="T16" i="23"/>
  <c r="T17" i="23"/>
  <c r="T18" i="23"/>
  <c r="T19" i="23"/>
  <c r="T20" i="23"/>
  <c r="T21" i="23"/>
  <c r="T22" i="23"/>
  <c r="T23" i="23"/>
  <c r="T24" i="23"/>
  <c r="T25" i="23"/>
  <c r="T26" i="23"/>
  <c r="T27" i="23"/>
  <c r="T28" i="23"/>
  <c r="T29" i="23"/>
  <c r="T30" i="23"/>
  <c r="T31" i="23"/>
  <c r="T32" i="23"/>
  <c r="T33" i="23"/>
  <c r="T34" i="23"/>
  <c r="T35" i="23"/>
  <c r="T36" i="23"/>
  <c r="T37" i="23"/>
  <c r="T38" i="23"/>
  <c r="T39" i="23"/>
  <c r="T40" i="23"/>
  <c r="T41" i="23"/>
  <c r="T42" i="23"/>
  <c r="T43" i="23"/>
  <c r="T44" i="23"/>
  <c r="T45" i="23"/>
  <c r="T46" i="23"/>
  <c r="T47" i="23"/>
  <c r="T48" i="23"/>
  <c r="T49" i="23"/>
  <c r="T50" i="23"/>
  <c r="T51" i="23"/>
  <c r="T52" i="23"/>
  <c r="T53" i="23"/>
  <c r="T54" i="23"/>
  <c r="T55" i="23"/>
  <c r="T56" i="23"/>
  <c r="T57" i="23"/>
  <c r="T58" i="23"/>
  <c r="T59" i="23"/>
  <c r="T60" i="23"/>
  <c r="T61" i="23"/>
  <c r="T62" i="23"/>
  <c r="T63" i="23"/>
  <c r="T64" i="23"/>
  <c r="T65" i="23"/>
  <c r="T66" i="23"/>
  <c r="T67" i="23"/>
  <c r="T68" i="23"/>
  <c r="T69" i="23"/>
  <c r="T70" i="23"/>
  <c r="T71" i="23"/>
  <c r="T72" i="23"/>
  <c r="T73" i="23"/>
  <c r="T74" i="23"/>
  <c r="T75" i="23"/>
  <c r="T76" i="23"/>
  <c r="T77" i="23"/>
  <c r="T78" i="23"/>
  <c r="T79" i="23"/>
  <c r="T80" i="23"/>
  <c r="T81" i="23"/>
  <c r="T82" i="23"/>
  <c r="T83" i="23"/>
  <c r="T84" i="23"/>
  <c r="T85" i="23"/>
  <c r="T86" i="23"/>
  <c r="T87" i="23"/>
  <c r="T88" i="23"/>
  <c r="T89" i="23"/>
  <c r="T90" i="23"/>
  <c r="T91" i="23"/>
  <c r="T92" i="23"/>
  <c r="T93" i="23"/>
  <c r="T94" i="23"/>
  <c r="T95" i="23"/>
  <c r="T96" i="23"/>
  <c r="T97" i="23"/>
  <c r="T98" i="23"/>
  <c r="T99" i="23"/>
  <c r="T100" i="23"/>
  <c r="T101" i="23"/>
  <c r="T102" i="23"/>
  <c r="T103" i="23"/>
  <c r="T104" i="23"/>
  <c r="T105" i="23"/>
  <c r="T106" i="23"/>
  <c r="T107" i="23"/>
  <c r="T108" i="23"/>
  <c r="T109" i="23"/>
  <c r="T110" i="23"/>
  <c r="T111" i="23"/>
  <c r="T112" i="23"/>
  <c r="T113" i="23"/>
  <c r="T114" i="23"/>
  <c r="T115" i="23"/>
  <c r="T116" i="23"/>
  <c r="T117" i="23"/>
  <c r="T118" i="23"/>
  <c r="T119" i="23"/>
  <c r="T120" i="23"/>
  <c r="T121" i="23"/>
  <c r="T122" i="23"/>
  <c r="T123" i="23"/>
  <c r="T124" i="23"/>
  <c r="T125" i="23"/>
  <c r="T126" i="23"/>
  <c r="T127" i="23"/>
  <c r="T128" i="23"/>
  <c r="T129" i="23"/>
  <c r="T130" i="23"/>
  <c r="T131" i="23"/>
  <c r="T132" i="23"/>
  <c r="T133" i="23"/>
  <c r="T134" i="23"/>
  <c r="T135" i="23"/>
  <c r="T136" i="23"/>
  <c r="T137" i="23"/>
  <c r="T138" i="23"/>
  <c r="T139" i="23"/>
  <c r="T140" i="23"/>
  <c r="T141" i="23"/>
  <c r="T142" i="23"/>
  <c r="T143" i="23"/>
  <c r="T144" i="23"/>
  <c r="T145" i="23"/>
  <c r="T146" i="23"/>
  <c r="T147" i="23"/>
  <c r="T148" i="23"/>
  <c r="T149" i="23"/>
  <c r="T150" i="23"/>
  <c r="T151" i="23"/>
  <c r="T152" i="23"/>
  <c r="T153" i="23"/>
  <c r="T154" i="23"/>
  <c r="T155" i="23"/>
  <c r="T156" i="23"/>
  <c r="T157" i="23"/>
  <c r="T158" i="23"/>
  <c r="T159" i="23"/>
  <c r="T160" i="23"/>
  <c r="T161" i="23"/>
  <c r="T162" i="23"/>
  <c r="T163" i="23"/>
  <c r="T164" i="23"/>
  <c r="T165" i="23"/>
  <c r="T166" i="23"/>
  <c r="T167" i="23"/>
  <c r="T168" i="23"/>
  <c r="T169" i="23"/>
  <c r="T170" i="23"/>
  <c r="T171" i="23"/>
  <c r="T172" i="23"/>
  <c r="T173" i="23"/>
  <c r="T174" i="23"/>
  <c r="T175" i="23"/>
  <c r="T176" i="23"/>
  <c r="T177" i="23"/>
  <c r="T178" i="23"/>
  <c r="T179" i="23"/>
  <c r="T180" i="23"/>
  <c r="T181" i="23"/>
  <c r="T182" i="23"/>
  <c r="T183" i="23"/>
  <c r="T184" i="23"/>
  <c r="T185" i="23"/>
  <c r="T186" i="23"/>
  <c r="T187" i="23"/>
  <c r="T188" i="23"/>
  <c r="T189" i="23"/>
  <c r="T190" i="23"/>
  <c r="T191" i="23"/>
  <c r="T192" i="23"/>
  <c r="T193" i="23"/>
  <c r="T194" i="23"/>
  <c r="T195" i="23"/>
  <c r="T196" i="23"/>
  <c r="T197" i="23"/>
  <c r="T198" i="23"/>
  <c r="T199" i="23"/>
  <c r="T200" i="23"/>
  <c r="T201" i="23"/>
  <c r="T202" i="23"/>
  <c r="T203" i="23"/>
  <c r="T204" i="23"/>
  <c r="T205" i="23"/>
  <c r="T206" i="23"/>
  <c r="T207" i="23"/>
  <c r="T208" i="23"/>
  <c r="T209" i="23"/>
  <c r="T210" i="23"/>
  <c r="T211" i="23"/>
  <c r="T212" i="23"/>
  <c r="T213" i="23"/>
  <c r="T214" i="23"/>
  <c r="T215" i="23"/>
  <c r="T216" i="23"/>
  <c r="T217" i="23"/>
  <c r="T218" i="23"/>
  <c r="T219" i="23"/>
  <c r="T220" i="23"/>
  <c r="T221" i="23"/>
  <c r="T222" i="23"/>
  <c r="T223" i="23"/>
  <c r="T224" i="23"/>
  <c r="T225" i="23"/>
  <c r="T226" i="23"/>
  <c r="T227" i="23"/>
  <c r="T228" i="23"/>
  <c r="T229" i="23"/>
  <c r="T230" i="23"/>
  <c r="T231" i="23"/>
  <c r="T232" i="23"/>
  <c r="T233" i="23"/>
  <c r="T234" i="23"/>
  <c r="T235" i="23"/>
  <c r="T236" i="23"/>
  <c r="T237" i="23"/>
  <c r="T238" i="23"/>
  <c r="T239" i="23"/>
  <c r="T240" i="23"/>
  <c r="T241" i="23"/>
  <c r="T242" i="23"/>
  <c r="T243" i="23"/>
  <c r="T244" i="23"/>
  <c r="T245" i="23"/>
  <c r="T246" i="23"/>
  <c r="T247" i="23"/>
  <c r="T248" i="23"/>
  <c r="T249" i="23"/>
  <c r="T250" i="23"/>
  <c r="T251" i="23"/>
  <c r="T252" i="23"/>
  <c r="T253" i="23"/>
  <c r="T254" i="23"/>
  <c r="T255" i="23"/>
  <c r="T256" i="23"/>
  <c r="T257" i="23"/>
  <c r="T258" i="23"/>
  <c r="T259" i="23"/>
  <c r="T260" i="23"/>
  <c r="T261" i="23"/>
  <c r="T262" i="23"/>
  <c r="T263" i="23"/>
  <c r="T264" i="23"/>
  <c r="T265" i="23"/>
  <c r="T266" i="23"/>
  <c r="T267" i="23"/>
  <c r="T268" i="23"/>
  <c r="T269" i="23"/>
  <c r="T270" i="23"/>
  <c r="T271" i="23"/>
  <c r="T272" i="23"/>
  <c r="T273" i="23"/>
  <c r="T274" i="23"/>
  <c r="T275" i="23"/>
  <c r="T276" i="23"/>
  <c r="T277" i="23"/>
  <c r="T278" i="23"/>
  <c r="T279" i="23"/>
  <c r="T280" i="23"/>
  <c r="T281" i="23"/>
  <c r="T282" i="23"/>
  <c r="T283" i="23"/>
  <c r="T284" i="23"/>
  <c r="T285" i="23"/>
  <c r="T286" i="23"/>
  <c r="T287" i="23"/>
  <c r="T288" i="23"/>
  <c r="T289" i="23"/>
  <c r="T290" i="23"/>
  <c r="T291" i="23"/>
  <c r="T292" i="23"/>
  <c r="T293" i="23"/>
  <c r="T294" i="23"/>
  <c r="T295" i="23"/>
  <c r="T296" i="23"/>
  <c r="T297" i="23"/>
  <c r="T298" i="23"/>
  <c r="T299" i="23"/>
  <c r="T300" i="23"/>
  <c r="T301" i="23"/>
  <c r="T302" i="23"/>
  <c r="T303" i="23"/>
  <c r="T304" i="23"/>
  <c r="T305" i="23"/>
  <c r="T306" i="23"/>
  <c r="T307" i="23"/>
  <c r="T308" i="23"/>
  <c r="T309" i="23"/>
  <c r="T310" i="23"/>
  <c r="T311" i="23"/>
  <c r="T312" i="23"/>
  <c r="T313" i="23"/>
  <c r="T314" i="23"/>
  <c r="T315" i="23"/>
  <c r="T316" i="23"/>
  <c r="T317" i="23"/>
  <c r="T318" i="23"/>
  <c r="T319" i="23"/>
  <c r="T320" i="23"/>
  <c r="T321" i="23"/>
  <c r="T322" i="23"/>
  <c r="T323" i="23"/>
  <c r="T324" i="23"/>
  <c r="T325" i="23"/>
  <c r="T326" i="23"/>
  <c r="T327" i="23"/>
  <c r="T328" i="23"/>
  <c r="T329" i="23"/>
  <c r="T330" i="23"/>
  <c r="T331" i="23"/>
  <c r="T332" i="23"/>
  <c r="T333" i="23"/>
  <c r="T334" i="23"/>
  <c r="T335" i="23"/>
  <c r="T336" i="23"/>
  <c r="T337" i="23"/>
  <c r="T338" i="23"/>
  <c r="T339" i="23"/>
  <c r="T340" i="23"/>
  <c r="T341" i="23"/>
  <c r="T342" i="23"/>
  <c r="T343" i="23"/>
  <c r="T344" i="23"/>
  <c r="T345" i="23"/>
  <c r="T346" i="23"/>
  <c r="T347" i="23"/>
  <c r="T348" i="23"/>
  <c r="T349" i="23"/>
  <c r="T350" i="23"/>
  <c r="T351" i="23"/>
  <c r="T352" i="23"/>
  <c r="T353" i="23"/>
  <c r="T354" i="23"/>
  <c r="T355" i="23"/>
  <c r="T356" i="23"/>
  <c r="T357" i="23"/>
  <c r="T358" i="23"/>
  <c r="T359" i="23"/>
  <c r="T360" i="23"/>
  <c r="T361" i="23"/>
  <c r="T362" i="23"/>
  <c r="T363" i="23"/>
  <c r="T364" i="23"/>
  <c r="T365" i="23"/>
  <c r="T366" i="23"/>
  <c r="T367" i="23"/>
  <c r="T368" i="23"/>
  <c r="T369" i="23"/>
  <c r="T370" i="23"/>
  <c r="T371" i="23"/>
  <c r="T372" i="23"/>
  <c r="T373" i="23"/>
  <c r="T374" i="23"/>
  <c r="T375" i="23"/>
  <c r="T376" i="23"/>
  <c r="T377" i="23"/>
  <c r="T378" i="23"/>
  <c r="T379" i="23"/>
  <c r="T380" i="23"/>
  <c r="T381" i="23"/>
  <c r="T382" i="23"/>
  <c r="T383" i="23"/>
  <c r="T384" i="23"/>
  <c r="T385" i="23"/>
  <c r="T386" i="23"/>
  <c r="T387" i="23"/>
  <c r="T388" i="23"/>
  <c r="T389" i="23"/>
  <c r="T390" i="23"/>
  <c r="T391" i="23"/>
  <c r="T392" i="23"/>
  <c r="T393" i="23"/>
  <c r="T394" i="23"/>
  <c r="T395" i="23"/>
  <c r="T396" i="23"/>
  <c r="T397" i="23"/>
  <c r="T398" i="23"/>
  <c r="T399" i="23"/>
  <c r="T400" i="23"/>
  <c r="T401" i="23"/>
  <c r="T402" i="23"/>
  <c r="T403" i="23"/>
  <c r="T404" i="23"/>
  <c r="T405" i="23"/>
  <c r="T406" i="23"/>
  <c r="T407" i="23"/>
  <c r="T408" i="23"/>
  <c r="T409" i="23"/>
  <c r="T410" i="23"/>
  <c r="T411" i="23"/>
  <c r="T412" i="23"/>
  <c r="T413" i="23"/>
  <c r="T414" i="23"/>
  <c r="T415" i="23"/>
  <c r="T416" i="23"/>
  <c r="T417" i="23"/>
  <c r="T418" i="23"/>
  <c r="T419" i="23"/>
  <c r="T420" i="23"/>
  <c r="T421" i="23"/>
  <c r="T422" i="23"/>
  <c r="T423" i="23"/>
  <c r="T424" i="23"/>
  <c r="T425" i="23"/>
  <c r="T426" i="23"/>
  <c r="T427" i="23"/>
  <c r="T428" i="23"/>
  <c r="T429" i="23"/>
  <c r="T430" i="23"/>
  <c r="T431" i="23"/>
  <c r="T432" i="23"/>
  <c r="T433" i="23"/>
  <c r="T434" i="23"/>
  <c r="T435" i="23"/>
  <c r="T436" i="23"/>
  <c r="T437" i="23"/>
  <c r="T438" i="23"/>
  <c r="T439" i="23"/>
  <c r="T440" i="23"/>
  <c r="T441" i="23"/>
  <c r="T442" i="23"/>
  <c r="T443" i="23"/>
  <c r="T444" i="23"/>
  <c r="T445" i="23"/>
  <c r="T446" i="23"/>
  <c r="T447" i="23"/>
  <c r="T448" i="23"/>
  <c r="T449" i="23"/>
  <c r="T450" i="23"/>
  <c r="T451" i="23"/>
  <c r="T452" i="23"/>
  <c r="T453" i="23"/>
  <c r="T454" i="23"/>
  <c r="T455" i="23"/>
  <c r="T456" i="23"/>
  <c r="T457" i="23"/>
  <c r="T458" i="23"/>
  <c r="T459" i="23"/>
  <c r="T460" i="23"/>
  <c r="T461" i="23"/>
  <c r="T462" i="23"/>
  <c r="T463" i="23"/>
  <c r="T464" i="23"/>
  <c r="T465" i="23"/>
  <c r="T466" i="23"/>
  <c r="T467" i="23"/>
  <c r="T468" i="23"/>
  <c r="T469" i="23"/>
  <c r="T470" i="23"/>
  <c r="T471" i="23"/>
  <c r="T472" i="23"/>
  <c r="T473" i="23"/>
  <c r="T474" i="23"/>
  <c r="T475" i="23"/>
  <c r="T476" i="23"/>
  <c r="T477" i="23"/>
  <c r="T478" i="23"/>
  <c r="T479" i="23"/>
  <c r="T480" i="23"/>
  <c r="T481" i="23"/>
  <c r="T482" i="23"/>
  <c r="T483" i="23"/>
  <c r="T484" i="23"/>
  <c r="T485" i="23"/>
  <c r="T486" i="23"/>
  <c r="T487" i="23"/>
  <c r="T488" i="23"/>
  <c r="T489" i="23"/>
  <c r="T490" i="23"/>
  <c r="T491" i="23"/>
  <c r="T492" i="23"/>
  <c r="T493" i="23"/>
  <c r="T494" i="23"/>
  <c r="T495" i="23"/>
  <c r="T496" i="23"/>
  <c r="T497" i="23"/>
  <c r="T498" i="23"/>
  <c r="T499" i="23"/>
  <c r="T500" i="23"/>
  <c r="T501" i="23"/>
  <c r="T502" i="23"/>
  <c r="T503" i="23"/>
  <c r="T504" i="23"/>
  <c r="T505" i="23"/>
  <c r="T506" i="23"/>
  <c r="T507" i="23"/>
  <c r="T508" i="23"/>
  <c r="T509" i="23"/>
  <c r="T510" i="23"/>
  <c r="T511" i="23"/>
  <c r="T512" i="23"/>
  <c r="T513" i="23"/>
  <c r="T514" i="23"/>
  <c r="T515" i="23"/>
  <c r="T516" i="23"/>
  <c r="T517" i="23"/>
  <c r="T518" i="23"/>
  <c r="T519" i="23"/>
  <c r="T520" i="23"/>
  <c r="T521" i="23"/>
  <c r="T522" i="23"/>
  <c r="T523" i="23"/>
  <c r="T524" i="23"/>
  <c r="T525" i="23"/>
  <c r="T526" i="23"/>
  <c r="T527" i="23"/>
  <c r="T528" i="23"/>
  <c r="T529" i="23"/>
  <c r="T530" i="23"/>
  <c r="T531" i="23"/>
  <c r="T532" i="23"/>
  <c r="T533" i="23"/>
  <c r="T534" i="23"/>
  <c r="T535" i="23"/>
  <c r="T536" i="23"/>
  <c r="T537" i="23"/>
  <c r="T538" i="23"/>
  <c r="T539" i="23"/>
  <c r="T540" i="23"/>
  <c r="T541" i="23"/>
  <c r="T542" i="23"/>
  <c r="T543" i="23"/>
  <c r="T544" i="23"/>
  <c r="T545" i="23"/>
  <c r="T546" i="23"/>
  <c r="T547" i="23"/>
  <c r="T548" i="23"/>
  <c r="T549" i="23"/>
  <c r="T550" i="23"/>
  <c r="T551" i="23"/>
  <c r="T552" i="23"/>
  <c r="T553" i="23"/>
  <c r="T554" i="23"/>
  <c r="T555" i="23"/>
  <c r="T556" i="23"/>
  <c r="T557" i="23"/>
  <c r="T558" i="23"/>
  <c r="T559" i="23"/>
  <c r="T560" i="23"/>
  <c r="T561" i="23"/>
  <c r="T562" i="23"/>
  <c r="T563" i="23"/>
  <c r="T564" i="23"/>
  <c r="T565" i="23"/>
  <c r="T566" i="23"/>
  <c r="T567" i="23"/>
  <c r="T568" i="23"/>
  <c r="T569" i="23"/>
  <c r="T570" i="23"/>
  <c r="T571" i="23"/>
  <c r="T572" i="23"/>
  <c r="T573" i="23"/>
  <c r="T574" i="23"/>
  <c r="T575" i="23"/>
  <c r="T576" i="23"/>
  <c r="T577" i="23"/>
  <c r="T578" i="23"/>
  <c r="T579" i="23"/>
  <c r="T580" i="23"/>
  <c r="T581" i="23"/>
  <c r="T582" i="23"/>
  <c r="T583" i="23"/>
  <c r="T584" i="23"/>
  <c r="T585" i="23"/>
  <c r="T586" i="23"/>
  <c r="T587" i="23"/>
  <c r="T588" i="23"/>
  <c r="T589" i="23"/>
  <c r="T590" i="23"/>
  <c r="T591" i="23"/>
  <c r="T592" i="23"/>
  <c r="T593" i="23"/>
  <c r="T594" i="23"/>
  <c r="T595" i="23"/>
  <c r="T596" i="23"/>
  <c r="T597" i="23"/>
  <c r="T598" i="23"/>
  <c r="T599" i="23"/>
  <c r="T600" i="23"/>
  <c r="T601" i="23"/>
  <c r="T602" i="23"/>
  <c r="T603" i="23"/>
  <c r="T604" i="23"/>
  <c r="T605" i="23"/>
  <c r="T606" i="23"/>
  <c r="T607" i="23"/>
  <c r="T608" i="23"/>
  <c r="T609" i="23"/>
  <c r="T610" i="23"/>
  <c r="T611" i="23"/>
  <c r="T612" i="23"/>
  <c r="T613" i="23"/>
  <c r="T614" i="23"/>
  <c r="T615" i="23"/>
  <c r="T616" i="23"/>
  <c r="T617" i="23"/>
  <c r="T618" i="23"/>
  <c r="T619" i="23"/>
  <c r="T620" i="23"/>
  <c r="T621" i="23"/>
  <c r="T622" i="23"/>
  <c r="T623" i="23"/>
  <c r="T624" i="23"/>
  <c r="T625" i="23"/>
  <c r="T626" i="23"/>
  <c r="T627" i="23"/>
  <c r="T628" i="23"/>
  <c r="T629" i="23"/>
  <c r="T630" i="23"/>
  <c r="T631" i="23"/>
  <c r="T632" i="23"/>
  <c r="T633" i="23"/>
  <c r="T634" i="23"/>
  <c r="T635" i="23"/>
  <c r="T636" i="23"/>
  <c r="T637" i="23"/>
  <c r="T638" i="23"/>
  <c r="T639" i="23"/>
  <c r="T640" i="23"/>
  <c r="T641" i="23"/>
  <c r="T642" i="23"/>
  <c r="T643" i="23"/>
  <c r="T644" i="23"/>
  <c r="T645" i="23"/>
  <c r="T646" i="23"/>
  <c r="T647" i="23"/>
  <c r="T648" i="23"/>
  <c r="T649" i="23"/>
  <c r="T650" i="23"/>
  <c r="T651" i="23"/>
  <c r="T652" i="23"/>
  <c r="T653" i="23"/>
  <c r="T654" i="23"/>
  <c r="T655" i="23"/>
  <c r="T656" i="23"/>
  <c r="T657" i="23"/>
  <c r="T658" i="23"/>
  <c r="T659" i="23"/>
  <c r="T660" i="23"/>
  <c r="T661" i="23"/>
  <c r="T662" i="23"/>
  <c r="T663" i="23"/>
  <c r="T664" i="23"/>
  <c r="T665" i="23"/>
  <c r="T666" i="23"/>
  <c r="T667" i="23"/>
  <c r="T668" i="23"/>
  <c r="T669" i="23"/>
  <c r="T670" i="23"/>
  <c r="T671" i="23"/>
  <c r="T672" i="23"/>
  <c r="T673" i="23"/>
  <c r="T674" i="23"/>
  <c r="T675" i="23"/>
  <c r="T676" i="23"/>
  <c r="T677" i="23"/>
  <c r="T678" i="23"/>
  <c r="T679" i="23"/>
  <c r="T680" i="23"/>
  <c r="T681" i="23"/>
  <c r="T682" i="23"/>
  <c r="T683" i="23"/>
  <c r="T684" i="23"/>
  <c r="T685" i="23"/>
  <c r="T686" i="23"/>
  <c r="T687" i="23"/>
  <c r="T688" i="23"/>
  <c r="T689" i="23"/>
  <c r="T690" i="23"/>
  <c r="T691" i="23"/>
  <c r="T692" i="23"/>
  <c r="T693" i="23"/>
  <c r="T694" i="23"/>
  <c r="T695" i="23"/>
  <c r="T696" i="23"/>
  <c r="T697" i="23"/>
  <c r="T698" i="23"/>
  <c r="T699" i="23"/>
  <c r="T700" i="23"/>
  <c r="T701" i="23"/>
  <c r="T702" i="23"/>
  <c r="T703" i="23"/>
  <c r="T704" i="23"/>
  <c r="T705" i="23"/>
  <c r="T706" i="23"/>
  <c r="T707" i="23"/>
  <c r="T708" i="23"/>
  <c r="T709" i="23"/>
  <c r="T710" i="23"/>
  <c r="T711" i="23"/>
  <c r="T712" i="23"/>
  <c r="T713" i="23"/>
  <c r="T714" i="23"/>
  <c r="T715" i="23"/>
  <c r="T716" i="23"/>
  <c r="T717" i="23"/>
  <c r="T718" i="23"/>
  <c r="T719" i="23"/>
  <c r="T720" i="23"/>
  <c r="T721" i="23"/>
  <c r="T722" i="23"/>
  <c r="T723" i="23"/>
  <c r="T724" i="23"/>
  <c r="T725" i="23"/>
  <c r="T726" i="23"/>
  <c r="T727" i="23"/>
  <c r="T728" i="23"/>
  <c r="T729" i="23"/>
  <c r="T730" i="23"/>
  <c r="T731" i="23"/>
  <c r="T732" i="23"/>
  <c r="T733" i="23"/>
  <c r="T734" i="23"/>
  <c r="T735" i="23"/>
  <c r="T736" i="23"/>
  <c r="T737" i="23"/>
  <c r="T738" i="23"/>
  <c r="T739" i="23"/>
  <c r="T740" i="23"/>
  <c r="T741" i="23"/>
  <c r="T742" i="23"/>
  <c r="T743" i="23"/>
  <c r="T744" i="23"/>
  <c r="T745" i="23"/>
  <c r="T746" i="23"/>
  <c r="T747" i="23"/>
  <c r="T748" i="23"/>
  <c r="T749" i="23"/>
  <c r="T750" i="23"/>
  <c r="T751" i="23"/>
  <c r="T752" i="23"/>
  <c r="T753" i="23"/>
  <c r="T754" i="23"/>
  <c r="T755" i="23"/>
  <c r="T756" i="23"/>
  <c r="T757" i="23"/>
  <c r="T758" i="23"/>
  <c r="T759" i="23"/>
  <c r="T760" i="23"/>
  <c r="T761" i="23"/>
  <c r="T762" i="23"/>
  <c r="T763" i="23"/>
  <c r="T764" i="23"/>
  <c r="T765" i="23"/>
  <c r="T766" i="23"/>
  <c r="T767" i="23"/>
  <c r="T768" i="23"/>
  <c r="T769" i="23"/>
  <c r="T770" i="23"/>
  <c r="T771" i="23"/>
  <c r="T772" i="23"/>
  <c r="T773" i="23"/>
  <c r="T774" i="23"/>
  <c r="T775" i="23"/>
  <c r="T776" i="23"/>
  <c r="T777" i="23"/>
  <c r="T778" i="23"/>
  <c r="T779" i="23"/>
  <c r="T780" i="23"/>
  <c r="T781" i="23"/>
  <c r="T782" i="23"/>
  <c r="T783" i="23"/>
  <c r="T784" i="23"/>
  <c r="T785" i="23"/>
  <c r="T786" i="23"/>
  <c r="T787" i="23"/>
  <c r="T788" i="23"/>
  <c r="T789" i="23"/>
  <c r="T790" i="23"/>
  <c r="T791" i="23"/>
  <c r="T792" i="23"/>
  <c r="T793" i="23"/>
  <c r="T794" i="23"/>
  <c r="T795" i="23"/>
  <c r="T796" i="23"/>
  <c r="T797" i="23"/>
  <c r="T798" i="23"/>
  <c r="T799" i="23"/>
  <c r="T800" i="23"/>
  <c r="T801" i="23"/>
  <c r="T802" i="23"/>
  <c r="T803" i="23"/>
  <c r="T804" i="23"/>
  <c r="T805" i="23"/>
  <c r="T806" i="23"/>
  <c r="T807" i="23"/>
  <c r="T808" i="23"/>
  <c r="T809" i="23"/>
  <c r="T810" i="23"/>
  <c r="T811" i="23"/>
  <c r="T812" i="23"/>
  <c r="T813" i="23"/>
  <c r="T814" i="23"/>
  <c r="T815" i="23"/>
  <c r="T816" i="23"/>
  <c r="T817" i="23"/>
  <c r="T818" i="23"/>
  <c r="T819" i="23"/>
  <c r="T820" i="23"/>
  <c r="T821" i="23"/>
  <c r="T822" i="23"/>
  <c r="T823" i="23"/>
  <c r="T824" i="23"/>
  <c r="T825" i="23"/>
  <c r="T826" i="23"/>
  <c r="T827" i="23"/>
  <c r="T828" i="23"/>
  <c r="T829" i="23"/>
  <c r="T830" i="23"/>
  <c r="T831" i="23"/>
  <c r="T832" i="23"/>
  <c r="T833" i="23"/>
  <c r="T834" i="23"/>
  <c r="T835" i="23"/>
  <c r="T836" i="23"/>
  <c r="T837" i="23"/>
  <c r="T838" i="23"/>
  <c r="T839" i="23"/>
  <c r="T840" i="23"/>
  <c r="T841" i="23"/>
  <c r="T842" i="23"/>
  <c r="T843" i="23"/>
  <c r="T844" i="23"/>
  <c r="T845" i="23"/>
  <c r="T846" i="23"/>
  <c r="T847" i="23"/>
  <c r="T848" i="23"/>
  <c r="T849" i="23"/>
  <c r="T850" i="23"/>
  <c r="T851" i="23"/>
  <c r="T852" i="23"/>
  <c r="T853" i="23"/>
  <c r="T854" i="23"/>
  <c r="T855" i="23"/>
  <c r="T856" i="23"/>
  <c r="T857" i="23"/>
  <c r="T858" i="23"/>
  <c r="T859" i="23"/>
  <c r="T860" i="23"/>
  <c r="T861" i="23"/>
  <c r="T862" i="23"/>
  <c r="T863" i="23"/>
  <c r="T864" i="23"/>
  <c r="T865" i="23"/>
  <c r="T866" i="23"/>
  <c r="T867" i="23"/>
  <c r="T868" i="23"/>
  <c r="T869" i="23"/>
  <c r="T870" i="23"/>
  <c r="T871" i="23"/>
  <c r="T872" i="23"/>
  <c r="T873" i="23"/>
  <c r="T874" i="23"/>
  <c r="T875" i="23"/>
  <c r="T876" i="23"/>
  <c r="T877" i="23"/>
  <c r="T878" i="23"/>
  <c r="T879" i="23"/>
  <c r="T880" i="23"/>
  <c r="T881" i="23"/>
  <c r="T882" i="23"/>
  <c r="T883" i="23"/>
  <c r="T884" i="23"/>
  <c r="T885" i="23"/>
  <c r="T886" i="23"/>
  <c r="T887" i="23"/>
  <c r="T888" i="23"/>
  <c r="T889" i="23"/>
  <c r="T890" i="23"/>
  <c r="T891" i="23"/>
  <c r="T892" i="23"/>
  <c r="T893" i="23"/>
  <c r="T894" i="23"/>
  <c r="T895" i="23"/>
  <c r="T896" i="23"/>
  <c r="T897" i="23"/>
  <c r="T898" i="23"/>
  <c r="T899" i="23"/>
  <c r="T900" i="23"/>
  <c r="T901" i="23"/>
  <c r="T902" i="23"/>
  <c r="T903" i="23"/>
  <c r="T904" i="23"/>
  <c r="T905" i="23"/>
  <c r="T906" i="23"/>
  <c r="T907" i="23"/>
  <c r="T908" i="23"/>
  <c r="T909" i="23"/>
  <c r="T910" i="23"/>
  <c r="T911" i="23"/>
  <c r="T912" i="23"/>
  <c r="T913" i="23"/>
  <c r="T914" i="23"/>
  <c r="T915" i="23"/>
  <c r="T916" i="23"/>
  <c r="T917" i="23"/>
  <c r="T918" i="23"/>
  <c r="T919" i="23"/>
  <c r="T920" i="23"/>
  <c r="T921" i="23"/>
  <c r="T922" i="23"/>
  <c r="T923" i="23"/>
  <c r="T924" i="23"/>
  <c r="T925" i="23"/>
  <c r="T926" i="23"/>
  <c r="T927" i="23"/>
  <c r="T928" i="23"/>
  <c r="T929" i="23"/>
  <c r="T930" i="23"/>
  <c r="T931" i="23"/>
  <c r="T932" i="23"/>
  <c r="T933" i="23"/>
  <c r="T934" i="23"/>
  <c r="T935" i="23"/>
  <c r="T936" i="23"/>
  <c r="T937" i="23"/>
  <c r="T938" i="23"/>
  <c r="T939" i="23"/>
  <c r="T940" i="23"/>
  <c r="T941" i="23"/>
  <c r="T942" i="23"/>
  <c r="T943" i="23"/>
  <c r="T944" i="23"/>
  <c r="T945" i="23"/>
  <c r="T946" i="23"/>
  <c r="T947" i="23"/>
  <c r="T948" i="23"/>
  <c r="T949" i="23"/>
  <c r="T950" i="23"/>
  <c r="T951" i="23"/>
  <c r="T952" i="23"/>
  <c r="T953" i="23"/>
  <c r="T954" i="23"/>
  <c r="T955" i="23"/>
  <c r="T956" i="23"/>
  <c r="T957" i="23"/>
  <c r="T958" i="23"/>
  <c r="T959" i="23"/>
  <c r="T960" i="23"/>
  <c r="T961" i="23"/>
  <c r="T962" i="23"/>
  <c r="T963" i="23"/>
  <c r="T964" i="23"/>
  <c r="T965" i="23"/>
  <c r="T966" i="23"/>
  <c r="T967" i="23"/>
  <c r="T968" i="23"/>
  <c r="T969" i="23"/>
  <c r="T970" i="23"/>
  <c r="T971" i="23"/>
  <c r="T972" i="23"/>
  <c r="T973" i="23"/>
  <c r="T974" i="23"/>
  <c r="T975" i="23"/>
  <c r="T976" i="23"/>
  <c r="T977" i="23"/>
  <c r="T978" i="23"/>
  <c r="T979" i="23"/>
  <c r="T980" i="23"/>
  <c r="T981" i="23"/>
  <c r="T982" i="23"/>
  <c r="T983" i="23"/>
  <c r="T984" i="23"/>
  <c r="T985" i="23"/>
  <c r="T986" i="23"/>
  <c r="T987" i="23"/>
  <c r="T988" i="23"/>
  <c r="T989" i="23"/>
  <c r="T990" i="23"/>
  <c r="T991" i="23"/>
  <c r="T992" i="23"/>
  <c r="T993" i="23"/>
  <c r="T994" i="23"/>
  <c r="T995" i="23"/>
  <c r="T996" i="23"/>
  <c r="T997" i="23"/>
  <c r="T998" i="23"/>
  <c r="T999" i="23"/>
  <c r="T1000" i="23"/>
  <c r="T1001" i="23"/>
  <c r="T1002" i="23"/>
  <c r="T1003" i="23"/>
  <c r="T1004" i="23"/>
  <c r="T1005" i="23"/>
  <c r="T1006" i="23"/>
  <c r="T1007" i="23"/>
  <c r="T1008" i="23"/>
  <c r="T1009" i="23"/>
  <c r="T1010" i="23"/>
  <c r="T1011" i="23"/>
  <c r="T1012" i="23"/>
  <c r="T1013" i="23"/>
  <c r="T1014" i="23"/>
  <c r="T1015" i="23"/>
  <c r="T1016" i="23"/>
  <c r="T1017" i="23"/>
  <c r="T1018" i="23"/>
  <c r="T1019" i="23"/>
  <c r="T1020" i="23"/>
  <c r="T1021" i="23"/>
  <c r="T1022" i="23"/>
  <c r="T1023" i="23"/>
  <c r="T1024" i="23"/>
  <c r="T1025" i="23"/>
  <c r="T1026" i="23"/>
  <c r="T1027" i="23"/>
  <c r="T1028" i="23"/>
  <c r="T1029" i="23"/>
  <c r="T1030" i="23"/>
  <c r="T1031" i="23"/>
  <c r="T1032" i="23"/>
  <c r="T1033" i="23"/>
  <c r="T1034" i="23"/>
  <c r="T1035" i="23"/>
  <c r="T1036" i="23"/>
  <c r="T1037" i="23"/>
  <c r="T1038" i="23"/>
  <c r="T1039" i="23"/>
  <c r="T1040" i="23"/>
  <c r="T1041" i="23"/>
  <c r="T1042" i="23"/>
  <c r="T1043" i="23"/>
  <c r="T1044" i="23"/>
  <c r="T1045" i="23"/>
  <c r="T1046" i="23"/>
  <c r="T1047" i="23"/>
  <c r="T1048" i="23"/>
  <c r="T1049" i="23"/>
  <c r="T1050" i="23"/>
  <c r="T1051" i="23"/>
  <c r="T1052" i="23"/>
  <c r="T1053" i="23"/>
  <c r="T1054" i="23"/>
  <c r="T1055" i="23"/>
  <c r="T1056" i="23"/>
  <c r="T1057" i="23"/>
  <c r="T1058" i="23"/>
  <c r="T1059" i="23"/>
  <c r="T1060" i="23"/>
  <c r="T1061" i="23"/>
  <c r="T1062" i="23"/>
  <c r="T1063" i="23"/>
  <c r="T1064" i="23"/>
  <c r="T1065" i="23"/>
  <c r="T1066" i="23"/>
  <c r="T1067" i="23"/>
  <c r="T1068" i="23"/>
  <c r="T1069" i="23"/>
  <c r="T1070" i="23"/>
  <c r="T1071" i="23"/>
  <c r="T1072" i="23"/>
  <c r="T1073" i="23"/>
  <c r="T1074" i="23"/>
  <c r="T1075" i="23"/>
  <c r="T1076" i="23"/>
  <c r="T1077" i="23"/>
  <c r="T1078" i="23"/>
  <c r="T1079" i="23"/>
  <c r="T1080" i="23"/>
  <c r="T1081" i="23"/>
  <c r="T1082" i="23"/>
  <c r="T1083" i="23"/>
  <c r="T1084" i="23"/>
  <c r="T1085" i="23"/>
  <c r="T1086" i="23"/>
  <c r="T1087" i="23"/>
  <c r="T1088" i="23"/>
  <c r="T1089" i="23"/>
  <c r="T1090" i="23"/>
  <c r="T1091" i="23"/>
  <c r="T1092" i="23"/>
  <c r="T1093" i="23"/>
  <c r="T1094" i="23"/>
  <c r="T1095" i="23"/>
  <c r="T1096" i="23"/>
  <c r="T1097" i="23"/>
  <c r="T1098" i="23"/>
  <c r="T1099" i="23"/>
  <c r="T1100" i="23"/>
  <c r="T1101" i="23"/>
  <c r="T1102" i="23"/>
  <c r="T1103" i="23"/>
  <c r="T1104" i="23"/>
  <c r="T1105" i="23"/>
  <c r="T1106" i="23"/>
  <c r="T1107" i="23"/>
  <c r="T1108" i="23"/>
  <c r="T1109" i="23"/>
  <c r="T1110" i="23"/>
  <c r="T1111" i="23"/>
  <c r="T1112" i="23"/>
  <c r="T1113" i="23"/>
  <c r="T1114" i="23"/>
  <c r="T1115" i="23"/>
  <c r="T1116" i="23"/>
  <c r="T1117" i="23"/>
  <c r="T1118" i="23"/>
  <c r="T1119" i="23"/>
  <c r="T1120" i="23"/>
  <c r="T1121" i="23"/>
  <c r="T1122" i="23"/>
  <c r="T1123" i="23"/>
  <c r="T1124" i="23"/>
  <c r="T1125" i="23"/>
  <c r="T1126" i="23"/>
  <c r="T1127" i="23"/>
  <c r="T1128" i="23"/>
  <c r="T1129" i="23"/>
  <c r="T1130" i="23"/>
  <c r="T1131" i="23"/>
  <c r="T1132" i="23"/>
  <c r="T1133" i="23"/>
  <c r="T1134" i="23"/>
  <c r="T1135" i="23"/>
  <c r="T1136" i="23"/>
  <c r="T1137" i="23"/>
  <c r="T1138" i="23"/>
  <c r="T1139" i="23"/>
  <c r="T1140" i="23"/>
  <c r="T1141" i="23"/>
  <c r="T1142" i="23"/>
  <c r="T1143" i="23"/>
  <c r="T1144" i="23"/>
  <c r="T1145" i="23"/>
  <c r="T1146" i="23"/>
  <c r="T1147" i="23"/>
  <c r="T1148" i="23"/>
  <c r="T1149" i="23"/>
  <c r="T1150" i="23"/>
  <c r="T1151" i="23"/>
  <c r="T1152" i="23"/>
  <c r="T1153" i="23"/>
  <c r="T1154" i="23"/>
  <c r="T1155" i="23"/>
  <c r="T1156" i="23"/>
  <c r="T1157" i="23"/>
  <c r="T1158" i="23"/>
  <c r="T1159" i="23"/>
  <c r="T1160" i="23"/>
  <c r="T1161" i="23"/>
  <c r="T1162" i="23"/>
  <c r="T1163" i="23"/>
  <c r="T1164" i="23"/>
  <c r="T1165" i="23"/>
  <c r="T1166" i="23"/>
  <c r="T1167" i="23"/>
  <c r="T1168" i="23"/>
  <c r="T1169" i="23"/>
  <c r="T1170" i="23"/>
  <c r="T1171" i="23"/>
  <c r="T1172" i="23"/>
  <c r="T1173" i="23"/>
  <c r="T1174" i="23"/>
  <c r="T1175" i="23"/>
  <c r="T1176" i="23"/>
  <c r="T1177" i="23"/>
  <c r="T1178" i="23"/>
  <c r="T1179" i="23"/>
  <c r="T1180" i="23"/>
  <c r="T1181" i="23"/>
  <c r="T1182" i="23"/>
  <c r="T1183" i="23"/>
  <c r="T1184" i="23"/>
  <c r="T1185" i="23"/>
  <c r="T1186" i="23"/>
  <c r="T1187" i="23"/>
  <c r="T1188" i="23"/>
  <c r="T1189" i="23"/>
  <c r="T1190" i="23"/>
  <c r="T1191" i="23"/>
  <c r="T1192" i="23"/>
  <c r="T1193" i="23"/>
  <c r="T1194" i="23"/>
  <c r="T1195" i="23"/>
  <c r="T1196" i="23"/>
  <c r="T1197" i="23"/>
  <c r="T1198" i="23"/>
  <c r="T1199" i="23"/>
  <c r="T1200" i="23"/>
  <c r="T1201" i="23"/>
  <c r="T1202" i="23"/>
  <c r="T1203" i="23"/>
  <c r="T1204" i="23"/>
  <c r="T1205" i="23"/>
  <c r="T1206" i="23"/>
  <c r="T1207" i="23"/>
  <c r="T1208" i="23"/>
  <c r="T1209" i="23"/>
  <c r="T1210" i="23"/>
  <c r="T1211" i="23"/>
  <c r="T1212" i="23"/>
  <c r="T1213" i="23"/>
  <c r="T1214" i="23"/>
  <c r="T1215" i="23"/>
  <c r="T1216" i="23"/>
  <c r="T1217" i="23"/>
  <c r="T1218" i="23"/>
  <c r="T1219" i="23"/>
  <c r="T1220" i="23"/>
  <c r="T1221" i="23"/>
  <c r="T1222" i="23"/>
  <c r="T1223" i="23"/>
  <c r="T1224" i="23"/>
  <c r="T1225" i="23"/>
  <c r="T1226" i="23"/>
  <c r="T1227" i="23"/>
  <c r="T1228" i="23"/>
  <c r="T1229" i="23"/>
  <c r="T1230" i="23"/>
  <c r="T1231" i="23"/>
  <c r="T1232" i="23"/>
  <c r="T1233" i="23"/>
  <c r="T1234" i="23"/>
  <c r="T1235" i="23"/>
  <c r="T1236" i="23"/>
  <c r="T1237" i="23"/>
  <c r="T1238" i="23"/>
  <c r="T1239" i="23"/>
  <c r="T1240" i="23"/>
  <c r="T1241" i="23"/>
  <c r="T1242" i="23"/>
  <c r="T1243" i="23"/>
  <c r="T1244" i="23"/>
  <c r="T1245" i="23"/>
  <c r="T1246" i="23"/>
  <c r="T1247" i="23"/>
  <c r="T1248" i="23"/>
  <c r="T1249" i="23"/>
  <c r="T1250" i="23"/>
  <c r="T1251" i="23"/>
  <c r="T1252" i="23"/>
  <c r="T1253" i="23"/>
  <c r="T1254" i="23"/>
  <c r="T1255" i="23"/>
  <c r="T1256" i="23"/>
  <c r="T1257" i="23"/>
  <c r="T1258" i="23"/>
  <c r="T1259" i="23"/>
  <c r="T1260" i="23"/>
  <c r="T1261" i="23"/>
  <c r="T1262" i="23"/>
  <c r="T1263" i="23"/>
  <c r="T1264" i="23"/>
  <c r="T1265" i="23"/>
  <c r="T1266" i="23"/>
  <c r="T1267" i="23"/>
  <c r="T1268" i="23"/>
  <c r="T1269" i="23"/>
  <c r="T1270" i="23"/>
  <c r="T1271" i="23"/>
  <c r="T1272" i="23"/>
  <c r="T1273" i="23"/>
  <c r="T1274" i="23"/>
  <c r="T1275" i="23"/>
  <c r="T1276" i="23"/>
  <c r="T1277" i="23"/>
  <c r="T1278" i="23"/>
  <c r="T1279" i="23"/>
  <c r="T1280" i="23"/>
  <c r="T1281" i="23"/>
  <c r="T1282" i="23"/>
  <c r="T1283" i="23"/>
  <c r="T1284" i="23"/>
  <c r="T1285" i="23"/>
  <c r="T1286" i="23"/>
  <c r="T1287" i="23"/>
  <c r="T1288" i="23"/>
  <c r="T1289" i="23"/>
  <c r="T1290" i="23"/>
  <c r="T1291" i="23"/>
  <c r="T1292" i="23"/>
  <c r="T1293" i="23"/>
  <c r="T1294" i="23"/>
  <c r="T1295" i="23"/>
  <c r="T1296" i="23"/>
  <c r="T1297" i="23"/>
  <c r="T1298" i="23"/>
  <c r="T1299" i="23"/>
  <c r="T1300" i="23"/>
  <c r="T1301" i="23"/>
  <c r="T1302" i="23"/>
  <c r="T1303" i="23"/>
  <c r="T1304" i="23"/>
  <c r="T1305" i="23"/>
  <c r="T1306" i="23"/>
  <c r="T1307" i="23"/>
  <c r="T1308" i="23"/>
  <c r="T1309" i="23"/>
  <c r="T1310" i="23"/>
  <c r="T1311" i="23"/>
  <c r="T1312" i="23"/>
  <c r="T1313" i="23"/>
  <c r="T1314" i="23"/>
  <c r="T1315" i="23"/>
  <c r="T1316" i="23"/>
  <c r="T1317" i="23"/>
  <c r="T1318" i="23"/>
  <c r="T1319" i="23"/>
  <c r="T1320" i="23"/>
  <c r="T1321" i="23"/>
  <c r="T1322" i="23"/>
  <c r="T1323" i="23"/>
  <c r="T1324" i="23"/>
  <c r="T1325" i="23"/>
  <c r="T1326" i="23"/>
  <c r="T1327" i="23"/>
  <c r="T1328" i="23"/>
  <c r="T1329" i="23"/>
  <c r="T1330" i="23"/>
  <c r="T1331" i="23"/>
  <c r="T1332" i="23"/>
  <c r="T1333" i="23"/>
  <c r="T1334" i="23"/>
  <c r="T1335" i="23"/>
  <c r="T1336" i="23"/>
  <c r="T1337" i="23"/>
  <c r="T1338" i="23"/>
  <c r="T1339" i="23"/>
  <c r="T1340" i="23"/>
  <c r="T1341" i="23"/>
  <c r="T1342" i="23"/>
  <c r="T1343" i="23"/>
  <c r="T1344" i="23"/>
  <c r="T1345" i="23"/>
  <c r="T1346" i="23"/>
  <c r="T1347" i="23"/>
  <c r="T1348" i="23"/>
  <c r="T1349" i="23"/>
  <c r="T1350" i="23"/>
  <c r="T1351" i="23"/>
  <c r="T1352" i="23"/>
  <c r="T1353" i="23"/>
  <c r="T1354" i="23"/>
  <c r="T1355" i="23"/>
  <c r="T1356" i="23"/>
  <c r="T1357" i="23"/>
  <c r="T1358" i="23"/>
  <c r="T1359" i="23"/>
  <c r="T1360" i="23"/>
  <c r="T1361" i="23"/>
  <c r="T1362" i="23"/>
  <c r="T1363" i="23"/>
  <c r="T1364" i="23"/>
  <c r="T1365" i="23"/>
  <c r="T1366" i="23"/>
  <c r="T1367" i="23"/>
  <c r="T1368" i="23"/>
  <c r="T1369" i="23"/>
  <c r="T1370" i="23"/>
  <c r="T1371" i="23"/>
  <c r="T1372" i="23"/>
  <c r="T1373" i="23"/>
  <c r="T1374" i="23"/>
  <c r="T1375" i="23"/>
  <c r="T1376" i="23"/>
  <c r="T1377" i="23"/>
  <c r="T1378" i="23"/>
  <c r="T1379" i="23"/>
  <c r="T1380" i="23"/>
  <c r="T1381" i="23"/>
  <c r="T1382" i="23"/>
  <c r="T1383" i="23"/>
  <c r="T1384" i="23"/>
  <c r="T1385" i="23"/>
  <c r="T1386" i="23"/>
  <c r="T1387" i="23"/>
  <c r="T1388" i="23"/>
  <c r="T1389" i="23"/>
  <c r="T1390" i="23"/>
  <c r="T1391" i="23"/>
  <c r="T1392" i="23"/>
  <c r="T1393" i="23"/>
  <c r="T1394" i="23"/>
  <c r="T1395" i="23"/>
  <c r="T1396" i="23"/>
  <c r="T1397" i="23"/>
  <c r="T1398" i="23"/>
  <c r="T1399" i="23"/>
  <c r="T1400" i="23"/>
  <c r="T1401" i="23"/>
  <c r="T1402" i="23"/>
  <c r="T1403" i="23"/>
  <c r="T1404" i="23"/>
  <c r="T1405" i="23"/>
  <c r="T1406" i="23"/>
  <c r="T1407" i="23"/>
  <c r="T1408" i="23"/>
  <c r="T1409" i="23"/>
  <c r="T1410" i="23"/>
  <c r="T1411" i="23"/>
  <c r="T1412" i="23"/>
  <c r="T1413" i="23"/>
  <c r="T1414" i="23"/>
  <c r="T1415" i="23"/>
  <c r="T1416" i="23"/>
  <c r="T1417" i="23"/>
  <c r="T1418" i="23"/>
  <c r="T1419" i="23"/>
  <c r="T1420" i="23"/>
  <c r="T1421" i="23"/>
  <c r="T1422" i="23"/>
  <c r="T1423" i="23"/>
  <c r="T1424" i="23"/>
  <c r="T1425" i="23"/>
  <c r="T1426" i="23"/>
  <c r="T1427" i="23"/>
  <c r="T1428" i="23"/>
  <c r="T1429" i="23"/>
  <c r="T1430" i="23"/>
  <c r="T1431" i="23"/>
  <c r="T1432" i="23"/>
  <c r="T1433" i="23"/>
  <c r="T1434" i="23"/>
  <c r="T1435" i="23"/>
  <c r="T1436" i="23"/>
  <c r="T1437" i="23"/>
  <c r="T1438" i="23"/>
  <c r="T1439" i="23"/>
  <c r="T1440" i="23"/>
  <c r="T1441" i="23"/>
  <c r="T1442" i="23"/>
  <c r="T1443" i="23"/>
  <c r="T1444" i="23"/>
  <c r="T1445" i="23"/>
  <c r="T1446" i="23"/>
  <c r="T1447" i="23"/>
  <c r="T1448" i="23"/>
  <c r="T1449" i="23"/>
  <c r="T1450" i="23"/>
  <c r="T1451" i="23"/>
  <c r="T1452" i="23"/>
  <c r="T1453" i="23"/>
  <c r="T1454" i="23"/>
  <c r="T1455" i="23"/>
  <c r="T1456" i="23"/>
  <c r="T1457" i="23"/>
  <c r="T1458" i="23"/>
  <c r="T1459" i="23"/>
  <c r="T1460" i="23"/>
  <c r="T1461" i="23"/>
  <c r="T1462" i="23"/>
  <c r="T1463" i="23"/>
  <c r="T1464" i="23"/>
  <c r="T1465" i="23"/>
  <c r="T1466" i="23"/>
  <c r="T1467" i="23"/>
  <c r="T1468" i="23"/>
  <c r="T1469" i="23"/>
  <c r="T1470" i="23"/>
  <c r="T1471" i="23"/>
  <c r="T1472" i="23"/>
  <c r="T1473" i="23"/>
  <c r="T1474" i="23"/>
  <c r="T1475" i="23"/>
  <c r="T1476" i="23"/>
  <c r="T1477" i="23"/>
  <c r="T1478" i="23"/>
  <c r="T1479" i="23"/>
  <c r="T1480" i="23"/>
  <c r="T1481" i="23"/>
  <c r="T1482" i="23"/>
  <c r="T1483" i="23"/>
  <c r="T1484" i="23"/>
  <c r="T1485" i="23"/>
  <c r="T1486" i="23"/>
  <c r="T1487" i="23"/>
  <c r="T1488" i="23"/>
  <c r="T1489" i="23"/>
  <c r="T1490" i="23"/>
  <c r="T1491" i="23"/>
  <c r="T1492" i="23"/>
  <c r="T1493" i="23"/>
  <c r="T1494" i="23"/>
  <c r="T1495" i="23"/>
  <c r="T1496" i="23"/>
  <c r="T1497" i="23"/>
  <c r="T1498" i="23"/>
  <c r="T1499" i="23"/>
  <c r="T1500" i="23"/>
  <c r="T1501" i="23"/>
  <c r="T1502" i="23"/>
  <c r="T1503" i="23"/>
  <c r="T1504" i="23"/>
  <c r="T1505" i="23"/>
  <c r="T1506" i="23"/>
  <c r="T1507" i="23"/>
  <c r="T1508" i="23"/>
  <c r="T1509" i="23"/>
  <c r="T1510" i="23"/>
  <c r="T1511" i="23"/>
  <c r="T1512" i="23"/>
  <c r="T1513" i="23"/>
  <c r="T1514" i="23"/>
  <c r="T1515" i="23"/>
  <c r="T1516" i="23"/>
  <c r="T1517" i="23"/>
  <c r="T1518" i="23"/>
  <c r="T1519" i="23"/>
  <c r="T1520" i="23"/>
  <c r="T1521" i="23"/>
  <c r="T1522" i="23"/>
  <c r="T1523" i="23"/>
  <c r="T1524" i="23"/>
  <c r="T1525" i="23"/>
  <c r="T1526" i="23"/>
  <c r="T1527" i="23"/>
  <c r="T1528" i="23"/>
  <c r="T1529" i="23"/>
  <c r="T1530" i="23"/>
  <c r="T1531" i="23"/>
  <c r="T1532" i="23"/>
  <c r="T1533" i="23"/>
  <c r="T1534" i="23"/>
  <c r="T1535" i="23"/>
  <c r="T1536" i="23"/>
  <c r="T1537" i="23"/>
  <c r="T1538" i="23"/>
  <c r="T1539" i="23"/>
  <c r="T1540" i="23"/>
  <c r="T1541" i="23"/>
  <c r="T1542" i="23"/>
  <c r="T1543" i="23"/>
  <c r="T1544" i="23"/>
  <c r="T1545" i="23"/>
  <c r="T1546" i="23"/>
  <c r="T1547" i="23"/>
  <c r="T1548" i="23"/>
  <c r="T1549" i="23"/>
  <c r="T1550" i="23"/>
  <c r="T1551" i="23"/>
  <c r="T1552" i="23"/>
  <c r="T1553" i="23"/>
  <c r="T1554" i="23"/>
  <c r="T1555" i="23"/>
  <c r="T1556" i="23"/>
  <c r="T1557" i="23"/>
  <c r="T1558" i="23"/>
  <c r="T1559" i="23"/>
  <c r="T1560" i="23"/>
  <c r="T1561" i="23"/>
  <c r="T1562" i="23"/>
  <c r="T1563" i="23"/>
  <c r="T1564" i="23"/>
  <c r="T1565" i="23"/>
  <c r="T1566" i="23"/>
  <c r="T1567" i="23"/>
  <c r="T1568" i="23"/>
  <c r="T1569" i="23"/>
  <c r="T1570" i="23"/>
  <c r="T1571" i="23"/>
  <c r="T1572" i="23"/>
  <c r="T1573" i="23"/>
  <c r="T1574" i="23"/>
  <c r="T1575" i="23"/>
  <c r="T1576" i="23"/>
  <c r="T1577" i="23"/>
  <c r="T1578" i="23"/>
  <c r="T1579" i="23"/>
  <c r="T1580" i="23"/>
  <c r="T1581" i="23"/>
  <c r="T1582" i="23"/>
  <c r="T1583" i="23"/>
  <c r="T1584" i="23"/>
  <c r="T1585" i="23"/>
  <c r="T1586" i="23"/>
  <c r="T1587" i="23"/>
  <c r="T1588" i="23"/>
  <c r="T1589" i="23"/>
  <c r="T1590" i="23"/>
  <c r="T1591" i="23"/>
  <c r="T1592" i="23"/>
  <c r="T1593" i="23"/>
  <c r="T1594" i="23"/>
  <c r="T1595" i="23"/>
  <c r="T1596" i="23"/>
  <c r="T1597" i="23"/>
  <c r="T1598" i="23"/>
  <c r="T1599" i="23"/>
  <c r="T1600" i="23"/>
  <c r="T1601" i="23"/>
  <c r="T1602" i="23"/>
  <c r="T1603" i="23"/>
  <c r="T1604" i="23"/>
  <c r="T1605" i="23"/>
  <c r="T1606" i="23"/>
  <c r="T1607" i="23"/>
  <c r="T1608" i="23"/>
  <c r="T1609" i="23"/>
  <c r="T1610" i="23"/>
  <c r="T1611" i="23"/>
  <c r="T1612" i="23"/>
  <c r="T1613" i="23"/>
  <c r="T1614" i="23"/>
  <c r="T1615" i="23"/>
  <c r="T1616" i="23"/>
  <c r="T1617" i="23"/>
  <c r="T1618" i="23"/>
  <c r="T1619" i="23"/>
  <c r="T1620" i="23"/>
  <c r="T1621" i="23"/>
  <c r="T1622" i="23"/>
  <c r="T1623" i="23"/>
  <c r="T1624" i="23"/>
  <c r="T1625" i="23"/>
  <c r="T1626" i="23"/>
  <c r="T1627" i="23"/>
  <c r="T1628" i="23"/>
  <c r="T1629" i="23"/>
  <c r="T1630" i="23"/>
  <c r="T1631" i="23"/>
  <c r="T1632" i="23"/>
  <c r="T1633" i="23"/>
  <c r="T1634" i="23"/>
  <c r="T1635" i="23"/>
  <c r="T1636" i="23"/>
  <c r="T1637" i="23"/>
  <c r="T1638" i="23"/>
  <c r="T1639" i="23"/>
  <c r="T1640" i="23"/>
  <c r="T1641" i="23"/>
  <c r="T1642" i="23"/>
  <c r="T1643" i="23"/>
  <c r="T1644" i="23"/>
  <c r="T1645" i="23"/>
  <c r="T1646" i="23"/>
  <c r="T1647" i="23"/>
  <c r="T1648" i="23"/>
  <c r="T1649" i="23"/>
  <c r="T1650" i="23"/>
  <c r="T1651" i="23"/>
  <c r="T1652" i="23"/>
  <c r="T1653" i="23"/>
  <c r="T1654" i="23"/>
  <c r="T1655" i="23"/>
  <c r="T1656" i="23"/>
  <c r="T1657" i="23"/>
  <c r="T1658" i="23"/>
  <c r="T1659" i="23"/>
  <c r="T1660" i="23"/>
  <c r="T1661" i="23"/>
  <c r="T1662" i="23"/>
  <c r="T1663" i="23"/>
  <c r="T1664" i="23"/>
  <c r="T1665" i="23"/>
  <c r="T1666" i="23"/>
  <c r="T1667" i="23"/>
  <c r="T1668" i="23"/>
  <c r="T1669" i="23"/>
  <c r="T1670" i="23"/>
  <c r="T1671" i="23"/>
  <c r="T1672" i="23"/>
  <c r="T1673" i="23"/>
  <c r="T1674" i="23"/>
  <c r="T1675" i="23"/>
  <c r="T1676" i="23"/>
  <c r="T1677" i="23"/>
  <c r="T1678" i="23"/>
  <c r="T1679" i="23"/>
  <c r="T1680" i="23"/>
  <c r="T1681" i="23"/>
  <c r="T1682" i="23"/>
  <c r="T1683" i="23"/>
  <c r="T1684" i="23"/>
  <c r="T1685" i="23"/>
  <c r="T1686" i="23"/>
  <c r="T1687" i="23"/>
  <c r="T1688" i="23"/>
  <c r="T1689" i="23"/>
  <c r="T1690" i="23"/>
  <c r="T1691" i="23"/>
  <c r="T1692" i="23"/>
  <c r="T1693" i="23"/>
  <c r="T1694" i="23"/>
  <c r="T1695" i="23"/>
  <c r="T1696" i="23"/>
  <c r="T1697" i="23"/>
  <c r="T1698" i="23"/>
  <c r="T1699" i="23"/>
  <c r="T1700" i="23"/>
  <c r="T1701" i="23"/>
  <c r="T1702" i="23"/>
  <c r="T1703" i="23"/>
  <c r="T1704" i="23"/>
  <c r="T1705" i="23"/>
  <c r="T1706" i="23"/>
  <c r="T1707" i="23"/>
  <c r="T1708" i="23"/>
  <c r="T1709" i="23"/>
  <c r="T1710" i="23"/>
  <c r="T1711" i="23"/>
  <c r="T1712" i="23"/>
  <c r="T1713" i="23"/>
  <c r="T1714" i="23"/>
  <c r="T1715" i="23"/>
  <c r="T1716" i="23"/>
  <c r="T1717" i="23"/>
  <c r="T1718" i="23"/>
  <c r="T1719" i="23"/>
  <c r="T1720" i="23"/>
  <c r="T1721" i="23"/>
  <c r="T1722" i="23"/>
  <c r="T1723" i="23"/>
  <c r="T1724" i="23"/>
  <c r="T1725" i="23"/>
  <c r="T1726" i="23"/>
  <c r="T1727" i="23"/>
  <c r="T1728" i="23"/>
  <c r="T1729" i="23"/>
  <c r="T1730" i="23"/>
  <c r="T1731" i="23"/>
  <c r="T1732" i="23"/>
  <c r="T1733" i="23"/>
  <c r="T1734" i="23"/>
  <c r="T1735" i="23"/>
  <c r="T1736" i="23"/>
  <c r="T1737" i="23"/>
  <c r="T1738" i="23"/>
  <c r="T1739" i="23"/>
  <c r="T1740" i="23"/>
  <c r="T1741" i="23"/>
  <c r="T1742" i="23"/>
  <c r="T1743" i="23"/>
  <c r="T1744" i="23"/>
  <c r="T1745" i="23"/>
  <c r="T1746" i="23"/>
  <c r="T1747" i="23"/>
  <c r="T1748" i="23"/>
  <c r="T1749" i="23"/>
  <c r="T1750" i="23"/>
  <c r="T1751" i="23"/>
  <c r="T1752" i="23"/>
  <c r="T1753" i="23"/>
  <c r="T1754" i="23"/>
  <c r="T1755" i="23"/>
  <c r="T1756" i="23"/>
  <c r="T1757" i="23"/>
  <c r="T1758" i="23"/>
  <c r="T1759" i="23"/>
  <c r="T1760" i="23"/>
  <c r="T1761" i="23"/>
  <c r="T1762" i="23"/>
  <c r="T1763" i="23"/>
  <c r="T1764" i="23"/>
  <c r="T1765" i="23"/>
  <c r="T1766" i="23"/>
  <c r="T1767" i="23"/>
  <c r="T1768" i="23"/>
  <c r="T1769" i="23"/>
  <c r="T1770" i="23"/>
  <c r="T1771" i="23"/>
  <c r="T1772" i="23"/>
  <c r="T1773" i="23"/>
  <c r="T1774" i="23"/>
  <c r="T1775" i="23"/>
  <c r="T1776" i="23"/>
  <c r="T1777" i="23"/>
  <c r="T1778" i="23"/>
  <c r="T1779" i="23"/>
  <c r="T1780" i="23"/>
  <c r="T1781" i="23"/>
  <c r="T1782" i="23"/>
  <c r="T1783" i="23"/>
  <c r="T1784" i="23"/>
  <c r="T1785" i="23"/>
  <c r="T1786" i="23"/>
  <c r="T1787" i="23"/>
  <c r="T1788" i="23"/>
  <c r="T1789" i="23"/>
  <c r="T1790" i="23"/>
  <c r="T1791" i="23"/>
  <c r="T1792" i="23"/>
  <c r="T1793" i="23"/>
  <c r="T1794" i="23"/>
  <c r="T1795" i="23"/>
  <c r="T1796" i="23"/>
  <c r="T1797" i="23"/>
  <c r="T1798" i="23"/>
  <c r="T1799" i="23"/>
  <c r="T1800" i="23"/>
  <c r="T1801" i="23"/>
  <c r="T1802" i="23"/>
  <c r="T1803" i="23"/>
  <c r="T1804" i="23"/>
  <c r="T1805" i="23"/>
  <c r="T1806" i="23"/>
  <c r="T1807" i="23"/>
  <c r="T1808" i="23"/>
  <c r="T1809" i="23"/>
  <c r="T1810" i="23"/>
  <c r="T1811" i="23"/>
  <c r="T1812" i="23"/>
  <c r="T1813" i="23"/>
  <c r="T1814" i="23"/>
  <c r="T1815" i="23"/>
  <c r="T1816" i="23"/>
  <c r="T1817" i="23"/>
  <c r="T1818" i="23"/>
  <c r="T1819" i="23"/>
  <c r="T1820" i="23"/>
  <c r="T1821" i="23"/>
  <c r="T1822" i="23"/>
  <c r="T1823" i="23"/>
  <c r="T1824" i="23"/>
  <c r="T1825" i="23"/>
  <c r="T1826" i="23"/>
  <c r="T1827" i="23"/>
  <c r="T1828" i="23"/>
  <c r="T1829" i="23"/>
  <c r="T1830" i="23"/>
  <c r="T1831" i="23"/>
  <c r="T1832" i="23"/>
  <c r="T1833" i="23"/>
  <c r="T1834" i="23"/>
  <c r="T1835" i="23"/>
  <c r="T1836" i="23"/>
  <c r="T1837" i="23"/>
  <c r="T1838" i="23"/>
  <c r="T1839" i="23"/>
  <c r="T1840" i="23"/>
  <c r="T1841" i="23"/>
  <c r="T1842" i="23"/>
  <c r="T1843" i="23"/>
  <c r="T1844" i="23"/>
  <c r="T1845" i="23"/>
  <c r="T1846" i="23"/>
  <c r="T1847" i="23"/>
  <c r="T1848" i="23"/>
  <c r="T1849" i="23"/>
  <c r="T1850" i="23"/>
  <c r="T1851" i="23"/>
  <c r="T1852" i="23"/>
  <c r="T1853" i="23"/>
  <c r="T1854" i="23"/>
  <c r="T1855" i="23"/>
  <c r="T1856" i="23"/>
  <c r="T1857" i="23"/>
  <c r="T1858" i="23"/>
  <c r="T1859" i="23"/>
  <c r="T1860" i="23"/>
  <c r="T1861" i="23"/>
  <c r="T1862" i="23"/>
  <c r="T1863" i="23"/>
  <c r="T1864" i="23"/>
  <c r="T1865" i="23"/>
  <c r="T1866" i="23"/>
  <c r="T1867" i="23"/>
  <c r="T1868" i="23"/>
  <c r="T1869" i="23"/>
  <c r="T1870" i="23"/>
  <c r="T1871" i="23"/>
  <c r="T1872" i="23"/>
  <c r="T1873" i="23"/>
  <c r="T1874" i="23"/>
  <c r="T1875" i="23"/>
  <c r="T1876" i="23"/>
  <c r="T1877" i="23"/>
  <c r="T1878" i="23"/>
  <c r="T1879" i="23"/>
  <c r="T1880" i="23"/>
  <c r="T1881" i="23"/>
  <c r="T1882" i="23"/>
  <c r="T1883" i="23"/>
  <c r="T1884" i="23"/>
  <c r="T1885" i="23"/>
  <c r="T1886" i="23"/>
  <c r="T1887" i="23"/>
  <c r="T1888" i="23"/>
  <c r="T1889" i="23"/>
  <c r="T1890" i="23"/>
  <c r="T1891" i="23"/>
  <c r="T1892" i="23"/>
  <c r="T1893" i="23"/>
  <c r="T1894" i="23"/>
  <c r="T1895" i="23"/>
  <c r="T1896" i="23"/>
  <c r="T1897" i="23"/>
  <c r="T1898" i="23"/>
  <c r="T1899" i="23"/>
  <c r="T1900" i="23"/>
  <c r="T1901" i="23"/>
  <c r="T1902" i="23"/>
  <c r="T1903" i="23"/>
  <c r="T1904" i="23"/>
  <c r="T1905" i="23"/>
  <c r="T1906" i="23"/>
  <c r="T1907" i="23"/>
  <c r="T1908" i="23"/>
  <c r="T1909" i="23"/>
  <c r="T1910" i="23"/>
  <c r="T1911" i="23"/>
  <c r="T1912" i="23"/>
  <c r="T1913" i="23"/>
  <c r="T1914" i="23"/>
  <c r="T1915" i="23"/>
  <c r="T1916" i="23"/>
  <c r="T1917" i="23"/>
  <c r="T1918" i="23"/>
  <c r="T1919" i="23"/>
  <c r="T1920" i="23"/>
  <c r="T1921" i="23"/>
  <c r="T1922" i="23"/>
  <c r="T1923" i="23"/>
  <c r="T1924" i="23"/>
  <c r="T1925" i="23"/>
  <c r="T1926" i="23"/>
  <c r="T1927" i="23"/>
  <c r="T1928" i="23"/>
  <c r="T1929" i="23"/>
  <c r="T1930" i="23"/>
  <c r="T1931" i="23"/>
  <c r="T1932" i="23"/>
  <c r="T1933" i="23"/>
  <c r="T1934" i="23"/>
  <c r="T1935" i="23"/>
  <c r="T1936" i="23"/>
  <c r="T1937" i="23"/>
  <c r="T1938" i="23"/>
  <c r="T1939" i="23"/>
  <c r="T1940" i="23"/>
  <c r="T1941" i="23"/>
  <c r="T1942" i="23"/>
  <c r="T1943" i="23"/>
  <c r="T1944" i="23"/>
  <c r="T1945" i="23"/>
  <c r="T1946" i="23"/>
  <c r="T1947" i="23"/>
  <c r="T1948" i="23"/>
  <c r="T1949" i="23"/>
  <c r="T1950" i="23"/>
  <c r="T1951" i="23"/>
  <c r="T1952" i="23"/>
  <c r="T1953" i="23"/>
  <c r="T1954" i="23"/>
  <c r="T1955" i="23"/>
  <c r="T1956" i="23"/>
  <c r="T1957" i="23"/>
  <c r="T1958" i="23"/>
  <c r="T1959" i="23"/>
  <c r="T1960" i="23"/>
  <c r="T1961" i="23"/>
  <c r="T1962" i="23"/>
  <c r="T1963" i="23"/>
  <c r="T1964" i="23"/>
  <c r="T1965" i="23"/>
  <c r="T1966" i="23"/>
  <c r="T1967" i="23"/>
  <c r="T1968" i="23"/>
  <c r="T1969" i="23"/>
  <c r="T1970" i="23"/>
  <c r="T1971" i="23"/>
  <c r="T1972" i="23"/>
  <c r="T1973" i="23"/>
  <c r="T1974" i="23"/>
  <c r="T1975" i="23"/>
  <c r="T1976" i="23"/>
  <c r="T1977" i="23"/>
  <c r="T1978" i="23"/>
  <c r="T1979" i="23"/>
  <c r="T1980" i="23"/>
  <c r="T1981" i="23"/>
  <c r="T1982" i="23"/>
  <c r="T1983" i="23"/>
  <c r="T1984" i="23"/>
  <c r="T1985" i="23"/>
  <c r="T1986" i="23"/>
  <c r="T1987" i="23"/>
  <c r="T1988" i="23"/>
  <c r="T1989" i="23"/>
  <c r="T1990" i="23"/>
  <c r="T1991" i="23"/>
  <c r="T1992" i="23"/>
  <c r="T1993" i="23"/>
  <c r="T1994" i="23"/>
  <c r="T1995" i="23"/>
  <c r="T1996" i="23"/>
  <c r="T1997" i="23"/>
  <c r="T1998" i="23"/>
  <c r="T1999" i="23"/>
  <c r="T2000" i="23"/>
  <c r="T4" i="23"/>
  <c r="N24" i="11"/>
  <c r="G24" i="11"/>
  <c r="M21" i="11" l="1"/>
  <c r="O21" i="11" s="1"/>
  <c r="I21" i="11"/>
  <c r="B22" i="29"/>
  <c r="B21" i="29"/>
  <c r="B20" i="29"/>
  <c r="B19" i="29"/>
  <c r="B18" i="29"/>
  <c r="B17" i="29"/>
  <c r="B16" i="29"/>
  <c r="B15" i="29"/>
  <c r="B22" i="11"/>
  <c r="B21" i="11"/>
  <c r="B20" i="11"/>
  <c r="B19" i="11"/>
  <c r="B18" i="11"/>
  <c r="B17" i="11"/>
  <c r="B16" i="11"/>
  <c r="B15" i="11"/>
  <c r="AH1" i="37" l="1"/>
  <c r="AI1" i="37"/>
  <c r="AG1" i="37"/>
  <c r="C21" i="11"/>
  <c r="C21" i="29" s="1"/>
  <c r="E21" i="11"/>
  <c r="AJ1" i="37"/>
  <c r="AL1" i="37"/>
  <c r="AK1" i="37"/>
  <c r="C20" i="11"/>
  <c r="C20" i="29" s="1"/>
  <c r="E20" i="11"/>
  <c r="C22" i="11"/>
  <c r="C22" i="29" s="1"/>
  <c r="E22" i="11"/>
  <c r="AO1" i="37"/>
  <c r="AN1" i="37"/>
  <c r="AM1" i="37"/>
  <c r="C16" i="11"/>
  <c r="C16" i="29" s="1"/>
  <c r="E16" i="11"/>
  <c r="C15" i="11"/>
  <c r="C15" i="29" s="1"/>
  <c r="E15" i="11"/>
  <c r="S1" i="37"/>
  <c r="R1" i="37"/>
  <c r="T1" i="37"/>
  <c r="U1" i="37"/>
  <c r="W1" i="37"/>
  <c r="V1" i="37"/>
  <c r="C17" i="11"/>
  <c r="C17" i="29" s="1"/>
  <c r="E17" i="11"/>
  <c r="Z1" i="37"/>
  <c r="Y1" i="37"/>
  <c r="X1" i="37"/>
  <c r="C18" i="11"/>
  <c r="C18" i="29" s="1"/>
  <c r="E18" i="11"/>
  <c r="AC1" i="37"/>
  <c r="AB1" i="37"/>
  <c r="AA1" i="37"/>
  <c r="C19" i="11"/>
  <c r="C19" i="29" s="1"/>
  <c r="E19" i="11"/>
  <c r="AF1" i="37"/>
  <c r="AD1" i="37"/>
  <c r="AE1" i="37"/>
  <c r="I21" i="29"/>
  <c r="M21" i="29"/>
  <c r="O21" i="29" s="1"/>
  <c r="Q21" i="11" l="1"/>
  <c r="AJ2" i="37"/>
  <c r="AK2" i="37"/>
  <c r="AL2" i="37" l="1"/>
  <c r="M15" i="11"/>
  <c r="O15" i="11" l="1"/>
  <c r="M10" i="29"/>
  <c r="Q2" i="37" s="1"/>
  <c r="M9" i="29"/>
  <c r="M8" i="29"/>
  <c r="G2" i="37" s="1"/>
  <c r="M7" i="29"/>
  <c r="P2" i="37" s="1"/>
  <c r="M6" i="29"/>
  <c r="O2" i="37" s="1"/>
  <c r="M4" i="29"/>
  <c r="K2" i="37" s="1"/>
  <c r="M5" i="29"/>
  <c r="N2" i="37" s="1"/>
  <c r="C12" i="29"/>
  <c r="C11" i="29"/>
  <c r="C10" i="29"/>
  <c r="C9" i="29"/>
  <c r="C8" i="29"/>
  <c r="C7" i="29"/>
  <c r="C6" i="29"/>
  <c r="C4" i="29"/>
  <c r="D2" i="37" s="1"/>
  <c r="J2" i="37" l="1"/>
  <c r="H2" i="37"/>
  <c r="M2" i="37"/>
  <c r="L2" i="37"/>
  <c r="F2" i="37"/>
  <c r="E2" i="37"/>
  <c r="A2" i="37"/>
  <c r="V30" i="29"/>
  <c r="BH2" i="37" s="1"/>
  <c r="C30" i="29"/>
  <c r="AR2" i="37" s="1"/>
  <c r="V29" i="29"/>
  <c r="BG2" i="37" s="1"/>
  <c r="V28" i="29"/>
  <c r="M15" i="29"/>
  <c r="M12" i="29"/>
  <c r="M22" i="11"/>
  <c r="I22" i="11"/>
  <c r="M20" i="11"/>
  <c r="O20" i="11" s="1"/>
  <c r="I20" i="11"/>
  <c r="M19" i="11"/>
  <c r="O19" i="11" s="1"/>
  <c r="I19" i="11"/>
  <c r="M18" i="11"/>
  <c r="O18" i="11" s="1"/>
  <c r="I18" i="11"/>
  <c r="M17" i="11"/>
  <c r="O17" i="11" s="1"/>
  <c r="I17" i="11"/>
  <c r="M16" i="11"/>
  <c r="I16" i="11"/>
  <c r="I15" i="11"/>
  <c r="C5" i="29"/>
  <c r="O16" i="11" l="1"/>
  <c r="J36" i="11"/>
  <c r="O15" i="29"/>
  <c r="C2" i="37"/>
  <c r="Z2" i="37"/>
  <c r="R2" i="37"/>
  <c r="M17" i="29"/>
  <c r="O17" i="29" s="1"/>
  <c r="M20" i="29"/>
  <c r="O20" i="29" s="1"/>
  <c r="M18" i="29"/>
  <c r="O18" i="29" s="1"/>
  <c r="Q18" i="11"/>
  <c r="J30" i="11"/>
  <c r="I2" i="37"/>
  <c r="W32" i="29"/>
  <c r="BI2" i="37" s="1"/>
  <c r="Q19" i="11"/>
  <c r="I17" i="29"/>
  <c r="BF2" i="37"/>
  <c r="N24" i="29"/>
  <c r="AQ2" i="37" s="1"/>
  <c r="G24" i="29"/>
  <c r="AP2" i="37" s="1"/>
  <c r="M22" i="29"/>
  <c r="M19" i="29"/>
  <c r="O19" i="29" s="1"/>
  <c r="M16" i="29"/>
  <c r="O16" i="29" s="1"/>
  <c r="I15" i="29"/>
  <c r="I19" i="29"/>
  <c r="I22" i="29"/>
  <c r="I20" i="29"/>
  <c r="I16" i="29"/>
  <c r="M23" i="11"/>
  <c r="I18" i="29"/>
  <c r="J36" i="29" l="1"/>
  <c r="Y2" i="37"/>
  <c r="AB2" i="37"/>
  <c r="T2" i="37"/>
  <c r="W2" i="37"/>
  <c r="U2" i="37"/>
  <c r="X2" i="37"/>
  <c r="V2" i="37"/>
  <c r="AF2" i="37"/>
  <c r="AC2" i="37"/>
  <c r="AG2" i="37"/>
  <c r="AH2" i="37"/>
  <c r="AI2" i="37"/>
  <c r="S2" i="37"/>
  <c r="AM2" i="37"/>
  <c r="AN2" i="37"/>
  <c r="AD2" i="37"/>
  <c r="AE2" i="37"/>
  <c r="AO2" i="37"/>
  <c r="Q21" i="29"/>
  <c r="Q16" i="11"/>
  <c r="Q22" i="11"/>
  <c r="Q20" i="11"/>
  <c r="M23" i="29"/>
  <c r="J30" i="29"/>
  <c r="AU2" i="37" s="1"/>
  <c r="Q15" i="11"/>
  <c r="Q17" i="11"/>
  <c r="Q18" i="29" l="1"/>
  <c r="Q17" i="29"/>
  <c r="AA2" i="37"/>
  <c r="F30" i="11"/>
  <c r="Q15" i="29"/>
  <c r="Q20" i="29"/>
  <c r="Q19" i="29"/>
  <c r="Q16" i="29"/>
  <c r="Q22" i="29"/>
  <c r="J32" i="11" l="1"/>
  <c r="AV2" i="37" s="1"/>
  <c r="T19" i="29"/>
  <c r="BB2" i="37" s="1"/>
  <c r="T24" i="29"/>
  <c r="BE2" i="37" s="1"/>
  <c r="M32" i="11"/>
  <c r="F30" i="29"/>
  <c r="AS2" i="37" l="1"/>
  <c r="J32" i="29"/>
  <c r="M32" i="29" s="1"/>
  <c r="J35" i="11"/>
  <c r="AW2" i="37" l="1"/>
  <c r="J35" i="29"/>
  <c r="AT2" i="37"/>
</calcChain>
</file>

<file path=xl/comments1.xml><?xml version="1.0" encoding="utf-8"?>
<comments xmlns="http://schemas.openxmlformats.org/spreadsheetml/2006/main">
  <authors>
    <author>Joanna Wroniecka</author>
  </authors>
  <commentList>
    <comment ref="C5" authorId="0" shapeId="0">
      <text>
        <r>
          <rPr>
            <sz val="8"/>
            <color indexed="81"/>
            <rFont val="Tahoma"/>
            <family val="2"/>
          </rPr>
          <t>This field will populate automatically after the</t>
        </r>
        <r>
          <rPr>
            <b/>
            <sz val="8"/>
            <color indexed="81"/>
            <rFont val="Tahoma"/>
            <family val="2"/>
          </rPr>
          <t xml:space="preserve"> full cost code</t>
        </r>
        <r>
          <rPr>
            <sz val="8"/>
            <color indexed="81"/>
            <rFont val="Tahoma"/>
            <family val="2"/>
          </rPr>
          <t xml:space="preserve"> is entered in the File Name.</t>
        </r>
      </text>
    </comment>
    <comment ref="C6" authorId="0" shapeId="0">
      <text>
        <r>
          <rPr>
            <sz val="8"/>
            <color indexed="81"/>
            <rFont val="Tahoma"/>
            <family val="2"/>
          </rPr>
          <t xml:space="preserve">Please make sure to Enter only </t>
        </r>
        <r>
          <rPr>
            <b/>
            <sz val="8"/>
            <color indexed="81"/>
            <rFont val="Tahoma"/>
            <family val="2"/>
          </rPr>
          <t>1 Job ID</t>
        </r>
        <r>
          <rPr>
            <sz val="8"/>
            <color indexed="81"/>
            <rFont val="Tahoma"/>
            <family val="2"/>
          </rPr>
          <t xml:space="preserve">, as multiple numbers cannot be collected by our system. </t>
        </r>
      </text>
    </comment>
    <comment ref="C7" authorId="0" shapeId="0">
      <text>
        <r>
          <rPr>
            <sz val="8"/>
            <color indexed="81"/>
            <rFont val="Tahoma"/>
            <family val="2"/>
          </rPr>
          <t xml:space="preserve">Please make sure to enter only </t>
        </r>
        <r>
          <rPr>
            <b/>
            <sz val="8"/>
            <color indexed="81"/>
            <rFont val="Tahoma"/>
            <family val="2"/>
          </rPr>
          <t>1</t>
        </r>
        <r>
          <rPr>
            <sz val="8"/>
            <color indexed="81"/>
            <rFont val="Tahoma"/>
            <family val="2"/>
          </rPr>
          <t xml:space="preserve"> </t>
        </r>
        <r>
          <rPr>
            <b/>
            <sz val="8"/>
            <color indexed="81"/>
            <rFont val="Tahoma"/>
            <family val="2"/>
          </rPr>
          <t>Project Name</t>
        </r>
        <r>
          <rPr>
            <sz val="8"/>
            <color indexed="81"/>
            <rFont val="Tahoma"/>
            <family val="2"/>
          </rPr>
          <t>, as multiple names cannot be collected by our system.</t>
        </r>
      </text>
    </comment>
    <comment ref="M8" authorId="0" shapeId="0">
      <text>
        <r>
          <rPr>
            <sz val="8"/>
            <color indexed="81"/>
            <rFont val="Tahoma"/>
            <family val="2"/>
          </rPr>
          <t xml:space="preserve">Select either </t>
        </r>
        <r>
          <rPr>
            <b/>
            <sz val="8"/>
            <color indexed="81"/>
            <rFont val="Tahoma"/>
            <family val="2"/>
          </rPr>
          <t xml:space="preserve">'Conventional' </t>
        </r>
        <r>
          <rPr>
            <sz val="8"/>
            <color indexed="81"/>
            <rFont val="Tahoma"/>
            <family val="2"/>
          </rPr>
          <t xml:space="preserve">for standard 'human translation' or </t>
        </r>
        <r>
          <rPr>
            <b/>
            <sz val="8"/>
            <color indexed="81"/>
            <rFont val="Tahoma"/>
            <family val="2"/>
          </rPr>
          <t>'MT post-edit'</t>
        </r>
        <r>
          <rPr>
            <sz val="8"/>
            <color indexed="81"/>
            <rFont val="Tahoma"/>
            <family val="2"/>
          </rPr>
          <t xml:space="preserve"> if the translation was produced as post-editing Machine Translation output.</t>
        </r>
      </text>
    </comment>
    <comment ref="M9" authorId="0" shapeId="0">
      <text>
        <r>
          <rPr>
            <b/>
            <sz val="8"/>
            <color indexed="81"/>
            <rFont val="Tahoma"/>
            <family val="2"/>
          </rPr>
          <t>'Standard'</t>
        </r>
        <r>
          <rPr>
            <sz val="8"/>
            <color indexed="81"/>
            <rFont val="Tahoma"/>
            <family val="2"/>
          </rPr>
          <t xml:space="preserve"> option was set by default here, as TQA plugin automatically generates TQA in reports generated by the app. </t>
        </r>
      </text>
    </comment>
    <comment ref="C10" authorId="0" shapeId="0">
      <text>
        <r>
          <rPr>
            <sz val="8"/>
            <color indexed="81"/>
            <rFont val="Tahoma"/>
            <family val="2"/>
          </rPr>
          <t xml:space="preserve">Only dates with the </t>
        </r>
        <r>
          <rPr>
            <b/>
            <u/>
            <sz val="8"/>
            <color indexed="81"/>
            <rFont val="Tahoma"/>
            <family val="2"/>
          </rPr>
          <t>current month</t>
        </r>
        <r>
          <rPr>
            <sz val="8"/>
            <color indexed="81"/>
            <rFont val="Tahoma"/>
            <family val="2"/>
          </rPr>
          <t xml:space="preserve"> are accepted. Any future or past dates are automatically rejected by the system.  
We recommend using keyboard shortcut:
 (</t>
        </r>
        <r>
          <rPr>
            <b/>
            <sz val="8"/>
            <color indexed="81"/>
            <rFont val="Tahoma"/>
            <family val="2"/>
            <charset val="238"/>
          </rPr>
          <t xml:space="preserve">CTRL </t>
        </r>
        <r>
          <rPr>
            <sz val="8"/>
            <color indexed="81"/>
            <rFont val="Tahoma"/>
            <family val="2"/>
          </rPr>
          <t xml:space="preserve">+ </t>
        </r>
        <r>
          <rPr>
            <b/>
            <sz val="8"/>
            <color indexed="81"/>
            <rFont val="Tahoma"/>
            <family val="2"/>
            <charset val="238"/>
          </rPr>
          <t>;</t>
        </r>
        <r>
          <rPr>
            <sz val="8"/>
            <color indexed="81"/>
            <rFont val="Tahoma"/>
            <family val="2"/>
          </rPr>
          <t>) to insert current date automatically.</t>
        </r>
      </text>
    </comment>
    <comment ref="M10" authorId="0" shapeId="0">
      <text>
        <r>
          <rPr>
            <sz val="8"/>
            <color indexed="81"/>
            <rFont val="Tahoma"/>
            <family val="2"/>
          </rPr>
          <t xml:space="preserve">Enter the number of evaluated words. Word count from </t>
        </r>
        <r>
          <rPr>
            <b/>
            <sz val="8"/>
            <color indexed="81"/>
            <rFont val="Tahoma"/>
            <family val="2"/>
            <charset val="238"/>
          </rPr>
          <t>Source Text</t>
        </r>
        <r>
          <rPr>
            <sz val="8"/>
            <color indexed="81"/>
            <rFont val="Tahoma"/>
            <family val="2"/>
          </rPr>
          <t xml:space="preserve"> should be used.</t>
        </r>
      </text>
    </comment>
  </commentList>
</comments>
</file>

<file path=xl/sharedStrings.xml><?xml version="1.0" encoding="utf-8"?>
<sst xmlns="http://schemas.openxmlformats.org/spreadsheetml/2006/main" count="3611" uniqueCount="3398">
  <si>
    <t>Client name</t>
  </si>
  <si>
    <t>Date</t>
  </si>
  <si>
    <t>Section evaluated</t>
  </si>
  <si>
    <t>Quality Scoring Matrix</t>
  </si>
  <si>
    <t>Style</t>
  </si>
  <si>
    <t>Punctuation</t>
  </si>
  <si>
    <t>Translator name</t>
  </si>
  <si>
    <t>Evaluator name</t>
  </si>
  <si>
    <t>Reviewer name</t>
  </si>
  <si>
    <t>Below standard</t>
  </si>
  <si>
    <t>Above standard</t>
  </si>
  <si>
    <t>Source text</t>
  </si>
  <si>
    <t>Final decision</t>
  </si>
  <si>
    <t>Target language</t>
  </si>
  <si>
    <t>Source language</t>
  </si>
  <si>
    <t>Severity</t>
  </si>
  <si>
    <t>File name</t>
  </si>
  <si>
    <t>Original translation</t>
  </si>
  <si>
    <t>Revised translation</t>
  </si>
  <si>
    <t>Response to revision</t>
  </si>
  <si>
    <t>Comments</t>
  </si>
  <si>
    <t>Error category</t>
  </si>
  <si>
    <t>Segment / line</t>
  </si>
  <si>
    <t>Enter file name</t>
  </si>
  <si>
    <t>Enter segment number or line number for reference</t>
  </si>
  <si>
    <t>Paste in source text</t>
  </si>
  <si>
    <t>Paste in original translation</t>
  </si>
  <si>
    <t>Use the dropdown list in each cell to select the appropriate category of error</t>
  </si>
  <si>
    <t>Use the dropdown list in each cell to select the appropriate level of error severity</t>
  </si>
  <si>
    <t>Reason if not accepted</t>
  </si>
  <si>
    <t>Leave this column blank for the Quality Manager to complete</t>
  </si>
  <si>
    <t>Omission</t>
  </si>
  <si>
    <t>Minor Error</t>
  </si>
  <si>
    <t>Error Category</t>
  </si>
  <si>
    <t>Weighted
Error Points</t>
  </si>
  <si>
    <t>Amharic</t>
  </si>
  <si>
    <t>Assamese</t>
  </si>
  <si>
    <t>Basque</t>
  </si>
  <si>
    <t>Bengali</t>
  </si>
  <si>
    <t>Bosnian</t>
  </si>
  <si>
    <t>Bulgarian</t>
  </si>
  <si>
    <t>Burmese</t>
  </si>
  <si>
    <t>Catalan</t>
  </si>
  <si>
    <t>Chinese - Traditional</t>
  </si>
  <si>
    <t>Croatian</t>
  </si>
  <si>
    <t>Czech</t>
  </si>
  <si>
    <t>Danish</t>
  </si>
  <si>
    <t>Dutch - Netherlands</t>
  </si>
  <si>
    <t>English - UK</t>
  </si>
  <si>
    <t>English - US</t>
  </si>
  <si>
    <t>Estonian</t>
  </si>
  <si>
    <t>Farsi</t>
  </si>
  <si>
    <t>Finnish</t>
  </si>
  <si>
    <t>French - France</t>
  </si>
  <si>
    <t>Gaelic Irish</t>
  </si>
  <si>
    <t>Galician</t>
  </si>
  <si>
    <t>Georgian</t>
  </si>
  <si>
    <t>Greek</t>
  </si>
  <si>
    <t>Gujarati</t>
  </si>
  <si>
    <t>Hebrew</t>
  </si>
  <si>
    <t>Hindi</t>
  </si>
  <si>
    <t>Hungarian</t>
  </si>
  <si>
    <t>Icelandic</t>
  </si>
  <si>
    <t>Indonesian</t>
  </si>
  <si>
    <t>Japanese</t>
  </si>
  <si>
    <t>Kannada</t>
  </si>
  <si>
    <t>Kazakh</t>
  </si>
  <si>
    <t>Khmer</t>
  </si>
  <si>
    <t>Korean</t>
  </si>
  <si>
    <t>Lao</t>
  </si>
  <si>
    <t>Latvian</t>
  </si>
  <si>
    <t>Lithuanian</t>
  </si>
  <si>
    <t>Macedonian</t>
  </si>
  <si>
    <t>Malay</t>
  </si>
  <si>
    <t>Malayalam</t>
  </si>
  <si>
    <t>Maltese</t>
  </si>
  <si>
    <t>Marathi</t>
  </si>
  <si>
    <t>Nepali</t>
  </si>
  <si>
    <t>Norwegian</t>
  </si>
  <si>
    <t>Oriya</t>
  </si>
  <si>
    <t>Polish</t>
  </si>
  <si>
    <t>Romanian</t>
  </si>
  <si>
    <t>Serbian - Cyrillic</t>
  </si>
  <si>
    <t>Serbian - Latin</t>
  </si>
  <si>
    <t>Sinhala</t>
  </si>
  <si>
    <t>Slovak</t>
  </si>
  <si>
    <t>Slovenian</t>
  </si>
  <si>
    <t>Somali</t>
  </si>
  <si>
    <t>Spanish - International</t>
  </si>
  <si>
    <t>Spanish - Latin American</t>
  </si>
  <si>
    <t>Spanish - Spain</t>
  </si>
  <si>
    <t>Tagalog</t>
  </si>
  <si>
    <t>Telugu</t>
  </si>
  <si>
    <t>Thai</t>
  </si>
  <si>
    <t>Turkish</t>
  </si>
  <si>
    <t>Ukrainian</t>
  </si>
  <si>
    <t>Urdu</t>
  </si>
  <si>
    <t>Vietnamese</t>
  </si>
  <si>
    <t>Afrikaans</t>
  </si>
  <si>
    <t>Albanian</t>
  </si>
  <si>
    <t>Armenian</t>
  </si>
  <si>
    <t>Azerbaijani</t>
  </si>
  <si>
    <t>Belarusian</t>
  </si>
  <si>
    <t>Cebuano</t>
  </si>
  <si>
    <t>Creole - Haitian</t>
  </si>
  <si>
    <t>Dari</t>
  </si>
  <si>
    <t>Filipino</t>
  </si>
  <si>
    <t>Hausa</t>
  </si>
  <si>
    <t>Hmong</t>
  </si>
  <si>
    <t>Inuktitut</t>
  </si>
  <si>
    <t>Javanese</t>
  </si>
  <si>
    <t>Kurdish - Kurmanji</t>
  </si>
  <si>
    <t>Kurdish - Sorani</t>
  </si>
  <si>
    <t>Latin</t>
  </si>
  <si>
    <t>Maori</t>
  </si>
  <si>
    <t>Moldovian</t>
  </si>
  <si>
    <t>Mongolian</t>
  </si>
  <si>
    <t>Papiamentu</t>
  </si>
  <si>
    <t>Pashto</t>
  </si>
  <si>
    <t>Portuguese - Portugal</t>
  </si>
  <si>
    <t>Sesotho</t>
  </si>
  <si>
    <t>Swahili</t>
  </si>
  <si>
    <t>Uzbek</t>
  </si>
  <si>
    <t>Welsh</t>
  </si>
  <si>
    <t>Xhosa</t>
  </si>
  <si>
    <t>Yoruba</t>
  </si>
  <si>
    <t>Zulu</t>
  </si>
  <si>
    <t>Spanish - Puerto Rico</t>
  </si>
  <si>
    <t>English - Canada</t>
  </si>
  <si>
    <t>French - Belgium</t>
  </si>
  <si>
    <t>Conventional</t>
  </si>
  <si>
    <r>
      <t xml:space="preserve">Original translator should enter whether the </t>
    </r>
    <r>
      <rPr>
        <b/>
        <sz val="9"/>
        <rFont val="Arial"/>
        <family val="2"/>
      </rPr>
      <t xml:space="preserve">error or its classification and severity </t>
    </r>
    <r>
      <rPr>
        <sz val="9"/>
        <rFont val="Arial"/>
        <family val="2"/>
      </rPr>
      <t>are accepted or not</t>
    </r>
  </si>
  <si>
    <r>
      <t xml:space="preserve">If the </t>
    </r>
    <r>
      <rPr>
        <b/>
        <sz val="9"/>
        <rFont val="Arial"/>
        <family val="2"/>
      </rPr>
      <t>error or its classification and severity are NOT accepted</t>
    </r>
    <r>
      <rPr>
        <sz val="9"/>
        <rFont val="Arial"/>
        <family val="2"/>
      </rPr>
      <t>, provide reasons and all necessary details</t>
    </r>
  </si>
  <si>
    <t>Reason for decision</t>
  </si>
  <si>
    <t>External Vendor</t>
  </si>
  <si>
    <t>Acholi</t>
  </si>
  <si>
    <t>Akan</t>
  </si>
  <si>
    <t>Bemba</t>
  </si>
  <si>
    <t>Bengali - Bangladesh</t>
  </si>
  <si>
    <t>Chewa</t>
  </si>
  <si>
    <t>Chinese - HongKong</t>
  </si>
  <si>
    <t>Dutch - Belgian</t>
  </si>
  <si>
    <t>Ebira</t>
  </si>
  <si>
    <t>English - Australian</t>
  </si>
  <si>
    <t>English - International</t>
  </si>
  <si>
    <t>English - New Zealand</t>
  </si>
  <si>
    <t>English - South Africa</t>
  </si>
  <si>
    <t>French - Luxembourg</t>
  </si>
  <si>
    <t>French - Swiss</t>
  </si>
  <si>
    <t>Gaelic Scots</t>
  </si>
  <si>
    <t>German - Austrian</t>
  </si>
  <si>
    <t>German - Swiss</t>
  </si>
  <si>
    <t>Guarani</t>
  </si>
  <si>
    <t>Ibanag</t>
  </si>
  <si>
    <t>Igbo</t>
  </si>
  <si>
    <t>Ilocano</t>
  </si>
  <si>
    <t>Italian - Switzerland</t>
  </si>
  <si>
    <t>Kirghiz</t>
  </si>
  <si>
    <t>Kituba</t>
  </si>
  <si>
    <t>Konkani</t>
  </si>
  <si>
    <t>Lingala</t>
  </si>
  <si>
    <t>Luxembourgish</t>
  </si>
  <si>
    <t>Malagasy</t>
  </si>
  <si>
    <t>Norwegian - Nynorsk</t>
  </si>
  <si>
    <t>Oromo</t>
  </si>
  <si>
    <t>Punjabi - Indian</t>
  </si>
  <si>
    <t>Punjabi - Pakistani</t>
  </si>
  <si>
    <t>Samoan</t>
  </si>
  <si>
    <t>Shona</t>
  </si>
  <si>
    <t>Spanish - Bolivia</t>
  </si>
  <si>
    <t>Spanish - Chilean</t>
  </si>
  <si>
    <t>Spanish - Colombian</t>
  </si>
  <si>
    <t>Spanish - Cuban</t>
  </si>
  <si>
    <t>Spanish - Mexican</t>
  </si>
  <si>
    <t>Spanish - Nicaragua</t>
  </si>
  <si>
    <t>Spanish - Uruguayan</t>
  </si>
  <si>
    <t>Sundanese</t>
  </si>
  <si>
    <t>Tajik</t>
  </si>
  <si>
    <t>Tatar</t>
  </si>
  <si>
    <t>Tigrinya</t>
  </si>
  <si>
    <t>Tswana</t>
  </si>
  <si>
    <t>Turkmen</t>
  </si>
  <si>
    <t>Uighur</t>
  </si>
  <si>
    <t>Uzbek (Latin)</t>
  </si>
  <si>
    <t>Valencian</t>
  </si>
  <si>
    <t>Final result</t>
  </si>
  <si>
    <t>AARP</t>
  </si>
  <si>
    <t>ABB Ltd</t>
  </si>
  <si>
    <t>ABN AMRO Holding N.V.</t>
  </si>
  <si>
    <t>Accenture Ltd</t>
  </si>
  <si>
    <t>Acer Corporation</t>
  </si>
  <si>
    <t>ADP</t>
  </si>
  <si>
    <t>Adobe Systems Incorporated</t>
  </si>
  <si>
    <t>Aegon N.V.</t>
  </si>
  <si>
    <t>AGCO Corporation</t>
  </si>
  <si>
    <t>American Heart Association, Inc.</t>
  </si>
  <si>
    <t>American International Group, Inc.</t>
  </si>
  <si>
    <t>Abbott Laboratories</t>
  </si>
  <si>
    <t>Allianz SE</t>
  </si>
  <si>
    <t>Allergan, Inc.</t>
  </si>
  <si>
    <t>Alpiq Holding Ltd</t>
  </si>
  <si>
    <t>Alfa Laval Corporate AB</t>
  </si>
  <si>
    <t>Alticor, Inc.</t>
  </si>
  <si>
    <t>American Express Company</t>
  </si>
  <si>
    <t>Amazon.Com Inc</t>
  </si>
  <si>
    <t>All Nippon Airways Co., Ltd.</t>
  </si>
  <si>
    <t>Applied Materials, Inc.</t>
  </si>
  <si>
    <t>Air Products</t>
  </si>
  <si>
    <t>Apple Inc.</t>
  </si>
  <si>
    <t>ArcelorMittal</t>
  </si>
  <si>
    <t>ASTM International</t>
  </si>
  <si>
    <t>AstraZeneca PLC</t>
  </si>
  <si>
    <t>Atlas Copco AB</t>
  </si>
  <si>
    <t>Avaya Inc</t>
  </si>
  <si>
    <t>Aviva plc</t>
  </si>
  <si>
    <t>AXA</t>
  </si>
  <si>
    <t>Buy4Now Ltd.</t>
  </si>
  <si>
    <t>Barclays PLC</t>
  </si>
  <si>
    <t>Bayer AG</t>
  </si>
  <si>
    <t>Banco Bilbao Vizcaya Argentaria, S.A.</t>
  </si>
  <si>
    <t>Best Buy Co., Inc</t>
  </si>
  <si>
    <t>Blue Cross and Blue Shield Association</t>
  </si>
  <si>
    <t>The Boston Consulting Group Inc</t>
  </si>
  <si>
    <t>Beckman Coulter, Inc.</t>
  </si>
  <si>
    <t>Becton, Dickinson and Company</t>
  </si>
  <si>
    <t>Bechtle AG</t>
  </si>
  <si>
    <t>Bentley Systems Inc.</t>
  </si>
  <si>
    <t>Bank of America Corporation</t>
  </si>
  <si>
    <t>Belkin International, Inc.</t>
  </si>
  <si>
    <t>Bloomberg L.P.</t>
  </si>
  <si>
    <t>Bristol-Myers Squibb Company</t>
  </si>
  <si>
    <t>BNP Paribas SA</t>
  </si>
  <si>
    <t>The Boeing Company</t>
  </si>
  <si>
    <t>Robert Bosch GmbH</t>
  </si>
  <si>
    <t>Box Inc.</t>
  </si>
  <si>
    <t>Bose Corporation</t>
  </si>
  <si>
    <t>BT Group plc</t>
  </si>
  <si>
    <t>Best Western International, Inc.</t>
  </si>
  <si>
    <t>Cardinal Health, Inc.</t>
  </si>
  <si>
    <t>Canon Inc</t>
  </si>
  <si>
    <t>Casio Computer Co., Ltd</t>
  </si>
  <si>
    <t>The Coca Cola Company</t>
  </si>
  <si>
    <t xml:space="preserve">ANALYSIS &amp; DESIGN APPLICATION CO. LTD. </t>
  </si>
  <si>
    <t>CONRAD Holding</t>
  </si>
  <si>
    <t>Church Of Scientology International</t>
  </si>
  <si>
    <t>CitiGroup Inc</t>
  </si>
  <si>
    <t>The McGraw-Hill Companies, Inc.</t>
  </si>
  <si>
    <t>Curiosity Media, Inc.</t>
  </si>
  <si>
    <t>CNH Global N.V.</t>
  </si>
  <si>
    <t>Cochlear Limited</t>
  </si>
  <si>
    <t>Colgate Palmolive</t>
  </si>
  <si>
    <t>Computershare Limited</t>
  </si>
  <si>
    <t>Credit Agricole SA</t>
  </si>
  <si>
    <t>Credit Suisse Group</t>
  </si>
  <si>
    <t>Canadian Tire Corporation, Limited</t>
  </si>
  <si>
    <t>Cymer, Inc.</t>
  </si>
  <si>
    <t>Cognizant Technology Solutions Corporation</t>
  </si>
  <si>
    <t>Desire2Learn Incorporated</t>
  </si>
  <si>
    <t>DAISO Industries Co., Ltd.</t>
  </si>
  <si>
    <t>Dassault Systemes SA</t>
  </si>
  <si>
    <t>Dell Incorporated</t>
  </si>
  <si>
    <t>Danaher Corporation</t>
  </si>
  <si>
    <t>Dätwyler Führungs AG</t>
  </si>
  <si>
    <t>Danish Government</t>
  </si>
  <si>
    <t>Deltek, Inc.</t>
  </si>
  <si>
    <t>Deloitte Touche Tohmatsu</t>
  </si>
  <si>
    <t>Dai Nippon Printing Co Ltd</t>
  </si>
  <si>
    <t>Denso Corporation</t>
  </si>
  <si>
    <t>Walt Disney Company (The)</t>
  </si>
  <si>
    <t>Eaton Corporation</t>
  </si>
  <si>
    <t>Ebsco Industries Inc</t>
  </si>
  <si>
    <t>eBay Inc</t>
  </si>
  <si>
    <t>Edan Instruments, Inc.</t>
  </si>
  <si>
    <t>Emerson Electric Co</t>
  </si>
  <si>
    <t>Effectory B.V.</t>
  </si>
  <si>
    <t>ESG Group</t>
  </si>
  <si>
    <t>Electrocomponents plc</t>
  </si>
  <si>
    <t>Eldon Holding Aktiebolag</t>
  </si>
  <si>
    <t>Elekta AB</t>
  </si>
  <si>
    <t>The Emirates Group</t>
  </si>
  <si>
    <t>Enterprise Rent-A-Car Company</t>
  </si>
  <si>
    <t>European Patent Office</t>
  </si>
  <si>
    <t>Epocal, Inc.</t>
  </si>
  <si>
    <t>European Union</t>
  </si>
  <si>
    <t>EUS Holdings LTD</t>
  </si>
  <si>
    <t>Expedia, Inc.</t>
  </si>
  <si>
    <t>Experian plc.</t>
  </si>
  <si>
    <t>Exxon Mobil Corporation</t>
  </si>
  <si>
    <t>Fair Isaac Corporation</t>
  </si>
  <si>
    <t>Forrester Research Inc.</t>
  </si>
  <si>
    <t>F Hoffman - La Roche Ltd</t>
  </si>
  <si>
    <t>Fidelity National Information Services, Inc</t>
  </si>
  <si>
    <t>Thermo Fisher Scientific Inc</t>
  </si>
  <si>
    <t>Flexlink</t>
  </si>
  <si>
    <t>FLIR Systems, Inc.</t>
  </si>
  <si>
    <t>Factory Mutual Insurance Company</t>
  </si>
  <si>
    <t>Manulife Financial Corp (Financière Manuvie)</t>
  </si>
  <si>
    <t>Prima Industrie Spa</t>
  </si>
  <si>
    <t>Ford Motor Co</t>
  </si>
  <si>
    <t>Fresenius Group</t>
  </si>
  <si>
    <t>France Telecom SA</t>
  </si>
  <si>
    <t>FUJIFILM Holding Corporation</t>
  </si>
  <si>
    <t>Fujitsu Limited</t>
  </si>
  <si>
    <t>General Atomic Technologies Corporation</t>
  </si>
  <si>
    <t>GOCOMPARE.COM LTD</t>
  </si>
  <si>
    <t>General Dynamics Corporation</t>
  </si>
  <si>
    <t>Getty Images, inc</t>
  </si>
  <si>
    <t>Google Inc.</t>
  </si>
  <si>
    <t>Gallup Inc</t>
  </si>
  <si>
    <t>General Motors Corporation</t>
  </si>
  <si>
    <t>General Mills, Inc.</t>
  </si>
  <si>
    <t>GP Strategies Corporation</t>
  </si>
  <si>
    <t>Garmin Ltd</t>
  </si>
  <si>
    <t xml:space="preserve">Groupama SA </t>
  </si>
  <si>
    <t>Gerber Scientific, Inc</t>
  </si>
  <si>
    <t>The Goodyear Tire &amp; Rubber Company</t>
  </si>
  <si>
    <t>Government of Canada</t>
  </si>
  <si>
    <t>Guidewire Software Inc.</t>
  </si>
  <si>
    <t>Hasbro, Inc.</t>
  </si>
  <si>
    <t>Honda Motor Co. Ltd</t>
  </si>
  <si>
    <t>Dr. Johannes Heidenhain GmbH</t>
  </si>
  <si>
    <t>Henkel KGaA</t>
  </si>
  <si>
    <t>Hewlett-Packard Company</t>
  </si>
  <si>
    <t>Hitachi Ltd.</t>
  </si>
  <si>
    <t>Hyundai Mnsoft, Inc.</t>
  </si>
  <si>
    <t>Homag Holzbearbeitungssysteme AG</t>
  </si>
  <si>
    <t>Honeywell International Inc.</t>
  </si>
  <si>
    <t>Hill-Rom Holdings, Inc.</t>
  </si>
  <si>
    <t>HSBC Holdings plc</t>
  </si>
  <si>
    <t xml:space="preserve">Hosteling International </t>
  </si>
  <si>
    <t>Huawei Technologies Co., Ltd</t>
  </si>
  <si>
    <t>Husqvarna AB</t>
  </si>
  <si>
    <t>Hyundai Motor Company</t>
  </si>
  <si>
    <t>Iberdrola Group</t>
  </si>
  <si>
    <t>IFS AB</t>
  </si>
  <si>
    <t>ING Groep N.V.</t>
  </si>
  <si>
    <t>IHS Inc.</t>
  </si>
  <si>
    <t>Informatica Corporation</t>
  </si>
  <si>
    <t>Ipsos S.A.</t>
  </si>
  <si>
    <t>Intel Corporation</t>
  </si>
  <si>
    <t>Intuit Inc.</t>
  </si>
  <si>
    <t>Japan Airlines Co., Ltd.</t>
  </si>
  <si>
    <t>J C Bamford Excavators Ltd.</t>
  </si>
  <si>
    <t>Tata Motors Limited</t>
  </si>
  <si>
    <t>Johnson &amp; Johnson</t>
  </si>
  <si>
    <t>JP Morgan Chase &amp; Co</t>
  </si>
  <si>
    <t>Juniper Networks Inc.</t>
  </si>
  <si>
    <t>KAESER Kompressoren SE</t>
  </si>
  <si>
    <t>Kimberly-Clark Corporation</t>
  </si>
  <si>
    <t>Kinetic Concepts, Inc.</t>
  </si>
  <si>
    <t>Eastman Kodak Company</t>
  </si>
  <si>
    <t>Keyence Corporation.</t>
  </si>
  <si>
    <t>Kion Group GmbH</t>
  </si>
  <si>
    <t>Klöckner-Werke AG</t>
  </si>
  <si>
    <t>Kellogg Company</t>
  </si>
  <si>
    <t>Konica Minolta, Inc</t>
  </si>
  <si>
    <t>Komatsu Ltd</t>
  </si>
  <si>
    <t>Kongsberg Gruppen ASA</t>
  </si>
  <si>
    <t>Kaiser Permanente</t>
  </si>
  <si>
    <t>KSB AG</t>
  </si>
  <si>
    <t>Kaspersky Lab</t>
  </si>
  <si>
    <t>Kawasaki Heavy Industries, Ltd.</t>
  </si>
  <si>
    <t>Kubota Corporation</t>
  </si>
  <si>
    <t>KUKA AG</t>
  </si>
  <si>
    <t>Linde AG</t>
  </si>
  <si>
    <t>Laitram Corporation</t>
  </si>
  <si>
    <t>Lam Research Corporation</t>
  </si>
  <si>
    <t>Lazard Ltd</t>
  </si>
  <si>
    <t>Loblaw Companies Limited</t>
  </si>
  <si>
    <t>LDS Church</t>
  </si>
  <si>
    <t>Lexmark International Inc.</t>
  </si>
  <si>
    <t>LG Group</t>
  </si>
  <si>
    <t>LinkedIn Corporation</t>
  </si>
  <si>
    <t>Lloyd's Register Group</t>
  </si>
  <si>
    <t>LVMH Moët Hennessy Louis Vuitton S.A.</t>
  </si>
  <si>
    <t>Lenovo Group Limited</t>
  </si>
  <si>
    <t>Marks &amp; Spencer plc</t>
  </si>
  <si>
    <t xml:space="preserve">A.P. Møller - Mærsk A/S </t>
  </si>
  <si>
    <t>Manutan International</t>
  </si>
  <si>
    <t>McKinsey &amp; Company</t>
  </si>
  <si>
    <t>Medtronic Inc.</t>
  </si>
  <si>
    <t>Micro Focus International plc</t>
  </si>
  <si>
    <t>McLaren Group Ltd.</t>
  </si>
  <si>
    <t>Microsoft Corporation</t>
  </si>
  <si>
    <t>Mitsubishi UFJ Financial Group, Inc.</t>
  </si>
  <si>
    <t>Mitsubishi Electric Corporation</t>
  </si>
  <si>
    <t>McKesson Corporation</t>
  </si>
  <si>
    <t>Marsh &amp; McLennan Companies, Inc.</t>
  </si>
  <si>
    <t>MAN AG</t>
  </si>
  <si>
    <t>Morgan Stanley</t>
  </si>
  <si>
    <t>MAPI Research Institute</t>
  </si>
  <si>
    <t>Manpower Inc.</t>
  </si>
  <si>
    <t>Montgomery Public Schools</t>
  </si>
  <si>
    <t>Maruboshi Co., Ltd</t>
  </si>
  <si>
    <t>Merck &amp; Co, Inc.</t>
  </si>
  <si>
    <t>Münchener Rückversicherungs-Gesellschaft AG</t>
  </si>
  <si>
    <t>Motorola Inc.</t>
  </si>
  <si>
    <t>Mindray Medical International Limited</t>
  </si>
  <si>
    <t>Misumi Group Inc</t>
  </si>
  <si>
    <t>Mattel Inc</t>
  </si>
  <si>
    <t>Network Appliance, Inc.</t>
  </si>
  <si>
    <t>NBC Universal, Inc.</t>
  </si>
  <si>
    <t>Nestle S.A.</t>
  </si>
  <si>
    <t>NETGEAR, Inc.</t>
  </si>
  <si>
    <t>Nike, Inc.</t>
  </si>
  <si>
    <t>Nippon Telegraph &amp; Telephone Corporation</t>
  </si>
  <si>
    <t>Northrop Grumman Corporation</t>
  </si>
  <si>
    <t>Novartis AG</t>
  </si>
  <si>
    <t>Omnicom Group Inc.</t>
  </si>
  <si>
    <t>Oki Electric Industry Company, Limited</t>
  </si>
  <si>
    <t>Omron Corporation</t>
  </si>
  <si>
    <t>Oracle Corporation</t>
  </si>
  <si>
    <t>Others</t>
  </si>
  <si>
    <t>Otto GmbH &amp; Co KG</t>
  </si>
  <si>
    <t>Paccar Inc</t>
  </si>
  <si>
    <t>Panasonic Corporation</t>
  </si>
  <si>
    <t>PepsiCo. Inc.</t>
  </si>
  <si>
    <t>Publicis Groupe S.A.</t>
  </si>
  <si>
    <t>Pitney Bowes Inc</t>
  </si>
  <si>
    <t>PerkinElmer Inc.</t>
  </si>
  <si>
    <t>Plantronics Inc</t>
  </si>
  <si>
    <t>Dr. Ing. H.c.F Porsche AG</t>
  </si>
  <si>
    <t>Pepperl+Fuchs GmbH</t>
  </si>
  <si>
    <t>Pearson plc</t>
  </si>
  <si>
    <t>Prudential plc</t>
  </si>
  <si>
    <t>PSA Peugeot Citroen SA</t>
  </si>
  <si>
    <t>PricewaterhouseCoopers International Ltd</t>
  </si>
  <si>
    <t>PAREXEL International Corporation</t>
  </si>
  <si>
    <t>Quorum Review</t>
  </si>
  <si>
    <t>Quest  Software Inc.</t>
  </si>
  <si>
    <t>Ritchie Bros. Auctioneers</t>
  </si>
  <si>
    <t>Roche Holding AG</t>
  </si>
  <si>
    <t>Red Hat Inc.</t>
  </si>
  <si>
    <t>Rieter Holding AG</t>
  </si>
  <si>
    <t>Rockwell Automation Inc</t>
  </si>
  <si>
    <t>R.R. Donnelley &amp; Sons Company</t>
  </si>
  <si>
    <t>Safaba Translation Solutions</t>
  </si>
  <si>
    <t>Samsung Group</t>
  </si>
  <si>
    <t>SAP AG</t>
  </si>
  <si>
    <t>Sandvik AB</t>
  </si>
  <si>
    <t>Schaeffler KG</t>
  </si>
  <si>
    <t>Schneider Electric SA</t>
  </si>
  <si>
    <t>Salesforce.com, inc.</t>
  </si>
  <si>
    <t>SHIN Corporation</t>
  </si>
  <si>
    <t>Siemens AG</t>
  </si>
  <si>
    <t>SKF AB</t>
  </si>
  <si>
    <t>Starbucks Corporation</t>
  </si>
  <si>
    <t>Semcon AB</t>
  </si>
  <si>
    <t>SNC-Lavalin Group Inc.</t>
  </si>
  <si>
    <t>Sonoscape Co., Ltd.</t>
  </si>
  <si>
    <t>Sodexo</t>
  </si>
  <si>
    <t>Sony Corporation</t>
  </si>
  <si>
    <t>Spin Master Ltd</t>
  </si>
  <si>
    <t>Staples Inc.</t>
  </si>
  <si>
    <t>STMicroelectronics N.V</t>
  </si>
  <si>
    <t>Suzuki Motor Corporation</t>
  </si>
  <si>
    <t>Stryker Corporation</t>
  </si>
  <si>
    <t>Symantec Corporation</t>
  </si>
  <si>
    <t>Tata Group of Companies</t>
  </si>
  <si>
    <t>TA Associates, Inc.</t>
  </si>
  <si>
    <t>Terumo Corporation</t>
  </si>
  <si>
    <t>Texas Instruments Incorporated</t>
  </si>
  <si>
    <t>THK CO., LTD.</t>
  </si>
  <si>
    <t>Thales Group</t>
  </si>
  <si>
    <t>Thomson Reuters Corporation</t>
  </si>
  <si>
    <t>Tokio Marine Group</t>
  </si>
  <si>
    <t>TOTAL S.A.</t>
  </si>
  <si>
    <t>TripAdvisor, Inc.</t>
  </si>
  <si>
    <t>TPV Technology Limited</t>
  </si>
  <si>
    <t>T. Rowe Price Group, Inc</t>
  </si>
  <si>
    <t>The Sporting Exchange Ltd</t>
  </si>
  <si>
    <t>TomTom N.V.</t>
  </si>
  <si>
    <t>Turkish Airlines Inc.</t>
  </si>
  <si>
    <t>Toyota Motor Corporation</t>
  </si>
  <si>
    <t>UAL Corporation</t>
  </si>
  <si>
    <t>United Kingdom Government</t>
  </si>
  <si>
    <t>Underwriters Laboratories Inc.</t>
  </si>
  <si>
    <t>Unicredit</t>
  </si>
  <si>
    <t>United Nations</t>
  </si>
  <si>
    <t>UPM</t>
  </si>
  <si>
    <t>United States Federal Government</t>
  </si>
  <si>
    <t>Unisys Corporation</t>
  </si>
  <si>
    <t>Varian Medical Systems Inc</t>
  </si>
  <si>
    <t>Vemag Group</t>
  </si>
  <si>
    <t>Vital Images, Inc.</t>
  </si>
  <si>
    <t>VMware Inc.</t>
  </si>
  <si>
    <t>The Nielsen Company B.V.</t>
  </si>
  <si>
    <t>Visa Inc</t>
  </si>
  <si>
    <t>Volkswagen AG</t>
  </si>
  <si>
    <t>WellCare Health Plans Inc</t>
  </si>
  <si>
    <t>Welch Allyn Inc</t>
  </si>
  <si>
    <t>The Western Union Company</t>
  </si>
  <si>
    <t>Wells Fargo &amp; Company</t>
  </si>
  <si>
    <t>Wal-Mart Stores Inc.</t>
  </si>
  <si>
    <t>Wolf Oil Corporation NV</t>
  </si>
  <si>
    <t>Waters Technologies Corporation</t>
  </si>
  <si>
    <t>Adolf Würth GmbH &amp; Co. KG</t>
  </si>
  <si>
    <t>TAG WORLDWIDE GROUP LIMITED</t>
  </si>
  <si>
    <t>Yara International ASA</t>
  </si>
  <si>
    <t>Yokogawa Electric Corporation</t>
  </si>
  <si>
    <t>Chechen</t>
  </si>
  <si>
    <t>German - Germany</t>
  </si>
  <si>
    <t>Montenegrin</t>
  </si>
  <si>
    <t>Nigerian Pidgin</t>
  </si>
  <si>
    <t>Minor</t>
  </si>
  <si>
    <t>Weighting</t>
  </si>
  <si>
    <t>THRESHOLD</t>
  </si>
  <si>
    <t>Evaluator’s counter-feedback</t>
  </si>
  <si>
    <t>Not accepted</t>
  </si>
  <si>
    <t>Implementation stage</t>
  </si>
  <si>
    <t>Sign-off</t>
  </si>
  <si>
    <t>Implemented</t>
  </si>
  <si>
    <t>Not implemented</t>
  </si>
  <si>
    <t>Sign-off Stage - Implementation Rate</t>
  </si>
  <si>
    <t>Arbitration - Final Error Statistics</t>
  </si>
  <si>
    <t>Invalid</t>
  </si>
  <si>
    <t>Repeated</t>
  </si>
  <si>
    <t>Accudyne Industries LLC</t>
  </si>
  <si>
    <t>Akamai Technologies, Inc.</t>
  </si>
  <si>
    <t>amana inc.</t>
  </si>
  <si>
    <t>Pharmaceutical Product Development, LLC</t>
  </si>
  <si>
    <t>BlackRock, Inc</t>
  </si>
  <si>
    <t>Citec Oy Ab</t>
  </si>
  <si>
    <t>Deutsche Bank AG</t>
  </si>
  <si>
    <t>Development Dimensions International Inc</t>
  </si>
  <si>
    <t>Dometic WAECO International GmbH</t>
  </si>
  <si>
    <t>EuroControl</t>
  </si>
  <si>
    <t>Goldcorp Inc.</t>
  </si>
  <si>
    <t>H.I.S. Co., Ltd.</t>
  </si>
  <si>
    <t>Handwriting without Tears</t>
  </si>
  <si>
    <t>Kerry Group plc</t>
  </si>
  <si>
    <t>LION'S SHARE COMMUNICATION INC</t>
  </si>
  <si>
    <t>Learning Well, AB</t>
  </si>
  <si>
    <t>Province of Manitoba</t>
  </si>
  <si>
    <t>Nationwide Mutual Insurance Company</t>
  </si>
  <si>
    <t>Koninklijke Philips N.V</t>
  </si>
  <si>
    <t>Qisda Corporation</t>
  </si>
  <si>
    <t>Reliance Industries Limited</t>
  </si>
  <si>
    <t>Stockmann plc</t>
  </si>
  <si>
    <t>Sun Life Financial Inc.</t>
  </si>
  <si>
    <t>Synology Inc</t>
  </si>
  <si>
    <t>Tahzoo LLC</t>
  </si>
  <si>
    <t>Tesla Motors, Inc.</t>
  </si>
  <si>
    <t>United Technologies Corporation</t>
  </si>
  <si>
    <t>WPP plc</t>
  </si>
  <si>
    <t>WestJet Airlines Ltd.</t>
  </si>
  <si>
    <t>Wyndham Worldwide Corporation</t>
  </si>
  <si>
    <t>Zebra Technologies Corporation</t>
  </si>
  <si>
    <t>Zurich Insurance Group AG</t>
  </si>
  <si>
    <t>100% matches</t>
  </si>
  <si>
    <t>If the correction is not implemented.</t>
  </si>
  <si>
    <t>Not Implemented</t>
  </si>
  <si>
    <t>Reason if not implemented</t>
  </si>
  <si>
    <t>Not in compliance with client's instructions</t>
  </si>
  <si>
    <t xml:space="preserve">Inconsistent with previous translations </t>
  </si>
  <si>
    <t>Ab Sciex</t>
  </si>
  <si>
    <t>Abercrombie &amp; Fitch Co.</t>
  </si>
  <si>
    <t>ALIBABA</t>
  </si>
  <si>
    <t>Amgen Inc.</t>
  </si>
  <si>
    <t>ERIKS N.V</t>
  </si>
  <si>
    <t>FANUC CORPORATION</t>
  </si>
  <si>
    <t>Ferring B.V.</t>
  </si>
  <si>
    <t>George Weston Limited</t>
  </si>
  <si>
    <t>Gildan Activewear Inc.</t>
  </si>
  <si>
    <t>Global Business Travel</t>
  </si>
  <si>
    <t>HI CORPORATION</t>
  </si>
  <si>
    <t>KBC Group NV</t>
  </si>
  <si>
    <t>Molson Coors Brewing Company</t>
  </si>
  <si>
    <t>Udemy</t>
  </si>
  <si>
    <t>Zimmer Biomet Holdings, Inc</t>
  </si>
  <si>
    <t>Files &amp; TMs not available / owned by client</t>
  </si>
  <si>
    <t>Pass threshold</t>
  </si>
  <si>
    <t>Do NOT review</t>
  </si>
  <si>
    <t>Evaluation type</t>
  </si>
  <si>
    <t>3rd Party Evaluation (QE team)</t>
  </si>
  <si>
    <t>Follow up evaluation (QE team)</t>
  </si>
  <si>
    <t xml:space="preserve">Evaluation method </t>
  </si>
  <si>
    <t>Different type (none of above applicable)</t>
  </si>
  <si>
    <t>Critical</t>
  </si>
  <si>
    <t>Critical Error</t>
  </si>
  <si>
    <t>Laboratory Corporation of America Holdings</t>
  </si>
  <si>
    <t>ServiceNow</t>
  </si>
  <si>
    <t>GoPro, Inc.</t>
  </si>
  <si>
    <t>Brütsch Rüegger Holding AG</t>
  </si>
  <si>
    <t>SEVERITIES - DEFINITIONS</t>
  </si>
  <si>
    <t>Repeated Error</t>
  </si>
  <si>
    <t>Back &gt;</t>
  </si>
  <si>
    <t>Precision Ratio (100% max)</t>
  </si>
  <si>
    <t>Percentage of correct words 
in relation to total word count</t>
  </si>
  <si>
    <t>Abbvie Inc.</t>
  </si>
  <si>
    <t>Alto-Shaam, Inc.</t>
  </si>
  <si>
    <t>ASICS CORPORATION</t>
  </si>
  <si>
    <t>BlackBerry Ltd.</t>
  </si>
  <si>
    <t>Belmond Management Limited</t>
  </si>
  <si>
    <t>Canadian Standard Association (CSA)</t>
  </si>
  <si>
    <t>Tesco PLC</t>
  </si>
  <si>
    <t>Daktronics, Inc.</t>
  </si>
  <si>
    <t>E-Trade Financial Corporation</t>
  </si>
  <si>
    <t>Fortive Corporation</t>
  </si>
  <si>
    <t>GE Healthcare</t>
  </si>
  <si>
    <t>Geotab Inc.</t>
  </si>
  <si>
    <t>Home Hardware Stores Limited</t>
  </si>
  <si>
    <t>HP Inc.</t>
  </si>
  <si>
    <t>Hans Turck GmbH &amp; Co. KG</t>
  </si>
  <si>
    <t>Intralox, L.L.C</t>
  </si>
  <si>
    <t>JCB CO., LTD.</t>
  </si>
  <si>
    <t>Konecranes Oyj</t>
  </si>
  <si>
    <t>Lumileds</t>
  </si>
  <si>
    <t>Mary Kay, Inc.</t>
  </si>
  <si>
    <t>Michael Kors Holdings Limited</t>
  </si>
  <si>
    <t>Motorola Solutions, Inc.</t>
  </si>
  <si>
    <t>Monsanto Company</t>
  </si>
  <si>
    <t>Microchip Technology Inc.</t>
  </si>
  <si>
    <t>Netflix Inc.</t>
  </si>
  <si>
    <t xml:space="preserve">NetApp, Inc. </t>
  </si>
  <si>
    <t>Pharmascience Inc.</t>
  </si>
  <si>
    <t>Profound Medical</t>
  </si>
  <si>
    <t>PPD Global Ltd</t>
  </si>
  <si>
    <t>PRA Health Sciences, Inc.</t>
  </si>
  <si>
    <t>Raymond James Financial, Inc.</t>
  </si>
  <si>
    <t>SAI Global Pty Ltd.</t>
  </si>
  <si>
    <t>BANCO SANTANDER SA</t>
  </si>
  <si>
    <t>Sato Technology CO., LTD</t>
  </si>
  <si>
    <t>StarTech.com Ltd</t>
  </si>
  <si>
    <t>Swiss Reinsurance Company Ltd</t>
  </si>
  <si>
    <t>TransCanada Corporation</t>
  </si>
  <si>
    <t>Toppan Printing Co. Ltd.</t>
  </si>
  <si>
    <t>Tree of Life Inc.</t>
  </si>
  <si>
    <t>UEFA</t>
  </si>
  <si>
    <t>U&amp;I Learning</t>
  </si>
  <si>
    <t>Under Armour, Inc.</t>
  </si>
  <si>
    <t>Zoho Corporation</t>
  </si>
  <si>
    <t>Client Abbreviation</t>
  </si>
  <si>
    <t>Client Name</t>
  </si>
  <si>
    <t>Air China Ltd.</t>
  </si>
  <si>
    <t>Al-Futtaim Group</t>
  </si>
  <si>
    <t>Aktina Medical</t>
  </si>
  <si>
    <t>Arcelik Anonim Sirketi</t>
  </si>
  <si>
    <t>ARRIS Group, Inc.</t>
  </si>
  <si>
    <t>Arlo Technologies INC.</t>
  </si>
  <si>
    <t>ARKRAY, Inc.</t>
  </si>
  <si>
    <t>ASML</t>
  </si>
  <si>
    <t>Borusan Otomotiv</t>
  </si>
  <si>
    <t>ChargePoint, Inc.</t>
  </si>
  <si>
    <t>Centrica plc</t>
  </si>
  <si>
    <t>Ctrip</t>
  </si>
  <si>
    <t>Delta Electronics Inc.</t>
  </si>
  <si>
    <t>Direct General Corporation</t>
  </si>
  <si>
    <t>Donnelley Language Solutions</t>
  </si>
  <si>
    <t>DEPT Design &amp; Technology Ltd</t>
  </si>
  <si>
    <t>Elekta Beijing Medical Systems Co., Ltd.</t>
  </si>
  <si>
    <t>Epiroc</t>
  </si>
  <si>
    <t>EY Catalyst Limited</t>
  </si>
  <si>
    <t>The Fitch Group</t>
  </si>
  <si>
    <t>Flirt Communications</t>
  </si>
  <si>
    <t>Genesys Telecommunications Laboratories, Inc</t>
  </si>
  <si>
    <t>Janus Henderson Group plc</t>
  </si>
  <si>
    <t>Joint London Limited</t>
  </si>
  <si>
    <t>Kering</t>
  </si>
  <si>
    <t>KitchenAid Europa, Inc.</t>
  </si>
  <si>
    <t>LifePlus International</t>
  </si>
  <si>
    <t>Eli Lilly and Company</t>
  </si>
  <si>
    <t>MDC Partners Inc.</t>
  </si>
  <si>
    <t>Megger Group Limited</t>
  </si>
  <si>
    <t>Mobacar Limited</t>
  </si>
  <si>
    <t>MAPFRE, S.A.</t>
  </si>
  <si>
    <t>MSX International Inc</t>
  </si>
  <si>
    <t>NH Hoteles</t>
  </si>
  <si>
    <t>NIHON KOHDEN CORPORATION</t>
  </si>
  <si>
    <t>Oase GmbH</t>
  </si>
  <si>
    <t>OneTrust</t>
  </si>
  <si>
    <t>The Pokemon Company</t>
  </si>
  <si>
    <t>Radisson Hotel Group</t>
  </si>
  <si>
    <t>Refinitiv</t>
  </si>
  <si>
    <t>Rakuten, Inc</t>
  </si>
  <si>
    <t>Sandoz GmbH Novartis AG</t>
  </si>
  <si>
    <t>Scientific Games Corporation</t>
  </si>
  <si>
    <t>Shenzhen New Industries Biomeidical Engineering Co.,Ltd</t>
  </si>
  <si>
    <t>Sun Nuclear Corp.</t>
  </si>
  <si>
    <t>SUSE</t>
  </si>
  <si>
    <t>SERVIF s.r.l.</t>
  </si>
  <si>
    <t>Test</t>
  </si>
  <si>
    <t>Twilio Inc.</t>
  </si>
  <si>
    <t>Tweddle Group</t>
  </si>
  <si>
    <t>UP Global Sourcing UK Limited</t>
  </si>
  <si>
    <t>uvex group</t>
  </si>
  <si>
    <t>Varex Imaging Corporation</t>
  </si>
  <si>
    <t>Revision No.</t>
  </si>
  <si>
    <t>Translation Type</t>
  </si>
  <si>
    <t>Section Evaluated</t>
  </si>
  <si>
    <t>Source Language</t>
  </si>
  <si>
    <t>Target Language</t>
  </si>
  <si>
    <t>Translator Name</t>
  </si>
  <si>
    <t>Reviewer Name</t>
  </si>
  <si>
    <t>Evalutator Name</t>
  </si>
  <si>
    <t>Evaluation Method</t>
  </si>
  <si>
    <t>Word Count</t>
  </si>
  <si>
    <t>Pass/NoPass</t>
  </si>
  <si>
    <t>Y|N Review 100% Matches</t>
  </si>
  <si>
    <t>Arbitration-Accepted</t>
  </si>
  <si>
    <t>Arbitration-Not Accepted</t>
  </si>
  <si>
    <t>Not Accepted/Agreed</t>
  </si>
  <si>
    <t>Not Accepted/Disagreed</t>
  </si>
  <si>
    <t>Sign-Off-Implemented</t>
  </si>
  <si>
    <t>Sign-Off-Not Implemented</t>
  </si>
  <si>
    <t>Sign-Off-Invalid</t>
  </si>
  <si>
    <t>Sign-Off-Implementation Score</t>
  </si>
  <si>
    <t>File Name</t>
  </si>
  <si>
    <t>Etteplan Oyj</t>
  </si>
  <si>
    <t>DFS Group Ltd.</t>
  </si>
  <si>
    <t>Axalta Coating Systems</t>
  </si>
  <si>
    <t>E.ON SE</t>
  </si>
  <si>
    <t>Enel</t>
  </si>
  <si>
    <t>Alpha Sights Ltd</t>
  </si>
  <si>
    <t>Bakker Hillegom B.V.</t>
  </si>
  <si>
    <t>Carne Group</t>
  </si>
  <si>
    <t>Dechert LLP</t>
  </si>
  <si>
    <t>DEKA Research &amp; Development Corp.</t>
  </si>
  <si>
    <t>MotorTrend</t>
  </si>
  <si>
    <t>Columbia Threadneedle Investments</t>
  </si>
  <si>
    <t>Franklin Resources Inc.</t>
  </si>
  <si>
    <t>Moba B.V.</t>
  </si>
  <si>
    <t>Apollo Global Management</t>
  </si>
  <si>
    <t>The Goldman Sachs Group, Inc.</t>
  </si>
  <si>
    <t>Air Liquide S.A.</t>
  </si>
  <si>
    <t>Allan &amp; Overy LLP</t>
  </si>
  <si>
    <t>DLA Piper</t>
  </si>
  <si>
    <t>eDRAM</t>
  </si>
  <si>
    <t xml:space="preserve">Eisai Co., Ltd. </t>
  </si>
  <si>
    <t>Equatex Global</t>
  </si>
  <si>
    <t>HANetf</t>
  </si>
  <si>
    <t>Invesco Ltd</t>
  </si>
  <si>
    <t>Janus Capital Group</t>
  </si>
  <si>
    <t>Latham &amp; Watkins LLP</t>
  </si>
  <si>
    <t>Legg Mason, Inc.</t>
  </si>
  <si>
    <t>Neuberger Berman</t>
  </si>
  <si>
    <t>Groupe BPCE</t>
  </si>
  <si>
    <t>Schroders plc</t>
  </si>
  <si>
    <t>Simmons &amp; Simmons</t>
  </si>
  <si>
    <t>Standard Life Investments</t>
  </si>
  <si>
    <t>Syngenta Crop Protection AG</t>
  </si>
  <si>
    <t>Taylor Wessing</t>
  </si>
  <si>
    <t>The Vanguard Group, Inc</t>
  </si>
  <si>
    <t>Veolia Environnement S.A.</t>
  </si>
  <si>
    <t>Victor Buck Services S.A</t>
  </si>
  <si>
    <t>Ville de Luxembourg</t>
  </si>
  <si>
    <t>White &amp; Case LLP</t>
  </si>
  <si>
    <t>IQVIA</t>
  </si>
  <si>
    <t>Alliancebernstein L.P.</t>
  </si>
  <si>
    <t>Anthem, Inc.</t>
  </si>
  <si>
    <t>Avon Products Inc.</t>
  </si>
  <si>
    <t>Capital One Financial Corporation</t>
  </si>
  <si>
    <t>Dover Fueling Systems</t>
  </si>
  <si>
    <t xml:space="preserve">Fidelity Investments Institutional Services Company, Inc </t>
  </si>
  <si>
    <t>Game Informer Magazine</t>
  </si>
  <si>
    <t>Centene Corporation</t>
  </si>
  <si>
    <t>Hogan Lovells</t>
  </si>
  <si>
    <t>Humana Inc.</t>
  </si>
  <si>
    <t>Memorial Hermann</t>
  </si>
  <si>
    <t>Molina Healthcare</t>
  </si>
  <si>
    <t>S&amp;P Global Inc.</t>
  </si>
  <si>
    <t>Unifrax I LLC</t>
  </si>
  <si>
    <t>Celltrion Inc</t>
  </si>
  <si>
    <t>Linklaters LLP</t>
  </si>
  <si>
    <t>Medytox Inc</t>
  </si>
  <si>
    <t>Paul Hastings LLP</t>
  </si>
  <si>
    <t>Chinese Business Network</t>
  </si>
  <si>
    <t>Hausfeld</t>
  </si>
  <si>
    <t>Unigestion</t>
  </si>
  <si>
    <t>Apptio, Inc</t>
  </si>
  <si>
    <t>Clover Health</t>
  </si>
  <si>
    <t>Springer Nature</t>
  </si>
  <si>
    <t>J.R. Simplot Company</t>
  </si>
  <si>
    <t>Tencent Gaming</t>
  </si>
  <si>
    <t>GEP</t>
  </si>
  <si>
    <t>Cloudflare, Inc.</t>
  </si>
  <si>
    <t>Project Management Institute</t>
  </si>
  <si>
    <t>Merit Medical Systems, Inc</t>
  </si>
  <si>
    <t>Current</t>
  </si>
  <si>
    <t>Precision Content</t>
  </si>
  <si>
    <t>Cerence Inc.</t>
  </si>
  <si>
    <t>Kim &amp; Chang</t>
  </si>
  <si>
    <t>Freshfields Bruckhaus Deringer LLP</t>
  </si>
  <si>
    <t>Job ID</t>
  </si>
  <si>
    <t>Re-Evaluation</t>
  </si>
  <si>
    <t>3rd Party Evaluation (PMO)</t>
  </si>
  <si>
    <t>CTT Evaluation</t>
  </si>
  <si>
    <t>Cello Health</t>
  </si>
  <si>
    <t>Alvarez &amp; Marsal Disputes and Investigations, LLP</t>
  </si>
  <si>
    <t>Abdullah Al Othaim Investment Co.</t>
  </si>
  <si>
    <t>ABUHIMED ALSHEIKH ALHAGBANI LAW FIRM</t>
  </si>
  <si>
    <t>Aditya Birla Group</t>
  </si>
  <si>
    <t>Abu Dhabi Financial Group</t>
  </si>
  <si>
    <t>Abivax SA</t>
  </si>
  <si>
    <t>Acciona, S.A.</t>
  </si>
  <si>
    <t>Alcon Inc.</t>
  </si>
  <si>
    <t>ACOLIN Fund Services AG</t>
  </si>
  <si>
    <t>AEON Co. Ltd</t>
  </si>
  <si>
    <t xml:space="preserve">Apeel Sciences Inc. </t>
  </si>
  <si>
    <t>Agnico Eagle Mines Limited</t>
  </si>
  <si>
    <t>Analysis Group Inc.</t>
  </si>
  <si>
    <t>Ace Hardware Corporation</t>
  </si>
  <si>
    <t>Azimut Investments S.A.</t>
  </si>
  <si>
    <t>AGENCE MARC PRAQUIN</t>
  </si>
  <si>
    <t>Menarini</t>
  </si>
  <si>
    <t>Artisan Partners</t>
  </si>
  <si>
    <t>ADO PROPERTIES S.A.</t>
  </si>
  <si>
    <t>Apotex Inc.</t>
  </si>
  <si>
    <t>Arendt Regulatory &amp; Consulting S.A.</t>
  </si>
  <si>
    <t>Ashurst  LLP</t>
  </si>
  <si>
    <t>Applus Servicios Tecnologicos</t>
  </si>
  <si>
    <t>Aviso Wealth Limited Partnership</t>
  </si>
  <si>
    <t>Alteryx, Inc.</t>
  </si>
  <si>
    <t>BASF SE</t>
  </si>
  <si>
    <t>BKB Beteiligungsholding AG</t>
  </si>
  <si>
    <t>Royal Bank Of Canada</t>
  </si>
  <si>
    <t>Ubtrend GmbH &amp; Co. KG</t>
  </si>
  <si>
    <t>Belgacom NV/SA</t>
  </si>
  <si>
    <t>HANDLEY HOUSE LIMITED</t>
  </si>
  <si>
    <t>Broadridge Financial Solutions, Inc</t>
  </si>
  <si>
    <t>Baillie Gifford</t>
  </si>
  <si>
    <t>Boss Instruments</t>
  </si>
  <si>
    <t>Julius Baer Holding Ltd</t>
  </si>
  <si>
    <t>BMT Group</t>
  </si>
  <si>
    <t>Baker &amp; McKenzie</t>
  </si>
  <si>
    <t>The Bank of New York Mellon Corporation</t>
  </si>
  <si>
    <t>Bank of Singapore Limited, Hong Kong Branch</t>
  </si>
  <si>
    <t>Boryung Pharma CO.,LTD</t>
  </si>
  <si>
    <t>Broich</t>
  </si>
  <si>
    <t>Brambles Limited</t>
  </si>
  <si>
    <t>Brookfield Asset Management Inc.</t>
  </si>
  <si>
    <t>Banque Saudi Fransi</t>
  </si>
  <si>
    <t>British Standards Institution</t>
  </si>
  <si>
    <t>Barilla G e R Fratelli S.p.A</t>
  </si>
  <si>
    <t>Butterfly</t>
  </si>
  <si>
    <t>Borrelli Walsh</t>
  </si>
  <si>
    <t>Skion GmbH</t>
  </si>
  <si>
    <t>JG SUMMIT HOLDINGS, INC</t>
  </si>
  <si>
    <t>Capita Group Plc</t>
  </si>
  <si>
    <t>CoolBitX Inc.</t>
  </si>
  <si>
    <t>FUNDACION BANCARIA CAIXA D'ESTALVIS I PENSIONS DE BARCELONA LA CAIXA</t>
  </si>
  <si>
    <t>Clifford Chance</t>
  </si>
  <si>
    <t>CCB Financial Holdings Limited</t>
  </si>
  <si>
    <t>Cote Corp</t>
  </si>
  <si>
    <t>caceis</t>
  </si>
  <si>
    <t>Capital Group</t>
  </si>
  <si>
    <t>Carrier Corporation</t>
  </si>
  <si>
    <t>CEVA Animal Health A/S</t>
  </si>
  <si>
    <t>Cepsa</t>
  </si>
  <si>
    <t>Compagnie Française d'Assurances pour le Commerce Exterieur</t>
  </si>
  <si>
    <t>Chancellerie Federale - Suisse</t>
  </si>
  <si>
    <t>Cegid SAS</t>
  </si>
  <si>
    <t>Comgest Global Investors S.A.S.</t>
  </si>
  <si>
    <t>Capstone Holdings Group LLC</t>
  </si>
  <si>
    <t>The Chartered Insurance Institute Hong Kong Limited</t>
  </si>
  <si>
    <t>Chong Kun Dang Holdings Corp.</t>
  </si>
  <si>
    <t>Cresco Labs Inc</t>
  </si>
  <si>
    <t>Core Laboratories N.V.</t>
  </si>
  <si>
    <t>CAPSTAN FRANCE</t>
  </si>
  <si>
    <t>Clinipace Worldwide</t>
  </si>
  <si>
    <t>Core Products International, Inc</t>
  </si>
  <si>
    <t>Critical Past LLC</t>
  </si>
  <si>
    <t>China Productivity Center</t>
  </si>
  <si>
    <t>Cromsource</t>
  </si>
  <si>
    <t>C&amp;R Research Inc.</t>
  </si>
  <si>
    <t>CRH PLC</t>
  </si>
  <si>
    <t>Charles River Laboratories, Inc.</t>
  </si>
  <si>
    <t>Clemex Technologies inc.</t>
  </si>
  <si>
    <t>Fiat Chrysler Automobiles</t>
  </si>
  <si>
    <t>Accequa AB</t>
  </si>
  <si>
    <t xml:space="preserve">DE AGOSTINI GROUP </t>
  </si>
  <si>
    <t>Daewoong Pharmaceutical Co., Ltd</t>
  </si>
  <si>
    <t>Daiichi Sankyo Company Limited</t>
  </si>
  <si>
    <t>Dako Denmark A/S</t>
  </si>
  <si>
    <t>DEUTSCHE BAHN AG</t>
  </si>
  <si>
    <t xml:space="preserve">Debevoise &amp; Plimpton </t>
  </si>
  <si>
    <t>Dassault Group</t>
  </si>
  <si>
    <t>Dutka International (PA) Inc.</t>
  </si>
  <si>
    <t>DOKUMEDS (SIA)</t>
  </si>
  <si>
    <t>Incitec Pivot Limited</t>
  </si>
  <si>
    <t>Dong-A ST Co., Ltd.</t>
  </si>
  <si>
    <t>Drug Safety Navigator, LLC</t>
  </si>
  <si>
    <t>ELIS</t>
  </si>
  <si>
    <t>Elanco Animal Health Incorporated</t>
  </si>
  <si>
    <t>El Camino Health</t>
  </si>
  <si>
    <t>Ellerston Capital</t>
  </si>
  <si>
    <t>European Central Bank</t>
  </si>
  <si>
    <t>EFG Bank European Financial Group</t>
  </si>
  <si>
    <t>E Fund</t>
  </si>
  <si>
    <t>Elvinger, Hoss &amp; Prussen</t>
  </si>
  <si>
    <t>Essilor Luxottica</t>
  </si>
  <si>
    <t>Eurizon Capital SGR</t>
  </si>
  <si>
    <t>Beijing ELEX Technology Co.,Ltd.</t>
  </si>
  <si>
    <t>EUDRAC Ltd.</t>
  </si>
  <si>
    <t>Eurazeo</t>
  </si>
  <si>
    <t>Eversheds Sutherland</t>
  </si>
  <si>
    <t>Extreme</t>
  </si>
  <si>
    <t>Agriculture and Agri-Food Canada</t>
  </si>
  <si>
    <t>Fnac Darty SA</t>
  </si>
  <si>
    <t>FullGoal Fund Management Co., Ltd</t>
  </si>
  <si>
    <t>Federated Hermes Inc.</t>
  </si>
  <si>
    <t>Florida Blue</t>
  </si>
  <si>
    <t>Fraport AG Frankfurt Airport Services Worldwide</t>
  </si>
  <si>
    <t>Freddie Mac</t>
  </si>
  <si>
    <t>Freedom Health</t>
  </si>
  <si>
    <t>First State Global Umbrella Fund plc</t>
  </si>
  <si>
    <t>FRONTEO, Inc</t>
  </si>
  <si>
    <t xml:space="preserve">Flossbach von Storch AG </t>
  </si>
  <si>
    <t>GBC AG</t>
  </si>
  <si>
    <t>Green Cross Holdings</t>
  </si>
  <si>
    <t>Donnelley Financial Solutions</t>
  </si>
  <si>
    <t>Gecina</t>
  </si>
  <si>
    <t>Generali Group</t>
  </si>
  <si>
    <t>Genkyotex SA</t>
  </si>
  <si>
    <t>GaoTeng Global Asset Management Ltd</t>
  </si>
  <si>
    <t>Guidepoint Global Singapore Pte Ltd</t>
  </si>
  <si>
    <t>Glaceum Incorporation</t>
  </si>
  <si>
    <t>Gulf International Bank</t>
  </si>
  <si>
    <t>Graco, Inc.</t>
  </si>
  <si>
    <t>Group SJR</t>
  </si>
  <si>
    <t>Grant Thornton LLP</t>
  </si>
  <si>
    <t>Greenyard NV</t>
  </si>
  <si>
    <t>Groupe SEB</t>
  </si>
  <si>
    <t>Gateley Plc</t>
  </si>
  <si>
    <t>GIANT TIGER STORES LIMITED</t>
  </si>
  <si>
    <t>Havas</t>
  </si>
  <si>
    <t>HysensBio Co., Ltd.</t>
  </si>
  <si>
    <t>HBR Consulting LLC</t>
  </si>
  <si>
    <t xml:space="preserve">Health Care Service Corporation </t>
  </si>
  <si>
    <t>Hitachi Document Solutions</t>
  </si>
  <si>
    <t>Henkel AG &amp; Co. KgaA</t>
  </si>
  <si>
    <t>Hager Electro GmbH &amp; Co. KG</t>
  </si>
  <si>
    <t>Heureka GmbH</t>
  </si>
  <si>
    <t>Helixmith Co., Ltd</t>
  </si>
  <si>
    <t>Heptagon Fund Plc</t>
  </si>
  <si>
    <t>Harvest Fund Management Co., Ltd</t>
  </si>
  <si>
    <t>Hugo Boss AG</t>
  </si>
  <si>
    <t>Havas Health &amp; You</t>
  </si>
  <si>
    <t xml:space="preserve">Herbalife Nutrition </t>
  </si>
  <si>
    <t>Hyloris Pharmaceuticals SA</t>
  </si>
  <si>
    <t>HRS - HOTEL RESERVATION SERVICE Robert Ragge GmbH</t>
  </si>
  <si>
    <t>HANSBIOMED CORP.</t>
  </si>
  <si>
    <t>Husky Injection Molding Systems Ltd.</t>
  </si>
  <si>
    <t>Huons Co., Ltd.</t>
  </si>
  <si>
    <t>Industrial and Commercial Bank of China</t>
  </si>
  <si>
    <t>International Criminal Court</t>
  </si>
  <si>
    <t>International Company for Water and Power</t>
  </si>
  <si>
    <t>IC Axon</t>
  </si>
  <si>
    <t>Indigo Vision</t>
  </si>
  <si>
    <t>iPro Financial Press Limited</t>
  </si>
  <si>
    <t>Ingenico Group SA</t>
  </si>
  <si>
    <t>Indy Health Solutions LLC</t>
  </si>
  <si>
    <t>IKEA</t>
  </si>
  <si>
    <t>International Monetary Fund</t>
  </si>
  <si>
    <t>Instone Real Estate Group AG</t>
  </si>
  <si>
    <t>Investec</t>
  </si>
  <si>
    <t>ISU Group</t>
  </si>
  <si>
    <t>Interscope,Inc</t>
  </si>
  <si>
    <t>INTRADO UK HOLDINGS LIMITED</t>
  </si>
  <si>
    <t>Industrial Tools Supplies (London) Ltd</t>
  </si>
  <si>
    <t>Jarola Group B.V.</t>
  </si>
  <si>
    <t>JONES DAY</t>
  </si>
  <si>
    <t>Johnson &amp; Johnson Services, Inc.</t>
  </si>
  <si>
    <t>Justsystems Inc.</t>
  </si>
  <si>
    <t>Kamimura Ohira &amp; Mizuno</t>
  </si>
  <si>
    <t>King Car Group</t>
  </si>
  <si>
    <t>Kohlberg Kravis Roberts &amp; Co. L.P.</t>
  </si>
  <si>
    <t>Kolmar Korea</t>
  </si>
  <si>
    <t>Koh Young Technology, Inc</t>
  </si>
  <si>
    <t>Kangstem Biotech Co., Ltd.</t>
  </si>
  <si>
    <t>Karl Storz GmbH</t>
  </si>
  <si>
    <t>Kontoor Brands</t>
  </si>
  <si>
    <t>Kosovo Specialist Chambers &amp; Specialist Prosecutor's Office</t>
  </si>
  <si>
    <t>LaBov &amp; Beyond, Inc.</t>
  </si>
  <si>
    <t>Larsen &amp; Toubro Infotech Ltd</t>
  </si>
  <si>
    <t>Lincoln Electric Holdings, Inc.</t>
  </si>
  <si>
    <t>Luxembourg Government</t>
  </si>
  <si>
    <t>Lion Trust</t>
  </si>
  <si>
    <t>LINET Group SE</t>
  </si>
  <si>
    <t>Law Office of Salman M. Al-Sudairi</t>
  </si>
  <si>
    <t>Lianhe Ratings Global Limited</t>
  </si>
  <si>
    <t>Les Tourbières Berger Ltée</t>
  </si>
  <si>
    <t>Morrison &amp; Foerster LLP</t>
  </si>
  <si>
    <t>Les etablissements Maurel &amp; Prom SA</t>
  </si>
  <si>
    <t>MGM Resorts International</t>
  </si>
  <si>
    <t>Masonite International Corporation</t>
  </si>
  <si>
    <t>Moventum Asset Management S.A.</t>
  </si>
  <si>
    <t>Mirabaud Group</t>
  </si>
  <si>
    <t>Medincell SA</t>
  </si>
  <si>
    <t>Medcaptain Medical Technology Co., Ltd</t>
  </si>
  <si>
    <t>Mubadala Investment Company</t>
  </si>
  <si>
    <t>Maisons du Monde France</t>
  </si>
  <si>
    <t>Medios AG</t>
  </si>
  <si>
    <t>Medical Intelligence Medizintechnik GmbH</t>
  </si>
  <si>
    <t>MFS Investment Management</t>
  </si>
  <si>
    <t>Man Group plc</t>
  </si>
  <si>
    <t>Mitsubishi Chemical Holdings Corporation</t>
  </si>
  <si>
    <t>MIMS</t>
  </si>
  <si>
    <t>Morningstar Inc</t>
  </si>
  <si>
    <t>Melco Leisure and Entertainment Group Limited</t>
  </si>
  <si>
    <t>Massachusetts Mutual Life Insurance Company</t>
  </si>
  <si>
    <t>Millennium Management LLC</t>
  </si>
  <si>
    <t>Mohawk Industries, Inc.</t>
  </si>
  <si>
    <t>Moody's Corporation</t>
  </si>
  <si>
    <t>MS&amp;AD Insurance Group Holdings, Inc</t>
  </si>
  <si>
    <t>MUFG Bank</t>
  </si>
  <si>
    <t>Mylan N.V.</t>
  </si>
  <si>
    <t>Nishimura &amp; Asahi</t>
  </si>
  <si>
    <t>Navico Holding A.S.</t>
  </si>
  <si>
    <t>GeoDigm Corporation</t>
  </si>
  <si>
    <t>NewG Lab</t>
  </si>
  <si>
    <t>NOMURA FUNDS IRELAND Plc</t>
  </si>
  <si>
    <t>NUNAVUT GOVERNMENT OF</t>
  </si>
  <si>
    <t>National Life Group</t>
  </si>
  <si>
    <t>The New Motion B.V.</t>
  </si>
  <si>
    <t>Nobel Medical Group</t>
  </si>
  <si>
    <t>NN Group</t>
  </si>
  <si>
    <t>Nordic Capital</t>
  </si>
  <si>
    <t>NIPPON STEEL CORPORATION</t>
  </si>
  <si>
    <t>Office of the President, Republic Of China (Taiwan)</t>
  </si>
  <si>
    <t>Naver</t>
  </si>
  <si>
    <t>eDreams ODIGEO</t>
  </si>
  <si>
    <t>Oaktree Capital Group Holdings, L.P.</t>
  </si>
  <si>
    <t>ORPEA</t>
  </si>
  <si>
    <t>Ping An Insurance</t>
  </si>
  <si>
    <t>Petco Animal Supplies, Inc.,</t>
  </si>
  <si>
    <t>Petroleo Brasileiro S.A. - Petrobras</t>
  </si>
  <si>
    <t>PRI·MED Medical Products Inc.</t>
  </si>
  <si>
    <t>Premier Research Group plc</t>
  </si>
  <si>
    <t>Poxel SA</t>
  </si>
  <si>
    <t>Plastic Omnium Inergy (Shanghai) Consulting Co Ltd</t>
  </si>
  <si>
    <t>PPC Group</t>
  </si>
  <si>
    <t>Praxis</t>
  </si>
  <si>
    <t>Financière Pinault SCA</t>
  </si>
  <si>
    <t>QFC Civil and Commercial Court</t>
  </si>
  <si>
    <t>Quotient Suisse SA</t>
  </si>
  <si>
    <t>Cooperatieve Rabobank U.A</t>
  </si>
  <si>
    <t>The Royal Court of the Kingdom of Saudi Arabia</t>
  </si>
  <si>
    <t>Redcap Tour Co., Ltd.</t>
  </si>
  <si>
    <t>RF Tech Limited</t>
  </si>
  <si>
    <t>Rigol Technologies Inc</t>
  </si>
  <si>
    <t>Richmond Pharmacology Ltd</t>
  </si>
  <si>
    <t>REGEN LAB SA</t>
  </si>
  <si>
    <t>RLDatix</t>
  </si>
  <si>
    <t>Regulatory Pharma Net s.r.l.</t>
  </si>
  <si>
    <t>Raytheon Technologies Corporation</t>
  </si>
  <si>
    <t>RWE</t>
  </si>
  <si>
    <t>Sullivan &amp; Cromwell</t>
  </si>
  <si>
    <t>Sappi Limited</t>
  </si>
  <si>
    <t>Angelo Moratti S.a.p.a.</t>
  </si>
  <si>
    <t>SATO CORPORATION</t>
  </si>
  <si>
    <t>SBI Holdings, Inc.</t>
  </si>
  <si>
    <t>S.Biomedics NV</t>
  </si>
  <si>
    <t>Sculptor Capital Management Group</t>
  </si>
  <si>
    <t xml:space="preserve">SOFTCHOICE CORPORATIONS </t>
  </si>
  <si>
    <t>Sensors Data</t>
  </si>
  <si>
    <t>Solomon Financial Press Limited</t>
  </si>
  <si>
    <t>Suncity Group Ltd.</t>
  </si>
  <si>
    <t>Schwarz Gruppe GmbH</t>
  </si>
  <si>
    <t>Singapore (Government work)</t>
  </si>
  <si>
    <t>Shaperon Inc.</t>
  </si>
  <si>
    <t>Sillajen Inc.</t>
  </si>
  <si>
    <t>St. Jude Medical, Inc.</t>
  </si>
  <si>
    <t>Signature Litigation AARPI</t>
  </si>
  <si>
    <t>STAT Law Firm</t>
  </si>
  <si>
    <t>MGI Tech Co., Ltd</t>
  </si>
  <si>
    <t>SMCP SA</t>
  </si>
  <si>
    <t xml:space="preserve">DWHP </t>
  </si>
  <si>
    <t>Swissquote Group</t>
  </si>
  <si>
    <t>SRP Group</t>
  </si>
  <si>
    <t>Shearman &amp; Sterling LLP</t>
  </si>
  <si>
    <t>State Street Corporation</t>
  </si>
  <si>
    <t>Special Tribunal for Lebanon</t>
  </si>
  <si>
    <t>Stibbe cvba/scrl</t>
  </si>
  <si>
    <t>Suez</t>
  </si>
  <si>
    <t>SYNTHOMER PLC</t>
  </si>
  <si>
    <t>SYSCO Corporation</t>
  </si>
  <si>
    <t>TTL Beteiligungs- und Grundbesitz-AG</t>
  </si>
  <si>
    <t>Tereos SCA</t>
  </si>
  <si>
    <t>Telefónica S.A.</t>
  </si>
  <si>
    <t>Trafigura Group Pte. Ltd.</t>
  </si>
  <si>
    <t>Teleflex Incorporated</t>
  </si>
  <si>
    <t>Trudell Medical Group Ltd.</t>
  </si>
  <si>
    <t>TPG Capital</t>
  </si>
  <si>
    <t>Tremend Software Consulting S.R.L.</t>
  </si>
  <si>
    <t>Tubos Reunidos, S.A.</t>
  </si>
  <si>
    <t>TWG Tea</t>
  </si>
  <si>
    <t>Union Bancaire Privée, UBP SA</t>
  </si>
  <si>
    <t>University of Cambridge</t>
  </si>
  <si>
    <t>New Frontier Ltd</t>
  </si>
  <si>
    <t>UGGC AVOCATS</t>
  </si>
  <si>
    <t>UnionPay International China</t>
  </si>
  <si>
    <t>Montagu Private Equity</t>
  </si>
  <si>
    <t>Univar Solutions</t>
  </si>
  <si>
    <t>VALLOUREC SA</t>
  </si>
  <si>
    <t>VERALLIA SA</t>
  </si>
  <si>
    <t>Wiener Stadtische Wechselseitiger Versicherungsverein - Vermogensverwaltung - Vienna Insurance Group</t>
  </si>
  <si>
    <t>VANTAGEmedia.LLC</t>
  </si>
  <si>
    <t>VIOHALCO S.A.</t>
  </si>
  <si>
    <t>Veeva Systems Inc</t>
  </si>
  <si>
    <t>Webfleet Solutions B.V.</t>
  </si>
  <si>
    <t>Wendel</t>
  </si>
  <si>
    <t>Wellington Management Company</t>
  </si>
  <si>
    <t>Wondfo</t>
  </si>
  <si>
    <t>Wright Medical Group NV</t>
  </si>
  <si>
    <t>Wonderful Sky Financial Group Holdings Ltd</t>
  </si>
  <si>
    <t>Xiaomi</t>
  </si>
  <si>
    <t>Yamaha Corporation</t>
  </si>
  <si>
    <t>Zybio Inc</t>
  </si>
  <si>
    <t>Zest Dental Solutions</t>
  </si>
  <si>
    <t>Out of Scope</t>
  </si>
  <si>
    <t>Leave this column blank for the Quality Manager to complete
Show:</t>
  </si>
  <si>
    <t>Quality Level</t>
  </si>
  <si>
    <t>MT post-edit</t>
  </si>
  <si>
    <t>Apostrophe Health</t>
  </si>
  <si>
    <t>The Asian &amp; Pacific Islander American Health Forum</t>
  </si>
  <si>
    <t>Baxter International Inc</t>
  </si>
  <si>
    <t>Baker Hughes Inc</t>
  </si>
  <si>
    <t>Brand USA</t>
  </si>
  <si>
    <t>CareFirst</t>
  </si>
  <si>
    <t>Click2Translate</t>
  </si>
  <si>
    <t>CAIRN Partners</t>
  </si>
  <si>
    <t>DrugDev</t>
  </si>
  <si>
    <t>DWS Group &amp; GmbH Co KgaA</t>
  </si>
  <si>
    <t>ENGIE</t>
  </si>
  <si>
    <t>Facebook, Inc.</t>
  </si>
  <si>
    <t>GeneReach Biotechnology Corporation</t>
  </si>
  <si>
    <t>General Electric Company</t>
  </si>
  <si>
    <t>Healthwise Incorporated</t>
  </si>
  <si>
    <t>HLB Lifesience Co.Ltd</t>
  </si>
  <si>
    <t>Hollister, Inc.</t>
  </si>
  <si>
    <t>Interprefy AG</t>
  </si>
  <si>
    <t>Jotun A/S</t>
  </si>
  <si>
    <t>Kingfisher International Products Limited</t>
  </si>
  <si>
    <t>Lego Group (The)</t>
  </si>
  <si>
    <t>Lunit Inc.</t>
  </si>
  <si>
    <t>Matheson</t>
  </si>
  <si>
    <t>M&amp;G Investments</t>
  </si>
  <si>
    <t>Nordea Asset Management</t>
  </si>
  <si>
    <t>Privacy Analytics</t>
  </si>
  <si>
    <t>Realize/Réalise</t>
  </si>
  <si>
    <t>iRobot Corporation</t>
  </si>
  <si>
    <t>Scotiabank</t>
  </si>
  <si>
    <t>SDL International</t>
  </si>
  <si>
    <t>Sushiro Global Holdings Ltd.</t>
  </si>
  <si>
    <t>Spectris plc</t>
  </si>
  <si>
    <t>TCY Group</t>
  </si>
  <si>
    <t>Tetra Pak International S.A</t>
  </si>
  <si>
    <t>Uniper SE</t>
  </si>
  <si>
    <t>Yuhan Corporation</t>
  </si>
  <si>
    <t>Afar</t>
  </si>
  <si>
    <t>Bariba</t>
  </si>
  <si>
    <t>Bodo</t>
  </si>
  <si>
    <t>Breton</t>
  </si>
  <si>
    <t>Chinese - Simplified - PRC</t>
  </si>
  <si>
    <t>Chinese - Simplified - Singapore</t>
  </si>
  <si>
    <t>Chinese (Traditional, United States)</t>
  </si>
  <si>
    <t>Creole (Mauritius)</t>
  </si>
  <si>
    <t>Dogri</t>
  </si>
  <si>
    <t>Ewe</t>
  </si>
  <si>
    <t>French - Canadian</t>
  </si>
  <si>
    <t>Karen</t>
  </si>
  <si>
    <t>Kashmiri - India</t>
  </si>
  <si>
    <t>Kinyarwanda</t>
  </si>
  <si>
    <t xml:space="preserve">Kirundi  </t>
  </si>
  <si>
    <t>Lozi</t>
  </si>
  <si>
    <t>Maithili</t>
  </si>
  <si>
    <t>Manipuri</t>
  </si>
  <si>
    <t>Portuguese - Brazilian</t>
  </si>
  <si>
    <t>Portuguese (Mozambique)</t>
  </si>
  <si>
    <t>Pulaar</t>
  </si>
  <si>
    <t>Pular</t>
  </si>
  <si>
    <t>Quechua - Peru</t>
  </si>
  <si>
    <t>Runyankole</t>
  </si>
  <si>
    <t>Russian (Russia)</t>
  </si>
  <si>
    <t>Sanskrit</t>
  </si>
  <si>
    <t>Santhali</t>
  </si>
  <si>
    <t>Sindhi - Pakistan</t>
  </si>
  <si>
    <t>Sotho</t>
  </si>
  <si>
    <t>Swedish (Sweden)</t>
  </si>
  <si>
    <t>Tamil - India</t>
  </si>
  <si>
    <t>Tamil - Singapore</t>
  </si>
  <si>
    <t>Tatar (Cyrillic, Russia)</t>
  </si>
  <si>
    <t>Tonga (Tonga Islands)</t>
  </si>
  <si>
    <t>Urdu - Pakistan</t>
  </si>
  <si>
    <t>Italian - Italy</t>
  </si>
  <si>
    <t>English - Belize</t>
  </si>
  <si>
    <t>Spanish - Argentinian</t>
  </si>
  <si>
    <t>Arabic - Saudi Arabia</t>
  </si>
  <si>
    <t>English (Singapore)</t>
  </si>
  <si>
    <t>English - India</t>
  </si>
  <si>
    <t>Fon</t>
  </si>
  <si>
    <t>Russian (Ukraine)</t>
  </si>
  <si>
    <t>Spanish (United States)</t>
  </si>
  <si>
    <t>Swedish (Finland)</t>
  </si>
  <si>
    <t>Arabic - Egypt</t>
  </si>
  <si>
    <t>English - Philippines</t>
  </si>
  <si>
    <t>Soussou</t>
  </si>
  <si>
    <t>Malay (Singapore)</t>
  </si>
  <si>
    <t>Arabic - U.A.E.</t>
  </si>
  <si>
    <t>Arabic - Lebanon</t>
  </si>
  <si>
    <t>Vai</t>
  </si>
  <si>
    <t>RWS Quality Indicator</t>
  </si>
  <si>
    <r>
      <t xml:space="preserve">Enter any necessary error corrections or revisions in the original translation
Where possible, </t>
    </r>
    <r>
      <rPr>
        <u/>
        <sz val="9"/>
        <color rgb="FFE16E73"/>
        <rFont val="Arial"/>
        <family val="2"/>
      </rPr>
      <t>highlight</t>
    </r>
    <r>
      <rPr>
        <sz val="9"/>
        <color rgb="FFE16E73"/>
        <rFont val="Arial"/>
        <family val="2"/>
      </rPr>
      <t xml:space="preserve"> changes for easy identification (for example, in bold or a different colour).</t>
    </r>
  </si>
  <si>
    <r>
      <t xml:space="preserve">Enter comments to explain error corrections or revisions </t>
    </r>
    <r>
      <rPr>
        <b/>
        <sz val="9"/>
        <color rgb="FFE16E73"/>
        <rFont val="Arial"/>
        <family val="2"/>
      </rPr>
      <t>(OBLIGATORY)</t>
    </r>
  </si>
  <si>
    <t>RWS</t>
  </si>
  <si>
    <t>---</t>
  </si>
  <si>
    <t>2CV</t>
  </si>
  <si>
    <t>A&amp;M</t>
  </si>
  <si>
    <t>A&amp;O</t>
  </si>
  <si>
    <t>A1C</t>
  </si>
  <si>
    <t>Arcadis</t>
  </si>
  <si>
    <t>A1P</t>
  </si>
  <si>
    <t>Alpega Group</t>
  </si>
  <si>
    <t>A2P</t>
  </si>
  <si>
    <t>AA0</t>
  </si>
  <si>
    <t>AA1</t>
  </si>
  <si>
    <t>AAR</t>
  </si>
  <si>
    <t>AB2</t>
  </si>
  <si>
    <t>AB4</t>
  </si>
  <si>
    <t>ABL Bio</t>
  </si>
  <si>
    <t>AB7</t>
  </si>
  <si>
    <t>ABB</t>
  </si>
  <si>
    <t>ABF</t>
  </si>
  <si>
    <t>ABN</t>
  </si>
  <si>
    <t>ABV</t>
  </si>
  <si>
    <t>ABX</t>
  </si>
  <si>
    <t>AC4</t>
  </si>
  <si>
    <t>AC5</t>
  </si>
  <si>
    <t>Actando</t>
  </si>
  <si>
    <t>AC7</t>
  </si>
  <si>
    <t>ACC</t>
  </si>
  <si>
    <t>ACE</t>
  </si>
  <si>
    <t>ACK</t>
  </si>
  <si>
    <t>ACN</t>
  </si>
  <si>
    <t>ACX</t>
  </si>
  <si>
    <t>AD1</t>
  </si>
  <si>
    <t>Avery Dennison Corporation</t>
  </si>
  <si>
    <t>AD3</t>
  </si>
  <si>
    <t>ADB</t>
  </si>
  <si>
    <t>AE0</t>
  </si>
  <si>
    <t>AE1</t>
  </si>
  <si>
    <t>Alps Electric</t>
  </si>
  <si>
    <t>AEE</t>
  </si>
  <si>
    <t>AEL</t>
  </si>
  <si>
    <t>AEN</t>
  </si>
  <si>
    <t>AFE</t>
  </si>
  <si>
    <t>Al Faleh Educational Holding</t>
  </si>
  <si>
    <t>AFT</t>
  </si>
  <si>
    <t>AG1</t>
  </si>
  <si>
    <t>AG2</t>
  </si>
  <si>
    <t>Argo Law</t>
  </si>
  <si>
    <t>AG5</t>
  </si>
  <si>
    <t>Akin Gump Strauss Hauer &amp; Feld LLP</t>
  </si>
  <si>
    <t>AGC</t>
  </si>
  <si>
    <t>AGM</t>
  </si>
  <si>
    <t>AH1</t>
  </si>
  <si>
    <t>AH2</t>
  </si>
  <si>
    <t>AHA</t>
  </si>
  <si>
    <t>AHI</t>
  </si>
  <si>
    <t xml:space="preserve">ANA HOLDINGS INC. </t>
  </si>
  <si>
    <t>AIA</t>
  </si>
  <si>
    <t>AIG</t>
  </si>
  <si>
    <t>AIO</t>
  </si>
  <si>
    <t>AKC</t>
  </si>
  <si>
    <t xml:space="preserve">American Century Companies, Inc. </t>
  </si>
  <si>
    <t>AKK</t>
  </si>
  <si>
    <t>AKT</t>
  </si>
  <si>
    <t>AL6</t>
  </si>
  <si>
    <t>AL7</t>
  </si>
  <si>
    <t>ALH</t>
  </si>
  <si>
    <t>Alio Health</t>
  </si>
  <si>
    <t>ALL</t>
  </si>
  <si>
    <t>ALN</t>
  </si>
  <si>
    <t>ALO</t>
  </si>
  <si>
    <t>ALQ</t>
  </si>
  <si>
    <t>ALV</t>
  </si>
  <si>
    <t>AM3</t>
  </si>
  <si>
    <t>AM9</t>
  </si>
  <si>
    <t>AMF</t>
  </si>
  <si>
    <t>AMK</t>
  </si>
  <si>
    <t>AMW</t>
  </si>
  <si>
    <t>AMX</t>
  </si>
  <si>
    <t>AMZ</t>
  </si>
  <si>
    <t>AN0</t>
  </si>
  <si>
    <t>ANF</t>
  </si>
  <si>
    <t>ANL</t>
  </si>
  <si>
    <t>AP3</t>
  </si>
  <si>
    <t>AP4</t>
  </si>
  <si>
    <t>AP5</t>
  </si>
  <si>
    <t>APA</t>
  </si>
  <si>
    <t>American Psychological Association</t>
  </si>
  <si>
    <t>APM</t>
  </si>
  <si>
    <t>APO</t>
  </si>
  <si>
    <t>APR</t>
  </si>
  <si>
    <t>APX</t>
  </si>
  <si>
    <t>AR0</t>
  </si>
  <si>
    <t>AR1</t>
  </si>
  <si>
    <t>ARF</t>
  </si>
  <si>
    <t>ARL</t>
  </si>
  <si>
    <t>ARQ</t>
  </si>
  <si>
    <t>ARU</t>
  </si>
  <si>
    <t>ARY</t>
  </si>
  <si>
    <t>AS3</t>
  </si>
  <si>
    <t>ASI</t>
  </si>
  <si>
    <t>Aspect Software, Inc.</t>
  </si>
  <si>
    <t>ASM</t>
  </si>
  <si>
    <t>ASX</t>
  </si>
  <si>
    <t>ASZ</t>
  </si>
  <si>
    <t>ATC</t>
  </si>
  <si>
    <t>AUT</t>
  </si>
  <si>
    <t>AV2</t>
  </si>
  <si>
    <t>AVA</t>
  </si>
  <si>
    <t>AVI</t>
  </si>
  <si>
    <t>AWP</t>
  </si>
  <si>
    <t>AXT</t>
  </si>
  <si>
    <t>AYX</t>
  </si>
  <si>
    <t>B2B</t>
  </si>
  <si>
    <t>B2B International</t>
  </si>
  <si>
    <t>B4N</t>
  </si>
  <si>
    <t>BA1</t>
  </si>
  <si>
    <t>BA5</t>
  </si>
  <si>
    <t>BAR</t>
  </si>
  <si>
    <t>BAX</t>
  </si>
  <si>
    <t>BAY</t>
  </si>
  <si>
    <t>BB2</t>
  </si>
  <si>
    <t>BBA</t>
  </si>
  <si>
    <t>BBE</t>
  </si>
  <si>
    <t>BBG</t>
  </si>
  <si>
    <t>BBV</t>
  </si>
  <si>
    <t>BBY</t>
  </si>
  <si>
    <t>BCB</t>
  </si>
  <si>
    <t>BCG</t>
  </si>
  <si>
    <t>BCM</t>
  </si>
  <si>
    <t>BCO</t>
  </si>
  <si>
    <t>BDC</t>
  </si>
  <si>
    <t>BE1</t>
  </si>
  <si>
    <t>BEB</t>
  </si>
  <si>
    <t>BEN</t>
  </si>
  <si>
    <t>BFI</t>
  </si>
  <si>
    <t>BGD</t>
  </si>
  <si>
    <t>BHI</t>
  </si>
  <si>
    <t>BHK</t>
  </si>
  <si>
    <t>Baker Hughes Korea Limited</t>
  </si>
  <si>
    <t>BHU</t>
  </si>
  <si>
    <t>Baker Hughes Company</t>
  </si>
  <si>
    <t>BIN</t>
  </si>
  <si>
    <t>BJ2</t>
  </si>
  <si>
    <t>BKA</t>
  </si>
  <si>
    <t>BL2</t>
  </si>
  <si>
    <t>Bank Lombard Odier &amp; Co</t>
  </si>
  <si>
    <t>BLF</t>
  </si>
  <si>
    <t>Belfius Bank</t>
  </si>
  <si>
    <t>BLJ</t>
  </si>
  <si>
    <t>BLKJ</t>
  </si>
  <si>
    <t>BLK</t>
  </si>
  <si>
    <t>BLO</t>
  </si>
  <si>
    <t>BM2</t>
  </si>
  <si>
    <t>BMK</t>
  </si>
  <si>
    <t>BML</t>
  </si>
  <si>
    <t>BMS</t>
  </si>
  <si>
    <t>BMT</t>
  </si>
  <si>
    <t>BNP</t>
  </si>
  <si>
    <t>BNQ</t>
  </si>
  <si>
    <t>BenQ Corporation</t>
  </si>
  <si>
    <t>BNY</t>
  </si>
  <si>
    <t>BOE</t>
  </si>
  <si>
    <t>BOP</t>
  </si>
  <si>
    <t>BOS</t>
  </si>
  <si>
    <t>BOX</t>
  </si>
  <si>
    <t>BPC</t>
  </si>
  <si>
    <t>BR2</t>
  </si>
  <si>
    <t>BRB</t>
  </si>
  <si>
    <t>BRF</t>
  </si>
  <si>
    <t>BRK</t>
  </si>
  <si>
    <t>BRS</t>
  </si>
  <si>
    <t>BRW</t>
  </si>
  <si>
    <t>BSC</t>
  </si>
  <si>
    <t>Boston Scientific Corporation</t>
  </si>
  <si>
    <t>BSE</t>
  </si>
  <si>
    <t>BSF</t>
  </si>
  <si>
    <t>BSJ</t>
  </si>
  <si>
    <t>BSW</t>
  </si>
  <si>
    <t>BTP</t>
  </si>
  <si>
    <t>BU1</t>
  </si>
  <si>
    <t>BUS</t>
  </si>
  <si>
    <t>BWH</t>
  </si>
  <si>
    <t>BWI</t>
  </si>
  <si>
    <t>BYE</t>
  </si>
  <si>
    <t>ByteDance Ltd.</t>
  </si>
  <si>
    <t>BYG</t>
  </si>
  <si>
    <t>Bouygues</t>
  </si>
  <si>
    <t>BYK</t>
  </si>
  <si>
    <t>C8R</t>
  </si>
  <si>
    <t>CA5</t>
  </si>
  <si>
    <t>CAH</t>
  </si>
  <si>
    <t>CAL</t>
  </si>
  <si>
    <t>CAN</t>
  </si>
  <si>
    <t>CAS</t>
  </si>
  <si>
    <t>CBI</t>
  </si>
  <si>
    <t>CBN</t>
  </si>
  <si>
    <t>CBS</t>
  </si>
  <si>
    <t>CC1</t>
  </si>
  <si>
    <t>CC2</t>
  </si>
  <si>
    <t>CCB</t>
  </si>
  <si>
    <t>CCC</t>
  </si>
  <si>
    <t>CCE</t>
  </si>
  <si>
    <t>CCG</t>
  </si>
  <si>
    <t>CCN</t>
  </si>
  <si>
    <t>CCR</t>
  </si>
  <si>
    <t>Clips CRO</t>
  </si>
  <si>
    <t>CDA</t>
  </si>
  <si>
    <t>CE3</t>
  </si>
  <si>
    <t>CE4</t>
  </si>
  <si>
    <t>CEG</t>
  </si>
  <si>
    <t>CEJ</t>
  </si>
  <si>
    <t>CF1</t>
  </si>
  <si>
    <t>CFA</t>
  </si>
  <si>
    <t>CFD</t>
  </si>
  <si>
    <t>CFF</t>
  </si>
  <si>
    <t>CGD</t>
  </si>
  <si>
    <t>CGG</t>
  </si>
  <si>
    <t>CH7</t>
  </si>
  <si>
    <t>CHP</t>
  </si>
  <si>
    <t>CHU</t>
  </si>
  <si>
    <t>CI1</t>
  </si>
  <si>
    <t>CI2</t>
  </si>
  <si>
    <t>Citadel LLC</t>
  </si>
  <si>
    <t>CIG</t>
  </si>
  <si>
    <t>CII</t>
  </si>
  <si>
    <t>CIQ</t>
  </si>
  <si>
    <t>CIX</t>
  </si>
  <si>
    <t>Citrix Systems Inc</t>
  </si>
  <si>
    <t>CKD</t>
  </si>
  <si>
    <t>CL0</t>
  </si>
  <si>
    <t>CL2</t>
  </si>
  <si>
    <t>CL3</t>
  </si>
  <si>
    <t>CLI</t>
  </si>
  <si>
    <t>CLL</t>
  </si>
  <si>
    <t>CLW</t>
  </si>
  <si>
    <t>CM1</t>
  </si>
  <si>
    <t>CMIC Asia-Pacific, Pte Ltd</t>
  </si>
  <si>
    <t>CME</t>
  </si>
  <si>
    <t>CME Group</t>
  </si>
  <si>
    <t>CMI</t>
  </si>
  <si>
    <t>CNA</t>
  </si>
  <si>
    <t>CNH</t>
  </si>
  <si>
    <t>CO5</t>
  </si>
  <si>
    <t>Colibri SAS</t>
  </si>
  <si>
    <t>CO8</t>
  </si>
  <si>
    <t>COF</t>
  </si>
  <si>
    <t>COL</t>
  </si>
  <si>
    <t>COV</t>
  </si>
  <si>
    <t>CP1</t>
  </si>
  <si>
    <t>CP2</t>
  </si>
  <si>
    <t>CP5</t>
  </si>
  <si>
    <t>Catalent Inc.</t>
  </si>
  <si>
    <t>CPB</t>
  </si>
  <si>
    <t>CPC</t>
  </si>
  <si>
    <t>CPS</t>
  </si>
  <si>
    <t>CR2</t>
  </si>
  <si>
    <t>CR3</t>
  </si>
  <si>
    <t>CR4</t>
  </si>
  <si>
    <t>CR5</t>
  </si>
  <si>
    <t>CRG</t>
  </si>
  <si>
    <t>CRX</t>
  </si>
  <si>
    <t>CS2</t>
  </si>
  <si>
    <t>Compliance Solutions Strategies LLC</t>
  </si>
  <si>
    <t>CS6</t>
  </si>
  <si>
    <t>CSG</t>
  </si>
  <si>
    <t>CT1</t>
  </si>
  <si>
    <t>CTE</t>
  </si>
  <si>
    <t>CTI</t>
  </si>
  <si>
    <t>CTX</t>
  </si>
  <si>
    <t>CU2</t>
  </si>
  <si>
    <t xml:space="preserve">Cathay United Bank </t>
  </si>
  <si>
    <t>CUT</t>
  </si>
  <si>
    <t>CVR</t>
  </si>
  <si>
    <t>CYM</t>
  </si>
  <si>
    <t>CYR</t>
  </si>
  <si>
    <t>CYX</t>
  </si>
  <si>
    <t>CZT</t>
  </si>
  <si>
    <t>D&amp;B</t>
  </si>
  <si>
    <t>The Dun &amp; Bradstreet Corporation</t>
  </si>
  <si>
    <t>D2L</t>
  </si>
  <si>
    <t>DA0</t>
  </si>
  <si>
    <t>DA2</t>
  </si>
  <si>
    <t>DA3</t>
  </si>
  <si>
    <t>DAA</t>
  </si>
  <si>
    <t>DAD</t>
  </si>
  <si>
    <t>DAS</t>
  </si>
  <si>
    <t>DBG</t>
  </si>
  <si>
    <t>DBK</t>
  </si>
  <si>
    <t>DBP</t>
  </si>
  <si>
    <t>DCE</t>
  </si>
  <si>
    <t>Docebo Inc.</t>
  </si>
  <si>
    <t>DCI</t>
  </si>
  <si>
    <t>Hangzhou Tigermed</t>
  </si>
  <si>
    <t>DDP</t>
  </si>
  <si>
    <t>DEK</t>
  </si>
  <si>
    <t>DEL</t>
  </si>
  <si>
    <t>DF0</t>
  </si>
  <si>
    <t>DFS</t>
  </si>
  <si>
    <t>DG1</t>
  </si>
  <si>
    <t>DGE</t>
  </si>
  <si>
    <t>DHE</t>
  </si>
  <si>
    <t>DHL</t>
  </si>
  <si>
    <t>DHR</t>
  </si>
  <si>
    <t>DHY</t>
  </si>
  <si>
    <t>DI0</t>
  </si>
  <si>
    <t>Distrelec Group AG</t>
  </si>
  <si>
    <t>DI1</t>
  </si>
  <si>
    <t>Nedis</t>
  </si>
  <si>
    <t>DIL</t>
  </si>
  <si>
    <t>DIS</t>
  </si>
  <si>
    <t>DKD</t>
  </si>
  <si>
    <t>DKG</t>
  </si>
  <si>
    <t>DKM</t>
  </si>
  <si>
    <t>DKS</t>
  </si>
  <si>
    <t>DL1</t>
  </si>
  <si>
    <t>DLK</t>
  </si>
  <si>
    <t>DLS</t>
  </si>
  <si>
    <t>DLT</t>
  </si>
  <si>
    <t>DM5</t>
  </si>
  <si>
    <t>DMS Governance</t>
  </si>
  <si>
    <t>DNI</t>
  </si>
  <si>
    <t>DNP</t>
  </si>
  <si>
    <t>DOA</t>
  </si>
  <si>
    <t>DOH</t>
  </si>
  <si>
    <t>DPI</t>
  </si>
  <si>
    <t>DPT</t>
  </si>
  <si>
    <t>DPW</t>
  </si>
  <si>
    <t>Davis Polk &amp; Wardwell LLP</t>
  </si>
  <si>
    <t>DRF</t>
  </si>
  <si>
    <t>Drug Farm</t>
  </si>
  <si>
    <t>DRU</t>
  </si>
  <si>
    <t>DRV</t>
  </si>
  <si>
    <t>DataRevive USA LLC</t>
  </si>
  <si>
    <t>DSN</t>
  </si>
  <si>
    <t>DSO</t>
  </si>
  <si>
    <t>DWI</t>
  </si>
  <si>
    <t>Daymon Worldwide, Inc.</t>
  </si>
  <si>
    <t>DWS</t>
  </si>
  <si>
    <t>DYS</t>
  </si>
  <si>
    <t>E0L</t>
  </si>
  <si>
    <t>EA1</t>
  </si>
  <si>
    <t>EAH</t>
  </si>
  <si>
    <t>EB2</t>
  </si>
  <si>
    <t>eBrevia</t>
  </si>
  <si>
    <t>EBS</t>
  </si>
  <si>
    <t>EBY</t>
  </si>
  <si>
    <t>EC0</t>
  </si>
  <si>
    <t>EC2</t>
  </si>
  <si>
    <t>EC3</t>
  </si>
  <si>
    <t>Eutilex Co., Ltd</t>
  </si>
  <si>
    <t>ECB</t>
  </si>
  <si>
    <t>ECN</t>
  </si>
  <si>
    <t>EDM</t>
  </si>
  <si>
    <t>EDN</t>
  </si>
  <si>
    <t>EEC</t>
  </si>
  <si>
    <t>EFC</t>
  </si>
  <si>
    <t>EFF</t>
  </si>
  <si>
    <t>EFG</t>
  </si>
  <si>
    <t>EFM</t>
  </si>
  <si>
    <t>EGG</t>
  </si>
  <si>
    <t>EHP</t>
  </si>
  <si>
    <t>EIA</t>
  </si>
  <si>
    <t>EL1</t>
  </si>
  <si>
    <t>ELC</t>
  </si>
  <si>
    <t>ELD</t>
  </si>
  <si>
    <t>ELE</t>
  </si>
  <si>
    <t>ELL</t>
  </si>
  <si>
    <t>EMI</t>
  </si>
  <si>
    <t>ENA</t>
  </si>
  <si>
    <t>ENG</t>
  </si>
  <si>
    <t>ENP</t>
  </si>
  <si>
    <t>EOF</t>
  </si>
  <si>
    <t>EOFLOW</t>
  </si>
  <si>
    <t>EON</t>
  </si>
  <si>
    <t>EP0</t>
  </si>
  <si>
    <t>EP3</t>
  </si>
  <si>
    <t>End Point</t>
  </si>
  <si>
    <t>EPA</t>
  </si>
  <si>
    <t>EPO</t>
  </si>
  <si>
    <t>EQX</t>
  </si>
  <si>
    <t>ERK</t>
  </si>
  <si>
    <t>ERY</t>
  </si>
  <si>
    <t>Ernst &amp; Young Global Limited</t>
  </si>
  <si>
    <t>ERZ</t>
  </si>
  <si>
    <t>ETE</t>
  </si>
  <si>
    <t>ETT</t>
  </si>
  <si>
    <t>EUD</t>
  </si>
  <si>
    <t>EUR</t>
  </si>
  <si>
    <t>EUS</t>
  </si>
  <si>
    <t>EUZ</t>
  </si>
  <si>
    <t>EVS</t>
  </si>
  <si>
    <t>EXD</t>
  </si>
  <si>
    <t>EXP</t>
  </si>
  <si>
    <t>EXR</t>
  </si>
  <si>
    <t>EXX</t>
  </si>
  <si>
    <t>EYC</t>
  </si>
  <si>
    <t>FAC</t>
  </si>
  <si>
    <t>FAI</t>
  </si>
  <si>
    <t>FBD</t>
  </si>
  <si>
    <t>FCC</t>
  </si>
  <si>
    <t>FD5</t>
  </si>
  <si>
    <t>FES</t>
  </si>
  <si>
    <t>FFM</t>
  </si>
  <si>
    <t>FH1</t>
  </si>
  <si>
    <t>FHO</t>
  </si>
  <si>
    <t>FI2</t>
  </si>
  <si>
    <t>Finsbury</t>
  </si>
  <si>
    <t>FI3</t>
  </si>
  <si>
    <t>FINASTRA INTERNATIONAL FINANCIAL SYSTEMS PTE. LIMITED</t>
  </si>
  <si>
    <t>FID</t>
  </si>
  <si>
    <t>FIF</t>
  </si>
  <si>
    <t>Fieldfisher (Paris)</t>
  </si>
  <si>
    <t>FIH</t>
  </si>
  <si>
    <t>FII</t>
  </si>
  <si>
    <t>FIS</t>
  </si>
  <si>
    <t>FLB</t>
  </si>
  <si>
    <t>FLC</t>
  </si>
  <si>
    <t>FLE</t>
  </si>
  <si>
    <t>FLI</t>
  </si>
  <si>
    <t>FMG</t>
  </si>
  <si>
    <t>FMV</t>
  </si>
  <si>
    <t>FNC</t>
  </si>
  <si>
    <t>FNP</t>
  </si>
  <si>
    <t>FPT</t>
  </si>
  <si>
    <t>FR0</t>
  </si>
  <si>
    <t>FR1</t>
  </si>
  <si>
    <t>FRD</t>
  </si>
  <si>
    <t>FRE</t>
  </si>
  <si>
    <t>FRR</t>
  </si>
  <si>
    <t>FRT</t>
  </si>
  <si>
    <t>FSG</t>
  </si>
  <si>
    <t>FTG</t>
  </si>
  <si>
    <t>FTO</t>
  </si>
  <si>
    <t>FTV</t>
  </si>
  <si>
    <t>FUF</t>
  </si>
  <si>
    <t>FUJ</t>
  </si>
  <si>
    <t>FVS</t>
  </si>
  <si>
    <t>FW0</t>
  </si>
  <si>
    <t>Pacific Century Group</t>
  </si>
  <si>
    <t>FXB</t>
  </si>
  <si>
    <t>FUJIFILM Business Innovation Asia Pacific Pte.Ltd.</t>
  </si>
  <si>
    <t>GAA</t>
  </si>
  <si>
    <t>GAE</t>
  </si>
  <si>
    <t>Global Alumni Education, SL</t>
  </si>
  <si>
    <t>GB2</t>
  </si>
  <si>
    <t>GB3</t>
  </si>
  <si>
    <t>GB4</t>
  </si>
  <si>
    <t xml:space="preserve">Giant Bicycles </t>
  </si>
  <si>
    <t>GBS</t>
  </si>
  <si>
    <t>GC2</t>
  </si>
  <si>
    <t>GC Corporation</t>
  </si>
  <si>
    <t>GCH</t>
  </si>
  <si>
    <t>GCJ</t>
  </si>
  <si>
    <t>Greenhill &amp; Co., Inc.</t>
  </si>
  <si>
    <t>GCL</t>
  </si>
  <si>
    <t>Gibson Dunn &amp; Crutcher LLP</t>
  </si>
  <si>
    <t>GCM</t>
  </si>
  <si>
    <t>GCO</t>
  </si>
  <si>
    <t>GCP</t>
  </si>
  <si>
    <t>GDA</t>
  </si>
  <si>
    <t>GDC</t>
  </si>
  <si>
    <t>GE1</t>
  </si>
  <si>
    <t>GEN</t>
  </si>
  <si>
    <t>GEQ</t>
  </si>
  <si>
    <t>GES</t>
  </si>
  <si>
    <t>GET</t>
  </si>
  <si>
    <t>GGA</t>
  </si>
  <si>
    <t>GGG</t>
  </si>
  <si>
    <t>Grey Global Group Inc</t>
  </si>
  <si>
    <t>GGL</t>
  </si>
  <si>
    <t>GGS</t>
  </si>
  <si>
    <t>GHE</t>
  </si>
  <si>
    <t>GI1</t>
  </si>
  <si>
    <t>GIK</t>
  </si>
  <si>
    <t>GIM</t>
  </si>
  <si>
    <t>GLL</t>
  </si>
  <si>
    <t>GMC</t>
  </si>
  <si>
    <t>GML</t>
  </si>
  <si>
    <t>GNM</t>
  </si>
  <si>
    <t>Genomictree, Inc.</t>
  </si>
  <si>
    <t>GNV</t>
  </si>
  <si>
    <t>Genuv Inc.</t>
  </si>
  <si>
    <t>GOR</t>
  </si>
  <si>
    <t>GOS</t>
  </si>
  <si>
    <t>GPS</t>
  </si>
  <si>
    <t>GR1</t>
  </si>
  <si>
    <t>GR2</t>
  </si>
  <si>
    <t>GRC</t>
  </si>
  <si>
    <t>GRM</t>
  </si>
  <si>
    <t>GRP</t>
  </si>
  <si>
    <t>GRT</t>
  </si>
  <si>
    <t>GRV</t>
  </si>
  <si>
    <t>GSC</t>
  </si>
  <si>
    <t>GSE</t>
  </si>
  <si>
    <t>GSK</t>
  </si>
  <si>
    <t>GlaxoSmithKline plc</t>
  </si>
  <si>
    <t>GTE</t>
  </si>
  <si>
    <t>GTO</t>
  </si>
  <si>
    <t>GTP</t>
  </si>
  <si>
    <t>GTS</t>
  </si>
  <si>
    <t>GVC</t>
  </si>
  <si>
    <t>GWS</t>
  </si>
  <si>
    <t>GYS</t>
  </si>
  <si>
    <t>H0M</t>
  </si>
  <si>
    <t>HAS</t>
  </si>
  <si>
    <t>HAV</t>
  </si>
  <si>
    <t>HB1</t>
  </si>
  <si>
    <t>HBR</t>
  </si>
  <si>
    <t>HCS</t>
  </si>
  <si>
    <t>HDA</t>
  </si>
  <si>
    <t>HDZ</t>
  </si>
  <si>
    <t>HE0</t>
  </si>
  <si>
    <t>HEC</t>
  </si>
  <si>
    <t>HEI</t>
  </si>
  <si>
    <t>HEL</t>
  </si>
  <si>
    <t>HEN</t>
  </si>
  <si>
    <t>HEP</t>
  </si>
  <si>
    <t>HEU</t>
  </si>
  <si>
    <t>HEX</t>
  </si>
  <si>
    <t>HFD</t>
  </si>
  <si>
    <t>HFP</t>
  </si>
  <si>
    <t>HFT</t>
  </si>
  <si>
    <t>HG1</t>
  </si>
  <si>
    <t>HGO</t>
  </si>
  <si>
    <t>HHW</t>
  </si>
  <si>
    <t>HHY</t>
  </si>
  <si>
    <t>HID</t>
  </si>
  <si>
    <t>HIQ</t>
  </si>
  <si>
    <t>HIT</t>
  </si>
  <si>
    <t>HL8</t>
  </si>
  <si>
    <t>HLN</t>
  </si>
  <si>
    <t>HLO</t>
  </si>
  <si>
    <t>HMN</t>
  </si>
  <si>
    <t>HNR</t>
  </si>
  <si>
    <t>Honor Device Co.,Ltd</t>
  </si>
  <si>
    <t>HOL</t>
  </si>
  <si>
    <t>HOM</t>
  </si>
  <si>
    <t>HON</t>
  </si>
  <si>
    <t>HP1</t>
  </si>
  <si>
    <t>HPH</t>
  </si>
  <si>
    <t>Hewlett Packard Enterprise</t>
  </si>
  <si>
    <t>HPI</t>
  </si>
  <si>
    <t>HRK</t>
  </si>
  <si>
    <t>HRO</t>
  </si>
  <si>
    <t>HSB</t>
  </si>
  <si>
    <t>HSD</t>
  </si>
  <si>
    <t>HSI</t>
  </si>
  <si>
    <t>HSK</t>
  </si>
  <si>
    <t>HTG</t>
  </si>
  <si>
    <t>Haitong Securities Company Limited</t>
  </si>
  <si>
    <t>HTU</t>
  </si>
  <si>
    <t>HUA</t>
  </si>
  <si>
    <t>HUO</t>
  </si>
  <si>
    <t>HUS</t>
  </si>
  <si>
    <t>HWT</t>
  </si>
  <si>
    <t>HYI</t>
  </si>
  <si>
    <t>Hyperice Inc</t>
  </si>
  <si>
    <t>HYU</t>
  </si>
  <si>
    <t>IA1</t>
  </si>
  <si>
    <t>IAR</t>
  </si>
  <si>
    <t>INARI Learing &amp; Technology</t>
  </si>
  <si>
    <t>IAX</t>
  </si>
  <si>
    <t>IBD</t>
  </si>
  <si>
    <t>ICB</t>
  </si>
  <si>
    <t>ICC</t>
  </si>
  <si>
    <t>ICV</t>
  </si>
  <si>
    <t>ICA Sverige AB</t>
  </si>
  <si>
    <t>ICW</t>
  </si>
  <si>
    <t>ICX</t>
  </si>
  <si>
    <t>ID2</t>
  </si>
  <si>
    <t>IDD, Inc</t>
  </si>
  <si>
    <t>IDV</t>
  </si>
  <si>
    <t>IFP</t>
  </si>
  <si>
    <t>IFS</t>
  </si>
  <si>
    <t>IG2</t>
  </si>
  <si>
    <t>IGA</t>
  </si>
  <si>
    <t>IGS Informatikgesellschaft für Sozialversicherungen GmbH</t>
  </si>
  <si>
    <t>IGG</t>
  </si>
  <si>
    <t>IH5</t>
  </si>
  <si>
    <t>IHS</t>
  </si>
  <si>
    <t>IKG</t>
  </si>
  <si>
    <t>IMD</t>
  </si>
  <si>
    <t>Inmobiliaria del Sur, S.A.</t>
  </si>
  <si>
    <t>IMF</t>
  </si>
  <si>
    <t>IMH</t>
  </si>
  <si>
    <t>Innovative Medical Products, Inc.</t>
  </si>
  <si>
    <t>IN5</t>
  </si>
  <si>
    <t>IN6</t>
  </si>
  <si>
    <t>INA</t>
  </si>
  <si>
    <t>IQV</t>
  </si>
  <si>
    <t>ISO</t>
  </si>
  <si>
    <t>ISU</t>
  </si>
  <si>
    <t>IT3</t>
  </si>
  <si>
    <t>INTAI Technology Corporation</t>
  </si>
  <si>
    <t>IT5</t>
  </si>
  <si>
    <t>ITD</t>
  </si>
  <si>
    <t>ITL</t>
  </si>
  <si>
    <t>ITS</t>
  </si>
  <si>
    <t>ITU</t>
  </si>
  <si>
    <t>IVC</t>
  </si>
  <si>
    <t>JAL</t>
  </si>
  <si>
    <t>JAN</t>
  </si>
  <si>
    <t>JAW</t>
  </si>
  <si>
    <t>JC0</t>
  </si>
  <si>
    <t>JCB</t>
  </si>
  <si>
    <t>JDS</t>
  </si>
  <si>
    <t>JEG</t>
  </si>
  <si>
    <t>Japan Exchange Group, Inc.</t>
  </si>
  <si>
    <t>JFP</t>
  </si>
  <si>
    <t xml:space="preserve"> JAN Financial Press Limited</t>
  </si>
  <si>
    <t>JHG</t>
  </si>
  <si>
    <t>JJS</t>
  </si>
  <si>
    <t>JLR</t>
  </si>
  <si>
    <t>JNJ</t>
  </si>
  <si>
    <t>JNT</t>
  </si>
  <si>
    <t>JOT</t>
  </si>
  <si>
    <t>JOY</t>
  </si>
  <si>
    <t>Joyy Inc.</t>
  </si>
  <si>
    <t>JPM</t>
  </si>
  <si>
    <t>JRS</t>
  </si>
  <si>
    <t>JUN</t>
  </si>
  <si>
    <t>JUS</t>
  </si>
  <si>
    <t>K&amp;C</t>
  </si>
  <si>
    <t>KAE</t>
  </si>
  <si>
    <t>KAM</t>
  </si>
  <si>
    <t>KBG</t>
  </si>
  <si>
    <t>KCC</t>
  </si>
  <si>
    <t>KCG</t>
  </si>
  <si>
    <t>KCI</t>
  </si>
  <si>
    <t>KCR</t>
  </si>
  <si>
    <t>KDK</t>
  </si>
  <si>
    <t>KE0</t>
  </si>
  <si>
    <t>KEF</t>
  </si>
  <si>
    <t>KGF</t>
  </si>
  <si>
    <t>KHY</t>
  </si>
  <si>
    <t>Khayal Consultants</t>
  </si>
  <si>
    <t>KIO</t>
  </si>
  <si>
    <t>KKR</t>
  </si>
  <si>
    <t>KLC</t>
  </si>
  <si>
    <t>KLG</t>
  </si>
  <si>
    <t>KMI</t>
  </si>
  <si>
    <t>KMS</t>
  </si>
  <si>
    <t>KO1</t>
  </si>
  <si>
    <t>Kotányi GmbH</t>
  </si>
  <si>
    <t>KOG</t>
  </si>
  <si>
    <t>KOL</t>
  </si>
  <si>
    <t>KOP</t>
  </si>
  <si>
    <t>Korea Otsuka Pharmaceutical Co., Ltd</t>
  </si>
  <si>
    <t>KOY</t>
  </si>
  <si>
    <t>KPG</t>
  </si>
  <si>
    <t>KPMG International</t>
  </si>
  <si>
    <t>KPM</t>
  </si>
  <si>
    <t>KRG</t>
  </si>
  <si>
    <t>KSB</t>
  </si>
  <si>
    <t>KSM</t>
  </si>
  <si>
    <t>KSP</t>
  </si>
  <si>
    <t>KST</t>
  </si>
  <si>
    <t>KSW</t>
  </si>
  <si>
    <t>KTA</t>
  </si>
  <si>
    <t>KTB</t>
  </si>
  <si>
    <t>KTT</t>
  </si>
  <si>
    <t>Klook Travel Technology Ltd</t>
  </si>
  <si>
    <t>KUB</t>
  </si>
  <si>
    <t>KUK</t>
  </si>
  <si>
    <t>KVO</t>
  </si>
  <si>
    <t>L&amp;W</t>
  </si>
  <si>
    <t>L3H</t>
  </si>
  <si>
    <t>L3Harris Technologies, Inc.</t>
  </si>
  <si>
    <t>LA0</t>
  </si>
  <si>
    <t>LAG</t>
  </si>
  <si>
    <t>LAI</t>
  </si>
  <si>
    <t>LAM</t>
  </si>
  <si>
    <t>LAT</t>
  </si>
  <si>
    <t>LAZ</t>
  </si>
  <si>
    <t>LCP</t>
  </si>
  <si>
    <t>LDS</t>
  </si>
  <si>
    <t>LE0</t>
  </si>
  <si>
    <t>LEG</t>
  </si>
  <si>
    <t>LEM</t>
  </si>
  <si>
    <t>LEX</t>
  </si>
  <si>
    <t>LFP</t>
  </si>
  <si>
    <t>LG1</t>
  </si>
  <si>
    <t>LG Corporation</t>
  </si>
  <si>
    <t>LGE</t>
  </si>
  <si>
    <t>LGG</t>
  </si>
  <si>
    <t>Legal &amp; General Group</t>
  </si>
  <si>
    <t>LGV</t>
  </si>
  <si>
    <t>LIK</t>
  </si>
  <si>
    <t>LIL</t>
  </si>
  <si>
    <t>LIO</t>
  </si>
  <si>
    <t>LMK</t>
  </si>
  <si>
    <t>Lipman Karas</t>
  </si>
  <si>
    <t>LMU</t>
  </si>
  <si>
    <t>Lucid Motors USA, Inc.</t>
  </si>
  <si>
    <t>LNK</t>
  </si>
  <si>
    <t>LNN</t>
  </si>
  <si>
    <t>Lennar Mortgage</t>
  </si>
  <si>
    <t>LNT</t>
  </si>
  <si>
    <t>LOS</t>
  </si>
  <si>
    <t>LR1</t>
  </si>
  <si>
    <t>LRG</t>
  </si>
  <si>
    <t>LSI</t>
  </si>
  <si>
    <t>LSS</t>
  </si>
  <si>
    <t>Lifetech Scientific (Shenzhen) Co., Ltd.</t>
  </si>
  <si>
    <t>LTB</t>
  </si>
  <si>
    <t>LUE</t>
  </si>
  <si>
    <t>LUN</t>
  </si>
  <si>
    <t>LUR</t>
  </si>
  <si>
    <t>Lutronic Corporation</t>
  </si>
  <si>
    <t>LVM</t>
  </si>
  <si>
    <t>LVO</t>
  </si>
  <si>
    <t>LWB</t>
  </si>
  <si>
    <t>LYD</t>
  </si>
  <si>
    <t>Lydia Solutions</t>
  </si>
  <si>
    <t>LZB</t>
  </si>
  <si>
    <t>Lubrizol Corporation</t>
  </si>
  <si>
    <t>M&amp;F</t>
  </si>
  <si>
    <t>M&amp;P</t>
  </si>
  <si>
    <t>M6M</t>
  </si>
  <si>
    <t>M8S</t>
  </si>
  <si>
    <t>MA2</t>
  </si>
  <si>
    <t>MA3</t>
  </si>
  <si>
    <t>MAD</t>
  </si>
  <si>
    <t>MAI</t>
  </si>
  <si>
    <t>MBD</t>
  </si>
  <si>
    <t>MC5</t>
  </si>
  <si>
    <t>MCK</t>
  </si>
  <si>
    <t>MCP</t>
  </si>
  <si>
    <t>Cargotec Oyj</t>
  </si>
  <si>
    <t>MCT</t>
  </si>
  <si>
    <t>MDG</t>
  </si>
  <si>
    <t>MDM</t>
  </si>
  <si>
    <t>MDP</t>
  </si>
  <si>
    <t>ME1</t>
  </si>
  <si>
    <t>ME6</t>
  </si>
  <si>
    <t>ME8</t>
  </si>
  <si>
    <t>Abbott Diagnostics</t>
  </si>
  <si>
    <t>MED</t>
  </si>
  <si>
    <t>MEI</t>
  </si>
  <si>
    <t>MF1</t>
  </si>
  <si>
    <t>MFC</t>
  </si>
  <si>
    <t>MG1</t>
  </si>
  <si>
    <t>The Mediterranean and Gulf Insurance and Reinsurance Co</t>
  </si>
  <si>
    <t>MGC</t>
  </si>
  <si>
    <t>MARUI GROUP CO., LTD.</t>
  </si>
  <si>
    <t>MGI</t>
  </si>
  <si>
    <t>Monex Group, Inc.</t>
  </si>
  <si>
    <t>MGL</t>
  </si>
  <si>
    <t>MGR</t>
  </si>
  <si>
    <t>MH2</t>
  </si>
  <si>
    <t xml:space="preserve">MediHelpLine </t>
  </si>
  <si>
    <t>MHC</t>
  </si>
  <si>
    <t>MHL</t>
  </si>
  <si>
    <t>MI1</t>
  </si>
  <si>
    <t>MIC</t>
  </si>
  <si>
    <t>MIF</t>
  </si>
  <si>
    <t>MIT</t>
  </si>
  <si>
    <t>MIZ</t>
  </si>
  <si>
    <t>Mizuho Capital Co., Ltd.</t>
  </si>
  <si>
    <t>MKI</t>
  </si>
  <si>
    <t>MKN</t>
  </si>
  <si>
    <t>MKO</t>
  </si>
  <si>
    <t>ML1</t>
  </si>
  <si>
    <t>MLE</t>
  </si>
  <si>
    <t>MLI</t>
  </si>
  <si>
    <t>MLP</t>
  </si>
  <si>
    <t>Magic Leap, Inc.</t>
  </si>
  <si>
    <t>MMC</t>
  </si>
  <si>
    <t>MMD</t>
  </si>
  <si>
    <t>Micomme Medical Technology Development Co., Ltd.</t>
  </si>
  <si>
    <t>MMH</t>
  </si>
  <si>
    <t>MMS</t>
  </si>
  <si>
    <t>MMT</t>
  </si>
  <si>
    <t>MNA</t>
  </si>
  <si>
    <t>MNF</t>
  </si>
  <si>
    <t>MNG</t>
  </si>
  <si>
    <t>MOA</t>
  </si>
  <si>
    <t>MOE</t>
  </si>
  <si>
    <t>MOH</t>
  </si>
  <si>
    <t>MOL</t>
  </si>
  <si>
    <t>MOO</t>
  </si>
  <si>
    <t>MOP</t>
  </si>
  <si>
    <t>Moonpig</t>
  </si>
  <si>
    <t>MOR</t>
  </si>
  <si>
    <t>MPF</t>
  </si>
  <si>
    <t>MPH</t>
  </si>
  <si>
    <t>Methapharm Inc</t>
  </si>
  <si>
    <t>MPI</t>
  </si>
  <si>
    <t>MPO</t>
  </si>
  <si>
    <t>MPS</t>
  </si>
  <si>
    <t>MR1</t>
  </si>
  <si>
    <t>Mel Robbins Media Company</t>
  </si>
  <si>
    <t>MRB</t>
  </si>
  <si>
    <t>MRC</t>
  </si>
  <si>
    <t>MRG</t>
  </si>
  <si>
    <t>MRL</t>
  </si>
  <si>
    <t>MRM</t>
  </si>
  <si>
    <t>MS1</t>
  </si>
  <si>
    <t>MS5</t>
  </si>
  <si>
    <t>MSM</t>
  </si>
  <si>
    <t>MST</t>
  </si>
  <si>
    <t>MSX</t>
  </si>
  <si>
    <t>MTH</t>
  </si>
  <si>
    <t>MThera Pharma</t>
  </si>
  <si>
    <t>MTI</t>
  </si>
  <si>
    <t>MTL</t>
  </si>
  <si>
    <t>MTT</t>
  </si>
  <si>
    <t>MUB</t>
  </si>
  <si>
    <t>MWC</t>
  </si>
  <si>
    <t>Mowah Company</t>
  </si>
  <si>
    <t>MYL</t>
  </si>
  <si>
    <t>MYX</t>
  </si>
  <si>
    <t>MÆL</t>
  </si>
  <si>
    <t>N&amp;A</t>
  </si>
  <si>
    <t>NA2</t>
  </si>
  <si>
    <t>NA3</t>
  </si>
  <si>
    <t>Nomura Asset Management Hong Kong Limited</t>
  </si>
  <si>
    <t>NA5</t>
  </si>
  <si>
    <t>Nextech AR Solutions Corp</t>
  </si>
  <si>
    <t>NAP</t>
  </si>
  <si>
    <t>NAV</t>
  </si>
  <si>
    <t>NBC</t>
  </si>
  <si>
    <t>NDX</t>
  </si>
  <si>
    <t>NE2</t>
  </si>
  <si>
    <t>NES</t>
  </si>
  <si>
    <t>NEU</t>
  </si>
  <si>
    <t>NFI</t>
  </si>
  <si>
    <t>NFX</t>
  </si>
  <si>
    <t>NGO</t>
  </si>
  <si>
    <t>NGR</t>
  </si>
  <si>
    <t>NHG</t>
  </si>
  <si>
    <t>NH Hotel Group SA</t>
  </si>
  <si>
    <t>NHP</t>
  </si>
  <si>
    <t>NIK</t>
  </si>
  <si>
    <t>NIP</t>
  </si>
  <si>
    <t>NIQ</t>
  </si>
  <si>
    <t>NielsenIQ</t>
  </si>
  <si>
    <t>NKC</t>
  </si>
  <si>
    <t>NLG</t>
  </si>
  <si>
    <t>NMI</t>
  </si>
  <si>
    <t>NML</t>
  </si>
  <si>
    <t>NNG</t>
  </si>
  <si>
    <t>NON</t>
  </si>
  <si>
    <t>Novocure GmbH</t>
  </si>
  <si>
    <t>NOY</t>
  </si>
  <si>
    <t>Novocure Ltd.</t>
  </si>
  <si>
    <t>NPP</t>
  </si>
  <si>
    <t>NRC</t>
  </si>
  <si>
    <t>NRY</t>
  </si>
  <si>
    <t>Nouryon</t>
  </si>
  <si>
    <t>NSC</t>
  </si>
  <si>
    <t>NSK</t>
  </si>
  <si>
    <t>Nu Skin International, Inc</t>
  </si>
  <si>
    <t>NTG</t>
  </si>
  <si>
    <t>NTU</t>
  </si>
  <si>
    <t>NVA</t>
  </si>
  <si>
    <t>NVR</t>
  </si>
  <si>
    <t>NWI</t>
  </si>
  <si>
    <t>OAA</t>
  </si>
  <si>
    <t>ODI</t>
  </si>
  <si>
    <t>OEC</t>
  </si>
  <si>
    <t>Otis Elevator Company</t>
  </si>
  <si>
    <t>OFA</t>
  </si>
  <si>
    <t>Ofa Bamberg GmbH</t>
  </si>
  <si>
    <t>OGI</t>
  </si>
  <si>
    <t>OKI</t>
  </si>
  <si>
    <t>OKT</t>
  </si>
  <si>
    <t>OMR</t>
  </si>
  <si>
    <t>ORA</t>
  </si>
  <si>
    <t>ORP</t>
  </si>
  <si>
    <t>OTH</t>
  </si>
  <si>
    <t>OTR</t>
  </si>
  <si>
    <t>OTT</t>
  </si>
  <si>
    <t>PA2</t>
  </si>
  <si>
    <t>PA3</t>
  </si>
  <si>
    <t>PAC</t>
  </si>
  <si>
    <t>PAS</t>
  </si>
  <si>
    <t>PCO</t>
  </si>
  <si>
    <t>PDW</t>
  </si>
  <si>
    <t>PE2</t>
  </si>
  <si>
    <t>PEB</t>
  </si>
  <si>
    <t>PH2</t>
  </si>
  <si>
    <t>Parkway Hospitals Singapore Pte Ltd</t>
  </si>
  <si>
    <t>PH5</t>
  </si>
  <si>
    <t>PHI</t>
  </si>
  <si>
    <t>PHL</t>
  </si>
  <si>
    <t>PHP</t>
  </si>
  <si>
    <t>Philoptics</t>
  </si>
  <si>
    <t>PHR</t>
  </si>
  <si>
    <t>PII</t>
  </si>
  <si>
    <t>Polaris Industries, Inc.</t>
  </si>
  <si>
    <t>PIT</t>
  </si>
  <si>
    <t>PKE</t>
  </si>
  <si>
    <t>PKM</t>
  </si>
  <si>
    <t>PLA</t>
  </si>
  <si>
    <t>PM3</t>
  </si>
  <si>
    <t>PME</t>
  </si>
  <si>
    <t>PMG</t>
  </si>
  <si>
    <t>PMP</t>
  </si>
  <si>
    <t>PMS</t>
  </si>
  <si>
    <t>PROMeDis Co Ltd.</t>
  </si>
  <si>
    <t>PO8</t>
  </si>
  <si>
    <t>POA</t>
  </si>
  <si>
    <t>POR</t>
  </si>
  <si>
    <t>PPC</t>
  </si>
  <si>
    <t>PPD</t>
  </si>
  <si>
    <t>PPF</t>
  </si>
  <si>
    <t>PR0</t>
  </si>
  <si>
    <t>PR1</t>
  </si>
  <si>
    <t>PRH</t>
  </si>
  <si>
    <t>PRS</t>
  </si>
  <si>
    <t>PRU</t>
  </si>
  <si>
    <t>PSA</t>
  </si>
  <si>
    <t>PUM</t>
  </si>
  <si>
    <t>PWC</t>
  </si>
  <si>
    <t>PXL</t>
  </si>
  <si>
    <t>QD1</t>
  </si>
  <si>
    <t>Quest Diagnostics Incorporated</t>
  </si>
  <si>
    <t>QFC</t>
  </si>
  <si>
    <t>QSD</t>
  </si>
  <si>
    <t>QSS</t>
  </si>
  <si>
    <t>QUO</t>
  </si>
  <si>
    <t>QUS</t>
  </si>
  <si>
    <t>RAD</t>
  </si>
  <si>
    <t>RBA</t>
  </si>
  <si>
    <t>RBB</t>
  </si>
  <si>
    <t>RCH</t>
  </si>
  <si>
    <t>RCK</t>
  </si>
  <si>
    <t>RDC</t>
  </si>
  <si>
    <t>RE3</t>
  </si>
  <si>
    <t>REF</t>
  </si>
  <si>
    <t>REJ</t>
  </si>
  <si>
    <t>RFT</t>
  </si>
  <si>
    <t>RHA</t>
  </si>
  <si>
    <t>RHC</t>
  </si>
  <si>
    <t>REDHILL Co., Ltd</t>
  </si>
  <si>
    <t>RIE</t>
  </si>
  <si>
    <t>RIG</t>
  </si>
  <si>
    <t>RIH</t>
  </si>
  <si>
    <t>RIO</t>
  </si>
  <si>
    <t>Regulated Industries Other Clients</t>
  </si>
  <si>
    <t>RKT</t>
  </si>
  <si>
    <t>RL1</t>
  </si>
  <si>
    <t>RLD</t>
  </si>
  <si>
    <t>RLR</t>
  </si>
  <si>
    <t>Ralph Lauren (HK) Retail , Co Ltd. Taiwan Branch</t>
  </si>
  <si>
    <t>ROB</t>
  </si>
  <si>
    <t>ROC</t>
  </si>
  <si>
    <t>ROK</t>
  </si>
  <si>
    <t>Dirk Rossmann GmbH</t>
  </si>
  <si>
    <t>RPN</t>
  </si>
  <si>
    <t>RRD</t>
  </si>
  <si>
    <t>RTX</t>
  </si>
  <si>
    <t>RYJ</t>
  </si>
  <si>
    <t>S&amp;C</t>
  </si>
  <si>
    <t>S&amp;S</t>
  </si>
  <si>
    <t>KAUFMAN &amp; BROAD SA</t>
  </si>
  <si>
    <t>SA6</t>
  </si>
  <si>
    <t>SA7</t>
  </si>
  <si>
    <t>SA9</t>
  </si>
  <si>
    <t>SAH</t>
  </si>
  <si>
    <t>SAJ</t>
  </si>
  <si>
    <t>SAM</t>
  </si>
  <si>
    <t>SAO</t>
  </si>
  <si>
    <t>SAP</t>
  </si>
  <si>
    <t>SAW</t>
  </si>
  <si>
    <t>SAX</t>
  </si>
  <si>
    <t>SB1</t>
  </si>
  <si>
    <t>SBN</t>
  </si>
  <si>
    <t>SC1</t>
  </si>
  <si>
    <t>SC2</t>
  </si>
  <si>
    <t>SC4</t>
  </si>
  <si>
    <t>SC5</t>
  </si>
  <si>
    <t>Scientific Communications Group</t>
  </si>
  <si>
    <t>SC8</t>
  </si>
  <si>
    <t>SCF</t>
  </si>
  <si>
    <t>SCH</t>
  </si>
  <si>
    <t>SCP</t>
  </si>
  <si>
    <t>Standard Chartered PLC</t>
  </si>
  <si>
    <t>SDL</t>
  </si>
  <si>
    <t>SDZ</t>
  </si>
  <si>
    <t>SEB</t>
  </si>
  <si>
    <t xml:space="preserve">Skandinaviska Enskilda </t>
  </si>
  <si>
    <t>SED</t>
  </si>
  <si>
    <t>SEV</t>
  </si>
  <si>
    <t>SF1</t>
  </si>
  <si>
    <t>SFD</t>
  </si>
  <si>
    <t>SG0</t>
  </si>
  <si>
    <t>SG2</t>
  </si>
  <si>
    <t>SG3</t>
  </si>
  <si>
    <t>SGG</t>
  </si>
  <si>
    <t>SGN</t>
  </si>
  <si>
    <t>SGS</t>
  </si>
  <si>
    <t>Société Générale Securities Services</t>
  </si>
  <si>
    <t>SGW</t>
  </si>
  <si>
    <t>SHI</t>
  </si>
  <si>
    <t>SHK</t>
  </si>
  <si>
    <t>Synergy Hill+Knowlton Strategies</t>
  </si>
  <si>
    <t>SHQ</t>
  </si>
  <si>
    <t>SI2</t>
  </si>
  <si>
    <t xml:space="preserve">Sinocelltech Group Ltd. </t>
  </si>
  <si>
    <t>SIM</t>
  </si>
  <si>
    <t>SJI</t>
  </si>
  <si>
    <t>SJM</t>
  </si>
  <si>
    <t>SK1</t>
  </si>
  <si>
    <t>SK chemical</t>
  </si>
  <si>
    <t>SKB</t>
  </si>
  <si>
    <t>SKC</t>
  </si>
  <si>
    <t>SKN</t>
  </si>
  <si>
    <t>SL1</t>
  </si>
  <si>
    <t>SL2</t>
  </si>
  <si>
    <t>SLF</t>
  </si>
  <si>
    <t>SM0</t>
  </si>
  <si>
    <t>SM2</t>
  </si>
  <si>
    <t>SMX</t>
  </si>
  <si>
    <t>SNB</t>
  </si>
  <si>
    <t>SNL</t>
  </si>
  <si>
    <t>SNN</t>
  </si>
  <si>
    <t>Skinny Labs Inc</t>
  </si>
  <si>
    <t>SNS</t>
  </si>
  <si>
    <t>SNU</t>
  </si>
  <si>
    <t>SO2</t>
  </si>
  <si>
    <t>SOD</t>
  </si>
  <si>
    <t>SON</t>
  </si>
  <si>
    <t>SP2</t>
  </si>
  <si>
    <t>Shenzhen Pregene Biopharma Co</t>
  </si>
  <si>
    <t>SPE</t>
  </si>
  <si>
    <t>SPN</t>
  </si>
  <si>
    <t>SQG</t>
  </si>
  <si>
    <t>SR5</t>
  </si>
  <si>
    <t>SRH</t>
  </si>
  <si>
    <t>SS1</t>
  </si>
  <si>
    <t>SS7</t>
  </si>
  <si>
    <t>SSF</t>
  </si>
  <si>
    <t>Skillsoft Limited</t>
  </si>
  <si>
    <t>ST3</t>
  </si>
  <si>
    <t>ST4</t>
  </si>
  <si>
    <t>ST5</t>
  </si>
  <si>
    <t>ST6</t>
  </si>
  <si>
    <t>STC Solutions</t>
  </si>
  <si>
    <t>ST8</t>
  </si>
  <si>
    <t xml:space="preserve">Simpson Thacher &amp; Bartlett LLP </t>
  </si>
  <si>
    <t>STP</t>
  </si>
  <si>
    <t>STS</t>
  </si>
  <si>
    <t>SUE</t>
  </si>
  <si>
    <t>SUS</t>
  </si>
  <si>
    <t>SUZ</t>
  </si>
  <si>
    <t>SVF</t>
  </si>
  <si>
    <t>SWE</t>
  </si>
  <si>
    <t>SXI</t>
  </si>
  <si>
    <t>SXP</t>
  </si>
  <si>
    <t>SY0</t>
  </si>
  <si>
    <t>SYA</t>
  </si>
  <si>
    <t>SYK</t>
  </si>
  <si>
    <t>SYL</t>
  </si>
  <si>
    <t>SYM</t>
  </si>
  <si>
    <t>SYO</t>
  </si>
  <si>
    <t>TAA</t>
  </si>
  <si>
    <t>TAK</t>
  </si>
  <si>
    <t>Takeda Pharmaceutical Company Limited</t>
  </si>
  <si>
    <t>TAS</t>
  </si>
  <si>
    <t>TAW</t>
  </si>
  <si>
    <t>TB2</t>
  </si>
  <si>
    <t>Tokyo Broadcasting System Holdings</t>
  </si>
  <si>
    <t>TB7</t>
  </si>
  <si>
    <t>TC2</t>
  </si>
  <si>
    <t>TCC</t>
  </si>
  <si>
    <t>TCY</t>
  </si>
  <si>
    <t>TDW</t>
  </si>
  <si>
    <t>Tanner De Witt</t>
  </si>
  <si>
    <t>TE1</t>
  </si>
  <si>
    <t>TEB</t>
  </si>
  <si>
    <t>TEF</t>
  </si>
  <si>
    <t>TEM</t>
  </si>
  <si>
    <t>TEX</t>
  </si>
  <si>
    <t>TF2</t>
  </si>
  <si>
    <t>Toyota Financial Service America</t>
  </si>
  <si>
    <t>TFA</t>
  </si>
  <si>
    <t>TFX</t>
  </si>
  <si>
    <t>TGO</t>
  </si>
  <si>
    <t>TH1</t>
  </si>
  <si>
    <t>THA</t>
  </si>
  <si>
    <t>THF</t>
  </si>
  <si>
    <t>THZ</t>
  </si>
  <si>
    <t>TLF</t>
  </si>
  <si>
    <t>TMG</t>
  </si>
  <si>
    <t>TMP</t>
  </si>
  <si>
    <t>TMU</t>
  </si>
  <si>
    <t>Taiwan Maple Urological Association</t>
  </si>
  <si>
    <t>TOL</t>
  </si>
  <si>
    <t>TPK</t>
  </si>
  <si>
    <t>TPR</t>
  </si>
  <si>
    <t>TPV</t>
  </si>
  <si>
    <t>TPW</t>
  </si>
  <si>
    <t>TR3</t>
  </si>
  <si>
    <t>TR5</t>
  </si>
  <si>
    <t>TRP</t>
  </si>
  <si>
    <t>TSE</t>
  </si>
  <si>
    <t>TSL</t>
  </si>
  <si>
    <t>TTI</t>
  </si>
  <si>
    <t>TUA</t>
  </si>
  <si>
    <t>TVG</t>
  </si>
  <si>
    <t>TW0</t>
  </si>
  <si>
    <t>TWB</t>
  </si>
  <si>
    <t>TWD</t>
  </si>
  <si>
    <t>TYA</t>
  </si>
  <si>
    <t>UAC</t>
  </si>
  <si>
    <t>UA Connected Fitness Inc.</t>
  </si>
  <si>
    <t>UAL</t>
  </si>
  <si>
    <t>UBP</t>
  </si>
  <si>
    <t>UCA</t>
  </si>
  <si>
    <t>UCB</t>
  </si>
  <si>
    <t>UCB S.A.</t>
  </si>
  <si>
    <t>UDY</t>
  </si>
  <si>
    <t>UEF</t>
  </si>
  <si>
    <t>UFH</t>
  </si>
  <si>
    <t>UGA</t>
  </si>
  <si>
    <t>UGS</t>
  </si>
  <si>
    <t>Unifiedpost Group SA</t>
  </si>
  <si>
    <t>UIC</t>
  </si>
  <si>
    <t>UIG</t>
  </si>
  <si>
    <t>UIL</t>
  </si>
  <si>
    <t>UKG</t>
  </si>
  <si>
    <t>UNB</t>
  </si>
  <si>
    <t>UNC</t>
  </si>
  <si>
    <t>UND</t>
  </si>
  <si>
    <t>UNF</t>
  </si>
  <si>
    <t>UNG</t>
  </si>
  <si>
    <t>UNP</t>
  </si>
  <si>
    <t>UNS</t>
  </si>
  <si>
    <t>UPG</t>
  </si>
  <si>
    <t>USG</t>
  </si>
  <si>
    <t>USY</t>
  </si>
  <si>
    <t>UTC</t>
  </si>
  <si>
    <t>UVE</t>
  </si>
  <si>
    <t>UVS</t>
  </si>
  <si>
    <t>UXS</t>
  </si>
  <si>
    <t>Universitas XXI Soluciones Y Tecnologia Para La Universidad S.A.</t>
  </si>
  <si>
    <t>VA5</t>
  </si>
  <si>
    <t>VAR</t>
  </si>
  <si>
    <t>VAX</t>
  </si>
  <si>
    <t>VBC</t>
  </si>
  <si>
    <t>Vazyme Biotech Co., Ltd</t>
  </si>
  <si>
    <t>VDL</t>
  </si>
  <si>
    <t>VE1</t>
  </si>
  <si>
    <t>VEM</t>
  </si>
  <si>
    <t>VEO</t>
  </si>
  <si>
    <t>VET</t>
  </si>
  <si>
    <t>Verint Systems Inc.</t>
  </si>
  <si>
    <t>VI1</t>
  </si>
  <si>
    <t>VIB</t>
  </si>
  <si>
    <t>VII</t>
  </si>
  <si>
    <t>VLT</t>
  </si>
  <si>
    <t>Valmet Corporation</t>
  </si>
  <si>
    <t>VML</t>
  </si>
  <si>
    <t>VMW</t>
  </si>
  <si>
    <t>VNU</t>
  </si>
  <si>
    <t>VOS</t>
  </si>
  <si>
    <t>VOLTALIA SA</t>
  </si>
  <si>
    <t>VS1</t>
  </si>
  <si>
    <t>VSA</t>
  </si>
  <si>
    <t>VSS</t>
  </si>
  <si>
    <t>VWA</t>
  </si>
  <si>
    <t>W&amp;C</t>
  </si>
  <si>
    <t>WBL</t>
  </si>
  <si>
    <t>WEC</t>
  </si>
  <si>
    <t>WEE</t>
  </si>
  <si>
    <t>WEG</t>
  </si>
  <si>
    <t>WECHAIN FINTECH PTE. LTD</t>
  </si>
  <si>
    <t>WEP</t>
  </si>
  <si>
    <t>WEU</t>
  </si>
  <si>
    <t>WFC</t>
  </si>
  <si>
    <t>WLB</t>
  </si>
  <si>
    <t>Welbilt</t>
  </si>
  <si>
    <t>WLL</t>
  </si>
  <si>
    <t>WLM</t>
  </si>
  <si>
    <t>WOC</t>
  </si>
  <si>
    <t>WON</t>
  </si>
  <si>
    <t>WPP</t>
  </si>
  <si>
    <t>WRI</t>
  </si>
  <si>
    <t>WSF</t>
  </si>
  <si>
    <t>WSJ</t>
  </si>
  <si>
    <t>WTC</t>
  </si>
  <si>
    <t>WUR</t>
  </si>
  <si>
    <t>WWR</t>
  </si>
  <si>
    <t>WYN</t>
  </si>
  <si>
    <t>XME</t>
  </si>
  <si>
    <t>YAC</t>
  </si>
  <si>
    <t>YAR</t>
  </si>
  <si>
    <t>YKG</t>
  </si>
  <si>
    <t>YUH</t>
  </si>
  <si>
    <t>ZI2</t>
  </si>
  <si>
    <t>ZIH</t>
  </si>
  <si>
    <t>ZIP</t>
  </si>
  <si>
    <t>ZOH</t>
  </si>
  <si>
    <t>ZST</t>
  </si>
  <si>
    <t>RWS Language Office</t>
  </si>
  <si>
    <t>RWS cost code</t>
  </si>
  <si>
    <t>Arabic</t>
  </si>
  <si>
    <t>Major Error</t>
  </si>
  <si>
    <t>Major</t>
  </si>
  <si>
    <t>Accuracy</t>
  </si>
  <si>
    <t>Terminology</t>
  </si>
  <si>
    <r>
      <t xml:space="preserve">RWS Quality Indicator Scale </t>
    </r>
    <r>
      <rPr>
        <b/>
        <sz val="9"/>
        <color rgb="FF009EA9"/>
        <rFont val="Arial"/>
        <family val="2"/>
      </rPr>
      <t>[0-100]</t>
    </r>
  </si>
  <si>
    <r>
      <rPr>
        <b/>
        <sz val="8"/>
        <rFont val="Calibri"/>
        <family val="2"/>
      </rPr>
      <t>≤</t>
    </r>
    <r>
      <rPr>
        <b/>
        <sz val="8"/>
        <rFont val="Arial"/>
        <family val="2"/>
      </rPr>
      <t xml:space="preserve"> 89</t>
    </r>
  </si>
  <si>
    <t>Max 100</t>
  </si>
  <si>
    <t>Subcategory</t>
  </si>
  <si>
    <t>Addition</t>
  </si>
  <si>
    <t>Mistranslation</t>
  </si>
  <si>
    <t>Untranslated</t>
  </si>
  <si>
    <t>Shortcut key</t>
  </si>
  <si>
    <t>Telephone format</t>
  </si>
  <si>
    <t>Missing text</t>
  </si>
  <si>
    <t>Truncation/text expansion</t>
  </si>
  <si>
    <t>Character encoding</t>
  </si>
  <si>
    <t>Grammar</t>
  </si>
  <si>
    <t>Link/cross-reference</t>
  </si>
  <si>
    <t>Spelling</t>
  </si>
  <si>
    <t>Inconsistent use of terminology</t>
  </si>
  <si>
    <t>CATEGORIES &amp; SUBCATEGORIES – DEFINITIONS &amp; EXAMPLES</t>
  </si>
  <si>
    <t xml:space="preserve">Address format </t>
  </si>
  <si>
    <t xml:space="preserve">Currency format </t>
  </si>
  <si>
    <t xml:space="preserve">Date format </t>
  </si>
  <si>
    <t xml:space="preserve">Measurement format </t>
  </si>
  <si>
    <t>Unidiomatic style</t>
  </si>
  <si>
    <t>Third-party style</t>
  </si>
  <si>
    <t>Inconsistent style</t>
  </si>
  <si>
    <t>Other</t>
  </si>
  <si>
    <t>Legacy data</t>
  </si>
  <si>
    <t>Source text data</t>
  </si>
  <si>
    <t>Linguistic conventions</t>
  </si>
  <si>
    <t>Locale conventions</t>
  </si>
  <si>
    <t>Audience appropriateness</t>
  </si>
  <si>
    <t>Design and markup</t>
  </si>
  <si>
    <t>Total Recorded Error Points</t>
  </si>
  <si>
    <t>Legacy Data</t>
  </si>
  <si>
    <t>Source Text Data</t>
  </si>
  <si>
    <t>Error Points Threshold</t>
  </si>
  <si>
    <t>Premium</t>
  </si>
  <si>
    <t>Neutral</t>
  </si>
  <si>
    <t>Premium Plus</t>
  </si>
  <si>
    <t>Creative Plus</t>
  </si>
  <si>
    <t>Languages</t>
  </si>
  <si>
    <t>Error Severities</t>
  </si>
  <si>
    <t>Value</t>
  </si>
  <si>
    <t>Economy</t>
  </si>
  <si>
    <t>Error Categories</t>
  </si>
  <si>
    <t>Cost Code to Client Name</t>
  </si>
  <si>
    <t>Quality Level:</t>
  </si>
  <si>
    <t>Severity Weighting</t>
  </si>
  <si>
    <t>Cost Code</t>
  </si>
  <si>
    <t>Quality Levels - Overview</t>
  </si>
  <si>
    <t>Selected Quality Level:</t>
  </si>
  <si>
    <t>Weighting Calculation - Initial - Final</t>
  </si>
  <si>
    <t>Final Result</t>
  </si>
  <si>
    <t>Recorded 
Error Points</t>
  </si>
  <si>
    <t>36 error points /1000 words</t>
  </si>
  <si>
    <t>9 error points /1000 words</t>
  </si>
  <si>
    <t>18 error points /1000 words</t>
  </si>
  <si>
    <t>This tab contains the detailed information &amp; guidelines on error categories and weightings assigned to specific errors according to MQM quality framework. Select a category or subcategory from the list below to see definitions with examples.</t>
  </si>
  <si>
    <t>OVERALL IMPRESSION &amp; COMMENTS</t>
  </si>
  <si>
    <t>Initial Result</t>
  </si>
  <si>
    <t>Cost Code - Client Name</t>
  </si>
  <si>
    <t>Weighting Calculation</t>
  </si>
  <si>
    <t>General</t>
  </si>
  <si>
    <t>Accepted or Not accepted by Translator</t>
  </si>
  <si>
    <t>Accepted</t>
  </si>
  <si>
    <t>Initial acceptance rate %</t>
  </si>
  <si>
    <t>Quality Manager decision (Not accepted errors only)</t>
  </si>
  <si>
    <t>Agree with Translator</t>
  </si>
  <si>
    <t>Disagree with Translator</t>
  </si>
  <si>
    <t>Final acceptance rate % (incl Initial Accepted)</t>
  </si>
  <si>
    <t xml:space="preserve">      Select grade for Overall Impression &gt;&gt;&gt;</t>
  </si>
  <si>
    <t>Inconsistent with terminology resource</t>
  </si>
  <si>
    <t>Wrong term</t>
  </si>
  <si>
    <t>Over-translation</t>
  </si>
  <si>
    <t>Under-translation</t>
  </si>
  <si>
    <t>Do not translate (DNT)</t>
  </si>
  <si>
    <t>Unintelligible</t>
  </si>
  <si>
    <t>Organizational style</t>
  </si>
  <si>
    <t>Inconsistent with external reference</t>
  </si>
  <si>
    <t>Register</t>
  </si>
  <si>
    <t>Awkward style</t>
  </si>
  <si>
    <t>Number format</t>
  </si>
  <si>
    <t>Currency format</t>
  </si>
  <si>
    <t>Measurement format</t>
  </si>
  <si>
    <t>Time format</t>
  </si>
  <si>
    <t>Date format</t>
  </si>
  <si>
    <t>Address format</t>
  </si>
  <si>
    <t>Culture-specific reference</t>
  </si>
  <si>
    <t>Character formatting</t>
  </si>
  <si>
    <t>Layout</t>
  </si>
  <si>
    <t>Markup tag</t>
  </si>
  <si>
    <t>Errors arising when a term does not conform to normative domain or organizational terminology standards or when a term in the target text is not the correct, normative equivalent of the corresponding term in the source text.</t>
  </si>
  <si>
    <t xml:space="preserve">Inconsistent with terminology resource </t>
  </si>
  <si>
    <t>Use of a term that differs from term usage required by a specified termbase or other resource.</t>
  </si>
  <si>
    <r>
      <rPr>
        <b/>
        <sz val="10"/>
        <color rgb="FFFF0000"/>
        <rFont val="Arial"/>
        <family val="2"/>
        <charset val="238"/>
      </rPr>
      <t>Example:</t>
    </r>
    <r>
      <rPr>
        <sz val="10"/>
        <rFont val="Arial"/>
        <family val="2"/>
      </rPr>
      <t xml:space="preserve"> A termbase specifies that the term 'USB memory stick' should be used, but the text uses 'USB flash drive'.
A French text translates English 'e-mail' as 'e-mail' but terminology guidelines mandated that 'courriel' be used.
The English musicological term 'dog' is translated (literally) into German as 'Hund' instead of as 'Schnarre', as specified in a terminology database.</t>
    </r>
  </si>
  <si>
    <t xml:space="preserve">Inconsistent use of terminology </t>
  </si>
  <si>
    <t>Use of multiple terms for the same concept in cases where consistency is desirable.</t>
  </si>
  <si>
    <r>
      <rPr>
        <b/>
        <sz val="10"/>
        <color rgb="FFFF0000"/>
        <rFont val="Arial"/>
        <family val="2"/>
        <charset val="238"/>
      </rPr>
      <t>Example:</t>
    </r>
    <r>
      <rPr>
        <sz val="10"/>
        <rFont val="Arial"/>
        <family val="2"/>
      </rPr>
      <t xml:space="preserve"> The text refers to a component as the 'brake release lever', 'brake disengagement lever', 'manual brake release', and 'manual disengagement release'.</t>
    </r>
  </si>
  <si>
    <t xml:space="preserve">Wrong term </t>
  </si>
  <si>
    <t>Use of term that it is not the term a domain expert would use or because it gives rise to a conceptual mismatch.</t>
  </si>
  <si>
    <r>
      <rPr>
        <b/>
        <sz val="10"/>
        <color rgb="FFFF0000"/>
        <rFont val="Arial"/>
        <family val="2"/>
        <charset val="238"/>
      </rPr>
      <t>Example:</t>
    </r>
    <r>
      <rPr>
        <sz val="10"/>
        <rFont val="Arial"/>
        <family val="2"/>
      </rPr>
      <t xml:space="preserve"> The word 'river' in an English source text is translated into French as 'rivière'. But the river in question flows into the sea, not into a lake or another river, so the correct French translation should have been 'fleuve'.</t>
    </r>
  </si>
  <si>
    <t>Any other issues related to 'Terminology' that cannot be classified with the defined subcategories above.</t>
  </si>
  <si>
    <t>Errors occurring when the target text does not accurately correspond to the propositional content of the source text, introduced by distorting, omitting, or adding to the message.</t>
  </si>
  <si>
    <t xml:space="preserve">Mistranslation </t>
  </si>
  <si>
    <t>Target content that does not accurately represent the source content.</t>
  </si>
  <si>
    <r>
      <rPr>
        <b/>
        <sz val="10"/>
        <color rgb="FFFF0000"/>
        <rFont val="Arial"/>
        <family val="2"/>
        <charset val="238"/>
      </rPr>
      <t>Example:</t>
    </r>
    <r>
      <rPr>
        <sz val="10"/>
        <rFont val="Arial"/>
        <family val="2"/>
      </rPr>
      <t xml:space="preserve"> A source text states that a medicine should not be administered in doses greater than 200 mg, but the translation states that it should be administered in doses greater than 200 mg (i.e., negation has been omitted).</t>
    </r>
  </si>
  <si>
    <t xml:space="preserve">Over-translation </t>
  </si>
  <si>
    <t>Target text that is inappropriately more specific than the source text.</t>
  </si>
  <si>
    <r>
      <rPr>
        <b/>
        <sz val="10"/>
        <color rgb="FFFF0000"/>
        <rFont val="Arial"/>
        <family val="2"/>
        <charset val="238"/>
      </rPr>
      <t>Example:</t>
    </r>
    <r>
      <rPr>
        <sz val="10"/>
        <rFont val="Arial"/>
        <family val="2"/>
      </rPr>
      <t xml:space="preserve"> The source text refers to a boy, but is translated with a word that applies only to young boys rather than the more general term.</t>
    </r>
  </si>
  <si>
    <t xml:space="preserve">Under-translation </t>
  </si>
  <si>
    <t>Target text that is inappropriately less specific than the source text.</t>
  </si>
  <si>
    <r>
      <rPr>
        <b/>
        <sz val="10"/>
        <color rgb="FFFF0000"/>
        <rFont val="Arial"/>
        <family val="2"/>
        <charset val="238"/>
      </rPr>
      <t>Example:</t>
    </r>
    <r>
      <rPr>
        <sz val="10"/>
        <rFont val="Arial"/>
        <family val="2"/>
      </rPr>
      <t xml:space="preserve"> The source text uses words that refer to a specific type of military officer, but the target text refers to military officers in general.</t>
    </r>
  </si>
  <si>
    <t xml:space="preserve">Addition </t>
  </si>
  <si>
    <t>Target content that includes content not present in the source.</t>
  </si>
  <si>
    <r>
      <rPr>
        <b/>
        <sz val="10"/>
        <color rgb="FFFF0000"/>
        <rFont val="Arial"/>
        <family val="2"/>
        <charset val="238"/>
      </rPr>
      <t>Example:</t>
    </r>
    <r>
      <rPr>
        <sz val="10"/>
        <rFont val="Arial"/>
        <family val="2"/>
      </rPr>
      <t xml:space="preserve"> A translation includes portions of another translation that were inadvertently pasted into the document.</t>
    </r>
  </si>
  <si>
    <t xml:space="preserve">Omission </t>
  </si>
  <si>
    <t>Errors where content is missing from the translation that is present in the source.</t>
  </si>
  <si>
    <r>
      <rPr>
        <b/>
        <sz val="10"/>
        <color rgb="FFFF0000"/>
        <rFont val="Arial"/>
        <family val="2"/>
        <charset val="238"/>
      </rPr>
      <t>Example:</t>
    </r>
    <r>
      <rPr>
        <sz val="10"/>
        <rFont val="Arial"/>
        <family val="2"/>
      </rPr>
      <t xml:space="preserve"> A paragraph present in the source is missing in the translation.</t>
    </r>
  </si>
  <si>
    <t xml:space="preserve">Do not translate (DNT) </t>
  </si>
  <si>
    <t>Errors occurring when a text segment or even a whole section of a text marked in the specifications as “Do not translate!” is translated in the target text.</t>
  </si>
  <si>
    <r>
      <rPr>
        <b/>
        <sz val="10"/>
        <color rgb="FFFF0000"/>
        <rFont val="Arial"/>
        <family val="2"/>
        <charset val="238"/>
      </rPr>
      <t>Example:</t>
    </r>
    <r>
      <rPr>
        <sz val="10"/>
        <rFont val="Arial"/>
        <family val="2"/>
      </rPr>
      <t xml:space="preserve"> A marketing slogan for worldwide use is intended to remain in English.</t>
    </r>
  </si>
  <si>
    <t xml:space="preserve">Untranslated </t>
  </si>
  <si>
    <t>Errors occurring when a text segment that was intended for translation is left untranslated in the target content.</t>
  </si>
  <si>
    <r>
      <rPr>
        <b/>
        <sz val="10"/>
        <color rgb="FFFF0000"/>
        <rFont val="Arial"/>
        <family val="2"/>
        <charset val="238"/>
      </rPr>
      <t>Example:</t>
    </r>
    <r>
      <rPr>
        <sz val="10"/>
        <rFont val="Arial"/>
        <family val="2"/>
      </rPr>
      <t xml:space="preserve"> A sentence in a Japanese document translated into English is inappropriately left in Japanese</t>
    </r>
  </si>
  <si>
    <t>Any other issues related to 'Accuracy' that cannot be classified with the defined subcategories above</t>
  </si>
  <si>
    <t>Errors related to the linguistic well-formedness of the text, including problems with, for instance, grammaticality and mechanical correctness.</t>
  </si>
  <si>
    <t xml:space="preserve">Grammar </t>
  </si>
  <si>
    <t>Error that occurs when a text string (sentence, phrase, other) in the translation violates the grammatical rules of the target language.</t>
  </si>
  <si>
    <r>
      <rPr>
        <b/>
        <sz val="10"/>
        <color rgb="FFFF0000"/>
        <rFont val="Arial"/>
        <family val="2"/>
        <charset val="238"/>
      </rPr>
      <t>Example:</t>
    </r>
    <r>
      <rPr>
        <sz val="10"/>
        <rFont val="Arial"/>
        <family val="2"/>
      </rPr>
      <t xml:space="preserve"> An English text reads: The mother was playing with 'the her child'.</t>
    </r>
  </si>
  <si>
    <t xml:space="preserve">Punctuation </t>
  </si>
  <si>
    <t>Punctuation incorrect for the locale or style.</t>
  </si>
  <si>
    <r>
      <rPr>
        <b/>
        <sz val="10"/>
        <color rgb="FFFF0000"/>
        <rFont val="Arial"/>
        <family val="2"/>
        <charset val="238"/>
      </rPr>
      <t>Example:</t>
    </r>
    <r>
      <rPr>
        <sz val="10"/>
        <rFont val="Arial"/>
        <family val="2"/>
      </rPr>
      <t xml:space="preserve"> An English text uses a semicolon where a comma should be used.</t>
    </r>
  </si>
  <si>
    <t xml:space="preserve">Spelling </t>
  </si>
  <si>
    <t>Error occurring when the letters in a word in an alphabetic language are not arranged in the normally specified order.</t>
  </si>
  <si>
    <r>
      <rPr>
        <b/>
        <sz val="10"/>
        <color rgb="FFFF0000"/>
        <rFont val="Arial"/>
        <family val="2"/>
        <charset val="238"/>
      </rPr>
      <t>Example:</t>
    </r>
    <r>
      <rPr>
        <sz val="10"/>
        <rFont val="Arial"/>
        <family val="2"/>
      </rPr>
      <t xml:space="preserve"> The German word 'Zustellung' is spelled 'Zustetlugn'.</t>
    </r>
  </si>
  <si>
    <t xml:space="preserve">Unintelligible </t>
  </si>
  <si>
    <t>Text garbled or incomprehensible, perhaps due to conversion or other processing error</t>
  </si>
  <si>
    <r>
      <rPr>
        <b/>
        <sz val="10"/>
        <color rgb="FFFF0000"/>
        <rFont val="Arial"/>
        <family val="2"/>
        <charset val="238"/>
      </rPr>
      <t>Example:</t>
    </r>
    <r>
      <rPr>
        <sz val="10"/>
        <rFont val="Arial"/>
        <family val="2"/>
      </rPr>
      <t xml:space="preserve"> The following text appears in an English translation of a German automotive manual: “The brake from whe this કુતારો િસ S149235 part numbr,,.”</t>
    </r>
  </si>
  <si>
    <t xml:space="preserve">Character encoding </t>
  </si>
  <si>
    <t>Error occurring when characters garbled due to incorrect application of an encoding.</t>
  </si>
  <si>
    <r>
      <rPr>
        <b/>
        <sz val="10"/>
        <color rgb="FFFF0000"/>
        <rFont val="Arial"/>
        <family val="2"/>
        <charset val="238"/>
      </rPr>
      <t>Example:</t>
    </r>
    <r>
      <rPr>
        <sz val="10"/>
        <rFont val="Arial"/>
        <family val="2"/>
      </rPr>
      <t xml:space="preserve"> A text document in UTF-8 encoding is opened as ISO Latin-1, resulting in all upper ASCII characters being garbled.</t>
    </r>
  </si>
  <si>
    <t>Any other issues related to 'Linguistic conventions' that cannot be classified with the defined subcategories above.</t>
  </si>
  <si>
    <t>Errors occurring in a text that can be grammatical but are inappropriate because they deviate from organizational style guides or exhibit inappropriate language style.</t>
  </si>
  <si>
    <t xml:space="preserve">Organizational style </t>
  </si>
  <si>
    <t>Errors occurring where the text violates company/organization-specific style guidelines.</t>
  </si>
  <si>
    <r>
      <rPr>
        <b/>
        <sz val="10"/>
        <color rgb="FFFF0000"/>
        <rFont val="Arial"/>
        <family val="2"/>
        <charset val="238"/>
      </rPr>
      <t>Example:</t>
    </r>
    <r>
      <rPr>
        <sz val="10"/>
        <rFont val="Arial"/>
        <family val="2"/>
      </rPr>
      <t xml:space="preserve"> Company style states that passive sentences may not be used, but the text uses passive sentences.</t>
    </r>
  </si>
  <si>
    <t xml:space="preserve">Third-party style </t>
  </si>
  <si>
    <t>Errors occurring when the text violates a third-party style guide.</t>
  </si>
  <si>
    <r>
      <rPr>
        <b/>
        <sz val="10"/>
        <color rgb="FFFF0000"/>
        <rFont val="Arial"/>
        <family val="2"/>
        <charset val="238"/>
      </rPr>
      <t>Example:</t>
    </r>
    <r>
      <rPr>
        <sz val="10"/>
        <rFont val="Arial"/>
        <family val="2"/>
      </rPr>
      <t xml:space="preserve"> Specifications stated that English text was to be formatted according to the Chicago Manual of Style, but the text delivered followed the American Psychological Association style guide.</t>
    </r>
  </si>
  <si>
    <t xml:space="preserve">Inconsistent with external reference </t>
  </si>
  <si>
    <t>Errors occurring when text fails to conform to an external resource.</t>
  </si>
  <si>
    <t xml:space="preserve">Register </t>
  </si>
  <si>
    <t>Errors occurring when a text uses a level of formality higher or lower than required by the specifications or by common language conventions.</t>
  </si>
  <si>
    <r>
      <rPr>
        <b/>
        <sz val="10"/>
        <color rgb="FFFF0000"/>
        <rFont val="Arial"/>
        <family val="2"/>
        <charset val="238"/>
      </rPr>
      <t>Example:</t>
    </r>
    <r>
      <rPr>
        <sz val="10"/>
        <rFont val="Arial"/>
        <family val="2"/>
      </rPr>
      <t xml:space="preserve"> A formal letter uses contractions, colloquialisms and expressions characteristic of spoken rather than written language, and thus makes a less serious impression than intended.</t>
    </r>
  </si>
  <si>
    <t xml:space="preserve">Awkward style </t>
  </si>
  <si>
    <t>Style involving excessive wordiness or overly embedded clauses, often due to inappropriate retention of source text style in the target text.</t>
  </si>
  <si>
    <r>
      <rPr>
        <b/>
        <sz val="10"/>
        <color rgb="FFFF0000"/>
        <rFont val="Arial"/>
        <family val="2"/>
        <charset val="238"/>
      </rPr>
      <t>Example:</t>
    </r>
    <r>
      <rPr>
        <sz val="10"/>
        <rFont val="Arial"/>
        <family val="2"/>
      </rPr>
      <t xml:space="preserve"> A text is written with many embedded clauses and an excessively wordy style. While the meaning can be understood, the text is unnatural and difficult to follow.</t>
    </r>
  </si>
  <si>
    <t xml:space="preserve">Unidiomatic style </t>
  </si>
  <si>
    <t>Style that is grammatical, but unnatural, often due to interference from the source language.</t>
  </si>
  <si>
    <r>
      <rPr>
        <b/>
        <sz val="10"/>
        <color rgb="FFFF0000"/>
        <rFont val="Arial"/>
        <family val="2"/>
        <charset val="238"/>
      </rPr>
      <t>Example:</t>
    </r>
    <r>
      <rPr>
        <sz val="10"/>
        <rFont val="Arial"/>
        <family val="2"/>
      </rPr>
      <t xml:space="preserve"> The following text appears in an English translation of a German letter: “We thanked him with heart” where “with heart” is an understandable, but non-idiomatic rendering, better stated as “heartily”.</t>
    </r>
  </si>
  <si>
    <t xml:space="preserve">Inconsistent style </t>
  </si>
  <si>
    <t>Style that varies inconsistently throughout the text, often due to multiple translators contributing to the target text.</t>
  </si>
  <si>
    <r>
      <rPr>
        <b/>
        <sz val="10"/>
        <color rgb="FFFF0000"/>
        <rFont val="Arial"/>
        <family val="2"/>
        <charset val="238"/>
      </rPr>
      <t>Example:</t>
    </r>
    <r>
      <rPr>
        <sz val="10"/>
        <rFont val="Arial"/>
        <family val="2"/>
      </rPr>
      <t xml:space="preserve"> One part of a text is written in a light and terse style while other sections are written in a more wordy style.</t>
    </r>
  </si>
  <si>
    <t>Any other issues related to 'Style' that cannot be classified with the defined subcategories above.</t>
  </si>
  <si>
    <t>Errors occurring when the translation product violates locale-specific content or formatting requirements for data elements.</t>
  </si>
  <si>
    <t xml:space="preserve">Number format </t>
  </si>
  <si>
    <t>Inappropriate number format for its locale.</t>
  </si>
  <si>
    <r>
      <rPr>
        <b/>
        <sz val="10"/>
        <color rgb="FFFF0000"/>
        <rFont val="Arial"/>
        <family val="2"/>
        <charset val="238"/>
      </rPr>
      <t>Example:</t>
    </r>
    <r>
      <rPr>
        <sz val="10"/>
        <rFont val="Arial"/>
        <family val="2"/>
      </rPr>
      <t xml:space="preserve"> US-English target text retains German-style use of full stops and commas.</t>
    </r>
  </si>
  <si>
    <t>Incorrect currency format for its locale.</t>
  </si>
  <si>
    <r>
      <rPr>
        <b/>
        <sz val="10"/>
        <color rgb="FFFF0000"/>
        <rFont val="Arial"/>
        <family val="2"/>
        <charset val="238"/>
      </rPr>
      <t>Example:</t>
    </r>
    <r>
      <rPr>
        <sz val="10"/>
        <rFont val="Arial"/>
        <family val="2"/>
      </rPr>
      <t xml:space="preserve"> A text dealing with business transactions from English into Hindi assumes that all currencies will be expressed in simple units, while the convention in India is to give such prices in lakh rupees (100,000 rupees).</t>
    </r>
  </si>
  <si>
    <t>Inappropriate measurement format for its locale.</t>
  </si>
  <si>
    <r>
      <rPr>
        <b/>
        <sz val="10"/>
        <color rgb="FFFF0000"/>
        <rFont val="Arial"/>
        <family val="2"/>
        <charset val="238"/>
      </rPr>
      <t>Example:</t>
    </r>
    <r>
      <rPr>
        <sz val="10"/>
        <rFont val="Arial"/>
        <family val="2"/>
      </rPr>
      <t xml:space="preserve"> A text created for use in France uses feet and inches and Fahrenheit temperatures.</t>
    </r>
  </si>
  <si>
    <t xml:space="preserve">Time format </t>
  </si>
  <si>
    <t>Inappropriate time format for its locale.</t>
  </si>
  <si>
    <r>
      <rPr>
        <b/>
        <sz val="10"/>
        <color rgb="FFFF0000"/>
        <rFont val="Arial"/>
        <family val="2"/>
        <charset val="238"/>
      </rPr>
      <t>Example:</t>
    </r>
    <r>
      <rPr>
        <sz val="10"/>
        <rFont val="Arial"/>
        <family val="2"/>
      </rPr>
      <t xml:space="preserve"> Unless specified as using a 24 hour clock, US time formats report time after noon using 12-hour notation (for instance, '7:54:12 pm' instead of '19:54:12' used in many other countries.</t>
    </r>
  </si>
  <si>
    <t>Inappropriate date format for its locale.</t>
  </si>
  <si>
    <r>
      <rPr>
        <b/>
        <sz val="10"/>
        <color rgb="FFFF0000"/>
        <rFont val="Arial"/>
        <family val="2"/>
        <charset val="238"/>
      </rPr>
      <t>Example:</t>
    </r>
    <r>
      <rPr>
        <sz val="10"/>
        <rFont val="Arial"/>
        <family val="2"/>
      </rPr>
      <t xml:space="preserve"> A German text has '06/07/2012' for '7 June 2012' instead of '07.06.2012'.</t>
    </r>
  </si>
  <si>
    <t>Inappropriate address format for its locale.</t>
  </si>
  <si>
    <r>
      <rPr>
        <b/>
        <sz val="10"/>
        <color rgb="FFFF0000"/>
        <rFont val="Arial"/>
        <family val="2"/>
        <charset val="238"/>
      </rPr>
      <t>Example:</t>
    </r>
    <r>
      <rPr>
        <sz val="10"/>
        <rFont val="Arial"/>
        <family val="2"/>
      </rPr>
      <t xml:space="preserve"> An online form translated from English to Hindi requires a house number even though many addresses in India do not include a house number, or the postal code is in the wrong position for a given locale.</t>
    </r>
  </si>
  <si>
    <t xml:space="preserve">Telephone format </t>
  </si>
  <si>
    <t>Inappropriate telephone form for telephone numbers for its locale.</t>
  </si>
  <si>
    <r>
      <rPr>
        <b/>
        <sz val="10"/>
        <color rgb="FFFF0000"/>
        <rFont val="Arial"/>
        <family val="2"/>
        <charset val="238"/>
      </rPr>
      <t>Example:</t>
    </r>
    <r>
      <rPr>
        <sz val="10"/>
        <rFont val="Arial"/>
        <family val="2"/>
      </rPr>
      <t xml:space="preserve"> A German text presents a telephone number in the format (xxx) xxx - xxxx instead of the expected 0xx followed by a group of digits separated into groups by spaces.</t>
    </r>
  </si>
  <si>
    <t xml:space="preserve">Shortcut key </t>
  </si>
  <si>
    <t>Shortcuts in translated software product that do not conform to locale expectations or make no sense for the locale.</t>
  </si>
  <si>
    <r>
      <rPr>
        <b/>
        <sz val="10"/>
        <color rgb="FFFF0000"/>
        <rFont val="Arial"/>
        <family val="2"/>
        <charset val="238"/>
      </rPr>
      <t>Example:</t>
    </r>
    <r>
      <rPr>
        <sz val="10"/>
        <rFont val="Arial"/>
        <family val="2"/>
      </rPr>
      <t xml:space="preserve"> A software product uses 'CTRL-S' to save a file in Hungarian, rather than the appropriate 'CTRL-M' (for menteni).</t>
    </r>
  </si>
  <si>
    <t>Any other issues related to 'Locale conventions' that cannot be classified with the defined subcategories above.</t>
  </si>
  <si>
    <t>Errors arising from the use of content in the translation product that is invalid or inappropriate for the target locale or target audience.</t>
  </si>
  <si>
    <t xml:space="preserve">Culture-specific reference </t>
  </si>
  <si>
    <t>Errors where content inappropriately uses a culture-specific reference that will not be understandable to the intended audience.</t>
  </si>
  <si>
    <r>
      <rPr>
        <b/>
        <sz val="10"/>
        <color rgb="FFFF0000"/>
        <rFont val="Arial"/>
        <family val="2"/>
        <charset val="238"/>
      </rPr>
      <t>Example:</t>
    </r>
    <r>
      <rPr>
        <sz val="10"/>
        <rFont val="Arial"/>
        <family val="2"/>
      </rPr>
      <t xml:space="preserve"> An English text refers to steps in a process as 'First base', 'Second base', and 'Third base', and to successful completion as a 'Home run' and uses other metaphors from baseball. These prove difficult to translate and confuse the target audience in Germany.</t>
    </r>
  </si>
  <si>
    <t>Any other issues related to 'Audience appropriateness' that cannot be classified with the defined subcategories above.</t>
  </si>
  <si>
    <t>Errors related to the physical design or presentation of a translation product, including character, paragraph, and UI element formatting and markup, integration of text with graphical elements, and overall page or window layout.</t>
  </si>
  <si>
    <t xml:space="preserve">Character formatting </t>
  </si>
  <si>
    <t>Inappropriate application of any glyph variation that is applied to a character or string of characters, such as font, font style, font color, or font size.</t>
  </si>
  <si>
    <r>
      <rPr>
        <b/>
        <sz val="10"/>
        <color rgb="FFFF0000"/>
        <rFont val="Arial"/>
        <family val="2"/>
        <charset val="238"/>
      </rPr>
      <t>Example:</t>
    </r>
    <r>
      <rPr>
        <sz val="10"/>
        <rFont val="Arial"/>
        <family val="2"/>
      </rPr>
      <t xml:space="preserve"> A corporate style guide specifies that body text in technical publications should be set in a serif font, but body text in advertising and public reports should be set in a sans serif font. The body text for an annual report was incorrectly set using the serif font specified for technical publications.</t>
    </r>
  </si>
  <si>
    <t>Inappropriate presentation format of paragraphs, headings, graphical elements, and user interface elements and their arrangement on a form, page, website, or application screen.</t>
  </si>
  <si>
    <r>
      <rPr>
        <b/>
        <sz val="10"/>
        <color rgb="FFFF0000"/>
        <rFont val="Arial"/>
        <family val="2"/>
        <charset val="238"/>
      </rPr>
      <t>Example:</t>
    </r>
    <r>
      <rPr>
        <sz val="10"/>
        <rFont val="Arial"/>
        <family val="2"/>
      </rPr>
      <t xml:space="preserve"> A fully justified paragraph was copied from one document and pasted into another where surrounding paragraphs were flush left, ragged right, creating a visual mismatch.</t>
    </r>
  </si>
  <si>
    <t xml:space="preserve">Markup tag </t>
  </si>
  <si>
    <t>Incorrect markup tag or tag component.</t>
  </si>
  <si>
    <r>
      <rPr>
        <b/>
        <sz val="10"/>
        <color rgb="FFFF0000"/>
        <rFont val="Arial"/>
        <family val="2"/>
        <charset val="238"/>
      </rPr>
      <t>Example:</t>
    </r>
    <r>
      <rPr>
        <sz val="10"/>
        <rFont val="Arial"/>
        <family val="2"/>
      </rPr>
      <t xml:space="preserve"> Markup is used incorrectly, resulting in incorrect formatting.</t>
    </r>
  </si>
  <si>
    <t>Target text that is longer or shorter than allowed or where there is a significant and inappropriate discrepancy between the source and the target text lengths.</t>
  </si>
  <si>
    <r>
      <rPr>
        <b/>
        <sz val="10"/>
        <color rgb="FFFF0000"/>
        <rFont val="Arial"/>
        <family val="2"/>
        <charset val="238"/>
      </rPr>
      <t>Example:</t>
    </r>
    <r>
      <rPr>
        <sz val="10"/>
        <rFont val="Arial"/>
        <family val="2"/>
      </rPr>
      <t xml:space="preserve"> The German translation of an English string in a user interface runs off the edge of a dialogue box and cannot be read.
An English sentence is 51 characters long, but its German translation is 253 characters long and does not fit in the available space.
A source text is 300 character long but the translation is 15 characters, indicating a likely problem.</t>
    </r>
  </si>
  <si>
    <t xml:space="preserve">Missing text </t>
  </si>
  <si>
    <t>Existing text missing in the final laid-out version.</t>
  </si>
  <si>
    <r>
      <rPr>
        <b/>
        <sz val="10"/>
        <color rgb="FFFF0000"/>
        <rFont val="Arial"/>
        <family val="2"/>
        <charset val="238"/>
      </rPr>
      <t>Example:</t>
    </r>
    <r>
      <rPr>
        <sz val="10"/>
        <rFont val="Arial"/>
        <family val="2"/>
      </rPr>
      <t xml:space="preserve"> A translation is complete, but during DTP a text box was inadvertently moved off the page and so the translated text does not appear in a rendered PDF version.</t>
    </r>
  </si>
  <si>
    <t xml:space="preserve">Link/cross-reference </t>
  </si>
  <si>
    <t>Incorrect or invalid (no longer active) link or URI.</t>
  </si>
  <si>
    <r>
      <rPr>
        <b/>
        <sz val="10"/>
        <color rgb="FFFF0000"/>
        <rFont val="Arial"/>
        <family val="2"/>
        <charset val="238"/>
      </rPr>
      <t>Example:</t>
    </r>
    <r>
      <rPr>
        <sz val="10"/>
        <rFont val="Arial"/>
        <family val="2"/>
      </rPr>
      <t xml:space="preserve"> An HTML file contains numerous links to other HTML files; some have been updated to reflect the appropriate language version while some point to the source language version.</t>
    </r>
  </si>
  <si>
    <t>Any other issues related to 'Design and markup' that cannot be classified with the defined subcategories above.</t>
  </si>
  <si>
    <t>Applicable when an error in the target language can be clearly attributed to an error in associated legacy data (translation memories, glossaries, guidelines, etc.).</t>
  </si>
  <si>
    <t xml:space="preserve">Applicable when there is an error in the source text (which may or may not lead to an error in the target text). </t>
  </si>
  <si>
    <t>Any other issues that cannot be classified with the defined categories above and also cannot be classified with the defined subcategories above.</t>
  </si>
  <si>
    <t>Overall Impression Grade</t>
  </si>
  <si>
    <t>Overall Impression Comment</t>
  </si>
  <si>
    <r>
      <rPr>
        <b/>
        <sz val="10"/>
        <color theme="0"/>
        <rFont val="Arial"/>
        <family val="2"/>
      </rPr>
      <t>Instructions:</t>
    </r>
    <r>
      <rPr>
        <sz val="10"/>
        <color theme="0"/>
        <rFont val="Arial"/>
        <family val="2"/>
      </rPr>
      <t xml:space="preserve">
</t>
    </r>
    <r>
      <rPr>
        <b/>
        <sz val="10"/>
        <color theme="0"/>
        <rFont val="Arial"/>
        <family val="2"/>
      </rPr>
      <t>Enter error details in this sheet ('Evaluation details_input'), following the instructions in the cells in Row 2.
See 'Errors &amp; Weighting Definitions' sheet for explanation of error categories.</t>
    </r>
    <r>
      <rPr>
        <sz val="10"/>
        <color theme="0"/>
        <rFont val="Arial"/>
        <family val="2"/>
      </rPr>
      <t xml:space="preserve">
- If the same identical error recurs, record the 2nd occurrence onwards as 'Repeated' in the Severity column.
       </t>
    </r>
    <r>
      <rPr>
        <i/>
        <sz val="10"/>
        <color theme="0"/>
        <rFont val="Arial"/>
        <family val="2"/>
      </rPr>
      <t>Note</t>
    </r>
    <r>
      <rPr>
        <sz val="10"/>
        <color theme="0"/>
        <rFont val="Arial"/>
        <family val="2"/>
      </rPr>
      <t xml:space="preserve">: Repeated errors are applicable only if the error is </t>
    </r>
    <r>
      <rPr>
        <b/>
        <sz val="10"/>
        <color theme="0"/>
        <rFont val="Arial"/>
        <family val="2"/>
      </rPr>
      <t>exactly identical</t>
    </r>
    <r>
      <rPr>
        <sz val="10"/>
        <color theme="0"/>
        <rFont val="Arial"/>
        <family val="2"/>
      </rPr>
      <t xml:space="preserve"> to 1st occurrence of the error.
- Legacy data errors should be recorded, but are not counted as errors in the scoring system.
- Neutral changes should be recorded, but are not counted as errors in the scoring system.
</t>
    </r>
    <r>
      <rPr>
        <b/>
        <sz val="10"/>
        <color theme="0"/>
        <rFont val="Arial"/>
        <family val="2"/>
      </rPr>
      <t xml:space="preserve">Each distinct error should be logged as a separate item (including multiple errors in the same segment).
Should there be a need to register a Critical Error, it is mandatory for the evaluator to provide detailed explanation
and supporting evidence to fully justify the usage of this severest error type.  
</t>
    </r>
  </si>
  <si>
    <t>Use the dropdown list in each cell to select the appropriate subcategory of error</t>
  </si>
  <si>
    <t>Neutral change (preferential)</t>
  </si>
  <si>
    <t>Select grade for overall Impression &gt;&gt;&gt;</t>
  </si>
  <si>
    <r>
      <t xml:space="preserve">Minor errors are issues that </t>
    </r>
    <r>
      <rPr>
        <b/>
        <sz val="10"/>
        <color rgb="FFFF0000"/>
        <rFont val="Arial"/>
        <family val="2"/>
        <charset val="238"/>
      </rPr>
      <t>do not impact usability or understandability</t>
    </r>
    <r>
      <rPr>
        <sz val="10"/>
        <rFont val="Arial"/>
        <family val="2"/>
        <charset val="238"/>
      </rPr>
      <t xml:space="preserve"> of the content. If the typical reader/user is able to correct the error reliably and it does not impact the usability of the content, it should be classified as Minor. </t>
    </r>
  </si>
  <si>
    <r>
      <t xml:space="preserve">Critical error is the severest category type available, weighing above Major error in its extreme severity.  
Use of Critical error is strictly limited to only the most extreme severity of error (the kind of extreme error that can also be described as a 'show-stopper' in a negative sense).   
The key differentiators for a Critical error over a Major error are:  
1. The error renders the entire content unfit for use.  
2. The validated presence of a Critical error results in an immediate Fail of the entire translation under evaluation.
A Critical error is an error that may have the following attributes:  
• has extremely serious safety, legal or financial implications or consequences   
• damages the reputation of the company or organisation on whose behalf the translation has been performed
• violates strict geopolitical rules   
• modifies/misrepresents the functionality of a product or service in a severely negative way
• results in a potentially offensive statement  
• causes a product recall or reprinting  
</t>
    </r>
    <r>
      <rPr>
        <b/>
        <sz val="10"/>
        <color rgb="FFFF0000"/>
        <rFont val="Arial"/>
        <family val="2"/>
        <charset val="238"/>
      </rPr>
      <t>Should there be a need to register a Critical error, it is mandatory for the evaluator to provide detailed explanation and supporting evidence to fully justify the usage of this severest category type.</t>
    </r>
  </si>
  <si>
    <r>
      <t xml:space="preserve">Major errors are issues that </t>
    </r>
    <r>
      <rPr>
        <b/>
        <sz val="10"/>
        <color rgb="FFFF0000"/>
        <rFont val="Arial"/>
        <family val="2"/>
        <charset val="238"/>
      </rPr>
      <t>impact usability or understandability</t>
    </r>
    <r>
      <rPr>
        <sz val="10"/>
        <rFont val="Arial"/>
        <family val="2"/>
        <charset val="238"/>
      </rPr>
      <t xml:space="preserve"> of the content but which do not render it unusable. If an error cannot be reliably corrected by the typical reader/user (for example, the intended meaning is not clear) but it does not render the content unfit for purpose, it should be classified as Major. 
A Major error is one that changes the core meaning significantly, and may relate to attributes such as: functionality; misdirection of user; severe negative impact or impression; high profile position; cultural / geopolitical issues; important instruction ignored.</t>
    </r>
    <r>
      <rPr>
        <b/>
        <u/>
        <sz val="10"/>
        <rFont val="Arial"/>
        <family val="2"/>
        <charset val="238"/>
      </rPr>
      <t/>
    </r>
  </si>
  <si>
    <r>
      <t xml:space="preserve">Neutral is the severity level used for edits that are not error corrections, but such changes reflect </t>
    </r>
    <r>
      <rPr>
        <b/>
        <sz val="10"/>
        <color rgb="FFFF0000"/>
        <rFont val="Arial"/>
        <family val="2"/>
        <charset val="238"/>
      </rPr>
      <t>an evaluator's</t>
    </r>
    <r>
      <rPr>
        <sz val="10"/>
        <rFont val="Arial"/>
        <family val="2"/>
        <charset val="238"/>
      </rPr>
      <t xml:space="preserve"> </t>
    </r>
    <r>
      <rPr>
        <b/>
        <sz val="10"/>
        <color rgb="FFFF0000"/>
        <rFont val="Arial"/>
        <family val="2"/>
        <charset val="238"/>
      </rPr>
      <t>choice or preferences</t>
    </r>
    <r>
      <rPr>
        <sz val="10"/>
        <rFont val="Arial"/>
        <family val="2"/>
        <charset val="238"/>
      </rPr>
      <t xml:space="preserve"> (i.e., edits for items that are not wrong, per se, but where the evaluator would like to see a different solution). Please note that errors marked as Neutral are NOT counted to the final result regardless of the selected category.</t>
    </r>
  </si>
  <si>
    <t>(click on the error name below to see details)</t>
  </si>
  <si>
    <t>(click on the severity name below to see details)</t>
  </si>
  <si>
    <r>
      <t xml:space="preserve">A Repeated severity can only be selected for the </t>
    </r>
    <r>
      <rPr>
        <b/>
        <sz val="10"/>
        <color rgb="FFFF0000"/>
        <rFont val="Arial"/>
        <family val="2"/>
        <charset val="238"/>
      </rPr>
      <t>2nd and subsequent occurrences of an identical error</t>
    </r>
    <r>
      <rPr>
        <sz val="10"/>
        <rFont val="Arial"/>
        <family val="2"/>
        <charset val="238"/>
      </rPr>
      <t xml:space="preserve">. This could be at the level of identical term or phrase or at the level of identical segment. In such cases, it is necessary to mark the first instance of the error with a concrete severity such as Minor. Please note that the Repeated severity cannot be used when terms, phrases and segments are merely similar to each other and the same kind of linguistic convention has been applied to them.    
Also, note that the errors marked as Repeated are NOT counted to the final result regardless of the selected category. 
The examples below show the correct and incorrect use of this severity. 
     </t>
    </r>
    <r>
      <rPr>
        <b/>
        <sz val="10"/>
        <color rgb="FF00B050"/>
        <rFont val="Arial"/>
        <family val="2"/>
        <charset val="238"/>
      </rPr>
      <t>Example 1: CORRECT</t>
    </r>
    <r>
      <rPr>
        <sz val="10"/>
        <rFont val="Arial"/>
        <family val="2"/>
        <charset val="238"/>
      </rPr>
      <t xml:space="preserve">
     [Identical incorrect term or phrase in identical segments]
     Terminology (Minor): We contacted the palliative care unit </t>
    </r>
    <r>
      <rPr>
        <strike/>
        <sz val="10"/>
        <rFont val="Arial"/>
        <family val="2"/>
        <charset val="238"/>
      </rPr>
      <t>Palliative Care Unit</t>
    </r>
    <r>
      <rPr>
        <sz val="10"/>
        <rFont val="Arial"/>
        <family val="2"/>
        <charset val="238"/>
      </rPr>
      <t xml:space="preserve"> to organize at-home care. 
     </t>
    </r>
    <r>
      <rPr>
        <sz val="10"/>
        <color rgb="FF00B050"/>
        <rFont val="Arial"/>
        <family val="2"/>
        <charset val="238"/>
      </rPr>
      <t>Terminology (Repeated)</t>
    </r>
    <r>
      <rPr>
        <sz val="10"/>
        <rFont val="Arial"/>
        <family val="2"/>
        <charset val="238"/>
      </rPr>
      <t xml:space="preserve">: We contacted the palliative care unit </t>
    </r>
    <r>
      <rPr>
        <strike/>
        <sz val="10"/>
        <rFont val="Arial"/>
        <family val="2"/>
        <charset val="238"/>
      </rPr>
      <t>Palliative Care Unit</t>
    </r>
    <r>
      <rPr>
        <sz val="10"/>
        <rFont val="Arial"/>
        <family val="2"/>
        <charset val="238"/>
      </rPr>
      <t xml:space="preserve"> to organize at-home care.
     </t>
    </r>
    <r>
      <rPr>
        <b/>
        <sz val="10"/>
        <color rgb="FF00B050"/>
        <rFont val="Arial"/>
        <family val="2"/>
        <charset val="238"/>
      </rPr>
      <t>Example 2: CORRECT</t>
    </r>
    <r>
      <rPr>
        <sz val="10"/>
        <rFont val="Arial"/>
        <family val="2"/>
        <charset val="238"/>
      </rPr>
      <t xml:space="preserve">
     [Identical incorrect term or phrase in non-identical segments]       
     Terminology (Minor): We contacted the palliative care unit </t>
    </r>
    <r>
      <rPr>
        <strike/>
        <sz val="10"/>
        <rFont val="Arial"/>
        <family val="2"/>
        <charset val="238"/>
      </rPr>
      <t>Palliative Care Unit</t>
    </r>
    <r>
      <rPr>
        <sz val="10"/>
        <rFont val="Arial"/>
        <family val="2"/>
        <charset val="238"/>
      </rPr>
      <t xml:space="preserve"> to organize at-home care.
     </t>
    </r>
    <r>
      <rPr>
        <sz val="10"/>
        <color rgb="FF00B050"/>
        <rFont val="Arial"/>
        <family val="2"/>
        <charset val="238"/>
      </rPr>
      <t>Terminology (Repeated)</t>
    </r>
    <r>
      <rPr>
        <sz val="10"/>
        <rFont val="Arial"/>
        <family val="2"/>
        <charset val="238"/>
      </rPr>
      <t xml:space="preserve">: He will be assessed by the palliative care unit </t>
    </r>
    <r>
      <rPr>
        <strike/>
        <sz val="10"/>
        <rFont val="Arial"/>
        <family val="2"/>
        <charset val="238"/>
      </rPr>
      <t>Palliative Care Unit</t>
    </r>
    <r>
      <rPr>
        <sz val="10"/>
        <rFont val="Arial"/>
        <family val="2"/>
        <charset val="238"/>
      </rPr>
      <t xml:space="preserve"> prior to discharge.
     </t>
    </r>
    <r>
      <rPr>
        <b/>
        <sz val="10"/>
        <color rgb="FFFF0000"/>
        <rFont val="Arial"/>
        <family val="2"/>
        <charset val="238"/>
      </rPr>
      <t>Example 3: INCORRECT</t>
    </r>
    <r>
      <rPr>
        <sz val="10"/>
        <rFont val="Arial"/>
        <family val="2"/>
        <charset val="238"/>
      </rPr>
      <t xml:space="preserve">
     [Non-identical term or phrase in near-identical segments]
     Terminology (Minor): We contacted the palliative care unit </t>
    </r>
    <r>
      <rPr>
        <strike/>
        <sz val="10"/>
        <rFont val="Arial"/>
        <family val="2"/>
        <charset val="238"/>
      </rPr>
      <t>Palliative Care Unit</t>
    </r>
    <r>
      <rPr>
        <sz val="10"/>
        <rFont val="Arial"/>
        <family val="2"/>
        <charset val="238"/>
      </rPr>
      <t xml:space="preserve"> to organize at-home care.
     </t>
    </r>
    <r>
      <rPr>
        <strike/>
        <sz val="10"/>
        <color rgb="FFFF0000"/>
        <rFont val="Arial"/>
        <family val="2"/>
        <charset val="238"/>
      </rPr>
      <t>Terminology (Repeated)</t>
    </r>
    <r>
      <rPr>
        <sz val="10"/>
        <rFont val="Arial"/>
        <family val="2"/>
        <charset val="238"/>
      </rPr>
      <t xml:space="preserve"> &gt; Terminology (Minor): We contacted the palliative care doctor </t>
    </r>
    <r>
      <rPr>
        <strike/>
        <sz val="10"/>
        <rFont val="Arial"/>
        <family val="2"/>
        <charset val="238"/>
      </rPr>
      <t>Palliative Care Doctor</t>
    </r>
    <r>
      <rPr>
        <sz val="10"/>
        <rFont val="Arial"/>
        <family val="2"/>
        <charset val="238"/>
      </rPr>
      <t xml:space="preserve"> to organize at-home care. 
     </t>
    </r>
    <r>
      <rPr>
        <b/>
        <sz val="10"/>
        <color rgb="FFFF0000"/>
        <rFont val="Arial"/>
        <family val="2"/>
        <charset val="238"/>
      </rPr>
      <t>Example 4: INCORRECT</t>
    </r>
    <r>
      <rPr>
        <sz val="10"/>
        <rFont val="Arial"/>
        <family val="2"/>
        <charset val="238"/>
      </rPr>
      <t xml:space="preserve">
     [Non-identical incorrect term or phrase in non-identical segments]
     Terminology (Minor): We contacted the palliative care unit </t>
    </r>
    <r>
      <rPr>
        <strike/>
        <sz val="10"/>
        <rFont val="Arial"/>
        <family val="2"/>
        <charset val="238"/>
      </rPr>
      <t>Palliative Care Unit</t>
    </r>
    <r>
      <rPr>
        <sz val="10"/>
        <rFont val="Arial"/>
        <family val="2"/>
        <charset val="238"/>
      </rPr>
      <t xml:space="preserve"> to organize at-home care.
     </t>
    </r>
    <r>
      <rPr>
        <strike/>
        <sz val="10"/>
        <color rgb="FFFF0000"/>
        <rFont val="Arial"/>
        <family val="2"/>
        <charset val="238"/>
      </rPr>
      <t>Terminology (Repeated)</t>
    </r>
    <r>
      <rPr>
        <sz val="10"/>
        <rFont val="Arial"/>
        <family val="2"/>
        <charset val="238"/>
      </rPr>
      <t xml:space="preserve"> &gt; Terminology (Minor): He will be assessed by the palliative care doctor </t>
    </r>
    <r>
      <rPr>
        <strike/>
        <sz val="10"/>
        <rFont val="Arial"/>
        <family val="2"/>
        <charset val="238"/>
      </rPr>
      <t>Palliative Care Doctor</t>
    </r>
    <r>
      <rPr>
        <sz val="10"/>
        <rFont val="Arial"/>
        <family val="2"/>
        <charset val="238"/>
      </rPr>
      <t xml:space="preserve"> prior to discharge.</t>
    </r>
  </si>
  <si>
    <t>RWS MQM Quality Evaluation Report</t>
  </si>
  <si>
    <t>RWS MQM Quality Evaluation Report Errors &amp; Weighting Definitions</t>
  </si>
  <si>
    <r>
      <rPr>
        <b/>
        <sz val="10"/>
        <color rgb="FFFF0000"/>
        <rFont val="Arial"/>
        <family val="2"/>
        <charset val="238"/>
      </rPr>
      <t>Example:</t>
    </r>
    <r>
      <rPr>
        <sz val="10"/>
        <rFont val="Arial"/>
        <family val="2"/>
      </rPr>
      <t xml:space="preserve"> A translation refers to a court decision but does not accurately reflect the language of the decision.
</t>
    </r>
  </si>
  <si>
    <t>Implementation rate (%)</t>
  </si>
  <si>
    <t>Project name</t>
  </si>
  <si>
    <t>Translation type</t>
  </si>
  <si>
    <t>Word count</t>
  </si>
  <si>
    <t>Quality level</t>
  </si>
  <si>
    <t>Translator’s final reply</t>
  </si>
  <si>
    <t>Brazil LD</t>
  </si>
  <si>
    <t>RWS Language Delivery</t>
  </si>
  <si>
    <t>Chile LD</t>
  </si>
  <si>
    <t>China LD</t>
  </si>
  <si>
    <t>Croatia LD</t>
  </si>
  <si>
    <t>Czech LD</t>
  </si>
  <si>
    <t>Denmark LD</t>
  </si>
  <si>
    <t>Finland LD</t>
  </si>
  <si>
    <t>France LD</t>
  </si>
  <si>
    <t>Greece LD</t>
  </si>
  <si>
    <t>Hungary LD</t>
  </si>
  <si>
    <t>India LD</t>
  </si>
  <si>
    <t>Italy LD</t>
  </si>
  <si>
    <t>Japan LD</t>
  </si>
  <si>
    <t>Korea  LD</t>
  </si>
  <si>
    <t>Lebanon LD</t>
  </si>
  <si>
    <t>Canada LD</t>
  </si>
  <si>
    <t>Netherlands LD</t>
  </si>
  <si>
    <t>Norway LD</t>
  </si>
  <si>
    <t>Poland LD</t>
  </si>
  <si>
    <t>Portugal LD</t>
  </si>
  <si>
    <t>Romania LD</t>
  </si>
  <si>
    <t>Russia LD</t>
  </si>
  <si>
    <t>Singapore LD</t>
  </si>
  <si>
    <t>Slovenia LD</t>
  </si>
  <si>
    <t>Spain LD</t>
  </si>
  <si>
    <t>Sweden LD</t>
  </si>
  <si>
    <t>Taiwan LD</t>
  </si>
  <si>
    <t>Thailand LD</t>
  </si>
  <si>
    <t>Turkey LD</t>
  </si>
  <si>
    <t>Vietnam LD</t>
  </si>
  <si>
    <t>3rd Party Evaluation (LD)</t>
  </si>
  <si>
    <t>Follow up evaluation (LD)</t>
  </si>
  <si>
    <t>England LD</t>
  </si>
  <si>
    <t>Germany LD</t>
  </si>
  <si>
    <t>GDT</t>
  </si>
  <si>
    <t>XXX_XXXXXX_XXX</t>
  </si>
  <si>
    <t>4RM</t>
  </si>
  <si>
    <t>A0S</t>
  </si>
  <si>
    <t>A2C</t>
  </si>
  <si>
    <t>A9T</t>
  </si>
  <si>
    <t>AA2</t>
  </si>
  <si>
    <t>AB5</t>
  </si>
  <si>
    <t>ABM</t>
  </si>
  <si>
    <t>AD2</t>
  </si>
  <si>
    <t>AD8</t>
  </si>
  <si>
    <t>Adm</t>
  </si>
  <si>
    <t>ADX</t>
  </si>
  <si>
    <t>AFA</t>
  </si>
  <si>
    <t>AGI</t>
  </si>
  <si>
    <t>AGN</t>
  </si>
  <si>
    <t>AHL</t>
  </si>
  <si>
    <t>AIV</t>
  </si>
  <si>
    <t>AJ1</t>
  </si>
  <si>
    <t>AJG</t>
  </si>
  <si>
    <t>AK2</t>
  </si>
  <si>
    <t>ALU</t>
  </si>
  <si>
    <t>ALW</t>
  </si>
  <si>
    <t>AN1</t>
  </si>
  <si>
    <t>AN2</t>
  </si>
  <si>
    <t>AP6</t>
  </si>
  <si>
    <t>APV</t>
  </si>
  <si>
    <t>AR3</t>
  </si>
  <si>
    <t>AR7</t>
  </si>
  <si>
    <t>ASB</t>
  </si>
  <si>
    <t>ATZ</t>
  </si>
  <si>
    <t>AUI</t>
  </si>
  <si>
    <t>AVF</t>
  </si>
  <si>
    <t>AVS</t>
  </si>
  <si>
    <t>B4K</t>
  </si>
  <si>
    <t>BAU</t>
  </si>
  <si>
    <t>BC9</t>
  </si>
  <si>
    <t>BCV</t>
  </si>
  <si>
    <t>BDR</t>
  </si>
  <si>
    <t>BGO</t>
  </si>
  <si>
    <t>BIH</t>
  </si>
  <si>
    <t>BKL</t>
  </si>
  <si>
    <t>BKN</t>
  </si>
  <si>
    <t>BLY</t>
  </si>
  <si>
    <t>BMP</t>
  </si>
  <si>
    <t>BND</t>
  </si>
  <si>
    <t>BNX</t>
  </si>
  <si>
    <t>BSN</t>
  </si>
  <si>
    <t>BUA</t>
  </si>
  <si>
    <t>BUH</t>
  </si>
  <si>
    <t>BUI</t>
  </si>
  <si>
    <t>C0A</t>
  </si>
  <si>
    <t>CAC</t>
  </si>
  <si>
    <t>CD1</t>
  </si>
  <si>
    <t>CE0</t>
  </si>
  <si>
    <t>CEO</t>
  </si>
  <si>
    <t>CFB</t>
  </si>
  <si>
    <t>CGH</t>
  </si>
  <si>
    <t>CH9</t>
  </si>
  <si>
    <t>CHB</t>
  </si>
  <si>
    <t>CIR</t>
  </si>
  <si>
    <t>CLB</t>
  </si>
  <si>
    <t>CLZ</t>
  </si>
  <si>
    <t>CM0</t>
  </si>
  <si>
    <t>CMU</t>
  </si>
  <si>
    <t>CP7</t>
  </si>
  <si>
    <t>CQR</t>
  </si>
  <si>
    <t>CT6</t>
  </si>
  <si>
    <t>CUR</t>
  </si>
  <si>
    <t>CVC</t>
  </si>
  <si>
    <t>CVM</t>
  </si>
  <si>
    <t>CYA</t>
  </si>
  <si>
    <t>CYL</t>
  </si>
  <si>
    <t>DCU</t>
  </si>
  <si>
    <t>DE1</t>
  </si>
  <si>
    <t>DHP</t>
  </si>
  <si>
    <t>DIM</t>
  </si>
  <si>
    <t>DJI</t>
  </si>
  <si>
    <t>DLV</t>
  </si>
  <si>
    <t>DM1</t>
  </si>
  <si>
    <t>DNN</t>
  </si>
  <si>
    <t>DPG</t>
  </si>
  <si>
    <t>DRE</t>
  </si>
  <si>
    <t>DRI</t>
  </si>
  <si>
    <t>DS2</t>
  </si>
  <si>
    <t>DSA</t>
  </si>
  <si>
    <t>DT1</t>
  </si>
  <si>
    <t>DTI</t>
  </si>
  <si>
    <t>DTS</t>
  </si>
  <si>
    <t>EBH</t>
  </si>
  <si>
    <t>ECE</t>
  </si>
  <si>
    <t>EDY</t>
  </si>
  <si>
    <t>EEO</t>
  </si>
  <si>
    <t>EFA</t>
  </si>
  <si>
    <t>EGI</t>
  </si>
  <si>
    <t>EIO</t>
  </si>
  <si>
    <t>ELI</t>
  </si>
  <si>
    <t>EML</t>
  </si>
  <si>
    <t>EMT</t>
  </si>
  <si>
    <t>EN2</t>
  </si>
  <si>
    <t>ENE</t>
  </si>
  <si>
    <t>EOE</t>
  </si>
  <si>
    <t>EOL</t>
  </si>
  <si>
    <t>ERC</t>
  </si>
  <si>
    <t>ERF</t>
  </si>
  <si>
    <t>ERH</t>
  </si>
  <si>
    <t>ERT</t>
  </si>
  <si>
    <t>ERW</t>
  </si>
  <si>
    <t>ESU</t>
  </si>
  <si>
    <t>EUP</t>
  </si>
  <si>
    <t>EVR</t>
  </si>
  <si>
    <t>EX1</t>
  </si>
  <si>
    <t>F1F</t>
  </si>
  <si>
    <t>FAF</t>
  </si>
  <si>
    <t>FAG</t>
  </si>
  <si>
    <t>FAP</t>
  </si>
  <si>
    <t>FCH</t>
  </si>
  <si>
    <t>FDB</t>
  </si>
  <si>
    <t>FFB</t>
  </si>
  <si>
    <t>FGL</t>
  </si>
  <si>
    <t>FGM</t>
  </si>
  <si>
    <t>FIK</t>
  </si>
  <si>
    <t>FIO</t>
  </si>
  <si>
    <t>FKR</t>
  </si>
  <si>
    <t>FRB</t>
  </si>
  <si>
    <t>FSV</t>
  </si>
  <si>
    <t>GBE</t>
  </si>
  <si>
    <t>GBI</t>
  </si>
  <si>
    <t>GBR</t>
  </si>
  <si>
    <t>GDP</t>
  </si>
  <si>
    <t>GEL</t>
  </si>
  <si>
    <t>GEX</t>
  </si>
  <si>
    <t>GFB</t>
  </si>
  <si>
    <t>GIC</t>
  </si>
  <si>
    <t>GKO</t>
  </si>
  <si>
    <t>GKP</t>
  </si>
  <si>
    <t>GL1</t>
  </si>
  <si>
    <t>GLH</t>
  </si>
  <si>
    <t>GNC</t>
  </si>
  <si>
    <t>GPW</t>
  </si>
  <si>
    <t>HA1</t>
  </si>
  <si>
    <t>HA2</t>
  </si>
  <si>
    <t>HBA</t>
  </si>
  <si>
    <t>HBD</t>
  </si>
  <si>
    <t>HBF</t>
  </si>
  <si>
    <t>HIE</t>
  </si>
  <si>
    <t>HOF</t>
  </si>
  <si>
    <t>HPL</t>
  </si>
  <si>
    <t>HU1</t>
  </si>
  <si>
    <t>HUD</t>
  </si>
  <si>
    <t>ICE</t>
  </si>
  <si>
    <t>ICK</t>
  </si>
  <si>
    <t>IDT</t>
  </si>
  <si>
    <t>IG8</t>
  </si>
  <si>
    <t>IH3</t>
  </si>
  <si>
    <t>IIS</t>
  </si>
  <si>
    <t>IM1</t>
  </si>
  <si>
    <t>IMB</t>
  </si>
  <si>
    <t>IMO</t>
  </si>
  <si>
    <t>INJ</t>
  </si>
  <si>
    <t>INU</t>
  </si>
  <si>
    <t>INY</t>
  </si>
  <si>
    <t>IOC</t>
  </si>
  <si>
    <t>ISR</t>
  </si>
  <si>
    <t>IVK</t>
  </si>
  <si>
    <t>JMA</t>
  </si>
  <si>
    <t>JOA</t>
  </si>
  <si>
    <t>JOV</t>
  </si>
  <si>
    <t>JPB</t>
  </si>
  <si>
    <t>JTI</t>
  </si>
  <si>
    <t>KA1</t>
  </si>
  <si>
    <t>KBS</t>
  </si>
  <si>
    <t>KEI</t>
  </si>
  <si>
    <t>KGE</t>
  </si>
  <si>
    <t>KID</t>
  </si>
  <si>
    <t>KIG</t>
  </si>
  <si>
    <t>KME</t>
  </si>
  <si>
    <t>KNC</t>
  </si>
  <si>
    <t>KOR</t>
  </si>
  <si>
    <t>KR1</t>
  </si>
  <si>
    <t>KRK</t>
  </si>
  <si>
    <t>KRO</t>
  </si>
  <si>
    <t>KTC</t>
  </si>
  <si>
    <t>LBR</t>
  </si>
  <si>
    <t>LGD</t>
  </si>
  <si>
    <t>LGP</t>
  </si>
  <si>
    <t>LHV</t>
  </si>
  <si>
    <t>LIM</t>
  </si>
  <si>
    <t>LLO</t>
  </si>
  <si>
    <t>LMC</t>
  </si>
  <si>
    <t>LMS</t>
  </si>
  <si>
    <t>LON</t>
  </si>
  <si>
    <t>LOP</t>
  </si>
  <si>
    <t>LSF</t>
  </si>
  <si>
    <t>LTG</t>
  </si>
  <si>
    <t>LUP</t>
  </si>
  <si>
    <t>LXR</t>
  </si>
  <si>
    <t>M1N</t>
  </si>
  <si>
    <t>MA4</t>
  </si>
  <si>
    <t>MAF</t>
  </si>
  <si>
    <t>MAO</t>
  </si>
  <si>
    <t>MBB</t>
  </si>
  <si>
    <t>MBT</t>
  </si>
  <si>
    <t>MHO</t>
  </si>
  <si>
    <t>MM1</t>
  </si>
  <si>
    <t>MOF</t>
  </si>
  <si>
    <t>MPA</t>
  </si>
  <si>
    <t>MRF</t>
  </si>
  <si>
    <t>MUL</t>
  </si>
  <si>
    <t>MUO</t>
  </si>
  <si>
    <t>MWK</t>
  </si>
  <si>
    <t>MYE</t>
  </si>
  <si>
    <t>NAA</t>
  </si>
  <si>
    <t>NAO</t>
  </si>
  <si>
    <t>NCA</t>
  </si>
  <si>
    <t>NCE</t>
  </si>
  <si>
    <t>NCG</t>
  </si>
  <si>
    <t>NCI</t>
  </si>
  <si>
    <t>NGD</t>
  </si>
  <si>
    <t>NIB</t>
  </si>
  <si>
    <t>NIE</t>
  </si>
  <si>
    <t>NIR</t>
  </si>
  <si>
    <t>NMC</t>
  </si>
  <si>
    <t>NPI</t>
  </si>
  <si>
    <t>NS2</t>
  </si>
  <si>
    <t>OIL</t>
  </si>
  <si>
    <t>OKC</t>
  </si>
  <si>
    <t>OLA</t>
  </si>
  <si>
    <t>OLH</t>
  </si>
  <si>
    <t>ONO</t>
  </si>
  <si>
    <t>OP1</t>
  </si>
  <si>
    <t>OPK</t>
  </si>
  <si>
    <t>OSA</t>
  </si>
  <si>
    <t>OSK</t>
  </si>
  <si>
    <t>OSO</t>
  </si>
  <si>
    <t>OT0</t>
  </si>
  <si>
    <t>OTP</t>
  </si>
  <si>
    <t>OXB</t>
  </si>
  <si>
    <t>PAP</t>
  </si>
  <si>
    <t>PDS</t>
  </si>
  <si>
    <t>PE3</t>
  </si>
  <si>
    <t>PEK</t>
  </si>
  <si>
    <t>PEM</t>
  </si>
  <si>
    <t>PFI</t>
  </si>
  <si>
    <t>PGN</t>
  </si>
  <si>
    <t>PHE</t>
  </si>
  <si>
    <t>PKL</t>
  </si>
  <si>
    <t>PLF</t>
  </si>
  <si>
    <t>POH</t>
  </si>
  <si>
    <t>POK</t>
  </si>
  <si>
    <t>PPA</t>
  </si>
  <si>
    <t>PUD</t>
  </si>
  <si>
    <t>QEL</t>
  </si>
  <si>
    <t>QNQ</t>
  </si>
  <si>
    <t>QNS</t>
  </si>
  <si>
    <t>R0K</t>
  </si>
  <si>
    <t>RAG</t>
  </si>
  <si>
    <t>RBI</t>
  </si>
  <si>
    <t>RBU</t>
  </si>
  <si>
    <t>RE2</t>
  </si>
  <si>
    <t>RE4</t>
  </si>
  <si>
    <t>REE</t>
  </si>
  <si>
    <t>REH</t>
  </si>
  <si>
    <t>REK</t>
  </si>
  <si>
    <t>RHM</t>
  </si>
  <si>
    <t>RIA</t>
  </si>
  <si>
    <t>RMK</t>
  </si>
  <si>
    <t>RNL</t>
  </si>
  <si>
    <t>ROA</t>
  </si>
  <si>
    <t>RTC</t>
  </si>
  <si>
    <t>RZN</t>
  </si>
  <si>
    <t>S1D</t>
  </si>
  <si>
    <t>SB2</t>
  </si>
  <si>
    <t>SBB</t>
  </si>
  <si>
    <t>SBE</t>
  </si>
  <si>
    <t>SBX</t>
  </si>
  <si>
    <t>SDV</t>
  </si>
  <si>
    <t>SE6</t>
  </si>
  <si>
    <t>SEP</t>
  </si>
  <si>
    <t>SEX</t>
  </si>
  <si>
    <t>SGA</t>
  </si>
  <si>
    <t>SH2</t>
  </si>
  <si>
    <t>SHJ</t>
  </si>
  <si>
    <t>SI4</t>
  </si>
  <si>
    <t>SI5</t>
  </si>
  <si>
    <t>SKM</t>
  </si>
  <si>
    <t>SLO</t>
  </si>
  <si>
    <t>SM3</t>
  </si>
  <si>
    <t>SMD</t>
  </si>
  <si>
    <t>SMO</t>
  </si>
  <si>
    <t>SO3</t>
  </si>
  <si>
    <t>SOG</t>
  </si>
  <si>
    <t>SOJ</t>
  </si>
  <si>
    <t>SOQ</t>
  </si>
  <si>
    <t>SP4</t>
  </si>
  <si>
    <t>SPY</t>
  </si>
  <si>
    <t>SRE</t>
  </si>
  <si>
    <t>SSB</t>
  </si>
  <si>
    <t>STQ</t>
  </si>
  <si>
    <t>STW</t>
  </si>
  <si>
    <t>SUQ</t>
  </si>
  <si>
    <t>SUT</t>
  </si>
  <si>
    <t>SVB</t>
  </si>
  <si>
    <t>SVG</t>
  </si>
  <si>
    <t>SVO</t>
  </si>
  <si>
    <t>SWF</t>
  </si>
  <si>
    <t>SXB</t>
  </si>
  <si>
    <t>SYH</t>
  </si>
  <si>
    <t>SYX</t>
  </si>
  <si>
    <t>SZU</t>
  </si>
  <si>
    <t>TAG</t>
  </si>
  <si>
    <t>TBD</t>
  </si>
  <si>
    <t>TC3</t>
  </si>
  <si>
    <t>TCO</t>
  </si>
  <si>
    <t>TDA</t>
  </si>
  <si>
    <t>TET</t>
  </si>
  <si>
    <t>TFI</t>
  </si>
  <si>
    <t>TMM</t>
  </si>
  <si>
    <t>TN2</t>
  </si>
  <si>
    <t>TO4</t>
  </si>
  <si>
    <t>TOK</t>
  </si>
  <si>
    <t>TOP</t>
  </si>
  <si>
    <t>TPB</t>
  </si>
  <si>
    <t>TWT</t>
  </si>
  <si>
    <t>UHC</t>
  </si>
  <si>
    <t>UHG</t>
  </si>
  <si>
    <t>UIP</t>
  </si>
  <si>
    <t>URG</t>
  </si>
  <si>
    <t>UTY</t>
  </si>
  <si>
    <t>VA1</t>
  </si>
  <si>
    <t>VBO</t>
  </si>
  <si>
    <t>VC1</t>
  </si>
  <si>
    <t>VCI</t>
  </si>
  <si>
    <t>VEB</t>
  </si>
  <si>
    <t>VI0</t>
  </si>
  <si>
    <t>VID</t>
  </si>
  <si>
    <t>VLX</t>
  </si>
  <si>
    <t>VPG</t>
  </si>
  <si>
    <t>VPN</t>
  </si>
  <si>
    <t>VRF</t>
  </si>
  <si>
    <t>VVO</t>
  </si>
  <si>
    <t>W3B</t>
  </si>
  <si>
    <t>WEJ</t>
  </si>
  <si>
    <t>WHS</t>
  </si>
  <si>
    <t>WIC</t>
  </si>
  <si>
    <t>WKI</t>
  </si>
  <si>
    <t>WLA</t>
  </si>
  <si>
    <t>WLN</t>
  </si>
  <si>
    <t>WUN</t>
  </si>
  <si>
    <t>XFU</t>
  </si>
  <si>
    <t>XYZ</t>
  </si>
  <si>
    <t>YFC</t>
  </si>
  <si>
    <t>YOG</t>
  </si>
  <si>
    <t>YPM</t>
  </si>
  <si>
    <t>YUM</t>
  </si>
  <si>
    <t>ZBK</t>
  </si>
  <si>
    <t>ZHT</t>
  </si>
  <si>
    <t>ZNY</t>
  </si>
  <si>
    <t>ZWI</t>
  </si>
  <si>
    <t>Armacell Group</t>
  </si>
  <si>
    <t>Acronis Japan K.K.</t>
  </si>
  <si>
    <t>Accutar Biotech</t>
  </si>
  <si>
    <t>Aptos Canada Inc</t>
  </si>
  <si>
    <t>Automation Anywhere</t>
  </si>
  <si>
    <t>American Bureau of Shipping</t>
  </si>
  <si>
    <t>Al Borg Medical Laboratories Co.</t>
  </si>
  <si>
    <t>Abu Dhabi National Energy Company</t>
  </si>
  <si>
    <t>Beijing Advaccine Biotechnology Co., Ltd.</t>
  </si>
  <si>
    <t>SYSTEM</t>
  </si>
  <si>
    <t>AmoyDx</t>
  </si>
  <si>
    <t>AFT Pharmaceuticals</t>
  </si>
  <si>
    <t>Agilent Technologies Inc</t>
  </si>
  <si>
    <t>Alteogen</t>
  </si>
  <si>
    <t>Avalon Healthcare Solutions</t>
  </si>
  <si>
    <t>Allspring Investments</t>
  </si>
  <si>
    <t>Arjohuntleigh Inc</t>
  </si>
  <si>
    <t>Arthur J. Gallagher &amp; Co.</t>
  </si>
  <si>
    <t>ADM Korea Inc.</t>
  </si>
  <si>
    <t>Alutiiq, LLC</t>
  </si>
  <si>
    <t>Almac Group</t>
  </si>
  <si>
    <t>Ant Financial Services Group</t>
  </si>
  <si>
    <t>Anicura AB</t>
  </si>
  <si>
    <t>Atheneum Partners GmBH</t>
  </si>
  <si>
    <t>Apollo Tyres Ltd</t>
  </si>
  <si>
    <t>Arcticvision</t>
  </si>
  <si>
    <t>Arkema</t>
  </si>
  <si>
    <t>Hangzhou Alltest Biotech Co., Ltd.</t>
  </si>
  <si>
    <t>au Insurance Company,Limited</t>
  </si>
  <si>
    <t>Aero Vodochody AEROSPACE a.s.</t>
  </si>
  <si>
    <t>AVdesign</t>
  </si>
  <si>
    <t>Bakker International B.V.</t>
  </si>
  <si>
    <t>Bayan Credit Bureau</t>
  </si>
  <si>
    <t>Bain Capital</t>
  </si>
  <si>
    <t>Brightcove</t>
  </si>
  <si>
    <t>BDR Thermea</t>
  </si>
  <si>
    <t>BGO Diversified US Property Fund LP</t>
  </si>
  <si>
    <t>Bright Health</t>
  </si>
  <si>
    <t>Biogen Korea LLC</t>
  </si>
  <si>
    <t>The Brookings Institution</t>
  </si>
  <si>
    <t xml:space="preserve">BlueCity </t>
  </si>
  <si>
    <t>BioMarin Pharmaceutical Inc.</t>
  </si>
  <si>
    <t>Banco de Sabadell, S.A</t>
  </si>
  <si>
    <t>Bionoxx Inc.</t>
  </si>
  <si>
    <t>BABEL STRATEGIE &amp; CREATION</t>
  </si>
  <si>
    <t>Beneteau SA</t>
  </si>
  <si>
    <t>Buhler</t>
  </si>
  <si>
    <t>BEA Union Investment Management Limited</t>
  </si>
  <si>
    <t>Coastal Training Technologies Corp</t>
  </si>
  <si>
    <t>CACI International Inc.</t>
  </si>
  <si>
    <t>Cordis Medical Holdings Unlimited Company</t>
  </si>
  <si>
    <t>Celonis</t>
  </si>
  <si>
    <t>Caregen Co., Ltd</t>
  </si>
  <si>
    <t>CFI</t>
  </si>
  <si>
    <t>Changi General Hospital</t>
  </si>
  <si>
    <t>Chiesi Canada Corp.</t>
  </si>
  <si>
    <t>CoachHub</t>
  </si>
  <si>
    <t>Circuit Routing Ltd</t>
  </si>
  <si>
    <t>CellBion</t>
  </si>
  <si>
    <t>CLASSYS Inc.</t>
  </si>
  <si>
    <t>CallMiner Inc.</t>
  </si>
  <si>
    <t>Critical Mass Inc</t>
  </si>
  <si>
    <t>Centre for Public Impact</t>
  </si>
  <si>
    <t>Cornerstone Robotics Limited</t>
  </si>
  <si>
    <t>CITIC Group Corporation Ltd.</t>
  </si>
  <si>
    <t>Curetis GmbH</t>
  </si>
  <si>
    <t>CAVAC</t>
  </si>
  <si>
    <t>Carbide Ventures Management, Inc.</t>
  </si>
  <si>
    <t>Cytiva</t>
  </si>
  <si>
    <t>Calyx</t>
  </si>
  <si>
    <t>DocuSign, Inc</t>
  </si>
  <si>
    <t>DeLaval</t>
  </si>
  <si>
    <t>Daehwa Pharmaceutical Co.,Ltd</t>
  </si>
  <si>
    <t>Dimensional Fund Advisors</t>
  </si>
  <si>
    <t>SZ DJI Technology Co., Ltd.</t>
  </si>
  <si>
    <t>Deliveroo</t>
  </si>
  <si>
    <t>dMed Global</t>
  </si>
  <si>
    <t>Donlen LLC</t>
  </si>
  <si>
    <t>Deutsche Post DHL Group</t>
  </si>
  <si>
    <t>Dreame</t>
  </si>
  <si>
    <t>Digital River Inc.</t>
  </si>
  <si>
    <t>Digitized Schematic Solutions</t>
  </si>
  <si>
    <t>DSM</t>
  </si>
  <si>
    <t>Dataiku</t>
  </si>
  <si>
    <t>Domoti</t>
  </si>
  <si>
    <t>Dt&amp;SanoMedics. Co. Ltd</t>
  </si>
  <si>
    <t>EONE BIOTECH</t>
  </si>
  <si>
    <t>ECJ</t>
  </si>
  <si>
    <t>Edyn Group</t>
  </si>
  <si>
    <t>EEOA Edu</t>
  </si>
  <si>
    <t>Limelight Networks</t>
  </si>
  <si>
    <t>eBRAM International Online Dispute Resolution Centre Limited</t>
  </si>
  <si>
    <t>Electronics for Imaging, Inc.</t>
  </si>
  <si>
    <t>Emblation Ltd</t>
  </si>
  <si>
    <t>Empira Investment Solutions S.A.</t>
  </si>
  <si>
    <t>Empresas Publicas de Medellin</t>
  </si>
  <si>
    <t>Enphase</t>
  </si>
  <si>
    <t>EON SE</t>
  </si>
  <si>
    <t>Ecoflow</t>
  </si>
  <si>
    <t>Euroclear</t>
  </si>
  <si>
    <t>Eurofins Scientific</t>
  </si>
  <si>
    <t>Enertech AB</t>
  </si>
  <si>
    <t>Eramet</t>
  </si>
  <si>
    <t>E. M. Group Holding AG</t>
  </si>
  <si>
    <t>Essentium, Inc</t>
  </si>
  <si>
    <t>European Parliament</t>
  </si>
  <si>
    <t>Endeavor</t>
  </si>
  <si>
    <t>Exclusive Networks</t>
  </si>
  <si>
    <t>Fédération Internationale de Football Association</t>
  </si>
  <si>
    <t>Financial Accounting Foundation, Inc.</t>
  </si>
  <si>
    <t>Falck Group</t>
  </si>
  <si>
    <t>Fapon Biotech Inc.</t>
  </si>
  <si>
    <t>FutureChem Co., Ltd.</t>
  </si>
  <si>
    <t>Dubai Aviation Corporation</t>
  </si>
  <si>
    <t>Fifth Black Media Limited</t>
  </si>
  <si>
    <t>FUJITSU GENERAL LIMITED</t>
  </si>
  <si>
    <t>Figma, Inc.</t>
  </si>
  <si>
    <t>Fidelity International Limited</t>
  </si>
  <si>
    <t>FIS Global</t>
  </si>
  <si>
    <t>Fisker Inc.</t>
  </si>
  <si>
    <t>Unibel</t>
  </si>
  <si>
    <t>First Sentier Investors</t>
  </si>
  <si>
    <t>Government of Belgium</t>
  </si>
  <si>
    <t>Gensight Biologics SA</t>
  </si>
  <si>
    <t>Gerber Technology</t>
  </si>
  <si>
    <t>GILBERT DUPONT</t>
  </si>
  <si>
    <t>GE Healthcare Pte Ltd</t>
  </si>
  <si>
    <t>Gencurix</t>
  </si>
  <si>
    <t>Grupo Financiero BG, S.A.</t>
  </si>
  <si>
    <t>Golden Interactive Media</t>
  </si>
  <si>
    <t>Glooko</t>
  </si>
  <si>
    <t>GunKang Pharmaceuticals</t>
  </si>
  <si>
    <t>Gerson Lehrman Group</t>
  </si>
  <si>
    <t>Global Health Limited</t>
  </si>
  <si>
    <t>Genome &amp; Company</t>
  </si>
  <si>
    <t>Green Power Limited</t>
  </si>
  <si>
    <t>Harvest integrated Research Organization (HiRO)</t>
  </si>
  <si>
    <t>Fosun International</t>
  </si>
  <si>
    <t>Horiba, Ltd</t>
  </si>
  <si>
    <t>HanAll Biopharma Co., Ltd.</t>
  </si>
  <si>
    <t>Hitachi Energy ABB</t>
  </si>
  <si>
    <t>Hoffmann Group</t>
  </si>
  <si>
    <t>HATCH PTY. LTD – ABU DHABI</t>
  </si>
  <si>
    <t>Hulu LLC</t>
  </si>
  <si>
    <t>Huntsman</t>
  </si>
  <si>
    <t>Intercontinental Exchange, Inc.</t>
  </si>
  <si>
    <t>iClick Interactive Asia Group Limited</t>
  </si>
  <si>
    <t>Integrated DNA Technologies, Inc.</t>
  </si>
  <si>
    <t>INGENIOUS8 LIMITED</t>
  </si>
  <si>
    <t xml:space="preserve"> IHS Markit Ltd.</t>
  </si>
  <si>
    <t>Insiel Spa</t>
  </si>
  <si>
    <t>Impact International</t>
  </si>
  <si>
    <t>Imperial Brands</t>
  </si>
  <si>
    <t>IDO MARKETING Corp.</t>
  </si>
  <si>
    <t>Inmarsat</t>
  </si>
  <si>
    <t>INSEE</t>
  </si>
  <si>
    <t>INVISTA</t>
  </si>
  <si>
    <t>InnoCare Pharma Limited</t>
  </si>
  <si>
    <t>Towers Watson</t>
  </si>
  <si>
    <t>Invoke</t>
  </si>
  <si>
    <t>Jardine Matheson Group</t>
  </si>
  <si>
    <t>Johnson Matthey</t>
  </si>
  <si>
    <t>JoVE</t>
  </si>
  <si>
    <t>Japan Post Bank Co., Ltd.</t>
  </si>
  <si>
    <t>Korea Automobile Importers &amp; Distributors Association</t>
  </si>
  <si>
    <t>Kereis</t>
  </si>
  <si>
    <t>Kerridge Commercial Systems Limited</t>
  </si>
  <si>
    <t>Komipharm International Co., Ltd.</t>
  </si>
  <si>
    <t>Kingdee International Software Group Co. Ltd.</t>
  </si>
  <si>
    <t>Kainos Medicine, Inc.</t>
  </si>
  <si>
    <t>Knights of Columbus</t>
  </si>
  <si>
    <t>Kore.ai</t>
  </si>
  <si>
    <t>KRIK Inc</t>
  </si>
  <si>
    <t>Kraken</t>
  </si>
  <si>
    <t>Krones AG</t>
  </si>
  <si>
    <t>K-TEC Corporation</t>
  </si>
  <si>
    <t>Long Bridge Securities Ltd</t>
  </si>
  <si>
    <t>LightDeck Diagnostics</t>
  </si>
  <si>
    <t>Leonard Green &amp; Partners</t>
  </si>
  <si>
    <t>LHV UK LIMITED</t>
  </si>
  <si>
    <t>Linamar Corporation Inc.</t>
  </si>
  <si>
    <t>Lloyd International Ltd.</t>
  </si>
  <si>
    <t>Lockheed Martin Corporation</t>
  </si>
  <si>
    <t>LABORATOIRES MAYOLY SPINDLER</t>
  </si>
  <si>
    <t>Lockton</t>
  </si>
  <si>
    <t>Loro Piana S.P.A</t>
  </si>
  <si>
    <t>Laserfiche</t>
  </si>
  <si>
    <t>Learn Upon</t>
  </si>
  <si>
    <t>Lexar Co., Ltd.</t>
  </si>
  <si>
    <t>monotype</t>
  </si>
  <si>
    <t>Maples</t>
  </si>
  <si>
    <t>MACIF</t>
  </si>
  <si>
    <t>Marunouchi Capital Inc.</t>
  </si>
  <si>
    <t>MBDA</t>
  </si>
  <si>
    <t>Mbition</t>
  </si>
  <si>
    <t>Makara Health Communications Limited</t>
  </si>
  <si>
    <t>Marsh &amp; McLennan Companies</t>
  </si>
  <si>
    <t>MoneyGram</t>
  </si>
  <si>
    <t>MedPacto</t>
  </si>
  <si>
    <t>MRM Worldwide (UK) Limited</t>
  </si>
  <si>
    <t>Multitrans</t>
  </si>
  <si>
    <t>Metacen Therapeutics Co., Ltd.</t>
  </si>
  <si>
    <t>Moveworks Inc.</t>
  </si>
  <si>
    <t>MYTABLE Ltd.</t>
  </si>
  <si>
    <t>Norse Atlantic Airways</t>
  </si>
  <si>
    <t>Naqi Bottled Water Plant</t>
  </si>
  <si>
    <t>National Cancer Center Japan</t>
  </si>
  <si>
    <t>Netcentric AS</t>
  </si>
  <si>
    <t>NCSoft Corp</t>
  </si>
  <si>
    <t>NCCI Holdings, Inc.</t>
  </si>
  <si>
    <t>National Graduate Institute for Policy Studies (GRIPS)</t>
  </si>
  <si>
    <t>NICE</t>
  </si>
  <si>
    <t>Gazprom Neft PJSC</t>
  </si>
  <si>
    <t>THE NIPPON ROAD Co.,Ltd.</t>
  </si>
  <si>
    <t>Nissan Motor Co., Ltd.</t>
  </si>
  <si>
    <t>Novel Pharma Inc.</t>
  </si>
  <si>
    <t>NAMSA Shanghai</t>
  </si>
  <si>
    <t>Oilon Oy</t>
  </si>
  <si>
    <t>State of Oklahoma</t>
  </si>
  <si>
    <t>Olam International Limited</t>
  </si>
  <si>
    <t>Olympus Canada Inc.</t>
  </si>
  <si>
    <t>Oncocyte</t>
  </si>
  <si>
    <t>OPPO Electronics Corp</t>
  </si>
  <si>
    <t>Ono Pharma Korea</t>
  </si>
  <si>
    <t>Orange S.A. - Financial Communication</t>
  </si>
  <si>
    <t>Olympus Korea</t>
  </si>
  <si>
    <t>Oscotec Inc.</t>
  </si>
  <si>
    <t>Otto Christ AG</t>
  </si>
  <si>
    <t>Onconic Therapeutics</t>
  </si>
  <si>
    <t>OXBO International Corporation</t>
  </si>
  <si>
    <t>PatPat</t>
  </si>
  <si>
    <t>PPDS</t>
  </si>
  <si>
    <t>Platinum Equity Advisors, LLC</t>
  </si>
  <si>
    <t>Peter Kremser GmbH &amp; CO KG</t>
  </si>
  <si>
    <t>Peraton Inc</t>
  </si>
  <si>
    <t>Pfizer Inc</t>
  </si>
  <si>
    <t>Paragon Group</t>
  </si>
  <si>
    <t>Philenergy</t>
  </si>
  <si>
    <t>Pall Korea Ltd</t>
  </si>
  <si>
    <t>Pluslife</t>
  </si>
  <si>
    <t>Pon Holdings BV</t>
  </si>
  <si>
    <t>The Pokémon Company International, Inc.</t>
  </si>
  <si>
    <t>PH Pharma</t>
  </si>
  <si>
    <t>Pudu Technology Inc.</t>
  </si>
  <si>
    <t>Quinn Emanuel Urquhart &amp; Sullivan, LLP (US)</t>
  </si>
  <si>
    <t>QinetiQ Group plc</t>
  </si>
  <si>
    <t>QNAP Systems, Inc.</t>
  </si>
  <si>
    <t>Rocket Chat</t>
  </si>
  <si>
    <t>RATIONAL AG</t>
  </si>
  <si>
    <t>RBI GmbH</t>
  </si>
  <si>
    <t>Rocky brands</t>
  </si>
  <si>
    <t>RELX Group plc</t>
  </si>
  <si>
    <t>Rebellion Defense</t>
  </si>
  <si>
    <t>Reed Elsevier plc</t>
  </si>
  <si>
    <t>RELX</t>
  </si>
  <si>
    <t>Rentokil Initial plc</t>
  </si>
  <si>
    <t>Rheinmetall Group</t>
  </si>
  <si>
    <t>Rivian</t>
  </si>
  <si>
    <t>reMarkable AS</t>
  </si>
  <si>
    <t>Renaissance Learning Inc</t>
  </si>
  <si>
    <t xml:space="preserve">DIGITAL ROSETTA </t>
  </si>
  <si>
    <t>Rethink Communication LP</t>
  </si>
  <si>
    <t>Rznomics Inc.</t>
  </si>
  <si>
    <t>Dräger</t>
  </si>
  <si>
    <t>Sansure Biotech Inc.</t>
  </si>
  <si>
    <t>SABIC</t>
  </si>
  <si>
    <t>Sage Group Plc</t>
  </si>
  <si>
    <t>Skybox Security, Inc.</t>
  </si>
  <si>
    <t>Securitas Direct AB</t>
  </si>
  <si>
    <t>Seegene Inc.</t>
  </si>
  <si>
    <t>SEIKO EPSON CORPORATION</t>
  </si>
  <si>
    <t>ServiceXpert</t>
  </si>
  <si>
    <t>SIGNAL, Inc.</t>
  </si>
  <si>
    <t>Shell International Ltd</t>
  </si>
  <si>
    <t>SharkNinja</t>
  </si>
  <si>
    <t>Splunk Inc.</t>
  </si>
  <si>
    <t>Stone Investment Group Limited</t>
  </si>
  <si>
    <t>SK Biopharmaceuticals</t>
  </si>
  <si>
    <t>S64 Capital Innovation</t>
  </si>
  <si>
    <t>St. Marianna University School of Medicine</t>
  </si>
  <si>
    <t>Sedana Medical</t>
  </si>
  <si>
    <t>Smithsonian Institution</t>
  </si>
  <si>
    <t>Sophos Ltd.</t>
  </si>
  <si>
    <t>Software AG</t>
  </si>
  <si>
    <t>Solvay</t>
  </si>
  <si>
    <t>Sompo</t>
  </si>
  <si>
    <t>Shanghai Pharmaceuticals Holding Co., Ltd</t>
  </si>
  <si>
    <t>SPIE</t>
  </si>
  <si>
    <t>Saudi Real Estate Co.</t>
  </si>
  <si>
    <t>Samsung Biologics</t>
  </si>
  <si>
    <t>STCube</t>
  </si>
  <si>
    <t>Stepworks Company Limited</t>
  </si>
  <si>
    <t>SUMAQ COMUNICAÇÃO CORPORATIVA E PARTICIPAÇÕES LTDA</t>
  </si>
  <si>
    <t xml:space="preserve">SeoulCRO </t>
  </si>
  <si>
    <t>Sociale Verzekeringsbank</t>
  </si>
  <si>
    <t>SoVarGen Co., Ltd</t>
  </si>
  <si>
    <t>Sovos Compliance, LLC.</t>
  </si>
  <si>
    <t>Snowflake Inc</t>
  </si>
  <si>
    <t>Shenzhen XBiome Biotech Co., Ltd.</t>
  </si>
  <si>
    <t>Syneos Health</t>
  </si>
  <si>
    <t>Synex Consulting Ltd.</t>
  </si>
  <si>
    <t>Shimadzu Trustech Corporation</t>
  </si>
  <si>
    <t>TecAlliance GmbH</t>
  </si>
  <si>
    <t>Tailored Brands Inc</t>
  </si>
  <si>
    <t>Tencent Holdings Limited</t>
  </si>
  <si>
    <t>Timocom GmbH</t>
  </si>
  <si>
    <t>TechData</t>
  </si>
  <si>
    <t>AB Tetra Pak</t>
  </si>
  <si>
    <t>TAB Food Investments</t>
  </si>
  <si>
    <t>TMAP MOBILITY</t>
  </si>
  <si>
    <t>TechnipFMC plc</t>
  </si>
  <si>
    <t>Toaster, Inc.</t>
  </si>
  <si>
    <t>Tokyo Preventive Medical Clinic</t>
  </si>
  <si>
    <t>Topcon Corporation</t>
  </si>
  <si>
    <t>Trade Republic Bank</t>
  </si>
  <si>
    <t>Twitter</t>
  </si>
  <si>
    <t>Uniden Holdings Corporation</t>
  </si>
  <si>
    <t>United Health Group Incorporated</t>
  </si>
  <si>
    <t>UiPath</t>
  </si>
  <si>
    <t>URGO Group</t>
  </si>
  <si>
    <t>The University of Tokyo, Healthcare Quality Assessment</t>
  </si>
  <si>
    <t>Vaisala Oyj</t>
  </si>
  <si>
    <t>VBO FEB</t>
  </si>
  <si>
    <t>Verkkokauppa.com</t>
  </si>
  <si>
    <t>Vinci Energies</t>
  </si>
  <si>
    <t>Venator</t>
  </si>
  <si>
    <t>Visier Solutions</t>
  </si>
  <si>
    <t>Vinted</t>
  </si>
  <si>
    <t>Soc Velux France</t>
  </si>
  <si>
    <t>VP Bank AG</t>
  </si>
  <si>
    <t>Vistaprint</t>
  </si>
  <si>
    <t>The Value Reporting Foundation</t>
  </si>
  <si>
    <t>vivo Mobile Communication Co., Ltd.</t>
  </si>
  <si>
    <t>Webtoon</t>
  </si>
  <si>
    <t>Western Digital</t>
  </si>
  <si>
    <t>WHSmith</t>
  </si>
  <si>
    <t>WIPO</t>
  </si>
  <si>
    <t>Wieden + Kennedy, Inc.</t>
  </si>
  <si>
    <t>Wella</t>
  </si>
  <si>
    <t>Worldline SA</t>
  </si>
  <si>
    <t>Wunderman A/S</t>
  </si>
  <si>
    <t>xFusion Digital</t>
  </si>
  <si>
    <t>YONSUNG FINE CHEMICALS CO., LTD.</t>
  </si>
  <si>
    <t>YouGov</t>
  </si>
  <si>
    <t>Yungjin Pharm</t>
  </si>
  <si>
    <t>YUM! Brands, Inc.</t>
  </si>
  <si>
    <t>Zimmer Biomet Korea</t>
  </si>
  <si>
    <t>ZhongAn Technologies International Group Limited</t>
  </si>
  <si>
    <t>Shanghai Zonysoft Co., Ltd.</t>
  </si>
  <si>
    <t>Zwift, Inc.</t>
  </si>
  <si>
    <t>Version History</t>
  </si>
  <si>
    <t>Version</t>
  </si>
  <si>
    <t>Effectiveness Date</t>
  </si>
  <si>
    <t>Author</t>
  </si>
  <si>
    <t>Summary of changes</t>
  </si>
  <si>
    <t>Process Owner</t>
  </si>
  <si>
    <t>Approved by</t>
  </si>
  <si>
    <t>Approval Date</t>
  </si>
  <si>
    <t>Chris Burkimsher, Director of Translation</t>
  </si>
  <si>
    <t>New document</t>
  </si>
  <si>
    <t>Sofia Patrocinio, Quality Manager</t>
  </si>
  <si>
    <t>Version: 1</t>
  </si>
  <si>
    <t>TQA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</si>
</sst>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
    <numFmt numFmtId="165" formatCode="0.0%"/>
    <numFmt numFmtId="166" formatCode="0;;;@"/>
    <numFmt numFmtId="167" formatCode="yyyy\-mm\-dd"/>
    <numFmt numFmtId="168" formatCode="[$-409]d\-mmm\-yy;@"/>
  </numFmts>
  <fonts count="102">
    <font>
      <sz val="10"/>
      <name val="Arial"/>
    </font>
    <font>
      <sz val="11"/>
      <color theme="1"/>
      <name val="Calibri"/>
      <family val="2"/>
      <scheme val="minor"/>
    </font>
    <font>
      <sz val="10"/>
      <name val="Arial"/>
      <family val="2"/>
    </font>
    <font>
      <sz val="10"/>
      <name val="Arial"/>
      <family val="2"/>
    </font>
    <font>
      <b/>
      <sz val="10"/>
      <name val="Arial"/>
      <family val="2"/>
    </font>
    <font>
      <b/>
      <sz val="14"/>
      <name val="Arial"/>
      <family val="2"/>
    </font>
    <font>
      <sz val="8"/>
      <color indexed="81"/>
      <name val="Tahoma"/>
      <family val="2"/>
    </font>
    <font>
      <sz val="11"/>
      <name val="Arial"/>
      <family val="2"/>
    </font>
    <font>
      <b/>
      <sz val="11"/>
      <name val="Arial"/>
      <family val="2"/>
    </font>
    <font>
      <b/>
      <sz val="10"/>
      <color indexed="9"/>
      <name val="Arial"/>
      <family val="2"/>
    </font>
    <font>
      <i/>
      <sz val="9"/>
      <name val="Arial"/>
      <family val="2"/>
    </font>
    <font>
      <b/>
      <i/>
      <sz val="10"/>
      <color indexed="8"/>
      <name val="Arial"/>
      <family val="2"/>
    </font>
    <font>
      <i/>
      <sz val="9"/>
      <color indexed="10"/>
      <name val="Arial"/>
      <family val="2"/>
    </font>
    <font>
      <b/>
      <sz val="10"/>
      <color indexed="10"/>
      <name val="Arial"/>
      <family val="2"/>
    </font>
    <font>
      <b/>
      <sz val="9"/>
      <name val="Arial"/>
      <family val="2"/>
    </font>
    <font>
      <sz val="9"/>
      <name val="Arial"/>
      <family val="2"/>
    </font>
    <font>
      <sz val="8"/>
      <name val="Arial"/>
      <family val="2"/>
    </font>
    <font>
      <b/>
      <sz val="9"/>
      <color indexed="9"/>
      <name val="Arial"/>
      <family val="2"/>
    </font>
    <font>
      <b/>
      <sz val="8"/>
      <name val="Arial"/>
      <family val="2"/>
    </font>
    <font>
      <b/>
      <sz val="8"/>
      <color indexed="9"/>
      <name val="Arial"/>
      <family val="2"/>
    </font>
    <font>
      <sz val="10"/>
      <color indexed="10"/>
      <name val="Arial"/>
      <family val="2"/>
    </font>
    <font>
      <b/>
      <sz val="12"/>
      <name val="Arial"/>
      <family val="2"/>
    </font>
    <font>
      <sz val="9"/>
      <color theme="0" tint="-0.499984740745262"/>
      <name val="Arial"/>
      <family val="2"/>
    </font>
    <font>
      <sz val="7"/>
      <color rgb="FF4C4C4C"/>
      <name val="Verdana"/>
      <family val="2"/>
    </font>
    <font>
      <sz val="8"/>
      <color theme="1"/>
      <name val="Calibri"/>
      <family val="2"/>
      <scheme val="minor"/>
    </font>
    <font>
      <sz val="8"/>
      <name val="Calibri"/>
      <family val="2"/>
      <scheme val="minor"/>
    </font>
    <font>
      <sz val="10"/>
      <color theme="0"/>
      <name val="Arial"/>
      <family val="2"/>
    </font>
    <font>
      <sz val="9"/>
      <color indexed="23"/>
      <name val="Arial"/>
      <family val="2"/>
    </font>
    <font>
      <b/>
      <sz val="9"/>
      <color theme="0"/>
      <name val="Arial"/>
      <family val="2"/>
    </font>
    <font>
      <sz val="9"/>
      <color theme="0"/>
      <name val="Arial"/>
      <family val="2"/>
    </font>
    <font>
      <sz val="10"/>
      <name val="Arial"/>
      <family val="2"/>
      <charset val="238"/>
    </font>
    <font>
      <b/>
      <sz val="20"/>
      <color theme="0"/>
      <name val="Arial"/>
      <family val="2"/>
    </font>
    <font>
      <b/>
      <sz val="10"/>
      <name val="Arial"/>
      <family val="2"/>
      <charset val="238"/>
    </font>
    <font>
      <b/>
      <sz val="11"/>
      <color rgb="FFFF0000"/>
      <name val="Arial"/>
      <family val="2"/>
    </font>
    <font>
      <sz val="10"/>
      <name val="Arial"/>
      <family val="2"/>
      <charset val="238"/>
    </font>
    <font>
      <b/>
      <sz val="11"/>
      <name val="Arial"/>
      <family val="2"/>
      <charset val="238"/>
    </font>
    <font>
      <b/>
      <sz val="10"/>
      <color theme="0"/>
      <name val="Arial"/>
      <family val="2"/>
      <charset val="238"/>
    </font>
    <font>
      <b/>
      <sz val="12"/>
      <color theme="0"/>
      <name val="Arial"/>
      <family val="2"/>
      <charset val="238"/>
    </font>
    <font>
      <sz val="9"/>
      <color theme="1"/>
      <name val="Arial"/>
      <family val="2"/>
    </font>
    <font>
      <b/>
      <sz val="9"/>
      <color theme="1"/>
      <name val="Arial"/>
      <family val="2"/>
    </font>
    <font>
      <b/>
      <sz val="12"/>
      <name val="Arial"/>
      <family val="2"/>
      <charset val="238"/>
    </font>
    <font>
      <b/>
      <sz val="10"/>
      <color rgb="FFFF0000"/>
      <name val="Arial"/>
      <family val="2"/>
      <charset val="238"/>
    </font>
    <font>
      <b/>
      <i/>
      <sz val="10"/>
      <color rgb="FF25BD59"/>
      <name val="Arial"/>
      <family val="2"/>
    </font>
    <font>
      <b/>
      <sz val="8"/>
      <name val="Calibri"/>
      <family val="2"/>
    </font>
    <font>
      <sz val="10"/>
      <color rgb="FFFF0000"/>
      <name val="Arial"/>
      <family val="2"/>
      <charset val="238"/>
    </font>
    <font>
      <sz val="12"/>
      <color rgb="FFFF0000"/>
      <name val="Arial"/>
      <family val="2"/>
      <charset val="238"/>
    </font>
    <font>
      <b/>
      <sz val="10"/>
      <color rgb="FFFF0000"/>
      <name val="Calibri"/>
      <family val="2"/>
      <scheme val="minor"/>
    </font>
    <font>
      <b/>
      <sz val="10.5"/>
      <color indexed="9"/>
      <name val="Arial"/>
      <family val="2"/>
    </font>
    <font>
      <b/>
      <sz val="6"/>
      <name val="Arial"/>
      <family val="2"/>
      <charset val="238"/>
    </font>
    <font>
      <b/>
      <sz val="19"/>
      <color indexed="9"/>
      <name val="Arial"/>
      <family val="2"/>
    </font>
    <font>
      <sz val="19"/>
      <name val="Arial"/>
      <family val="2"/>
    </font>
    <font>
      <i/>
      <sz val="10"/>
      <name val="Arial"/>
      <family val="2"/>
      <charset val="238"/>
    </font>
    <font>
      <sz val="12"/>
      <name val="Arial"/>
      <family val="2"/>
    </font>
    <font>
      <u/>
      <sz val="10"/>
      <color indexed="12"/>
      <name val="Arial"/>
      <family val="2"/>
    </font>
    <font>
      <sz val="8"/>
      <color theme="0" tint="-0.499984740745262"/>
      <name val="Arial"/>
      <family val="2"/>
    </font>
    <font>
      <b/>
      <sz val="10"/>
      <color indexed="9"/>
      <name val="Arial"/>
      <family val="2"/>
      <charset val="238"/>
    </font>
    <font>
      <b/>
      <sz val="10"/>
      <color theme="1"/>
      <name val="Arial"/>
      <family val="2"/>
    </font>
    <font>
      <sz val="9"/>
      <color theme="1"/>
      <name val="Calibri"/>
      <family val="2"/>
      <scheme val="minor"/>
    </font>
    <font>
      <b/>
      <u/>
      <sz val="10"/>
      <name val="Arial"/>
      <family val="2"/>
      <charset val="238"/>
    </font>
    <font>
      <b/>
      <sz val="8"/>
      <color indexed="81"/>
      <name val="Tahoma"/>
      <family val="2"/>
    </font>
    <font>
      <i/>
      <u/>
      <sz val="10"/>
      <name val="Arial"/>
      <family val="2"/>
    </font>
    <font>
      <b/>
      <u/>
      <sz val="8"/>
      <color indexed="81"/>
      <name val="Tahoma"/>
      <family val="2"/>
    </font>
    <font>
      <b/>
      <i/>
      <sz val="10"/>
      <color rgb="FF00A89F"/>
      <name val="Arial"/>
      <family val="2"/>
    </font>
    <font>
      <sz val="11"/>
      <color rgb="FFE16E73"/>
      <name val="Arial"/>
      <family val="2"/>
    </font>
    <font>
      <b/>
      <sz val="11"/>
      <color rgb="FFE16E73"/>
      <name val="Arial"/>
      <family val="2"/>
    </font>
    <font>
      <sz val="9"/>
      <color rgb="FFE16E73"/>
      <name val="Arial"/>
      <family val="2"/>
    </font>
    <font>
      <u/>
      <sz val="9"/>
      <color rgb="FFE16E73"/>
      <name val="Arial"/>
      <family val="2"/>
    </font>
    <font>
      <b/>
      <sz val="9"/>
      <color rgb="FFE16E73"/>
      <name val="Arial"/>
      <family val="2"/>
    </font>
    <font>
      <b/>
      <sz val="12"/>
      <color rgb="FF003C7F"/>
      <name val="Arial"/>
      <family val="2"/>
    </font>
    <font>
      <sz val="11"/>
      <color rgb="FF003C7F"/>
      <name val="Arial"/>
      <family val="2"/>
    </font>
    <font>
      <b/>
      <sz val="11"/>
      <color rgb="FF003C7F"/>
      <name val="Arial"/>
      <family val="2"/>
      <charset val="238"/>
    </font>
    <font>
      <b/>
      <sz val="14"/>
      <color theme="0"/>
      <name val="Arial"/>
      <family val="2"/>
      <charset val="238"/>
    </font>
    <font>
      <b/>
      <sz val="10"/>
      <color rgb="FFE16E73"/>
      <name val="Calibri"/>
      <family val="2"/>
      <scheme val="minor"/>
    </font>
    <font>
      <b/>
      <i/>
      <sz val="10"/>
      <color rgb="FFE16E73"/>
      <name val="Arial"/>
      <family val="2"/>
    </font>
    <font>
      <b/>
      <sz val="19"/>
      <color theme="0"/>
      <name val="Arial"/>
      <family val="2"/>
      <charset val="238"/>
    </font>
    <font>
      <b/>
      <i/>
      <sz val="9"/>
      <color rgb="FF009EA9"/>
      <name val="Arial"/>
      <family val="2"/>
    </font>
    <font>
      <b/>
      <sz val="9"/>
      <color rgb="FF009EA9"/>
      <name val="Arial"/>
      <family val="2"/>
    </font>
    <font>
      <b/>
      <sz val="11"/>
      <color rgb="FF003C7F"/>
      <name val="Arial"/>
      <family val="2"/>
    </font>
    <font>
      <sz val="11"/>
      <color theme="0"/>
      <name val="Arial"/>
      <family val="2"/>
    </font>
    <font>
      <b/>
      <sz val="7"/>
      <name val="Arial"/>
      <family val="2"/>
    </font>
    <font>
      <b/>
      <sz val="11"/>
      <color rgb="FFFF6E73"/>
      <name val="Arial"/>
      <family val="2"/>
      <charset val="238"/>
    </font>
    <font>
      <b/>
      <sz val="8"/>
      <color theme="1"/>
      <name val="Calibri"/>
      <family val="2"/>
      <charset val="238"/>
      <scheme val="minor"/>
    </font>
    <font>
      <b/>
      <sz val="12"/>
      <color rgb="FFFF0000"/>
      <name val="Arial"/>
      <family val="2"/>
      <charset val="238"/>
    </font>
    <font>
      <sz val="8"/>
      <color rgb="FFFF0000"/>
      <name val="Arial"/>
      <family val="2"/>
      <charset val="238"/>
    </font>
    <font>
      <b/>
      <sz val="8"/>
      <color rgb="FFFF0000"/>
      <name val="Arial"/>
      <family val="2"/>
      <charset val="238"/>
    </font>
    <font>
      <b/>
      <sz val="11"/>
      <color theme="1"/>
      <name val="Calibri"/>
      <family val="2"/>
      <charset val="238"/>
      <scheme val="minor"/>
    </font>
    <font>
      <b/>
      <sz val="11"/>
      <color rgb="FFFF0000"/>
      <name val="Arial"/>
      <family val="2"/>
      <charset val="238"/>
    </font>
    <font>
      <b/>
      <sz val="10"/>
      <color theme="1"/>
      <name val="Calibri"/>
      <family val="2"/>
      <charset val="238"/>
      <scheme val="minor"/>
    </font>
    <font>
      <b/>
      <sz val="8"/>
      <color indexed="81"/>
      <name val="Tahoma"/>
      <family val="2"/>
      <charset val="238"/>
    </font>
    <font>
      <b/>
      <sz val="10"/>
      <color theme="0"/>
      <name val="Arial"/>
      <family val="2"/>
    </font>
    <font>
      <i/>
      <sz val="10"/>
      <color theme="0"/>
      <name val="Arial"/>
      <family val="2"/>
    </font>
    <font>
      <strike/>
      <sz val="10"/>
      <name val="Arial"/>
      <family val="2"/>
      <charset val="238"/>
    </font>
    <font>
      <sz val="10"/>
      <color rgb="FF00B050"/>
      <name val="Arial"/>
      <family val="2"/>
      <charset val="238"/>
    </font>
    <font>
      <strike/>
      <sz val="10"/>
      <color rgb="FFFF0000"/>
      <name val="Arial"/>
      <family val="2"/>
      <charset val="238"/>
    </font>
    <font>
      <b/>
      <sz val="10"/>
      <color rgb="FF00B050"/>
      <name val="Arial"/>
      <family val="2"/>
      <charset val="238"/>
    </font>
    <font>
      <sz val="10"/>
      <name val="Noto Sans"/>
      <family val="2"/>
      <charset val="1"/>
    </font>
    <font>
      <b/>
      <sz val="16"/>
      <color theme="0"/>
      <name val="Noto Sans"/>
      <family val="2"/>
      <charset val="1"/>
    </font>
    <font>
      <b/>
      <sz val="12"/>
      <color theme="0"/>
      <name val="Noto Sans"/>
      <family val="2"/>
      <charset val="1"/>
    </font>
    <font>
      <b/>
      <sz val="11"/>
      <color theme="0"/>
      <name val="Noto Sans"/>
      <family val="2"/>
      <charset val="1"/>
    </font>
    <font>
      <sz val="11"/>
      <name val="Noto Sans"/>
      <family val="2"/>
      <charset val="1"/>
    </font>
    <font>
      <sz val="9"/>
      <name val="Noto Sans Light"/>
      <family val="2"/>
      <charset val="1"/>
    </font>
    <font>
      <sz val="10"/>
      <color rgb="FF000000"/>
      <name val="Arial"/>
      <family val="2"/>
      <charset val="238"/>
    </font>
  </fonts>
  <fills count="21">
    <fill>
      <patternFill patternType="none"/>
    </fill>
    <fill>
      <patternFill patternType="gray125"/>
    </fill>
    <fill>
      <patternFill patternType="solid">
        <fgColor indexed="9"/>
        <bgColor indexed="64"/>
      </patternFill>
    </fill>
    <fill>
      <patternFill patternType="solid">
        <fgColor theme="2"/>
        <bgColor indexed="64"/>
      </patternFill>
    </fill>
    <fill>
      <patternFill patternType="solid">
        <fgColor theme="0"/>
        <bgColor indexed="64"/>
      </patternFill>
    </fill>
    <fill>
      <patternFill patternType="solid">
        <fgColor rgb="FFDBDCDE"/>
        <bgColor indexed="64"/>
      </patternFill>
    </fill>
    <fill>
      <patternFill patternType="solid">
        <fgColor theme="1"/>
        <bgColor indexed="64"/>
      </patternFill>
    </fill>
    <fill>
      <patternFill patternType="solid">
        <fgColor rgb="FF00A89F"/>
        <bgColor indexed="64"/>
      </patternFill>
    </fill>
    <fill>
      <patternFill patternType="solid">
        <fgColor rgb="FF003C7F"/>
        <bgColor indexed="64"/>
      </patternFill>
    </fill>
    <fill>
      <patternFill patternType="solid">
        <fgColor rgb="FFBDED0A"/>
        <bgColor indexed="64"/>
      </patternFill>
    </fill>
    <fill>
      <gradientFill>
        <stop position="0">
          <color rgb="FFE16E73"/>
        </stop>
        <stop position="1">
          <color rgb="FFBDED0A"/>
        </stop>
      </gradientFill>
    </fill>
    <fill>
      <patternFill patternType="solid">
        <fgColor rgb="FFE16E73"/>
        <bgColor indexed="64"/>
      </patternFill>
    </fill>
    <fill>
      <patternFill patternType="solid">
        <fgColor rgb="FFCBD4DD"/>
        <bgColor indexed="64"/>
      </patternFill>
    </fill>
    <fill>
      <patternFill patternType="solid">
        <fgColor rgb="FF008080"/>
        <bgColor indexed="64"/>
      </patternFill>
    </fill>
    <fill>
      <patternFill patternType="solid">
        <fgColor theme="0" tint="-0.34998626667073579"/>
        <bgColor indexed="64"/>
      </patternFill>
    </fill>
    <fill>
      <gradientFill>
        <stop position="0">
          <color rgb="FFBDED0A"/>
        </stop>
        <stop position="1">
          <color rgb="FF008080"/>
        </stop>
      </gradientFill>
    </fill>
    <fill>
      <patternFill patternType="solid">
        <fgColor rgb="FFCBD4E7"/>
        <bgColor indexed="64"/>
      </patternFill>
    </fill>
    <fill>
      <patternFill patternType="solid">
        <fgColor rgb="FFFF6E73"/>
        <bgColor indexed="64"/>
      </patternFill>
    </fill>
    <fill>
      <patternFill patternType="solid">
        <fgColor rgb="FF5ABE7B"/>
        <bgColor indexed="64"/>
      </patternFill>
    </fill>
    <fill>
      <patternFill patternType="solid">
        <fgColor rgb="FFFF7128"/>
        <bgColor indexed="64"/>
      </patternFill>
    </fill>
    <fill>
      <patternFill patternType="solid">
        <fgColor rgb="FF003D7F"/>
        <bgColor indexed="64"/>
      </patternFill>
    </fill>
  </fills>
  <borders count="14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top/>
      <bottom/>
      <diagonal/>
    </border>
    <border>
      <left/>
      <right style="thin">
        <color indexed="64"/>
      </right>
      <top/>
      <bottom/>
      <diagonal/>
    </border>
    <border>
      <left style="thick">
        <color rgb="FF25BD59"/>
      </left>
      <right/>
      <top/>
      <bottom/>
      <diagonal/>
    </border>
    <border>
      <left/>
      <right/>
      <top style="thin">
        <color rgb="FF25BD59"/>
      </top>
      <bottom style="thin">
        <color rgb="FF25BD59"/>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FFFFFF"/>
      </left>
      <right style="medium">
        <color rgb="FFFFFFFF"/>
      </right>
      <top/>
      <bottom style="medium">
        <color rgb="FFFFFFFF"/>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rgb="FFFFFFFF"/>
      </right>
      <top style="medium">
        <color rgb="FFFFFFFF"/>
      </top>
      <bottom/>
      <diagonal/>
    </border>
    <border>
      <left style="medium">
        <color indexed="64"/>
      </left>
      <right style="medium">
        <color rgb="FFFFFFFF"/>
      </right>
      <top/>
      <bottom style="medium">
        <color rgb="FFFFFFFF"/>
      </bottom>
      <diagonal/>
    </border>
    <border>
      <left style="medium">
        <color indexed="64"/>
      </left>
      <right style="thin">
        <color indexed="64"/>
      </right>
      <top style="thin">
        <color indexed="64"/>
      </top>
      <bottom style="thin">
        <color indexed="64"/>
      </bottom>
      <diagonal/>
    </border>
    <border>
      <left/>
      <right/>
      <top style="thin">
        <color rgb="FF00A89F"/>
      </top>
      <bottom/>
      <diagonal/>
    </border>
    <border>
      <left/>
      <right/>
      <top style="thick">
        <color rgb="FF00A89F"/>
      </top>
      <bottom/>
      <diagonal/>
    </border>
    <border>
      <left/>
      <right/>
      <top style="thick">
        <color rgb="FF00A89F"/>
      </top>
      <bottom style="thin">
        <color rgb="FF25BD59"/>
      </bottom>
      <diagonal/>
    </border>
    <border>
      <left/>
      <right/>
      <top style="thick">
        <color rgb="FF00A89F"/>
      </top>
      <bottom style="thick">
        <color rgb="FF00A89F"/>
      </bottom>
      <diagonal/>
    </border>
    <border>
      <left/>
      <right style="thin">
        <color rgb="FF25BD59"/>
      </right>
      <top style="thick">
        <color rgb="FF00A89F"/>
      </top>
      <bottom style="thick">
        <color rgb="FF00A89F"/>
      </bottom>
      <diagonal/>
    </border>
    <border>
      <left style="thin">
        <color rgb="FF25BD59"/>
      </left>
      <right/>
      <top style="thick">
        <color rgb="FF00A89F"/>
      </top>
      <bottom style="thick">
        <color rgb="FF00A89F"/>
      </bottom>
      <diagonal/>
    </border>
    <border>
      <left/>
      <right style="thick">
        <color rgb="FF00A89F"/>
      </right>
      <top style="thick">
        <color rgb="FF00A89F"/>
      </top>
      <bottom style="thick">
        <color rgb="FF00A89F"/>
      </bottom>
      <diagonal/>
    </border>
    <border>
      <left/>
      <right style="thick">
        <color rgb="FF00A89F"/>
      </right>
      <top/>
      <bottom/>
      <diagonal/>
    </border>
    <border>
      <left style="thick">
        <color rgb="FF00A89F"/>
      </left>
      <right style="thick">
        <color rgb="FF00A89F"/>
      </right>
      <top style="thick">
        <color rgb="FF00A89F"/>
      </top>
      <bottom style="thick">
        <color rgb="FF00A89F"/>
      </bottom>
      <diagonal/>
    </border>
    <border>
      <left style="thick">
        <color rgb="FF00A89F"/>
      </left>
      <right/>
      <top style="thick">
        <color rgb="FF00A89F"/>
      </top>
      <bottom style="thick">
        <color rgb="FF00A89F"/>
      </bottom>
      <diagonal/>
    </border>
    <border>
      <left/>
      <right style="medium">
        <color theme="0"/>
      </right>
      <top style="thick">
        <color rgb="FF00A89F"/>
      </top>
      <bottom style="thick">
        <color rgb="FF00A89F"/>
      </bottom>
      <diagonal/>
    </border>
    <border>
      <left style="medium">
        <color theme="0"/>
      </left>
      <right/>
      <top style="thick">
        <color rgb="FF00A89F"/>
      </top>
      <bottom style="thick">
        <color rgb="FF00A89F"/>
      </bottom>
      <diagonal/>
    </border>
    <border>
      <left style="thick">
        <color rgb="FF00A89F"/>
      </left>
      <right/>
      <top style="thick">
        <color rgb="FF00A89F"/>
      </top>
      <bottom/>
      <diagonal/>
    </border>
    <border>
      <left/>
      <right style="thick">
        <color rgb="FF00A89F"/>
      </right>
      <top style="thick">
        <color rgb="FF00A89F"/>
      </top>
      <bottom/>
      <diagonal/>
    </border>
    <border>
      <left style="thick">
        <color rgb="FF00A89F"/>
      </left>
      <right/>
      <top/>
      <bottom/>
      <diagonal/>
    </border>
    <border>
      <left style="thick">
        <color rgb="FF00A89F"/>
      </left>
      <right/>
      <top/>
      <bottom style="thick">
        <color rgb="FF00A89F"/>
      </bottom>
      <diagonal/>
    </border>
    <border>
      <left/>
      <right/>
      <top/>
      <bottom style="thick">
        <color rgb="FF00A89F"/>
      </bottom>
      <diagonal/>
    </border>
    <border>
      <left/>
      <right style="thick">
        <color rgb="FF00A89F"/>
      </right>
      <top/>
      <bottom style="thick">
        <color rgb="FF00A89F"/>
      </bottom>
      <diagonal/>
    </border>
    <border>
      <left style="thin">
        <color rgb="FF25BD59"/>
      </left>
      <right/>
      <top style="thick">
        <color rgb="FF00A89F"/>
      </top>
      <bottom style="thin">
        <color rgb="FF00A89F"/>
      </bottom>
      <diagonal/>
    </border>
    <border>
      <left/>
      <right/>
      <top style="thick">
        <color rgb="FF00A89F"/>
      </top>
      <bottom style="thin">
        <color rgb="FF00A89F"/>
      </bottom>
      <diagonal/>
    </border>
    <border>
      <left/>
      <right style="thick">
        <color rgb="FF00A89F"/>
      </right>
      <top style="thick">
        <color rgb="FF00A89F"/>
      </top>
      <bottom style="thin">
        <color rgb="FF00A89F"/>
      </bottom>
      <diagonal/>
    </border>
    <border>
      <left style="thin">
        <color rgb="FF25BD59"/>
      </left>
      <right/>
      <top style="thin">
        <color rgb="FF00A89F"/>
      </top>
      <bottom style="thin">
        <color rgb="FF00A89F"/>
      </bottom>
      <diagonal/>
    </border>
    <border>
      <left/>
      <right/>
      <top style="thin">
        <color rgb="FF00A89F"/>
      </top>
      <bottom style="thin">
        <color rgb="FF00A89F"/>
      </bottom>
      <diagonal/>
    </border>
    <border>
      <left/>
      <right style="thick">
        <color rgb="FF00A89F"/>
      </right>
      <top style="thin">
        <color rgb="FF00A89F"/>
      </top>
      <bottom style="thin">
        <color rgb="FF00A89F"/>
      </bottom>
      <diagonal/>
    </border>
    <border>
      <left/>
      <right style="thick">
        <color rgb="FF00A89F"/>
      </right>
      <top style="thin">
        <color rgb="FF00A89F"/>
      </top>
      <bottom/>
      <diagonal/>
    </border>
    <border>
      <left/>
      <right/>
      <top/>
      <bottom style="thin">
        <color rgb="FF00A89F"/>
      </bottom>
      <diagonal/>
    </border>
    <border>
      <left/>
      <right style="thick">
        <color rgb="FF00A89F"/>
      </right>
      <top/>
      <bottom style="thin">
        <color rgb="FF00A89F"/>
      </bottom>
      <diagonal/>
    </border>
    <border>
      <left/>
      <right style="thin">
        <color rgb="FF25BD59"/>
      </right>
      <top/>
      <bottom style="thin">
        <color rgb="FF00A89F"/>
      </bottom>
      <diagonal/>
    </border>
    <border>
      <left style="thin">
        <color rgb="FF25BD59"/>
      </left>
      <right/>
      <top/>
      <bottom style="thin">
        <color rgb="FF00A89F"/>
      </bottom>
      <diagonal/>
    </border>
    <border>
      <left/>
      <right style="thin">
        <color rgb="FF25BD59"/>
      </right>
      <top style="thin">
        <color rgb="FF00A89F"/>
      </top>
      <bottom style="thin">
        <color rgb="FF00A89F"/>
      </bottom>
      <diagonal/>
    </border>
    <border>
      <left/>
      <right style="thin">
        <color rgb="FF00A89F"/>
      </right>
      <top/>
      <bottom/>
      <diagonal/>
    </border>
    <border>
      <left/>
      <right style="thin">
        <color rgb="FF00A89F"/>
      </right>
      <top/>
      <bottom style="thin">
        <color rgb="FF00A89F"/>
      </bottom>
      <diagonal/>
    </border>
    <border>
      <left/>
      <right style="thin">
        <color rgb="FF00A89F"/>
      </right>
      <top style="thin">
        <color rgb="FF00A89F"/>
      </top>
      <bottom style="thin">
        <color rgb="FF00A89F"/>
      </bottom>
      <diagonal/>
    </border>
    <border>
      <left style="thick">
        <color rgb="FF00A89F"/>
      </left>
      <right style="thin">
        <color rgb="FF00A89F"/>
      </right>
      <top style="thick">
        <color rgb="FF00A89F"/>
      </top>
      <bottom/>
      <diagonal/>
    </border>
    <border>
      <left style="thick">
        <color rgb="FF00A89F"/>
      </left>
      <right style="thin">
        <color rgb="FF00A89F"/>
      </right>
      <top style="thin">
        <color rgb="FF00A89F"/>
      </top>
      <bottom style="thin">
        <color rgb="FF00A89F"/>
      </bottom>
      <diagonal/>
    </border>
    <border>
      <left style="thick">
        <color rgb="FF00A89F"/>
      </left>
      <right style="thin">
        <color rgb="FF00A89F"/>
      </right>
      <top/>
      <bottom/>
      <diagonal/>
    </border>
    <border>
      <left style="thick">
        <color rgb="FF00A89F"/>
      </left>
      <right style="thin">
        <color rgb="FF00A89F"/>
      </right>
      <top/>
      <bottom style="thin">
        <color rgb="FF00A89F"/>
      </bottom>
      <diagonal/>
    </border>
    <border>
      <left style="thick">
        <color rgb="FF00A89F"/>
      </left>
      <right style="thin">
        <color rgb="FF00A89F"/>
      </right>
      <top style="thin">
        <color rgb="FF00A89F"/>
      </top>
      <bottom style="thick">
        <color rgb="FF00A89F"/>
      </bottom>
      <diagonal/>
    </border>
    <border>
      <left style="thick">
        <color rgb="FF00A89F"/>
      </left>
      <right style="thin">
        <color rgb="FF00A89F"/>
      </right>
      <top style="thin">
        <color rgb="FF00A89F"/>
      </top>
      <bottom/>
      <diagonal/>
    </border>
    <border>
      <left style="thin">
        <color rgb="FF00A89F"/>
      </left>
      <right/>
      <top style="thin">
        <color rgb="FF00A89F"/>
      </top>
      <bottom style="thin">
        <color rgb="FF00A89F"/>
      </bottom>
      <diagonal/>
    </border>
    <border>
      <left style="thin">
        <color rgb="FF25BD59"/>
      </left>
      <right style="thin">
        <color rgb="FF00A89F"/>
      </right>
      <top/>
      <bottom style="thin">
        <color rgb="FF00A89F"/>
      </bottom>
      <diagonal/>
    </border>
    <border>
      <left style="thin">
        <color rgb="FF00A89F"/>
      </left>
      <right style="thin">
        <color rgb="FF25BD59"/>
      </right>
      <top/>
      <bottom style="thin">
        <color rgb="FF00A89F"/>
      </bottom>
      <diagonal/>
    </border>
    <border>
      <left style="thin">
        <color rgb="FF25BD59"/>
      </left>
      <right style="thin">
        <color rgb="FF00A89F"/>
      </right>
      <top style="thin">
        <color rgb="FF00A89F"/>
      </top>
      <bottom style="thin">
        <color rgb="FF00A89F"/>
      </bottom>
      <diagonal/>
    </border>
    <border>
      <left style="thin">
        <color rgb="FF00A89F"/>
      </left>
      <right style="thin">
        <color rgb="FF25BD59"/>
      </right>
      <top style="thin">
        <color rgb="FF00A89F"/>
      </top>
      <bottom style="thin">
        <color rgb="FF00A89F"/>
      </bottom>
      <diagonal/>
    </border>
    <border>
      <left/>
      <right style="thin">
        <color rgb="FF00A89F"/>
      </right>
      <top style="thick">
        <color rgb="FF00A89F"/>
      </top>
      <bottom style="thin">
        <color rgb="FF00A89F"/>
      </bottom>
      <diagonal/>
    </border>
    <border>
      <left/>
      <right style="thin">
        <color rgb="FF25BD59"/>
      </right>
      <top style="thick">
        <color rgb="FF00A89F"/>
      </top>
      <bottom style="thin">
        <color rgb="FF00A89F"/>
      </bottom>
      <diagonal/>
    </border>
    <border>
      <left style="thin">
        <color rgb="FF25BD59"/>
      </left>
      <right style="thin">
        <color rgb="FF00A89F"/>
      </right>
      <top style="thick">
        <color rgb="FF00A89F"/>
      </top>
      <bottom style="thin">
        <color rgb="FF00A89F"/>
      </bottom>
      <diagonal/>
    </border>
    <border>
      <left style="thin">
        <color rgb="FF00A89F"/>
      </left>
      <right style="thin">
        <color rgb="FF25BD59"/>
      </right>
      <top style="thick">
        <color rgb="FF00A89F"/>
      </top>
      <bottom style="thin">
        <color rgb="FF00A89F"/>
      </bottom>
      <diagonal/>
    </border>
    <border>
      <left style="thick">
        <color rgb="FF00A89F"/>
      </left>
      <right style="thin">
        <color rgb="FF00A89F"/>
      </right>
      <top style="thick">
        <color rgb="FF00A89F"/>
      </top>
      <bottom style="thin">
        <color rgb="FF00A89F"/>
      </bottom>
      <diagonal/>
    </border>
    <border>
      <left style="thin">
        <color rgb="FF00A89F"/>
      </left>
      <right/>
      <top/>
      <bottom style="thick">
        <color rgb="FF00A89F"/>
      </bottom>
      <diagonal/>
    </border>
    <border>
      <left style="thin">
        <color rgb="FF00A89F"/>
      </left>
      <right/>
      <top style="thin">
        <color rgb="FF00A89F"/>
      </top>
      <bottom style="thick">
        <color rgb="FF00A89F"/>
      </bottom>
      <diagonal/>
    </border>
    <border>
      <left/>
      <right/>
      <top style="thin">
        <color rgb="FF00A89F"/>
      </top>
      <bottom style="thick">
        <color rgb="FF00A89F"/>
      </bottom>
      <diagonal/>
    </border>
    <border>
      <left style="thin">
        <color rgb="FF00A89F"/>
      </left>
      <right/>
      <top/>
      <bottom/>
      <diagonal/>
    </border>
    <border>
      <left style="thin">
        <color rgb="FF00A89F"/>
      </left>
      <right/>
      <top/>
      <bottom style="thin">
        <color rgb="FF00A89F"/>
      </bottom>
      <diagonal/>
    </border>
    <border>
      <left style="thin">
        <color rgb="FF00A89F"/>
      </left>
      <right/>
      <top style="thin">
        <color rgb="FF00A89F"/>
      </top>
      <bottom/>
      <diagonal/>
    </border>
    <border>
      <left/>
      <right style="thin">
        <color rgb="FF00A89F"/>
      </right>
      <top style="thick">
        <color rgb="FF00A89F"/>
      </top>
      <bottom style="thick">
        <color rgb="FF00A89F"/>
      </bottom>
      <diagonal/>
    </border>
    <border>
      <left style="thick">
        <color rgb="FF00A89F"/>
      </left>
      <right/>
      <top style="thick">
        <color rgb="FF00A89F"/>
      </top>
      <bottom style="thin">
        <color rgb="FF00A89F"/>
      </bottom>
      <diagonal/>
    </border>
    <border>
      <left style="thick">
        <color rgb="FF00A89F"/>
      </left>
      <right style="medium">
        <color theme="0"/>
      </right>
      <top style="thick">
        <color rgb="FF00A89F"/>
      </top>
      <bottom style="thin">
        <color rgb="FF00A89F"/>
      </bottom>
      <diagonal/>
    </border>
    <border>
      <left style="thick">
        <color rgb="FF00A89F"/>
      </left>
      <right style="thick">
        <color theme="0"/>
      </right>
      <top style="thick">
        <color rgb="FF00A89F"/>
      </top>
      <bottom style="thick">
        <color rgb="FF00A89F"/>
      </bottom>
      <diagonal/>
    </border>
    <border>
      <left style="thick">
        <color rgb="FF00A89F"/>
      </left>
      <right style="thick">
        <color rgb="FF00A89F"/>
      </right>
      <top style="thick">
        <color rgb="FF00A89F"/>
      </top>
      <bottom/>
      <diagonal/>
    </border>
    <border>
      <left style="thick">
        <color rgb="FF00A89F"/>
      </left>
      <right style="thick">
        <color rgb="FF00A89F"/>
      </right>
      <top/>
      <bottom style="thick">
        <color rgb="FF00A89F"/>
      </bottom>
      <diagonal/>
    </border>
    <border>
      <left style="thin">
        <color rgb="FF008080"/>
      </left>
      <right style="thin">
        <color rgb="FF25BD59"/>
      </right>
      <top style="thick">
        <color rgb="FF00A89F"/>
      </top>
      <bottom style="thin">
        <color rgb="FF00A89F"/>
      </bottom>
      <diagonal/>
    </border>
    <border>
      <left style="thin">
        <color rgb="FF008080"/>
      </left>
      <right style="thin">
        <color rgb="FF25BD59"/>
      </right>
      <top style="thin">
        <color rgb="FF00A89F"/>
      </top>
      <bottom style="thin">
        <color rgb="FF00A89F"/>
      </bottom>
      <diagonal/>
    </border>
    <border>
      <left style="thin">
        <color rgb="FF008080"/>
      </left>
      <right style="thin">
        <color rgb="FF25BD59"/>
      </right>
      <top/>
      <bottom style="thin">
        <color rgb="FF00A89F"/>
      </bottom>
      <diagonal/>
    </border>
    <border>
      <left style="thin">
        <color rgb="FF25BD59"/>
      </left>
      <right style="thin">
        <color rgb="FF008080"/>
      </right>
      <top style="thick">
        <color rgb="FF00A89F"/>
      </top>
      <bottom style="thin">
        <color rgb="FF00A89F"/>
      </bottom>
      <diagonal/>
    </border>
    <border>
      <left style="thin">
        <color rgb="FF25BD59"/>
      </left>
      <right style="thin">
        <color rgb="FF008080"/>
      </right>
      <top style="thin">
        <color rgb="FF00A89F"/>
      </top>
      <bottom style="thin">
        <color rgb="FF00A89F"/>
      </bottom>
      <diagonal/>
    </border>
    <border>
      <left style="thin">
        <color rgb="FF25BD59"/>
      </left>
      <right style="thin">
        <color rgb="FF008080"/>
      </right>
      <top/>
      <bottom style="thin">
        <color rgb="FF00A89F"/>
      </bottom>
      <diagonal/>
    </border>
    <border>
      <left/>
      <right style="thick">
        <color rgb="FF00A89F"/>
      </right>
      <top style="thin">
        <color rgb="FF00A89F"/>
      </top>
      <bottom style="thick">
        <color rgb="FF00A89F"/>
      </bottom>
      <diagonal/>
    </border>
    <border>
      <left style="thin">
        <color rgb="FF008080"/>
      </left>
      <right/>
      <top style="thick">
        <color rgb="FF00A89F"/>
      </top>
      <bottom style="thin">
        <color rgb="FF00A89F"/>
      </bottom>
      <diagonal/>
    </border>
    <border>
      <left style="thin">
        <color rgb="FF008080"/>
      </left>
      <right/>
      <top style="thin">
        <color rgb="FF00A89F"/>
      </top>
      <bottom style="thin">
        <color rgb="FF00A89F"/>
      </bottom>
      <diagonal/>
    </border>
    <border>
      <left style="thin">
        <color rgb="FF008080"/>
      </left>
      <right/>
      <top/>
      <bottom/>
      <diagonal/>
    </border>
    <border>
      <left style="thin">
        <color rgb="FF008080"/>
      </left>
      <right/>
      <top/>
      <bottom style="thin">
        <color rgb="FF00A89F"/>
      </bottom>
      <diagonal/>
    </border>
    <border>
      <left style="thick">
        <color rgb="FF25BD59"/>
      </left>
      <right/>
      <top style="thin">
        <color rgb="FF25BD59"/>
      </top>
      <bottom style="thin">
        <color rgb="FF25BD59"/>
      </bottom>
      <diagonal/>
    </border>
    <border>
      <left/>
      <right style="thin">
        <color rgb="FF25BD59"/>
      </right>
      <top style="thin">
        <color rgb="FF25BD59"/>
      </top>
      <bottom style="thin">
        <color rgb="FF25BD59"/>
      </bottom>
      <diagonal/>
    </border>
    <border>
      <left style="thick">
        <color rgb="FF00A89F"/>
      </left>
      <right/>
      <top style="thin">
        <color rgb="FF25BD59"/>
      </top>
      <bottom style="thin">
        <color rgb="FF00A89F"/>
      </bottom>
      <diagonal/>
    </border>
    <border>
      <left/>
      <right style="thin">
        <color rgb="FF00A89F"/>
      </right>
      <top style="thin">
        <color rgb="FF00A89F"/>
      </top>
      <bottom style="thick">
        <color rgb="FF00A89F"/>
      </bottom>
      <diagonal/>
    </border>
    <border>
      <left style="thin">
        <color rgb="FF00A89F"/>
      </left>
      <right style="thin">
        <color rgb="FF25BD59"/>
      </right>
      <top style="thin">
        <color rgb="FF00A89F"/>
      </top>
      <bottom style="thick">
        <color rgb="FF00A89F"/>
      </bottom>
      <diagonal/>
    </border>
    <border>
      <left style="thin">
        <color rgb="FF25BD59"/>
      </left>
      <right style="thin">
        <color rgb="FF00A89F"/>
      </right>
      <top style="thin">
        <color rgb="FF00A89F"/>
      </top>
      <bottom style="thick">
        <color rgb="FF00A89F"/>
      </bottom>
      <diagonal/>
    </border>
    <border>
      <left/>
      <right style="thin">
        <color rgb="FF25BD59"/>
      </right>
      <top style="thin">
        <color rgb="FF00A89F"/>
      </top>
      <bottom style="thick">
        <color rgb="FF00A89F"/>
      </bottom>
      <diagonal/>
    </border>
    <border>
      <left style="thin">
        <color rgb="FF25BD59"/>
      </left>
      <right/>
      <top style="thin">
        <color rgb="FF00A89F"/>
      </top>
      <bottom style="thick">
        <color rgb="FF00A89F"/>
      </bottom>
      <diagonal/>
    </border>
    <border>
      <left style="thin">
        <color rgb="FF008080"/>
      </left>
      <right/>
      <top style="thin">
        <color rgb="FF00A89F"/>
      </top>
      <bottom style="thick">
        <color rgb="FF00A89F"/>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medium">
        <color rgb="FFFFFFFF"/>
      </bottom>
      <diagonal/>
    </border>
    <border>
      <left/>
      <right/>
      <top/>
      <bottom style="medium">
        <color rgb="FFFFFFFF"/>
      </bottom>
      <diagonal/>
    </border>
    <border>
      <left/>
      <right style="medium">
        <color indexed="64"/>
      </right>
      <top/>
      <bottom style="medium">
        <color rgb="FFFFFFFF"/>
      </bottom>
      <diagonal/>
    </border>
    <border>
      <left style="medium">
        <color rgb="FFFFFFFF"/>
      </left>
      <right/>
      <top style="medium">
        <color rgb="FFFFFFFF"/>
      </top>
      <bottom style="thin">
        <color indexed="64"/>
      </bottom>
      <diagonal/>
    </border>
    <border>
      <left/>
      <right/>
      <top style="medium">
        <color rgb="FFFFFFFF"/>
      </top>
      <bottom style="thin">
        <color indexed="64"/>
      </bottom>
      <diagonal/>
    </border>
    <border>
      <left/>
      <right style="medium">
        <color indexed="64"/>
      </right>
      <top style="medium">
        <color rgb="FFFFFFFF"/>
      </top>
      <bottom style="thin">
        <color indexed="64"/>
      </bottom>
      <diagonal/>
    </border>
    <border>
      <left style="medium">
        <color indexed="64"/>
      </left>
      <right style="medium">
        <color indexed="64"/>
      </right>
      <top style="medium">
        <color indexed="64"/>
      </top>
      <bottom style="medium">
        <color indexed="64"/>
      </bottom>
      <diagonal/>
    </border>
    <border>
      <left style="thin">
        <color rgb="FF00A89F"/>
      </left>
      <right/>
      <top style="thick">
        <color rgb="FF00A89F"/>
      </top>
      <bottom style="thin">
        <color rgb="FF00A89F"/>
      </bottom>
      <diagonal/>
    </border>
    <border>
      <left/>
      <right style="medium">
        <color auto="1"/>
      </right>
      <top style="medium">
        <color rgb="FFFFFFFF"/>
      </top>
      <bottom style="medium">
        <color rgb="FFFFFFFF"/>
      </bottom>
      <diagonal/>
    </border>
    <border>
      <left style="medium">
        <color rgb="FFFFFFFF"/>
      </left>
      <right/>
      <top style="medium">
        <color rgb="FFFFFFFF"/>
      </top>
      <bottom style="medium">
        <color rgb="FFFFFFFF"/>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s>
  <cellStyleXfs count="7">
    <xf numFmtId="0" fontId="0" fillId="0" borderId="0"/>
    <xf numFmtId="0" fontId="2" fillId="0" borderId="0"/>
    <xf numFmtId="0" fontId="2" fillId="0" borderId="0"/>
    <xf numFmtId="0" fontId="1" fillId="0" borderId="0"/>
    <xf numFmtId="9" fontId="34" fillId="0" borderId="0" applyFont="0" applyFill="0" applyBorder="0" applyAlignment="0" applyProtection="0"/>
    <xf numFmtId="0" fontId="30" fillId="0" borderId="0"/>
    <xf numFmtId="0" fontId="53" fillId="0" borderId="0" applyNumberFormat="0" applyFill="0" applyBorder="0" applyAlignment="0" applyProtection="0">
      <alignment vertical="top"/>
      <protection locked="0"/>
    </xf>
  </cellStyleXfs>
  <cellXfs count="603">
    <xf numFmtId="0" fontId="0" fillId="0" borderId="0" xfId="0"/>
    <xf numFmtId="0" fontId="7" fillId="0" borderId="0" xfId="0" applyFont="1" applyProtection="1">
      <protection hidden="1"/>
    </xf>
    <xf numFmtId="0" fontId="7" fillId="0" borderId="0" xfId="0" applyFont="1" applyBorder="1" applyProtection="1">
      <protection hidden="1"/>
    </xf>
    <xf numFmtId="0" fontId="4" fillId="0" borderId="0" xfId="0" applyFont="1" applyBorder="1" applyAlignment="1" applyProtection="1">
      <protection hidden="1"/>
    </xf>
    <xf numFmtId="0" fontId="4" fillId="0" borderId="0" xfId="0" applyFont="1" applyFill="1" applyBorder="1" applyAlignment="1" applyProtection="1">
      <alignment horizontal="center"/>
      <protection hidden="1"/>
    </xf>
    <xf numFmtId="0" fontId="8" fillId="0" borderId="0" xfId="0" applyFont="1" applyBorder="1" applyAlignment="1" applyProtection="1">
      <alignment horizontal="center"/>
      <protection hidden="1"/>
    </xf>
    <xf numFmtId="0" fontId="13" fillId="0" borderId="0" xfId="0" applyFont="1" applyFill="1" applyBorder="1" applyAlignment="1" applyProtection="1">
      <alignment horizontal="center"/>
      <protection hidden="1"/>
    </xf>
    <xf numFmtId="0" fontId="14" fillId="0" borderId="0" xfId="0" applyFont="1" applyAlignment="1" applyProtection="1">
      <alignment horizontal="left" indent="7"/>
      <protection hidden="1"/>
    </xf>
    <xf numFmtId="0" fontId="15" fillId="0" borderId="0" xfId="0" applyFont="1" applyProtection="1">
      <protection hidden="1"/>
    </xf>
    <xf numFmtId="0" fontId="16" fillId="0" borderId="0" xfId="0" applyFont="1" applyProtection="1">
      <protection hidden="1"/>
    </xf>
    <xf numFmtId="0" fontId="12" fillId="0" borderId="0" xfId="0" applyFont="1" applyFill="1" applyBorder="1" applyAlignment="1" applyProtection="1">
      <protection hidden="1"/>
    </xf>
    <xf numFmtId="0" fontId="10" fillId="0" borderId="0" xfId="0" applyFont="1" applyFill="1" applyBorder="1" applyAlignment="1" applyProtection="1">
      <protection hidden="1"/>
    </xf>
    <xf numFmtId="0" fontId="15" fillId="0" borderId="0" xfId="0" applyFont="1" applyBorder="1" applyAlignment="1">
      <alignment wrapText="1"/>
    </xf>
    <xf numFmtId="0" fontId="15" fillId="0" borderId="0" xfId="0" applyFont="1" applyFill="1" applyBorder="1" applyAlignment="1">
      <alignment vertical="center"/>
    </xf>
    <xf numFmtId="0" fontId="15" fillId="0" borderId="0" xfId="0" applyFont="1" applyBorder="1"/>
    <xf numFmtId="0" fontId="15" fillId="0" borderId="0" xfId="0" applyFont="1"/>
    <xf numFmtId="0" fontId="15" fillId="0" borderId="0" xfId="0" applyFont="1" applyBorder="1" applyAlignment="1">
      <alignment horizontal="center" vertical="center" wrapText="1"/>
    </xf>
    <xf numFmtId="164" fontId="2" fillId="0" borderId="0" xfId="0" applyNumberFormat="1" applyFont="1" applyBorder="1" applyAlignment="1" applyProtection="1">
      <alignment horizontal="left"/>
      <protection hidden="1"/>
    </xf>
    <xf numFmtId="0" fontId="2" fillId="0" borderId="0" xfId="0" applyFont="1" applyBorder="1" applyProtection="1">
      <protection hidden="1"/>
    </xf>
    <xf numFmtId="0" fontId="2" fillId="0" borderId="0" xfId="0" applyFont="1" applyFill="1" applyBorder="1" applyAlignment="1" applyProtection="1">
      <alignment horizontal="center"/>
      <protection hidden="1"/>
    </xf>
    <xf numFmtId="0" fontId="3" fillId="0" borderId="0" xfId="0" applyFont="1" applyFill="1" applyBorder="1" applyAlignment="1" applyProtection="1">
      <alignment horizontal="center"/>
      <protection hidden="1"/>
    </xf>
    <xf numFmtId="165" fontId="15" fillId="0" borderId="0" xfId="0" applyNumberFormat="1" applyFont="1" applyFill="1" applyBorder="1" applyAlignment="1" applyProtection="1">
      <alignment horizontal="center"/>
      <protection hidden="1"/>
    </xf>
    <xf numFmtId="0" fontId="4" fillId="0" borderId="0" xfId="0" applyFont="1" applyFill="1" applyBorder="1" applyAlignment="1" applyProtection="1">
      <alignment horizontal="left"/>
      <protection hidden="1"/>
    </xf>
    <xf numFmtId="0" fontId="18" fillId="0" borderId="0" xfId="0" applyFont="1" applyBorder="1" applyAlignment="1" applyProtection="1">
      <alignment horizontal="left"/>
      <protection hidden="1"/>
    </xf>
    <xf numFmtId="0" fontId="18" fillId="0" borderId="0" xfId="0" applyFont="1" applyBorder="1" applyAlignment="1" applyProtection="1">
      <alignment horizontal="right"/>
      <protection hidden="1"/>
    </xf>
    <xf numFmtId="0" fontId="2" fillId="0" borderId="0" xfId="0" applyFont="1" applyFill="1" applyBorder="1" applyAlignment="1" applyProtection="1">
      <protection hidden="1"/>
    </xf>
    <xf numFmtId="0" fontId="16" fillId="0" borderId="0" xfId="0" applyFont="1" applyBorder="1" applyProtection="1">
      <protection hidden="1"/>
    </xf>
    <xf numFmtId="0" fontId="23" fillId="0" borderId="0" xfId="0" applyFont="1"/>
    <xf numFmtId="165" fontId="4" fillId="0" borderId="0" xfId="0" applyNumberFormat="1" applyFont="1" applyFill="1" applyBorder="1" applyAlignment="1" applyProtection="1">
      <alignment vertical="center"/>
      <protection hidden="1"/>
    </xf>
    <xf numFmtId="0" fontId="2" fillId="2" borderId="0" xfId="1" applyFill="1" applyProtection="1"/>
    <xf numFmtId="0" fontId="2" fillId="0" borderId="0" xfId="1" applyBorder="1" applyProtection="1"/>
    <xf numFmtId="164" fontId="4" fillId="0" borderId="0" xfId="0" applyNumberFormat="1" applyFont="1" applyBorder="1" applyAlignment="1" applyProtection="1">
      <alignment horizontal="center"/>
      <protection hidden="1"/>
    </xf>
    <xf numFmtId="0" fontId="24" fillId="0" borderId="0" xfId="0" applyFont="1"/>
    <xf numFmtId="0" fontId="25" fillId="0" borderId="0" xfId="2" applyFont="1" applyFill="1" applyBorder="1"/>
    <xf numFmtId="0" fontId="24" fillId="0" borderId="0" xfId="0" applyFont="1" applyFill="1" applyBorder="1"/>
    <xf numFmtId="0" fontId="27" fillId="0" borderId="0" xfId="0" applyFont="1" applyBorder="1" applyAlignment="1" applyProtection="1">
      <alignment horizontal="center" vertical="center" wrapText="1"/>
      <protection hidden="1"/>
    </xf>
    <xf numFmtId="0" fontId="15" fillId="0" borderId="1" xfId="0" applyFont="1" applyBorder="1" applyAlignment="1" applyProtection="1">
      <alignment horizontal="center" vertical="center" wrapText="1"/>
      <protection locked="0"/>
    </xf>
    <xf numFmtId="0" fontId="2" fillId="0" borderId="0" xfId="0" applyFont="1" applyAlignment="1" applyProtection="1">
      <alignment horizontal="left" indent="4"/>
      <protection hidden="1"/>
    </xf>
    <xf numFmtId="0" fontId="2" fillId="0" borderId="0" xfId="0" applyFont="1" applyProtection="1">
      <protection hidden="1"/>
    </xf>
    <xf numFmtId="0" fontId="7" fillId="0" borderId="0" xfId="0" applyFont="1" applyFill="1" applyProtection="1">
      <protection hidden="1"/>
    </xf>
    <xf numFmtId="0" fontId="33" fillId="0" borderId="0" xfId="0" applyFont="1" applyProtection="1">
      <protection hidden="1"/>
    </xf>
    <xf numFmtId="0" fontId="15" fillId="0" borderId="1" xfId="0" applyFont="1" applyBorder="1" applyAlignment="1" applyProtection="1">
      <alignment horizontal="center" vertical="center" wrapText="1"/>
    </xf>
    <xf numFmtId="0" fontId="15" fillId="0" borderId="1" xfId="0" applyNumberFormat="1" applyFont="1" applyBorder="1" applyAlignment="1" applyProtection="1">
      <alignment horizontal="center" vertical="center" wrapText="1"/>
      <protection locked="0" hidden="1"/>
    </xf>
    <xf numFmtId="0" fontId="15" fillId="0" borderId="1" xfId="0" applyFont="1" applyBorder="1" applyAlignment="1" applyProtection="1">
      <alignment horizontal="center" vertical="center" wrapText="1"/>
      <protection locked="0" hidden="1"/>
    </xf>
    <xf numFmtId="0" fontId="7" fillId="0" borderId="0" xfId="0" applyFont="1" applyBorder="1" applyAlignment="1" applyProtection="1">
      <alignment horizontal="center"/>
      <protection hidden="1"/>
    </xf>
    <xf numFmtId="0" fontId="5" fillId="0" borderId="0" xfId="0" applyFont="1" applyBorder="1" applyAlignment="1" applyProtection="1">
      <alignment horizontal="center"/>
      <protection hidden="1"/>
    </xf>
    <xf numFmtId="0" fontId="8" fillId="0" borderId="0" xfId="0" applyFont="1" applyBorder="1" applyAlignment="1" applyProtection="1">
      <alignment horizontal="right"/>
      <protection hidden="1"/>
    </xf>
    <xf numFmtId="0" fontId="4" fillId="0" borderId="0" xfId="0" applyFont="1" applyBorder="1" applyAlignment="1" applyProtection="1">
      <alignment horizontal="right"/>
      <protection hidden="1"/>
    </xf>
    <xf numFmtId="0" fontId="4" fillId="0" borderId="0" xfId="0" applyFont="1" applyBorder="1" applyAlignment="1" applyProtection="1">
      <alignment horizontal="right" indent="1"/>
      <protection hidden="1"/>
    </xf>
    <xf numFmtId="10" fontId="4" fillId="0" borderId="0" xfId="0" applyNumberFormat="1" applyFont="1" applyBorder="1" applyAlignment="1" applyProtection="1">
      <alignment horizontal="center"/>
      <protection hidden="1"/>
    </xf>
    <xf numFmtId="164" fontId="21" fillId="4" borderId="0" xfId="0" applyNumberFormat="1" applyFont="1" applyFill="1" applyBorder="1" applyAlignment="1" applyProtection="1">
      <alignment horizontal="center" vertical="center"/>
      <protection hidden="1"/>
    </xf>
    <xf numFmtId="0" fontId="18" fillId="0" borderId="0" xfId="0" applyFont="1" applyBorder="1" applyAlignment="1" applyProtection="1">
      <alignment horizontal="center" vertical="center"/>
      <protection hidden="1"/>
    </xf>
    <xf numFmtId="0" fontId="42" fillId="0" borderId="0" xfId="0" applyFont="1" applyBorder="1" applyAlignment="1" applyProtection="1">
      <alignment horizontal="center"/>
      <protection hidden="1"/>
    </xf>
    <xf numFmtId="0" fontId="18" fillId="0" borderId="0" xfId="0" applyFont="1" applyBorder="1" applyAlignment="1" applyProtection="1">
      <alignment horizontal="center"/>
      <protection hidden="1"/>
    </xf>
    <xf numFmtId="0" fontId="7" fillId="0" borderId="0" xfId="4" applyNumberFormat="1" applyFont="1" applyBorder="1" applyAlignment="1" applyProtection="1">
      <alignment vertical="center"/>
      <protection hidden="1"/>
    </xf>
    <xf numFmtId="0" fontId="7" fillId="0" borderId="0" xfId="0" applyFont="1" applyBorder="1" applyAlignment="1" applyProtection="1">
      <alignment vertical="center"/>
      <protection hidden="1"/>
    </xf>
    <xf numFmtId="0" fontId="15" fillId="0" borderId="0" xfId="0" applyFont="1" applyBorder="1" applyAlignment="1">
      <alignment vertical="center" wrapText="1"/>
    </xf>
    <xf numFmtId="0" fontId="15" fillId="0" borderId="1" xfId="0" applyFont="1" applyBorder="1" applyAlignment="1" applyProtection="1">
      <alignment vertical="center" wrapText="1"/>
      <protection locked="0"/>
    </xf>
    <xf numFmtId="0" fontId="15" fillId="0" borderId="1" xfId="0" applyFont="1" applyBorder="1" applyAlignment="1" applyProtection="1">
      <alignment horizontal="left" vertical="center" wrapText="1"/>
      <protection locked="0"/>
    </xf>
    <xf numFmtId="0" fontId="2" fillId="0" borderId="0" xfId="1" applyFill="1" applyProtection="1"/>
    <xf numFmtId="0" fontId="2" fillId="0" borderId="0" xfId="1" applyFont="1" applyFill="1" applyProtection="1"/>
    <xf numFmtId="0" fontId="2" fillId="2" borderId="0" xfId="1" applyFill="1" applyAlignment="1" applyProtection="1">
      <alignment vertical="center"/>
    </xf>
    <xf numFmtId="0" fontId="21" fillId="0" borderId="0" xfId="1" applyFont="1" applyFill="1" applyAlignment="1" applyProtection="1">
      <alignment horizontal="left"/>
    </xf>
    <xf numFmtId="0" fontId="4" fillId="0" borderId="0" xfId="1" applyFont="1" applyFill="1" applyAlignment="1" applyProtection="1">
      <alignment wrapText="1"/>
    </xf>
    <xf numFmtId="0" fontId="4" fillId="0" borderId="0" xfId="1" applyFont="1" applyFill="1" applyAlignment="1" applyProtection="1">
      <alignment horizontal="left" vertical="top" wrapText="1" indent="2"/>
    </xf>
    <xf numFmtId="0" fontId="51" fillId="0" borderId="0" xfId="1" applyFont="1" applyFill="1" applyAlignment="1" applyProtection="1"/>
    <xf numFmtId="0" fontId="30" fillId="0" borderId="0" xfId="1" applyFont="1" applyFill="1" applyProtection="1"/>
    <xf numFmtId="0" fontId="30" fillId="0" borderId="0" xfId="1" applyFont="1" applyFill="1" applyAlignment="1" applyProtection="1">
      <alignment wrapText="1"/>
    </xf>
    <xf numFmtId="0" fontId="30" fillId="0" borderId="0" xfId="1" applyFont="1" applyFill="1" applyAlignment="1" applyProtection="1">
      <alignment horizontal="left" vertical="top" indent="2"/>
    </xf>
    <xf numFmtId="0" fontId="30" fillId="0" borderId="0" xfId="1" applyFont="1" applyFill="1" applyAlignment="1" applyProtection="1">
      <alignment vertical="top"/>
    </xf>
    <xf numFmtId="0" fontId="2" fillId="2" borderId="0" xfId="1" applyFill="1" applyAlignment="1" applyProtection="1">
      <alignment vertical="top"/>
    </xf>
    <xf numFmtId="0" fontId="30" fillId="0" borderId="0" xfId="1" applyFont="1" applyFill="1" applyAlignment="1" applyProtection="1">
      <alignment vertical="center"/>
    </xf>
    <xf numFmtId="0" fontId="2" fillId="0" borderId="0" xfId="1" applyFill="1" applyAlignment="1" applyProtection="1">
      <alignment vertical="center"/>
    </xf>
    <xf numFmtId="0" fontId="2" fillId="2" borderId="0" xfId="1" applyFill="1" applyAlignment="1" applyProtection="1">
      <alignment wrapText="1"/>
    </xf>
    <xf numFmtId="0" fontId="51" fillId="0" borderId="0" xfId="1" applyFont="1" applyFill="1" applyAlignment="1" applyProtection="1">
      <alignment horizontal="left"/>
    </xf>
    <xf numFmtId="0" fontId="15" fillId="0" borderId="0" xfId="0" applyFont="1" applyAlignment="1">
      <alignment horizontal="center" vertical="center"/>
    </xf>
    <xf numFmtId="0" fontId="38" fillId="0" borderId="0" xfId="0" applyFont="1" applyAlignment="1">
      <alignment horizontal="left" vertical="center"/>
    </xf>
    <xf numFmtId="167" fontId="38" fillId="0" borderId="0" xfId="0" applyNumberFormat="1" applyFont="1" applyAlignment="1">
      <alignment horizontal="left" vertical="center"/>
    </xf>
    <xf numFmtId="0" fontId="38" fillId="0" borderId="0" xfId="0" applyFont="1"/>
    <xf numFmtId="0" fontId="38" fillId="0" borderId="0" xfId="0" applyFont="1" applyAlignment="1">
      <alignment horizontal="left" vertical="center" wrapText="1"/>
    </xf>
    <xf numFmtId="0" fontId="57" fillId="0" borderId="0" xfId="0" applyFont="1" applyAlignment="1">
      <alignment horizontal="left" vertical="center"/>
    </xf>
    <xf numFmtId="0" fontId="57" fillId="0" borderId="0" xfId="0" applyFont="1" applyAlignment="1">
      <alignment horizontal="left" vertical="center" wrapText="1"/>
    </xf>
    <xf numFmtId="10" fontId="38" fillId="0" borderId="0" xfId="0" applyNumberFormat="1" applyFont="1" applyAlignment="1">
      <alignment horizontal="left" vertical="center"/>
    </xf>
    <xf numFmtId="1" fontId="38" fillId="0" borderId="0" xfId="0" applyNumberFormat="1" applyFont="1" applyAlignment="1">
      <alignment horizontal="left" vertical="center"/>
    </xf>
    <xf numFmtId="0" fontId="30" fillId="0" borderId="0" xfId="1" applyFont="1" applyFill="1" applyAlignment="1" applyProtection="1"/>
    <xf numFmtId="0" fontId="2" fillId="0" borderId="0" xfId="1" applyFill="1" applyAlignment="1" applyProtection="1">
      <alignment horizontal="left" vertical="top" indent="2"/>
    </xf>
    <xf numFmtId="0" fontId="21" fillId="0" borderId="0" xfId="1" applyFont="1" applyFill="1" applyAlignment="1" applyProtection="1">
      <alignment horizontal="left" vertical="center"/>
    </xf>
    <xf numFmtId="0" fontId="45" fillId="0" borderId="37" xfId="5" applyFont="1" applyFill="1" applyBorder="1" applyAlignment="1">
      <alignment horizontal="center" wrapText="1" readingOrder="1"/>
    </xf>
    <xf numFmtId="0" fontId="45" fillId="6" borderId="39" xfId="5" applyFont="1" applyFill="1" applyBorder="1" applyAlignment="1">
      <alignment horizontal="center" wrapText="1" readingOrder="1"/>
    </xf>
    <xf numFmtId="0" fontId="22" fillId="0" borderId="0" xfId="0" applyFont="1" applyBorder="1" applyAlignment="1">
      <alignment horizontal="center" vertical="top" wrapText="1"/>
    </xf>
    <xf numFmtId="0" fontId="51" fillId="0" borderId="0" xfId="1" applyFont="1" applyFill="1" applyAlignment="1" applyProtection="1">
      <alignment horizontal="left" indent="3"/>
    </xf>
    <xf numFmtId="0" fontId="60" fillId="0" borderId="0" xfId="1" applyFont="1" applyFill="1" applyAlignment="1" applyProtection="1">
      <alignment horizontal="left"/>
    </xf>
    <xf numFmtId="0" fontId="7" fillId="0" borderId="43" xfId="0" applyFont="1" applyBorder="1" applyProtection="1">
      <protection hidden="1"/>
    </xf>
    <xf numFmtId="0" fontId="8" fillId="0" borderId="54" xfId="0" applyFont="1" applyBorder="1" applyAlignment="1" applyProtection="1">
      <alignment horizontal="right"/>
      <protection hidden="1"/>
    </xf>
    <xf numFmtId="0" fontId="7" fillId="0" borderId="47" xfId="0" applyFont="1" applyBorder="1" applyProtection="1">
      <protection hidden="1"/>
    </xf>
    <xf numFmtId="0" fontId="4" fillId="0" borderId="54" xfId="0" applyFont="1" applyBorder="1" applyAlignment="1" applyProtection="1">
      <alignment horizontal="right"/>
      <protection hidden="1"/>
    </xf>
    <xf numFmtId="0" fontId="2" fillId="0" borderId="54" xfId="0" applyFont="1" applyBorder="1" applyProtection="1">
      <protection hidden="1"/>
    </xf>
    <xf numFmtId="0" fontId="4" fillId="0" borderId="54" xfId="0" applyFont="1" applyBorder="1" applyAlignment="1" applyProtection="1">
      <alignment horizontal="right" indent="1"/>
      <protection hidden="1"/>
    </xf>
    <xf numFmtId="0" fontId="2" fillId="0" borderId="47" xfId="0" applyFont="1" applyBorder="1" applyProtection="1">
      <protection hidden="1"/>
    </xf>
    <xf numFmtId="0" fontId="7" fillId="0" borderId="47" xfId="0" applyFont="1" applyBorder="1" applyAlignment="1" applyProtection="1">
      <protection hidden="1"/>
    </xf>
    <xf numFmtId="0" fontId="11" fillId="0" borderId="47" xfId="0" applyFont="1" applyBorder="1" applyAlignment="1" applyProtection="1">
      <protection hidden="1"/>
    </xf>
    <xf numFmtId="0" fontId="7" fillId="0" borderId="55" xfId="0" applyFont="1" applyBorder="1" applyProtection="1">
      <protection hidden="1"/>
    </xf>
    <xf numFmtId="0" fontId="7" fillId="0" borderId="56" xfId="0" applyFont="1" applyBorder="1" applyProtection="1">
      <protection hidden="1"/>
    </xf>
    <xf numFmtId="0" fontId="7" fillId="0" borderId="57" xfId="0" applyFont="1" applyBorder="1" applyProtection="1">
      <protection hidden="1"/>
    </xf>
    <xf numFmtId="0" fontId="2" fillId="3" borderId="48" xfId="0" applyFont="1" applyFill="1" applyBorder="1" applyAlignment="1" applyProtection="1">
      <alignment horizontal="center"/>
      <protection hidden="1"/>
    </xf>
    <xf numFmtId="0" fontId="2" fillId="0" borderId="73" xfId="0" applyFont="1" applyBorder="1" applyAlignment="1" applyProtection="1">
      <alignment horizontal="left" vertical="center" indent="1"/>
      <protection hidden="1"/>
    </xf>
    <xf numFmtId="0" fontId="2" fillId="0" borderId="74" xfId="0" applyFont="1" applyBorder="1" applyAlignment="1" applyProtection="1">
      <alignment horizontal="left" vertical="center" indent="1"/>
      <protection hidden="1"/>
    </xf>
    <xf numFmtId="0" fontId="2" fillId="0" borderId="75" xfId="0" applyFont="1" applyBorder="1" applyAlignment="1" applyProtection="1">
      <alignment horizontal="left" vertical="center" indent="1"/>
      <protection hidden="1"/>
    </xf>
    <xf numFmtId="0" fontId="2" fillId="0" borderId="76" xfId="0" applyFont="1" applyBorder="1" applyAlignment="1" applyProtection="1">
      <alignment horizontal="left" vertical="center" indent="1"/>
      <protection hidden="1"/>
    </xf>
    <xf numFmtId="0" fontId="2" fillId="0" borderId="78" xfId="0" applyFont="1" applyBorder="1" applyAlignment="1" applyProtection="1">
      <alignment horizontal="left" vertical="center" indent="1"/>
      <protection hidden="1"/>
    </xf>
    <xf numFmtId="0" fontId="7" fillId="0" borderId="54" xfId="0" applyFont="1" applyBorder="1" applyProtection="1">
      <protection hidden="1"/>
    </xf>
    <xf numFmtId="0" fontId="7" fillId="0" borderId="56" xfId="0" applyFont="1" applyFill="1" applyBorder="1" applyProtection="1">
      <protection hidden="1"/>
    </xf>
    <xf numFmtId="0" fontId="2" fillId="0" borderId="77" xfId="0" applyFont="1" applyBorder="1" applyAlignment="1" applyProtection="1">
      <alignment horizontal="left" vertical="center" indent="1"/>
      <protection hidden="1"/>
    </xf>
    <xf numFmtId="0" fontId="7" fillId="0" borderId="47" xfId="0" applyFont="1" applyBorder="1" applyAlignment="1" applyProtection="1">
      <alignment vertical="center"/>
      <protection hidden="1"/>
    </xf>
    <xf numFmtId="0" fontId="2" fillId="0" borderId="88" xfId="0" applyFont="1" applyBorder="1" applyAlignment="1" applyProtection="1">
      <alignment horizontal="left" vertical="center" indent="1"/>
      <protection hidden="1"/>
    </xf>
    <xf numFmtId="0" fontId="19" fillId="7" borderId="97" xfId="0" applyFont="1" applyFill="1" applyBorder="1" applyAlignment="1" applyProtection="1">
      <alignment horizontal="center" vertical="center" wrapText="1"/>
    </xf>
    <xf numFmtId="0" fontId="17" fillId="7" borderId="1" xfId="0" applyFont="1" applyFill="1" applyBorder="1" applyAlignment="1">
      <alignment horizontal="center" vertical="center"/>
    </xf>
    <xf numFmtId="0" fontId="19" fillId="7" borderId="98" xfId="0" applyFont="1" applyFill="1" applyBorder="1" applyAlignment="1" applyProtection="1">
      <alignment horizontal="center" vertical="center" wrapText="1"/>
      <protection hidden="1"/>
    </xf>
    <xf numFmtId="0" fontId="18" fillId="10" borderId="30" xfId="0" applyFont="1" applyFill="1" applyBorder="1" applyAlignment="1" applyProtection="1">
      <alignment horizontal="right" vertical="center"/>
      <protection hidden="1"/>
    </xf>
    <xf numFmtId="0" fontId="18" fillId="11" borderId="29" xfId="0" applyFont="1" applyFill="1" applyBorder="1" applyAlignment="1" applyProtection="1">
      <alignment horizontal="left" vertical="center"/>
      <protection hidden="1"/>
    </xf>
    <xf numFmtId="0" fontId="28" fillId="11" borderId="1" xfId="0" applyFont="1" applyFill="1" applyBorder="1" applyAlignment="1" applyProtection="1">
      <alignment horizontal="center" vertical="center"/>
      <protection hidden="1"/>
    </xf>
    <xf numFmtId="0" fontId="17" fillId="13" borderId="1" xfId="0" applyFont="1" applyFill="1" applyBorder="1" applyAlignment="1">
      <alignment horizontal="center" vertical="center"/>
    </xf>
    <xf numFmtId="0" fontId="28" fillId="14" borderId="1" xfId="0" applyFont="1" applyFill="1" applyBorder="1" applyAlignment="1" applyProtection="1">
      <alignment horizontal="center" vertical="center"/>
      <protection hidden="1"/>
    </xf>
    <xf numFmtId="0" fontId="15" fillId="14" borderId="0" xfId="0" applyFont="1" applyFill="1" applyBorder="1" applyAlignment="1">
      <alignment vertical="center"/>
    </xf>
    <xf numFmtId="0" fontId="29" fillId="14" borderId="0" xfId="0" applyFont="1" applyFill="1" applyBorder="1" applyAlignment="1">
      <alignment vertical="center" wrapText="1"/>
    </xf>
    <xf numFmtId="2" fontId="18" fillId="13" borderId="33" xfId="0" applyNumberFormat="1" applyFont="1" applyFill="1" applyBorder="1" applyAlignment="1" applyProtection="1">
      <alignment horizontal="right" vertical="center"/>
      <protection hidden="1"/>
    </xf>
    <xf numFmtId="9" fontId="18" fillId="15" borderId="30" xfId="0" applyNumberFormat="1" applyFont="1" applyFill="1" applyBorder="1" applyAlignment="1" applyProtection="1">
      <alignment vertical="center"/>
      <protection hidden="1"/>
    </xf>
    <xf numFmtId="0" fontId="63" fillId="0" borderId="0" xfId="0" applyFont="1" applyProtection="1">
      <protection hidden="1"/>
    </xf>
    <xf numFmtId="0" fontId="64" fillId="0" borderId="0" xfId="0" applyFont="1" applyAlignment="1" applyProtection="1">
      <alignment vertical="top"/>
      <protection hidden="1"/>
    </xf>
    <xf numFmtId="0" fontId="64" fillId="0" borderId="0" xfId="0" applyFont="1" applyProtection="1">
      <protection hidden="1"/>
    </xf>
    <xf numFmtId="0" fontId="65" fillId="0" borderId="0" xfId="0" applyFont="1" applyBorder="1" applyAlignment="1">
      <alignment horizontal="center" vertical="center" wrapText="1"/>
    </xf>
    <xf numFmtId="0" fontId="35" fillId="12" borderId="54" xfId="0" applyFont="1" applyFill="1" applyBorder="1" applyAlignment="1" applyProtection="1">
      <alignment horizontal="left"/>
      <protection hidden="1"/>
    </xf>
    <xf numFmtId="0" fontId="35" fillId="12" borderId="0" xfId="0" applyFont="1" applyFill="1" applyBorder="1" applyAlignment="1" applyProtection="1">
      <alignment horizontal="left"/>
      <protection hidden="1"/>
    </xf>
    <xf numFmtId="0" fontId="15" fillId="0" borderId="1" xfId="0" applyFont="1" applyBorder="1" applyAlignment="1">
      <alignment horizontal="center" vertical="center" wrapText="1"/>
    </xf>
    <xf numFmtId="0" fontId="4" fillId="0" borderId="55" xfId="0" applyFont="1" applyBorder="1" applyAlignment="1" applyProtection="1">
      <alignment horizontal="right" indent="1"/>
      <protection hidden="1"/>
    </xf>
    <xf numFmtId="0" fontId="18" fillId="0" borderId="56" xfId="0" applyFont="1" applyBorder="1" applyAlignment="1" applyProtection="1">
      <alignment horizontal="center"/>
      <protection hidden="1"/>
    </xf>
    <xf numFmtId="0" fontId="18" fillId="0" borderId="56" xfId="0" applyFont="1" applyBorder="1" applyAlignment="1" applyProtection="1">
      <alignment horizontal="center" vertical="center"/>
      <protection hidden="1"/>
    </xf>
    <xf numFmtId="0" fontId="46" fillId="0" borderId="56" xfId="0" applyFont="1" applyBorder="1" applyAlignment="1" applyProtection="1">
      <alignment horizontal="left"/>
      <protection hidden="1"/>
    </xf>
    <xf numFmtId="0" fontId="42" fillId="0" borderId="56" xfId="0" applyFont="1" applyBorder="1" applyAlignment="1" applyProtection="1">
      <alignment horizontal="center"/>
      <protection hidden="1"/>
    </xf>
    <xf numFmtId="0" fontId="11" fillId="0" borderId="57" xfId="0" applyFont="1" applyBorder="1" applyAlignment="1" applyProtection="1">
      <protection hidden="1"/>
    </xf>
    <xf numFmtId="0" fontId="18" fillId="0" borderId="56" xfId="0" applyFont="1" applyBorder="1" applyAlignment="1" applyProtection="1">
      <alignment horizontal="left"/>
      <protection hidden="1"/>
    </xf>
    <xf numFmtId="0" fontId="2" fillId="0" borderId="56" xfId="0" applyFont="1" applyBorder="1" applyProtection="1">
      <protection hidden="1"/>
    </xf>
    <xf numFmtId="0" fontId="16" fillId="0" borderId="56" xfId="0" applyFont="1" applyBorder="1" applyProtection="1">
      <protection hidden="1"/>
    </xf>
    <xf numFmtId="0" fontId="18" fillId="0" borderId="56" xfId="0" applyFont="1" applyBorder="1" applyAlignment="1" applyProtection="1">
      <alignment horizontal="right"/>
      <protection hidden="1"/>
    </xf>
    <xf numFmtId="0" fontId="2" fillId="0" borderId="0" xfId="1" applyFill="1" applyAlignment="1" applyProtection="1">
      <alignment horizontal="left" vertical="top" indent="2"/>
    </xf>
    <xf numFmtId="0" fontId="2" fillId="0" borderId="47" xfId="1" applyBorder="1" applyProtection="1"/>
    <xf numFmtId="0" fontId="39" fillId="9" borderId="1" xfId="0" applyFont="1" applyFill="1" applyBorder="1" applyAlignment="1">
      <alignment horizontal="center" vertical="center"/>
    </xf>
    <xf numFmtId="0" fontId="72" fillId="0" borderId="0" xfId="0" applyFont="1" applyBorder="1" applyAlignment="1" applyProtection="1">
      <alignment horizontal="left"/>
      <protection hidden="1"/>
    </xf>
    <xf numFmtId="0" fontId="63" fillId="0" borderId="0" xfId="0" applyFont="1" applyBorder="1" applyProtection="1">
      <protection hidden="1"/>
    </xf>
    <xf numFmtId="0" fontId="73" fillId="0" borderId="0" xfId="0" applyFont="1" applyBorder="1" applyAlignment="1" applyProtection="1">
      <alignment horizontal="center"/>
      <protection hidden="1"/>
    </xf>
    <xf numFmtId="0" fontId="72" fillId="0" borderId="56" xfId="0" applyFont="1" applyBorder="1" applyAlignment="1" applyProtection="1">
      <alignment horizontal="left"/>
      <protection hidden="1"/>
    </xf>
    <xf numFmtId="0" fontId="63" fillId="0" borderId="56" xfId="0" applyFont="1" applyBorder="1" applyProtection="1">
      <protection hidden="1"/>
    </xf>
    <xf numFmtId="0" fontId="73" fillId="0" borderId="56" xfId="0" applyFont="1" applyBorder="1" applyAlignment="1" applyProtection="1">
      <alignment horizontal="center"/>
      <protection hidden="1"/>
    </xf>
    <xf numFmtId="0" fontId="2" fillId="0" borderId="62" xfId="0" applyFont="1" applyBorder="1" applyAlignment="1" applyProtection="1">
      <alignment vertical="center"/>
      <protection hidden="1"/>
    </xf>
    <xf numFmtId="0" fontId="2" fillId="0" borderId="72" xfId="0" applyFont="1" applyBorder="1" applyAlignment="1" applyProtection="1">
      <alignment vertical="center"/>
      <protection hidden="1"/>
    </xf>
    <xf numFmtId="0" fontId="2" fillId="0" borderId="112" xfId="0" applyFont="1" applyBorder="1" applyAlignment="1" applyProtection="1">
      <alignment horizontal="left" vertical="center" indent="1"/>
      <protection hidden="1"/>
    </xf>
    <xf numFmtId="0" fontId="2" fillId="0" borderId="23" xfId="0" applyFont="1" applyBorder="1" applyAlignment="1" applyProtection="1">
      <alignment horizontal="left" vertical="center" indent="1"/>
      <protection hidden="1"/>
    </xf>
    <xf numFmtId="0" fontId="2" fillId="0" borderId="113" xfId="0" applyFont="1" applyBorder="1" applyAlignment="1" applyProtection="1">
      <alignment horizontal="left" vertical="center" indent="1"/>
      <protection hidden="1"/>
    </xf>
    <xf numFmtId="0" fontId="2" fillId="0" borderId="114" xfId="0" applyFont="1" applyBorder="1" applyAlignment="1" applyProtection="1">
      <alignment horizontal="left" vertical="center" indent="1"/>
      <protection hidden="1"/>
    </xf>
    <xf numFmtId="0" fontId="69" fillId="0" borderId="0" xfId="6" applyFont="1" applyFill="1" applyAlignment="1" applyProtection="1">
      <alignment horizontal="left"/>
    </xf>
    <xf numFmtId="0" fontId="21" fillId="0" borderId="0" xfId="1" applyFont="1" applyFill="1" applyAlignment="1" applyProtection="1">
      <alignment horizontal="left"/>
    </xf>
    <xf numFmtId="0" fontId="40" fillId="0" borderId="0" xfId="6" applyFont="1" applyFill="1" applyAlignment="1" applyProtection="1">
      <alignment horizontal="left"/>
    </xf>
    <xf numFmtId="0" fontId="21" fillId="0" borderId="0" xfId="1" applyFont="1" applyFill="1" applyAlignment="1" applyProtection="1">
      <alignment horizontal="left"/>
    </xf>
    <xf numFmtId="0" fontId="2" fillId="0" borderId="0" xfId="1" applyFill="1" applyAlignment="1" applyProtection="1">
      <alignment horizontal="left" vertical="top" wrapText="1" indent="2"/>
    </xf>
    <xf numFmtId="0" fontId="70" fillId="0" borderId="0" xfId="6" applyFont="1" applyFill="1" applyAlignment="1" applyProtection="1">
      <alignment horizontal="right"/>
    </xf>
    <xf numFmtId="0" fontId="77" fillId="0" borderId="0" xfId="6" applyFont="1" applyFill="1" applyAlignment="1" applyProtection="1">
      <alignment horizontal="left"/>
    </xf>
    <xf numFmtId="0" fontId="21" fillId="0" borderId="0" xfId="1" applyFont="1" applyFill="1" applyAlignment="1" applyProtection="1">
      <alignment horizontal="left" wrapText="1"/>
    </xf>
    <xf numFmtId="0" fontId="21" fillId="0" borderId="0" xfId="1" applyFont="1" applyFill="1" applyAlignment="1" applyProtection="1">
      <alignment horizontal="left" wrapText="1"/>
    </xf>
    <xf numFmtId="0" fontId="28" fillId="7" borderId="0" xfId="0" applyFont="1" applyFill="1" applyAlignment="1">
      <alignment horizontal="left" vertical="center" wrapText="1"/>
    </xf>
    <xf numFmtId="0" fontId="78" fillId="0" borderId="0" xfId="0" applyFont="1" applyProtection="1">
      <protection hidden="1"/>
    </xf>
    <xf numFmtId="0" fontId="18" fillId="12" borderId="88" xfId="0" applyFont="1" applyFill="1" applyBorder="1" applyAlignment="1" applyProtection="1">
      <alignment vertical="center"/>
      <protection hidden="1"/>
    </xf>
    <xf numFmtId="0" fontId="18" fillId="12" borderId="74" xfId="0" applyFont="1" applyFill="1" applyBorder="1" applyAlignment="1" applyProtection="1">
      <alignment vertical="center"/>
      <protection hidden="1"/>
    </xf>
    <xf numFmtId="0" fontId="18" fillId="12" borderId="76" xfId="0" applyFont="1" applyFill="1" applyBorder="1" applyAlignment="1" applyProtection="1">
      <alignment vertical="center"/>
      <protection hidden="1"/>
    </xf>
    <xf numFmtId="0" fontId="18" fillId="12" borderId="75" xfId="0" applyFont="1" applyFill="1" applyBorder="1" applyAlignment="1" applyProtection="1">
      <alignment vertical="center"/>
      <protection hidden="1"/>
    </xf>
    <xf numFmtId="0" fontId="18" fillId="12" borderId="77" xfId="0" applyFont="1" applyFill="1" applyBorder="1" applyAlignment="1" applyProtection="1">
      <alignment vertical="center"/>
      <protection hidden="1"/>
    </xf>
    <xf numFmtId="0" fontId="18" fillId="12" borderId="88" xfId="0" applyFont="1" applyFill="1" applyBorder="1" applyAlignment="1" applyProtection="1">
      <alignment horizontal="left" vertical="center"/>
      <protection hidden="1"/>
    </xf>
    <xf numFmtId="0" fontId="18" fillId="12" borderId="74" xfId="0" applyFont="1" applyFill="1" applyBorder="1" applyAlignment="1" applyProtection="1">
      <alignment horizontal="left" vertical="center"/>
      <protection hidden="1"/>
    </xf>
    <xf numFmtId="0" fontId="18" fillId="12" borderId="76" xfId="0" applyFont="1" applyFill="1" applyBorder="1" applyAlignment="1" applyProtection="1">
      <alignment horizontal="left" vertical="center"/>
      <protection hidden="1"/>
    </xf>
    <xf numFmtId="0" fontId="18" fillId="12" borderId="75" xfId="0" applyFont="1" applyFill="1" applyBorder="1" applyAlignment="1" applyProtection="1">
      <alignment horizontal="left" vertical="center"/>
      <protection hidden="1"/>
    </xf>
    <xf numFmtId="0" fontId="18" fillId="12" borderId="77" xfId="0" applyFont="1" applyFill="1" applyBorder="1" applyAlignment="1" applyProtection="1">
      <alignment horizontal="left" vertical="center"/>
      <protection hidden="1"/>
    </xf>
    <xf numFmtId="0" fontId="79" fillId="12" borderId="76" xfId="0" applyFont="1" applyFill="1" applyBorder="1" applyAlignment="1" applyProtection="1">
      <alignment horizontal="left" vertical="center"/>
      <protection hidden="1"/>
    </xf>
    <xf numFmtId="0" fontId="79" fillId="12" borderId="76" xfId="0" applyFont="1" applyFill="1" applyBorder="1" applyAlignment="1" applyProtection="1">
      <alignment vertical="center"/>
      <protection hidden="1"/>
    </xf>
    <xf numFmtId="0" fontId="28" fillId="7" borderId="0" xfId="0" applyFont="1" applyFill="1" applyAlignment="1">
      <alignment horizontal="center" vertical="center" wrapText="1"/>
    </xf>
    <xf numFmtId="0" fontId="80" fillId="0" borderId="0" xfId="0" applyFont="1" applyProtection="1">
      <protection hidden="1"/>
    </xf>
    <xf numFmtId="0" fontId="81" fillId="17" borderId="124" xfId="0" applyFont="1" applyFill="1" applyBorder="1" applyAlignment="1">
      <alignment horizontal="center" vertical="center"/>
    </xf>
    <xf numFmtId="0" fontId="24" fillId="0" borderId="125" xfId="0" applyFont="1" applyBorder="1"/>
    <xf numFmtId="0" fontId="24" fillId="0" borderId="126" xfId="0" applyFont="1" applyBorder="1"/>
    <xf numFmtId="0" fontId="24" fillId="0" borderId="18" xfId="0" applyFont="1" applyBorder="1"/>
    <xf numFmtId="0" fontId="24" fillId="0" borderId="9" xfId="0" applyFont="1" applyBorder="1"/>
    <xf numFmtId="0" fontId="81" fillId="17" borderId="8" xfId="0" applyFont="1" applyFill="1" applyBorder="1" applyAlignment="1">
      <alignment horizontal="center" vertical="center"/>
    </xf>
    <xf numFmtId="0" fontId="24" fillId="0" borderId="19" xfId="0" applyFont="1" applyBorder="1"/>
    <xf numFmtId="0" fontId="24" fillId="0" borderId="11" xfId="0" applyFont="1" applyBorder="1"/>
    <xf numFmtId="0" fontId="0" fillId="0" borderId="125" xfId="0" applyBorder="1"/>
    <xf numFmtId="0" fontId="0" fillId="0" borderId="126" xfId="0" applyBorder="1"/>
    <xf numFmtId="0" fontId="0" fillId="7" borderId="0" xfId="0" applyFill="1" applyAlignment="1">
      <alignment horizontal="left" vertical="center"/>
    </xf>
    <xf numFmtId="0" fontId="81" fillId="17" borderId="18" xfId="0" applyFont="1" applyFill="1" applyBorder="1" applyAlignment="1">
      <alignment horizontal="center" vertical="center"/>
    </xf>
    <xf numFmtId="0" fontId="81" fillId="17" borderId="125" xfId="0" applyFont="1" applyFill="1" applyBorder="1" applyAlignment="1">
      <alignment horizontal="center" vertical="center"/>
    </xf>
    <xf numFmtId="0" fontId="83" fillId="0" borderId="1" xfId="5" applyFont="1" applyFill="1" applyBorder="1" applyAlignment="1">
      <alignment horizontal="center" wrapText="1" readingOrder="1"/>
    </xf>
    <xf numFmtId="0" fontId="83" fillId="0" borderId="36" xfId="5" applyFont="1" applyFill="1" applyBorder="1" applyAlignment="1">
      <alignment horizontal="center" wrapText="1" readingOrder="1"/>
    </xf>
    <xf numFmtId="0" fontId="83" fillId="0" borderId="38" xfId="5" applyFont="1" applyFill="1" applyBorder="1" applyAlignment="1">
      <alignment horizontal="left" wrapText="1" readingOrder="1"/>
    </xf>
    <xf numFmtId="9" fontId="83" fillId="0" borderId="34" xfId="5" applyNumberFormat="1" applyFont="1" applyFill="1" applyBorder="1" applyAlignment="1">
      <alignment horizontal="center" wrapText="1" readingOrder="1"/>
    </xf>
    <xf numFmtId="0" fontId="44" fillId="0" borderId="1" xfId="5" applyFont="1" applyFill="1" applyBorder="1" applyAlignment="1">
      <alignment horizontal="center" wrapText="1" readingOrder="1"/>
    </xf>
    <xf numFmtId="0" fontId="44" fillId="0" borderId="36" xfId="5" applyFont="1" applyFill="1" applyBorder="1" applyAlignment="1">
      <alignment horizontal="center" wrapText="1" readingOrder="1"/>
    </xf>
    <xf numFmtId="0" fontId="83" fillId="0" borderId="36" xfId="0" applyFont="1" applyFill="1" applyBorder="1" applyAlignment="1">
      <alignment horizontal="center" wrapText="1" readingOrder="1"/>
    </xf>
    <xf numFmtId="0" fontId="38" fillId="0" borderId="0" xfId="0" applyFont="1" applyAlignment="1">
      <alignment horizontal="center" vertical="center" wrapText="1"/>
    </xf>
    <xf numFmtId="0" fontId="56" fillId="7" borderId="0" xfId="0" applyFont="1" applyFill="1" applyAlignment="1">
      <alignment horizontal="center"/>
    </xf>
    <xf numFmtId="0" fontId="38" fillId="0" borderId="0" xfId="0" applyFont="1" applyAlignment="1">
      <alignment wrapText="1"/>
    </xf>
    <xf numFmtId="0" fontId="84" fillId="0" borderId="135" xfId="0" applyFont="1" applyFill="1" applyBorder="1" applyAlignment="1">
      <alignment horizontal="center" vertical="center"/>
    </xf>
    <xf numFmtId="0" fontId="84" fillId="0" borderId="135" xfId="0" applyFont="1" applyBorder="1" applyAlignment="1">
      <alignment horizontal="center" vertical="center"/>
    </xf>
    <xf numFmtId="0" fontId="83" fillId="6" borderId="36" xfId="0" applyFont="1" applyFill="1" applyBorder="1" applyAlignment="1">
      <alignment horizontal="center" wrapText="1" readingOrder="1"/>
    </xf>
    <xf numFmtId="0" fontId="83" fillId="6" borderId="35" xfId="0" applyFont="1" applyFill="1" applyBorder="1" applyAlignment="1">
      <alignment horizontal="center" wrapText="1" readingOrder="1"/>
    </xf>
    <xf numFmtId="0" fontId="81" fillId="17" borderId="29" xfId="0" applyFont="1" applyFill="1" applyBorder="1" applyAlignment="1">
      <alignment horizontal="center" vertical="center" wrapText="1"/>
    </xf>
    <xf numFmtId="0" fontId="86" fillId="0" borderId="0" xfId="0" applyFont="1" applyProtection="1">
      <protection hidden="1"/>
    </xf>
    <xf numFmtId="0" fontId="83" fillId="6" borderId="1" xfId="5" applyFont="1" applyFill="1" applyBorder="1" applyAlignment="1">
      <alignment horizontal="center" wrapText="1" readingOrder="1"/>
    </xf>
    <xf numFmtId="0" fontId="83" fillId="6" borderId="36" xfId="5" applyFont="1" applyFill="1" applyBorder="1" applyAlignment="1">
      <alignment horizontal="center" wrapText="1" readingOrder="1"/>
    </xf>
    <xf numFmtId="0" fontId="40" fillId="7" borderId="0" xfId="0" applyFont="1" applyFill="1" applyBorder="1" applyAlignment="1">
      <alignment horizontal="center" vertical="center"/>
    </xf>
    <xf numFmtId="0" fontId="82" fillId="0" borderId="6" xfId="5" applyFont="1" applyFill="1" applyBorder="1" applyAlignment="1">
      <alignment horizontal="center" vertical="center" wrapText="1"/>
    </xf>
    <xf numFmtId="0" fontId="82" fillId="0" borderId="7" xfId="5" applyFont="1" applyFill="1" applyBorder="1" applyAlignment="1">
      <alignment horizontal="center" vertical="center" wrapText="1"/>
    </xf>
    <xf numFmtId="0" fontId="82" fillId="0" borderId="8" xfId="5" applyFont="1" applyFill="1" applyBorder="1" applyAlignment="1">
      <alignment horizontal="center" vertical="center" wrapText="1"/>
    </xf>
    <xf numFmtId="0" fontId="82" fillId="0" borderId="129" xfId="5" applyFont="1" applyFill="1" applyBorder="1" applyAlignment="1">
      <alignment horizontal="center" vertical="center" wrapText="1"/>
    </xf>
    <xf numFmtId="0" fontId="82" fillId="0" borderId="130" xfId="5" applyFont="1" applyFill="1" applyBorder="1" applyAlignment="1">
      <alignment horizontal="center" vertical="center" wrapText="1"/>
    </xf>
    <xf numFmtId="0" fontId="82" fillId="0" borderId="131" xfId="5" applyFont="1" applyFill="1" applyBorder="1" applyAlignment="1">
      <alignment horizontal="center" vertical="center" wrapText="1"/>
    </xf>
    <xf numFmtId="0" fontId="83" fillId="0" borderId="3" xfId="5" applyFont="1" applyFill="1" applyBorder="1" applyAlignment="1">
      <alignment horizontal="center" wrapText="1" readingOrder="1"/>
    </xf>
    <xf numFmtId="0" fontId="83" fillId="6" borderId="3" xfId="5" applyFont="1" applyFill="1" applyBorder="1" applyAlignment="1">
      <alignment horizontal="center" wrapText="1" readingOrder="1"/>
    </xf>
    <xf numFmtId="0" fontId="24" fillId="0" borderId="137" xfId="0" applyFont="1" applyBorder="1"/>
    <xf numFmtId="0" fontId="24" fillId="0" borderId="138" xfId="0" applyFont="1" applyBorder="1"/>
    <xf numFmtId="0" fontId="44" fillId="0" borderId="3" xfId="5" applyFont="1" applyFill="1" applyBorder="1" applyAlignment="1">
      <alignment horizontal="center" wrapText="1" readingOrder="1"/>
    </xf>
    <xf numFmtId="0" fontId="83" fillId="6" borderId="123" xfId="5" applyFont="1" applyFill="1" applyBorder="1" applyAlignment="1">
      <alignment horizontal="center" wrapText="1" readingOrder="1"/>
    </xf>
    <xf numFmtId="0" fontId="84" fillId="0" borderId="141" xfId="0" applyFont="1" applyFill="1" applyBorder="1" applyAlignment="1">
      <alignment wrapText="1"/>
    </xf>
    <xf numFmtId="0" fontId="83" fillId="0" borderId="39" xfId="0" applyFont="1" applyFill="1" applyBorder="1" applyAlignment="1">
      <alignment vertical="top" wrapText="1"/>
    </xf>
    <xf numFmtId="0" fontId="84" fillId="0" borderId="39" xfId="0" applyFont="1" applyFill="1" applyBorder="1" applyAlignment="1">
      <alignment vertical="top" wrapText="1"/>
    </xf>
    <xf numFmtId="0" fontId="83" fillId="0" borderId="15" xfId="0" applyFont="1" applyFill="1" applyBorder="1" applyAlignment="1">
      <alignment vertical="top" wrapText="1"/>
    </xf>
    <xf numFmtId="0" fontId="83" fillId="0" borderId="16" xfId="5" applyFont="1" applyFill="1" applyBorder="1" applyAlignment="1">
      <alignment horizontal="center" wrapText="1" readingOrder="1"/>
    </xf>
    <xf numFmtId="0" fontId="83" fillId="0" borderId="142" xfId="5" applyFont="1" applyFill="1" applyBorder="1" applyAlignment="1">
      <alignment horizontal="center" wrapText="1" readingOrder="1"/>
    </xf>
    <xf numFmtId="0" fontId="83" fillId="0" borderId="17" xfId="5" applyFont="1" applyFill="1" applyBorder="1" applyAlignment="1">
      <alignment horizontal="center" wrapText="1" readingOrder="1"/>
    </xf>
    <xf numFmtId="0" fontId="44" fillId="6" borderId="18" xfId="0" applyFont="1" applyFill="1" applyBorder="1"/>
    <xf numFmtId="0" fontId="83" fillId="0" borderId="17" xfId="0" applyFont="1" applyFill="1" applyBorder="1" applyAlignment="1">
      <alignment horizontal="center" wrapText="1" readingOrder="1"/>
    </xf>
    <xf numFmtId="0" fontId="83" fillId="6" borderId="141" xfId="0" applyFont="1" applyFill="1" applyBorder="1" applyAlignment="1">
      <alignment horizontal="center" wrapText="1" readingOrder="1"/>
    </xf>
    <xf numFmtId="0" fontId="83" fillId="0" borderId="39" xfId="0" applyFont="1" applyFill="1" applyBorder="1" applyAlignment="1">
      <alignment horizontal="center" wrapText="1" readingOrder="1"/>
    </xf>
    <xf numFmtId="0" fontId="83" fillId="6" borderId="39" xfId="0" applyFont="1" applyFill="1" applyBorder="1" applyAlignment="1">
      <alignment horizontal="center" wrapText="1" readingOrder="1"/>
    </xf>
    <xf numFmtId="0" fontId="83" fillId="0" borderId="15" xfId="0" applyFont="1" applyFill="1" applyBorder="1" applyAlignment="1">
      <alignment horizontal="center" wrapText="1" readingOrder="1"/>
    </xf>
    <xf numFmtId="0" fontId="83" fillId="6" borderId="139" xfId="0" applyFont="1" applyFill="1" applyBorder="1" applyAlignment="1">
      <alignment horizontal="center" wrapText="1" readingOrder="1"/>
    </xf>
    <xf numFmtId="0" fontId="83" fillId="0" borderId="4" xfId="0" applyFont="1" applyFill="1" applyBorder="1" applyAlignment="1">
      <alignment horizontal="center" wrapText="1" readingOrder="1"/>
    </xf>
    <xf numFmtId="0" fontId="83" fillId="6" borderId="4" xfId="0" applyFont="1" applyFill="1" applyBorder="1" applyAlignment="1">
      <alignment horizontal="center" wrapText="1" readingOrder="1"/>
    </xf>
    <xf numFmtId="0" fontId="83" fillId="0" borderId="143" xfId="0" applyFont="1" applyFill="1" applyBorder="1" applyAlignment="1">
      <alignment horizontal="center" wrapText="1" readingOrder="1"/>
    </xf>
    <xf numFmtId="0" fontId="84" fillId="0" borderId="140" xfId="0" applyFont="1" applyFill="1" applyBorder="1" applyAlignment="1">
      <alignment wrapText="1"/>
    </xf>
    <xf numFmtId="0" fontId="83" fillId="0" borderId="127" xfId="0" applyFont="1" applyFill="1" applyBorder="1" applyAlignment="1">
      <alignment vertical="top" wrapText="1"/>
    </xf>
    <xf numFmtId="0" fontId="84" fillId="0" borderId="127" xfId="0" applyFont="1" applyFill="1" applyBorder="1" applyAlignment="1">
      <alignment vertical="top" wrapText="1"/>
    </xf>
    <xf numFmtId="0" fontId="83" fillId="0" borderId="128" xfId="0" applyFont="1" applyFill="1" applyBorder="1" applyAlignment="1">
      <alignment vertical="top" wrapText="1"/>
    </xf>
    <xf numFmtId="0" fontId="84" fillId="0" borderId="144" xfId="0" applyFont="1" applyFill="1" applyBorder="1" applyAlignment="1">
      <alignment vertical="top" wrapText="1"/>
    </xf>
    <xf numFmtId="0" fontId="84" fillId="0" borderId="140" xfId="0" applyFont="1" applyFill="1" applyBorder="1" applyAlignment="1">
      <alignment vertical="top" wrapText="1"/>
    </xf>
    <xf numFmtId="9" fontId="38" fillId="0" borderId="0" xfId="0" applyNumberFormat="1" applyFont="1" applyAlignment="1">
      <alignment horizontal="left" vertical="center"/>
    </xf>
    <xf numFmtId="0" fontId="21" fillId="0" borderId="0" xfId="1" applyFont="1" applyFill="1" applyAlignment="1" applyProtection="1">
      <alignment horizontal="left"/>
    </xf>
    <xf numFmtId="0" fontId="2" fillId="0" borderId="0" xfId="1" applyFill="1" applyAlignment="1" applyProtection="1">
      <alignment horizontal="left" vertical="top" wrapText="1" indent="2"/>
    </xf>
    <xf numFmtId="0" fontId="21" fillId="0" borderId="0" xfId="1" applyFont="1" applyFill="1" applyAlignment="1" applyProtection="1">
      <alignment horizontal="left" wrapText="1"/>
    </xf>
    <xf numFmtId="0" fontId="2" fillId="0" borderId="0" xfId="1" applyFill="1" applyAlignment="1" applyProtection="1">
      <alignment horizontal="left" vertical="top" indent="2"/>
    </xf>
    <xf numFmtId="0" fontId="21" fillId="0" borderId="0" xfId="1" applyFont="1" applyFill="1" applyAlignment="1" applyProtection="1">
      <alignment horizontal="left"/>
    </xf>
    <xf numFmtId="0" fontId="70" fillId="0" borderId="0" xfId="6" applyFont="1" applyFill="1" applyAlignment="1" applyProtection="1">
      <alignment horizontal="right"/>
    </xf>
    <xf numFmtId="0" fontId="30" fillId="0" borderId="0" xfId="1" applyFont="1" applyFill="1" applyAlignment="1" applyProtection="1">
      <alignment horizontal="left"/>
    </xf>
    <xf numFmtId="0" fontId="21" fillId="0" borderId="0" xfId="1" applyFont="1" applyFill="1" applyAlignment="1" applyProtection="1">
      <alignment horizontal="left" wrapText="1"/>
    </xf>
    <xf numFmtId="0" fontId="70" fillId="0" borderId="0" xfId="6" applyFont="1" applyFill="1" applyAlignment="1" applyProtection="1">
      <alignment horizontal="right"/>
    </xf>
    <xf numFmtId="0" fontId="30" fillId="0" borderId="0" xfId="1" applyFont="1" applyFill="1" applyAlignment="1" applyProtection="1">
      <alignment horizontal="left" vertical="top" wrapText="1" indent="2"/>
    </xf>
    <xf numFmtId="0" fontId="2" fillId="0" borderId="0" xfId="6" applyFont="1" applyFill="1" applyAlignment="1" applyProtection="1">
      <alignment horizontal="left" wrapText="1"/>
    </xf>
    <xf numFmtId="0" fontId="32" fillId="12" borderId="3" xfId="1" applyFont="1" applyFill="1" applyBorder="1" applyAlignment="1" applyProtection="1"/>
    <xf numFmtId="0" fontId="32" fillId="12" borderId="2" xfId="1" applyFont="1" applyFill="1" applyBorder="1" applyAlignment="1" applyProtection="1"/>
    <xf numFmtId="0" fontId="70" fillId="12" borderId="4" xfId="1" applyFont="1" applyFill="1" applyBorder="1" applyAlignment="1" applyProtection="1">
      <alignment horizontal="right"/>
    </xf>
    <xf numFmtId="10" fontId="7" fillId="12" borderId="0" xfId="4" applyNumberFormat="1" applyFont="1" applyFill="1" applyBorder="1" applyAlignment="1" applyProtection="1">
      <alignment horizontal="center"/>
      <protection hidden="1"/>
    </xf>
    <xf numFmtId="0" fontId="81" fillId="17" borderId="141" xfId="0" applyFont="1" applyFill="1" applyBorder="1" applyAlignment="1">
      <alignment horizontal="center" vertical="center"/>
    </xf>
    <xf numFmtId="0" fontId="81" fillId="17" borderId="35" xfId="0" applyFont="1" applyFill="1" applyBorder="1" applyAlignment="1">
      <alignment horizontal="center" vertical="center"/>
    </xf>
    <xf numFmtId="0" fontId="0" fillId="0" borderId="39" xfId="0" applyBorder="1" applyAlignment="1">
      <alignment horizontal="left"/>
    </xf>
    <xf numFmtId="0" fontId="0" fillId="0" borderId="36" xfId="0" applyBorder="1" applyAlignment="1">
      <alignment horizontal="left"/>
    </xf>
    <xf numFmtId="0" fontId="0" fillId="0" borderId="39" xfId="0" applyBorder="1"/>
    <xf numFmtId="0" fontId="0" fillId="0" borderId="36" xfId="0" applyBorder="1"/>
    <xf numFmtId="0" fontId="24" fillId="0" borderId="39" xfId="0" applyFont="1" applyBorder="1"/>
    <xf numFmtId="0" fontId="24" fillId="0" borderId="15" xfId="0" applyFont="1" applyBorder="1"/>
    <xf numFmtId="0" fontId="0" fillId="0" borderId="17" xfId="0" applyBorder="1"/>
    <xf numFmtId="0" fontId="97" fillId="7" borderId="0" xfId="1" applyFont="1" applyFill="1" applyAlignment="1" applyProtection="1">
      <alignment vertical="center"/>
    </xf>
    <xf numFmtId="0" fontId="95" fillId="0" borderId="0" xfId="1" applyFont="1" applyAlignment="1">
      <alignment vertical="center"/>
    </xf>
    <xf numFmtId="0" fontId="98" fillId="20" borderId="1" xfId="1" applyFont="1" applyFill="1" applyBorder="1" applyAlignment="1">
      <alignment horizontal="center" vertical="center" wrapText="1"/>
    </xf>
    <xf numFmtId="0" fontId="99" fillId="0" borderId="0" xfId="1" applyFont="1" applyAlignment="1">
      <alignment vertical="center"/>
    </xf>
    <xf numFmtId="0" fontId="95" fillId="0" borderId="1" xfId="1" applyFont="1" applyBorder="1" applyAlignment="1">
      <alignment horizontal="center" vertical="center" wrapText="1"/>
    </xf>
    <xf numFmtId="168" fontId="95" fillId="0" borderId="1" xfId="1" applyNumberFormat="1" applyFont="1" applyFill="1" applyBorder="1" applyAlignment="1">
      <alignment horizontal="center" vertical="center" wrapText="1"/>
    </xf>
    <xf numFmtId="0" fontId="95" fillId="2" borderId="1" xfId="1" applyFont="1" applyFill="1" applyBorder="1" applyAlignment="1" applyProtection="1">
      <alignment horizontal="center" vertical="center" wrapText="1"/>
    </xf>
    <xf numFmtId="168" fontId="95" fillId="0" borderId="1" xfId="1" applyNumberFormat="1" applyFont="1" applyFill="1" applyBorder="1" applyAlignment="1" applyProtection="1">
      <alignment horizontal="center" vertical="center" wrapText="1"/>
    </xf>
    <xf numFmtId="0" fontId="100" fillId="0" borderId="0" xfId="1" applyFont="1" applyAlignment="1">
      <alignment horizontal="center" vertical="center"/>
    </xf>
    <xf numFmtId="168" fontId="95" fillId="0" borderId="1" xfId="1" applyNumberFormat="1" applyFont="1" applyBorder="1" applyAlignment="1">
      <alignment vertical="center" wrapText="1"/>
    </xf>
    <xf numFmtId="0" fontId="95" fillId="0" borderId="1" xfId="1" applyFont="1" applyBorder="1" applyAlignment="1">
      <alignment vertical="center" wrapText="1"/>
    </xf>
    <xf numFmtId="0" fontId="95" fillId="2" borderId="1" xfId="1" applyFont="1" applyFill="1" applyBorder="1" applyAlignment="1" applyProtection="1">
      <alignment vertical="center" wrapText="1"/>
    </xf>
    <xf numFmtId="168" fontId="95" fillId="2" borderId="1" xfId="1" applyNumberFormat="1" applyFont="1" applyFill="1" applyBorder="1" applyAlignment="1" applyProtection="1">
      <alignment vertical="center" wrapText="1"/>
    </xf>
    <xf numFmtId="0" fontId="100" fillId="0" borderId="0" xfId="1" applyFont="1" applyAlignment="1">
      <alignment vertical="center"/>
    </xf>
    <xf numFmtId="168" fontId="95" fillId="0" borderId="0" xfId="1" applyNumberFormat="1" applyFont="1" applyAlignment="1">
      <alignment vertical="center"/>
    </xf>
    <xf numFmtId="0" fontId="74" fillId="7" borderId="49" xfId="0" applyFont="1" applyFill="1" applyBorder="1" applyAlignment="1" applyProtection="1">
      <alignment horizontal="left" wrapText="1"/>
      <protection hidden="1"/>
    </xf>
    <xf numFmtId="0" fontId="74" fillId="7" borderId="43" xfId="0" applyFont="1" applyFill="1" applyBorder="1" applyAlignment="1" applyProtection="1">
      <alignment horizontal="left" wrapText="1"/>
      <protection hidden="1"/>
    </xf>
    <xf numFmtId="0" fontId="74" fillId="7" borderId="46" xfId="0" applyFont="1" applyFill="1" applyBorder="1" applyAlignment="1" applyProtection="1">
      <alignment horizontal="left" wrapText="1"/>
      <protection hidden="1"/>
    </xf>
    <xf numFmtId="0" fontId="36" fillId="7" borderId="49" xfId="0" applyFont="1" applyFill="1" applyBorder="1" applyAlignment="1" applyProtection="1">
      <alignment horizontal="left" vertical="top" wrapText="1"/>
      <protection hidden="1"/>
    </xf>
    <xf numFmtId="0" fontId="55" fillId="7" borderId="43" xfId="0" applyFont="1" applyFill="1" applyBorder="1" applyAlignment="1" applyProtection="1">
      <alignment horizontal="left" vertical="top" wrapText="1"/>
      <protection hidden="1"/>
    </xf>
    <xf numFmtId="0" fontId="30" fillId="7" borderId="43" xfId="0" applyFont="1" applyFill="1" applyBorder="1" applyAlignment="1">
      <alignment horizontal="left" vertical="top" wrapText="1"/>
    </xf>
    <xf numFmtId="0" fontId="30" fillId="7" borderId="46" xfId="0" applyFont="1" applyFill="1" applyBorder="1" applyAlignment="1">
      <alignment horizontal="left" vertical="top" wrapText="1"/>
    </xf>
    <xf numFmtId="0" fontId="2" fillId="12" borderId="59" xfId="0" applyNumberFormat="1" applyFont="1" applyFill="1" applyBorder="1" applyAlignment="1" applyProtection="1">
      <alignment horizontal="left" vertical="center" shrinkToFit="1"/>
      <protection locked="0"/>
    </xf>
    <xf numFmtId="0" fontId="2" fillId="12" borderId="60" xfId="0" applyNumberFormat="1" applyFont="1" applyFill="1" applyBorder="1" applyAlignment="1" applyProtection="1">
      <alignment horizontal="left" vertical="center" shrinkToFit="1"/>
      <protection locked="0"/>
    </xf>
    <xf numFmtId="0" fontId="9" fillId="13" borderId="6" xfId="0" applyFont="1" applyFill="1" applyBorder="1" applyAlignment="1" applyProtection="1">
      <alignment horizontal="center" vertical="center" wrapText="1"/>
      <protection hidden="1"/>
    </xf>
    <xf numFmtId="0" fontId="9" fillId="13" borderId="8" xfId="0" applyFont="1" applyFill="1" applyBorder="1" applyAlignment="1" applyProtection="1">
      <alignment horizontal="center" vertical="center" wrapText="1"/>
      <protection hidden="1"/>
    </xf>
    <xf numFmtId="0" fontId="9" fillId="13" borderId="24" xfId="0" applyFont="1" applyFill="1" applyBorder="1" applyAlignment="1" applyProtection="1">
      <alignment horizontal="center" vertical="center" wrapText="1"/>
      <protection hidden="1"/>
    </xf>
    <xf numFmtId="0" fontId="9" fillId="13" borderId="25" xfId="0" applyFont="1" applyFill="1" applyBorder="1" applyAlignment="1" applyProtection="1">
      <alignment horizontal="center" vertical="center" wrapText="1"/>
      <protection hidden="1"/>
    </xf>
    <xf numFmtId="0" fontId="9" fillId="11" borderId="6" xfId="0" applyFont="1" applyFill="1" applyBorder="1" applyAlignment="1" applyProtection="1">
      <alignment horizontal="center" vertical="center" wrapText="1"/>
      <protection hidden="1"/>
    </xf>
    <xf numFmtId="0" fontId="9" fillId="11" borderId="7" xfId="0" applyFont="1" applyFill="1" applyBorder="1" applyAlignment="1" applyProtection="1">
      <alignment horizontal="center" vertical="center" wrapText="1"/>
      <protection hidden="1"/>
    </xf>
    <xf numFmtId="0" fontId="9" fillId="11" borderId="8" xfId="0" applyFont="1" applyFill="1" applyBorder="1" applyAlignment="1" applyProtection="1">
      <alignment horizontal="center" vertical="center" wrapText="1"/>
      <protection hidden="1"/>
    </xf>
    <xf numFmtId="0" fontId="9" fillId="11" borderId="18" xfId="0" applyFont="1" applyFill="1" applyBorder="1" applyAlignment="1" applyProtection="1">
      <alignment horizontal="center" vertical="center" wrapText="1"/>
      <protection hidden="1"/>
    </xf>
    <xf numFmtId="0" fontId="9" fillId="11" borderId="0" xfId="0" applyFont="1" applyFill="1" applyBorder="1" applyAlignment="1" applyProtection="1">
      <alignment horizontal="center" vertical="center" wrapText="1"/>
      <protection hidden="1"/>
    </xf>
    <xf numFmtId="0" fontId="9" fillId="11" borderId="19" xfId="0" applyFont="1" applyFill="1" applyBorder="1" applyAlignment="1" applyProtection="1">
      <alignment horizontal="center" vertical="center" wrapText="1"/>
      <protection hidden="1"/>
    </xf>
    <xf numFmtId="0" fontId="16" fillId="0" borderId="67" xfId="0" applyFont="1" applyFill="1" applyBorder="1" applyAlignment="1" applyProtection="1">
      <alignment horizontal="center" vertical="center"/>
      <protection hidden="1"/>
    </xf>
    <xf numFmtId="0" fontId="16" fillId="0" borderId="80" xfId="0" applyFont="1" applyFill="1" applyBorder="1" applyAlignment="1" applyProtection="1">
      <alignment horizontal="center" vertical="center"/>
      <protection hidden="1"/>
    </xf>
    <xf numFmtId="0" fontId="9" fillId="8" borderId="6" xfId="0" applyFont="1" applyFill="1" applyBorder="1" applyAlignment="1" applyProtection="1">
      <alignment horizontal="center" vertical="center" wrapText="1"/>
      <protection hidden="1"/>
    </xf>
    <xf numFmtId="0" fontId="9" fillId="8" borderId="7" xfId="0" applyFont="1" applyFill="1" applyBorder="1" applyAlignment="1" applyProtection="1">
      <alignment horizontal="center" vertical="center" wrapText="1"/>
      <protection hidden="1"/>
    </xf>
    <xf numFmtId="0" fontId="9" fillId="8" borderId="8" xfId="0" applyFont="1" applyFill="1" applyBorder="1" applyAlignment="1" applyProtection="1">
      <alignment horizontal="center" vertical="center" wrapText="1"/>
      <protection hidden="1"/>
    </xf>
    <xf numFmtId="0" fontId="9" fillId="8" borderId="24" xfId="0" applyFont="1" applyFill="1" applyBorder="1" applyAlignment="1" applyProtection="1">
      <alignment horizontal="center" vertical="center" wrapText="1"/>
      <protection hidden="1"/>
    </xf>
    <xf numFmtId="0" fontId="9" fillId="8" borderId="5" xfId="0" applyFont="1" applyFill="1" applyBorder="1" applyAlignment="1" applyProtection="1">
      <alignment horizontal="center" vertical="center" wrapText="1"/>
      <protection hidden="1"/>
    </xf>
    <xf numFmtId="0" fontId="9" fillId="8" borderId="25" xfId="0" applyFont="1" applyFill="1" applyBorder="1" applyAlignment="1" applyProtection="1">
      <alignment horizontal="center" vertical="center" wrapText="1"/>
      <protection hidden="1"/>
    </xf>
    <xf numFmtId="0" fontId="16" fillId="0" borderId="118" xfId="0" applyFont="1" applyFill="1" applyBorder="1" applyAlignment="1" applyProtection="1">
      <alignment horizontal="center" vertical="center"/>
      <protection hidden="1"/>
    </xf>
    <xf numFmtId="0" fontId="16" fillId="0" borderId="117" xfId="0" applyFont="1" applyFill="1" applyBorder="1" applyAlignment="1" applyProtection="1">
      <alignment horizontal="center" vertical="center"/>
      <protection hidden="1"/>
    </xf>
    <xf numFmtId="0" fontId="5" fillId="0" borderId="52" xfId="0" applyFont="1" applyBorder="1" applyAlignment="1" applyProtection="1">
      <alignment horizontal="center" vertical="center"/>
      <protection hidden="1"/>
    </xf>
    <xf numFmtId="0" fontId="5" fillId="0" borderId="41" xfId="0" applyFont="1" applyBorder="1" applyAlignment="1" applyProtection="1">
      <alignment horizontal="center" vertical="center"/>
      <protection hidden="1"/>
    </xf>
    <xf numFmtId="0" fontId="5" fillId="0" borderId="53" xfId="0" applyFont="1" applyBorder="1" applyAlignment="1" applyProtection="1">
      <alignment horizontal="center" vertical="center"/>
      <protection hidden="1"/>
    </xf>
    <xf numFmtId="0" fontId="18" fillId="12" borderId="120" xfId="0" applyFont="1" applyFill="1" applyBorder="1" applyAlignment="1" applyProtection="1">
      <alignment horizontal="center" vertical="center"/>
      <protection hidden="1"/>
    </xf>
    <xf numFmtId="0" fontId="18" fillId="12" borderId="107" xfId="0" applyFont="1" applyFill="1" applyBorder="1" applyAlignment="1" applyProtection="1">
      <alignment horizontal="center" vertical="center"/>
      <protection hidden="1"/>
    </xf>
    <xf numFmtId="0" fontId="16" fillId="0" borderId="103" xfId="0" applyFont="1" applyFill="1" applyBorder="1" applyAlignment="1" applyProtection="1">
      <alignment horizontal="center" vertical="center"/>
      <protection hidden="1"/>
    </xf>
    <xf numFmtId="0" fontId="16" fillId="0" borderId="106" xfId="0" applyFont="1" applyFill="1" applyBorder="1" applyAlignment="1" applyProtection="1">
      <alignment horizontal="center" vertical="center"/>
      <protection hidden="1"/>
    </xf>
    <xf numFmtId="0" fontId="16" fillId="12" borderId="118" xfId="0" applyFont="1" applyFill="1" applyBorder="1" applyAlignment="1" applyProtection="1">
      <alignment horizontal="center" vertical="center"/>
      <protection hidden="1"/>
    </xf>
    <xf numFmtId="0" fontId="16" fillId="12" borderId="119" xfId="0" applyFont="1" applyFill="1" applyBorder="1" applyAlignment="1" applyProtection="1">
      <alignment horizontal="center" vertical="center"/>
      <protection hidden="1"/>
    </xf>
    <xf numFmtId="0" fontId="16" fillId="0" borderId="69" xfId="0" applyFont="1" applyFill="1" applyBorder="1" applyAlignment="1" applyProtection="1">
      <alignment horizontal="center" vertical="center"/>
      <protection hidden="1"/>
    </xf>
    <xf numFmtId="0" fontId="16" fillId="0" borderId="82" xfId="0" applyFont="1" applyFill="1" applyBorder="1" applyAlignment="1" applyProtection="1">
      <alignment horizontal="center" vertical="center"/>
      <protection hidden="1"/>
    </xf>
    <xf numFmtId="0" fontId="16" fillId="12" borderId="67" xfId="0" applyFont="1" applyFill="1" applyBorder="1" applyAlignment="1" applyProtection="1">
      <alignment horizontal="center" vertical="center"/>
      <protection hidden="1"/>
    </xf>
    <xf numFmtId="0" fontId="16" fillId="12" borderId="80" xfId="0" applyFont="1" applyFill="1" applyBorder="1" applyAlignment="1" applyProtection="1">
      <alignment horizontal="center" vertical="center"/>
      <protection hidden="1"/>
    </xf>
    <xf numFmtId="0" fontId="16" fillId="12" borderId="117" xfId="0" applyFont="1" applyFill="1" applyBorder="1" applyAlignment="1" applyProtection="1">
      <alignment horizontal="center" vertical="center"/>
      <protection hidden="1"/>
    </xf>
    <xf numFmtId="0" fontId="19" fillId="7" borderId="51" xfId="0" applyFont="1" applyFill="1" applyBorder="1" applyAlignment="1" applyProtection="1">
      <alignment horizontal="center" vertical="center" wrapText="1"/>
      <protection hidden="1"/>
    </xf>
    <xf numFmtId="0" fontId="19" fillId="7" borderId="50" xfId="0" applyFont="1" applyFill="1" applyBorder="1" applyAlignment="1" applyProtection="1">
      <alignment horizontal="center" vertical="center" wrapText="1"/>
      <protection hidden="1"/>
    </xf>
    <xf numFmtId="0" fontId="19" fillId="8" borderId="49" xfId="0" applyFont="1" applyFill="1" applyBorder="1" applyAlignment="1" applyProtection="1">
      <alignment horizontal="center" vertical="center" wrapText="1"/>
      <protection hidden="1"/>
    </xf>
    <xf numFmtId="0" fontId="19" fillId="8" borderId="46" xfId="0" applyFont="1" applyFill="1" applyBorder="1" applyAlignment="1" applyProtection="1">
      <alignment horizontal="center" vertical="center" wrapText="1"/>
      <protection hidden="1"/>
    </xf>
    <xf numFmtId="0" fontId="26" fillId="0" borderId="0" xfId="0" applyFont="1" applyFill="1" applyBorder="1" applyAlignment="1" applyProtection="1">
      <alignment horizontal="center"/>
      <protection hidden="1"/>
    </xf>
    <xf numFmtId="0" fontId="16" fillId="12" borderId="69" xfId="0" applyFont="1" applyFill="1" applyBorder="1" applyAlignment="1" applyProtection="1">
      <alignment horizontal="center" vertical="center"/>
      <protection hidden="1"/>
    </xf>
    <xf numFmtId="0" fontId="16" fillId="12" borderId="82" xfId="0" applyFont="1" applyFill="1" applyBorder="1" applyAlignment="1" applyProtection="1">
      <alignment horizontal="center" vertical="center"/>
      <protection hidden="1"/>
    </xf>
    <xf numFmtId="10" fontId="54" fillId="0" borderId="18" xfId="0" applyNumberFormat="1" applyFont="1" applyBorder="1" applyAlignment="1" applyProtection="1">
      <alignment horizontal="left" vertical="center" wrapText="1" indent="1"/>
      <protection hidden="1"/>
    </xf>
    <xf numFmtId="10" fontId="54" fillId="0" borderId="0" xfId="0" applyNumberFormat="1" applyFont="1" applyBorder="1" applyAlignment="1" applyProtection="1">
      <alignment horizontal="left" vertical="center" wrapText="1" indent="1"/>
      <protection hidden="1"/>
    </xf>
    <xf numFmtId="10" fontId="54" fillId="0" borderId="47" xfId="0" applyNumberFormat="1" applyFont="1" applyBorder="1" applyAlignment="1" applyProtection="1">
      <alignment horizontal="left" vertical="center" wrapText="1" indent="1"/>
      <protection hidden="1"/>
    </xf>
    <xf numFmtId="0" fontId="37" fillId="7" borderId="52" xfId="0" applyFont="1" applyFill="1" applyBorder="1" applyAlignment="1" applyProtection="1">
      <alignment horizontal="center" vertical="center" wrapText="1"/>
      <protection hidden="1"/>
    </xf>
    <xf numFmtId="0" fontId="31" fillId="7" borderId="53" xfId="0" applyFont="1" applyFill="1" applyBorder="1" applyAlignment="1" applyProtection="1">
      <alignment horizontal="center" vertical="center" wrapText="1"/>
      <protection hidden="1"/>
    </xf>
    <xf numFmtId="0" fontId="31" fillId="7" borderId="55" xfId="0" applyFont="1" applyFill="1" applyBorder="1" applyAlignment="1" applyProtection="1">
      <alignment horizontal="center" vertical="center" wrapText="1"/>
      <protection hidden="1"/>
    </xf>
    <xf numFmtId="0" fontId="31" fillId="7" borderId="57" xfId="0" applyFont="1" applyFill="1" applyBorder="1" applyAlignment="1" applyProtection="1">
      <alignment horizontal="center" vertical="center" wrapText="1"/>
      <protection hidden="1"/>
    </xf>
    <xf numFmtId="0" fontId="32" fillId="12" borderId="99" xfId="0" applyFont="1" applyFill="1" applyBorder="1" applyAlignment="1" applyProtection="1">
      <alignment horizontal="center" vertical="center"/>
      <protection locked="0"/>
    </xf>
    <xf numFmtId="0" fontId="32" fillId="12" borderId="100" xfId="0" applyFont="1" applyFill="1" applyBorder="1" applyAlignment="1" applyProtection="1">
      <alignment horizontal="center" vertical="center"/>
      <protection locked="0"/>
    </xf>
    <xf numFmtId="10" fontId="30" fillId="0" borderId="15" xfId="0" applyNumberFormat="1" applyFont="1" applyBorder="1" applyAlignment="1" applyProtection="1">
      <alignment horizontal="center" vertical="center"/>
      <protection hidden="1"/>
    </xf>
    <xf numFmtId="10" fontId="30" fillId="0" borderId="16" xfId="0" applyNumberFormat="1" applyFont="1" applyBorder="1" applyAlignment="1" applyProtection="1">
      <alignment horizontal="center" vertical="center"/>
      <protection hidden="1"/>
    </xf>
    <xf numFmtId="10" fontId="30" fillId="0" borderId="17" xfId="0" applyNumberFormat="1" applyFont="1" applyBorder="1" applyAlignment="1" applyProtection="1">
      <alignment horizontal="center" vertical="center"/>
      <protection hidden="1"/>
    </xf>
    <xf numFmtId="0" fontId="16" fillId="12" borderId="85" xfId="0" applyFont="1" applyFill="1" applyBorder="1" applyAlignment="1" applyProtection="1">
      <alignment horizontal="center" vertical="center"/>
      <protection hidden="1"/>
    </xf>
    <xf numFmtId="0" fontId="16" fillId="12" borderId="86" xfId="0" applyFont="1" applyFill="1" applyBorder="1" applyAlignment="1" applyProtection="1">
      <alignment horizontal="center" vertical="center"/>
      <protection hidden="1"/>
    </xf>
    <xf numFmtId="0" fontId="16" fillId="0" borderId="81" xfId="0" applyFont="1" applyFill="1" applyBorder="1" applyAlignment="1" applyProtection="1">
      <alignment horizontal="center" vertical="center"/>
      <protection hidden="1"/>
    </xf>
    <xf numFmtId="0" fontId="16" fillId="0" borderId="83" xfId="0" applyFont="1" applyFill="1" applyBorder="1" applyAlignment="1" applyProtection="1">
      <alignment horizontal="center" vertical="center"/>
      <protection hidden="1"/>
    </xf>
    <xf numFmtId="0" fontId="19" fillId="7" borderId="49" xfId="0" applyFont="1" applyFill="1" applyBorder="1" applyAlignment="1" applyProtection="1">
      <alignment horizontal="center" vertical="center" wrapText="1"/>
      <protection hidden="1"/>
    </xf>
    <xf numFmtId="0" fontId="19" fillId="7" borderId="43" xfId="0" applyFont="1" applyFill="1" applyBorder="1" applyAlignment="1" applyProtection="1">
      <alignment horizontal="center" vertical="center" wrapText="1"/>
      <protection hidden="1"/>
    </xf>
    <xf numFmtId="0" fontId="19" fillId="7" borderId="46" xfId="0" applyFont="1" applyFill="1" applyBorder="1" applyAlignment="1" applyProtection="1">
      <alignment horizontal="center" vertical="center" wrapText="1"/>
      <protection hidden="1"/>
    </xf>
    <xf numFmtId="0" fontId="16" fillId="12" borderId="61" xfId="0" applyFont="1" applyFill="1" applyBorder="1" applyAlignment="1" applyProtection="1">
      <alignment horizontal="center" vertical="center"/>
      <protection hidden="1"/>
    </xf>
    <xf numFmtId="0" fontId="3" fillId="12" borderId="59" xfId="0" applyFont="1" applyFill="1" applyBorder="1" applyAlignment="1" applyProtection="1">
      <alignment horizontal="left" vertical="center"/>
      <protection locked="0" hidden="1"/>
    </xf>
    <xf numFmtId="0" fontId="3" fillId="12" borderId="60" xfId="0" applyFont="1" applyFill="1" applyBorder="1" applyAlignment="1" applyProtection="1">
      <alignment horizontal="left" vertical="center"/>
      <protection locked="0" hidden="1"/>
    </xf>
    <xf numFmtId="0" fontId="2" fillId="0" borderId="43" xfId="0" applyFont="1" applyFill="1" applyBorder="1" applyAlignment="1" applyProtection="1">
      <alignment horizontal="center" vertical="center"/>
      <protection hidden="1"/>
    </xf>
    <xf numFmtId="0" fontId="2" fillId="0" borderId="44" xfId="0" applyFont="1" applyFill="1" applyBorder="1" applyAlignment="1" applyProtection="1">
      <alignment horizontal="center" vertical="center"/>
      <protection hidden="1"/>
    </xf>
    <xf numFmtId="0" fontId="15" fillId="0" borderId="96" xfId="0" applyFont="1" applyBorder="1" applyAlignment="1" applyProtection="1">
      <alignment horizontal="center" vertical="center"/>
      <protection hidden="1"/>
    </xf>
    <xf numFmtId="0" fontId="15" fillId="0" borderId="59" xfId="0" applyFont="1" applyBorder="1" applyAlignment="1" applyProtection="1">
      <alignment horizontal="center" vertical="center"/>
      <protection hidden="1"/>
    </xf>
    <xf numFmtId="0" fontId="15" fillId="0" borderId="84" xfId="0" applyFont="1" applyBorder="1" applyAlignment="1" applyProtection="1">
      <alignment horizontal="center" vertical="center"/>
      <protection hidden="1"/>
    </xf>
    <xf numFmtId="0" fontId="2" fillId="12" borderId="62" xfId="0" applyFont="1" applyFill="1" applyBorder="1" applyAlignment="1" applyProtection="1">
      <alignment horizontal="left" vertical="center"/>
      <protection locked="0"/>
    </xf>
    <xf numFmtId="0" fontId="2" fillId="12" borderId="63" xfId="0" applyFont="1" applyFill="1" applyBorder="1" applyAlignment="1" applyProtection="1">
      <alignment horizontal="left" vertical="center"/>
      <protection locked="0"/>
    </xf>
    <xf numFmtId="0" fontId="2" fillId="12" borderId="0" xfId="0" applyFont="1" applyFill="1" applyBorder="1" applyAlignment="1" applyProtection="1">
      <alignment horizontal="left" vertical="center"/>
      <protection locked="0"/>
    </xf>
    <xf numFmtId="0" fontId="2" fillId="12" borderId="47" xfId="0" applyFont="1" applyFill="1" applyBorder="1" applyAlignment="1" applyProtection="1">
      <alignment horizontal="left" vertical="center"/>
      <protection locked="0"/>
    </xf>
    <xf numFmtId="0" fontId="2" fillId="16" borderId="90" xfId="0" applyFont="1" applyFill="1" applyBorder="1" applyAlignment="1" applyProtection="1">
      <alignment horizontal="left" vertical="center"/>
      <protection locked="0" hidden="1"/>
    </xf>
    <xf numFmtId="0" fontId="3" fillId="16" borderId="91" xfId="0" applyFont="1" applyFill="1" applyBorder="1" applyAlignment="1" applyProtection="1">
      <alignment horizontal="left" vertical="center"/>
      <protection locked="0" hidden="1"/>
    </xf>
    <xf numFmtId="0" fontId="3" fillId="16" borderId="107" xfId="0" applyFont="1" applyFill="1" applyBorder="1" applyAlignment="1" applyProtection="1">
      <alignment horizontal="left" vertical="center"/>
      <protection locked="0" hidden="1"/>
    </xf>
    <xf numFmtId="14" fontId="2" fillId="12" borderId="79" xfId="0" applyNumberFormat="1" applyFont="1" applyFill="1" applyBorder="1" applyAlignment="1" applyProtection="1">
      <alignment horizontal="center" vertical="center"/>
      <protection locked="0"/>
    </xf>
    <xf numFmtId="14" fontId="2" fillId="12" borderId="62" xfId="0" applyNumberFormat="1" applyFont="1" applyFill="1" applyBorder="1" applyAlignment="1" applyProtection="1">
      <alignment horizontal="center" vertical="center"/>
      <protection locked="0"/>
    </xf>
    <xf numFmtId="14" fontId="2" fillId="12" borderId="63" xfId="0" applyNumberFormat="1" applyFont="1" applyFill="1" applyBorder="1" applyAlignment="1" applyProtection="1">
      <alignment horizontal="center" vertical="center"/>
      <protection locked="0"/>
    </xf>
    <xf numFmtId="14" fontId="2" fillId="12" borderId="79" xfId="0" applyNumberFormat="1" applyFont="1" applyFill="1" applyBorder="1" applyAlignment="1" applyProtection="1">
      <alignment horizontal="left" vertical="center"/>
      <protection locked="0"/>
    </xf>
    <xf numFmtId="0" fontId="2" fillId="12" borderId="40" xfId="0" applyFont="1" applyFill="1" applyBorder="1" applyAlignment="1" applyProtection="1">
      <alignment horizontal="left" vertical="center"/>
      <protection locked="0"/>
    </xf>
    <xf numFmtId="0" fontId="2" fillId="12" borderId="64" xfId="0" applyFont="1" applyFill="1" applyBorder="1" applyAlignment="1" applyProtection="1">
      <alignment horizontal="left" vertical="center"/>
      <protection locked="0"/>
    </xf>
    <xf numFmtId="0" fontId="2" fillId="0" borderId="0" xfId="0" applyFont="1" applyBorder="1" applyAlignment="1" applyProtection="1">
      <alignment horizontal="center" vertical="center"/>
      <protection hidden="1"/>
    </xf>
    <xf numFmtId="0" fontId="2" fillId="0" borderId="70" xfId="0" applyFont="1" applyBorder="1" applyAlignment="1" applyProtection="1">
      <alignment horizontal="center" vertical="center"/>
      <protection hidden="1"/>
    </xf>
    <xf numFmtId="0" fontId="2" fillId="0" borderId="22" xfId="0" applyFont="1" applyBorder="1" applyAlignment="1" applyProtection="1">
      <alignment horizontal="center" vertical="center"/>
      <protection hidden="1"/>
    </xf>
    <xf numFmtId="0" fontId="68" fillId="12" borderId="0" xfId="0" applyFont="1" applyFill="1" applyBorder="1" applyAlignment="1" applyProtection="1">
      <alignment horizontal="center" vertical="center"/>
      <protection locked="0" hidden="1"/>
    </xf>
    <xf numFmtId="0" fontId="68" fillId="12" borderId="47" xfId="0" applyFont="1" applyFill="1" applyBorder="1" applyAlignment="1" applyProtection="1">
      <alignment horizontal="center" vertical="center"/>
      <protection locked="0" hidden="1"/>
    </xf>
    <xf numFmtId="0" fontId="30" fillId="12" borderId="45" xfId="0" applyFont="1" applyFill="1" applyBorder="1" applyAlignment="1" applyProtection="1">
      <alignment horizontal="center" vertical="center"/>
      <protection locked="0" hidden="1"/>
    </xf>
    <xf numFmtId="0" fontId="30" fillId="12" borderId="43" xfId="0" applyFont="1" applyFill="1" applyBorder="1" applyAlignment="1" applyProtection="1">
      <alignment horizontal="center" vertical="center"/>
      <protection locked="0" hidden="1"/>
    </xf>
    <xf numFmtId="0" fontId="30" fillId="12" borderId="46" xfId="0" applyFont="1" applyFill="1" applyBorder="1" applyAlignment="1" applyProtection="1">
      <alignment horizontal="center" vertical="center"/>
      <protection locked="0" hidden="1"/>
    </xf>
    <xf numFmtId="0" fontId="2" fillId="12" borderId="52" xfId="0" applyFont="1" applyFill="1" applyBorder="1" applyAlignment="1" applyProtection="1">
      <alignment horizontal="left" vertical="top" wrapText="1"/>
      <protection locked="0"/>
    </xf>
    <xf numFmtId="0" fontId="3" fillId="12" borderId="41" xfId="0" applyFont="1" applyFill="1" applyBorder="1" applyAlignment="1" applyProtection="1">
      <alignment horizontal="left" vertical="top" wrapText="1"/>
      <protection locked="0"/>
    </xf>
    <xf numFmtId="0" fontId="3" fillId="12" borderId="53" xfId="0" applyFont="1" applyFill="1" applyBorder="1" applyAlignment="1" applyProtection="1">
      <alignment horizontal="left" vertical="top" wrapText="1"/>
      <protection locked="0"/>
    </xf>
    <xf numFmtId="0" fontId="3" fillId="12" borderId="54" xfId="0" applyFont="1" applyFill="1" applyBorder="1" applyAlignment="1" applyProtection="1">
      <alignment horizontal="left" vertical="top" wrapText="1"/>
      <protection locked="0"/>
    </xf>
    <xf numFmtId="0" fontId="3" fillId="12" borderId="0" xfId="0" applyFont="1" applyFill="1" applyBorder="1" applyAlignment="1" applyProtection="1">
      <alignment horizontal="left" vertical="top" wrapText="1"/>
      <protection locked="0"/>
    </xf>
    <xf numFmtId="0" fontId="3" fillId="12" borderId="47" xfId="0" applyFont="1" applyFill="1" applyBorder="1" applyAlignment="1" applyProtection="1">
      <alignment horizontal="left" vertical="top" wrapText="1"/>
      <protection locked="0"/>
    </xf>
    <xf numFmtId="0" fontId="3" fillId="12" borderId="55" xfId="0" applyFont="1" applyFill="1" applyBorder="1" applyAlignment="1" applyProtection="1">
      <alignment horizontal="left" vertical="top" wrapText="1"/>
      <protection locked="0"/>
    </xf>
    <xf numFmtId="0" fontId="3" fillId="12" borderId="56" xfId="0" applyFont="1" applyFill="1" applyBorder="1" applyAlignment="1" applyProtection="1">
      <alignment horizontal="left" vertical="top" wrapText="1"/>
      <protection locked="0"/>
    </xf>
    <xf numFmtId="0" fontId="3" fillId="12" borderId="57" xfId="0" applyFont="1" applyFill="1" applyBorder="1" applyAlignment="1" applyProtection="1">
      <alignment horizontal="left" vertical="top" wrapText="1"/>
      <protection locked="0"/>
    </xf>
    <xf numFmtId="0" fontId="47" fillId="7" borderId="52" xfId="0" applyFont="1" applyFill="1" applyBorder="1" applyAlignment="1" applyProtection="1">
      <alignment horizontal="center" vertical="center"/>
      <protection hidden="1"/>
    </xf>
    <xf numFmtId="0" fontId="47" fillId="7" borderId="41" xfId="0" applyFont="1" applyFill="1" applyBorder="1" applyAlignment="1" applyProtection="1">
      <alignment horizontal="center" vertical="center"/>
      <protection hidden="1"/>
    </xf>
    <xf numFmtId="0" fontId="12" fillId="0" borderId="0" xfId="0" applyFont="1" applyFill="1" applyBorder="1" applyAlignment="1" applyProtection="1">
      <alignment horizontal="center"/>
      <protection hidden="1"/>
    </xf>
    <xf numFmtId="1" fontId="18" fillId="9" borderId="31" xfId="0" applyNumberFormat="1" applyFont="1" applyFill="1" applyBorder="1" applyAlignment="1" applyProtection="1">
      <alignment horizontal="center" vertical="center"/>
      <protection hidden="1"/>
    </xf>
    <xf numFmtId="1" fontId="18" fillId="9" borderId="32" xfId="0" applyNumberFormat="1" applyFont="1" applyFill="1" applyBorder="1" applyAlignment="1" applyProtection="1">
      <alignment horizontal="center" vertical="center"/>
      <protection hidden="1"/>
    </xf>
    <xf numFmtId="0" fontId="75" fillId="0" borderId="0" xfId="0" applyFont="1" applyBorder="1" applyAlignment="1" applyProtection="1">
      <alignment horizontal="center" vertical="center"/>
      <protection hidden="1"/>
    </xf>
    <xf numFmtId="1" fontId="20" fillId="0" borderId="0" xfId="0" applyNumberFormat="1" applyFont="1" applyBorder="1" applyAlignment="1" applyProtection="1">
      <alignment horizontal="center"/>
      <protection hidden="1"/>
    </xf>
    <xf numFmtId="0" fontId="35" fillId="18" borderId="6" xfId="0" applyFont="1" applyFill="1" applyBorder="1" applyAlignment="1" applyProtection="1">
      <alignment horizontal="center" vertical="center" shrinkToFit="1"/>
      <protection hidden="1"/>
    </xf>
    <xf numFmtId="0" fontId="35" fillId="18" borderId="8" xfId="0" applyFont="1" applyFill="1" applyBorder="1" applyAlignment="1" applyProtection="1">
      <alignment horizontal="center" vertical="center" shrinkToFit="1"/>
      <protection hidden="1"/>
    </xf>
    <xf numFmtId="0" fontId="35" fillId="18" borderId="9" xfId="0" applyFont="1" applyFill="1" applyBorder="1" applyAlignment="1" applyProtection="1">
      <alignment horizontal="center" vertical="center" shrinkToFit="1"/>
      <protection hidden="1"/>
    </xf>
    <xf numFmtId="0" fontId="35" fillId="18" borderId="11" xfId="0" applyFont="1" applyFill="1" applyBorder="1" applyAlignment="1" applyProtection="1">
      <alignment horizontal="center" vertical="center" shrinkToFit="1"/>
      <protection hidden="1"/>
    </xf>
    <xf numFmtId="0" fontId="10" fillId="0" borderId="0" xfId="0" applyFont="1" applyBorder="1" applyAlignment="1" applyProtection="1">
      <alignment horizontal="center"/>
      <protection hidden="1"/>
    </xf>
    <xf numFmtId="0" fontId="48" fillId="0" borderId="0" xfId="0" applyFont="1" applyBorder="1" applyAlignment="1" applyProtection="1">
      <alignment horizontal="center" vertical="top"/>
      <protection hidden="1"/>
    </xf>
    <xf numFmtId="1" fontId="30" fillId="0" borderId="15" xfId="0" applyNumberFormat="1" applyFont="1" applyBorder="1" applyAlignment="1" applyProtection="1">
      <alignment horizontal="center" vertical="center"/>
      <protection hidden="1"/>
    </xf>
    <xf numFmtId="1" fontId="30" fillId="0" borderId="17" xfId="0" applyNumberFormat="1" applyFont="1" applyBorder="1" applyAlignment="1" applyProtection="1">
      <alignment horizontal="center" vertical="center"/>
      <protection hidden="1"/>
    </xf>
    <xf numFmtId="0" fontId="30" fillId="12" borderId="26" xfId="0" applyFont="1" applyFill="1" applyBorder="1" applyAlignment="1" applyProtection="1">
      <alignment horizontal="center" vertical="center"/>
      <protection hidden="1"/>
    </xf>
    <xf numFmtId="0" fontId="30" fillId="12" borderId="27" xfId="0" applyFont="1" applyFill="1" applyBorder="1" applyAlignment="1" applyProtection="1">
      <alignment horizontal="center" vertical="center"/>
      <protection hidden="1"/>
    </xf>
    <xf numFmtId="0" fontId="30" fillId="12" borderId="28" xfId="0" applyFont="1" applyFill="1" applyBorder="1" applyAlignment="1" applyProtection="1">
      <alignment horizontal="center" vertical="center"/>
      <protection hidden="1"/>
    </xf>
    <xf numFmtId="0" fontId="16" fillId="0" borderId="116" xfId="0" applyFont="1" applyFill="1" applyBorder="1" applyAlignment="1" applyProtection="1">
      <alignment horizontal="center" vertical="center"/>
      <protection hidden="1"/>
    </xf>
    <xf numFmtId="1" fontId="21" fillId="4" borderId="6" xfId="0" applyNumberFormat="1" applyFont="1" applyFill="1" applyBorder="1" applyAlignment="1" applyProtection="1">
      <alignment horizontal="center" vertical="center"/>
      <protection hidden="1"/>
    </xf>
    <xf numFmtId="1" fontId="21" fillId="4" borderId="7" xfId="0" applyNumberFormat="1" applyFont="1" applyFill="1" applyBorder="1" applyAlignment="1" applyProtection="1">
      <alignment horizontal="center" vertical="center"/>
      <protection hidden="1"/>
    </xf>
    <xf numFmtId="1" fontId="21" fillId="4" borderId="8" xfId="0" applyNumberFormat="1" applyFont="1" applyFill="1" applyBorder="1" applyAlignment="1" applyProtection="1">
      <alignment horizontal="center" vertical="center"/>
      <protection hidden="1"/>
    </xf>
    <xf numFmtId="1" fontId="21" fillId="4" borderId="9" xfId="0" applyNumberFormat="1" applyFont="1" applyFill="1" applyBorder="1" applyAlignment="1" applyProtection="1">
      <alignment horizontal="center" vertical="center"/>
      <protection hidden="1"/>
    </xf>
    <xf numFmtId="1" fontId="21" fillId="4" borderId="10" xfId="0" applyNumberFormat="1" applyFont="1" applyFill="1" applyBorder="1" applyAlignment="1" applyProtection="1">
      <alignment horizontal="center" vertical="center"/>
      <protection hidden="1"/>
    </xf>
    <xf numFmtId="1" fontId="21" fillId="4" borderId="11" xfId="0" applyNumberFormat="1" applyFont="1" applyFill="1" applyBorder="1" applyAlignment="1" applyProtection="1">
      <alignment horizontal="center" vertical="center"/>
      <protection hidden="1"/>
    </xf>
    <xf numFmtId="0" fontId="62" fillId="0" borderId="7" xfId="0" applyFont="1" applyBorder="1" applyAlignment="1" applyProtection="1">
      <alignment horizontal="center"/>
      <protection hidden="1"/>
    </xf>
    <xf numFmtId="0" fontId="4" fillId="12" borderId="43" xfId="0" applyFont="1" applyFill="1" applyBorder="1" applyAlignment="1" applyProtection="1">
      <alignment horizontal="center" vertical="center" wrapText="1"/>
      <protection locked="0" hidden="1"/>
    </xf>
    <xf numFmtId="0" fontId="4" fillId="12" borderId="46" xfId="0" applyFont="1" applyFill="1" applyBorder="1" applyAlignment="1" applyProtection="1">
      <alignment horizontal="center" vertical="center" wrapText="1"/>
      <protection locked="0" hidden="1"/>
    </xf>
    <xf numFmtId="0" fontId="48" fillId="0" borderId="0" xfId="0" applyFont="1" applyBorder="1" applyAlignment="1" applyProtection="1">
      <alignment horizontal="right"/>
      <protection hidden="1"/>
    </xf>
    <xf numFmtId="0" fontId="48" fillId="0" borderId="0" xfId="0" applyFont="1" applyBorder="1" applyAlignment="1" applyProtection="1">
      <alignment horizontal="left"/>
      <protection hidden="1"/>
    </xf>
    <xf numFmtId="0" fontId="9" fillId="7" borderId="43" xfId="0" applyFont="1" applyFill="1" applyBorder="1" applyAlignment="1" applyProtection="1">
      <alignment horizontal="center" vertical="center"/>
      <protection hidden="1"/>
    </xf>
    <xf numFmtId="0" fontId="9" fillId="7" borderId="46" xfId="0" applyFont="1" applyFill="1" applyBorder="1" applyAlignment="1" applyProtection="1">
      <alignment horizontal="center" vertical="center"/>
      <protection hidden="1"/>
    </xf>
    <xf numFmtId="0" fontId="2" fillId="12" borderId="65" xfId="0" applyFont="1" applyFill="1" applyBorder="1" applyAlignment="1" applyProtection="1">
      <alignment horizontal="left" vertical="center"/>
      <protection locked="0"/>
    </xf>
    <xf numFmtId="0" fontId="2" fillId="12" borderId="66" xfId="0" applyFont="1" applyFill="1" applyBorder="1" applyAlignment="1" applyProtection="1">
      <alignment horizontal="left" vertical="center"/>
      <protection locked="0"/>
    </xf>
    <xf numFmtId="0" fontId="16" fillId="0" borderId="87" xfId="0" applyFont="1" applyFill="1" applyBorder="1" applyAlignment="1" applyProtection="1">
      <alignment horizontal="center" vertical="center"/>
      <protection hidden="1"/>
    </xf>
    <xf numFmtId="0" fontId="16" fillId="0" borderId="86" xfId="0" applyFont="1" applyFill="1" applyBorder="1" applyAlignment="1" applyProtection="1">
      <alignment horizontal="center" vertical="center"/>
      <protection hidden="1"/>
    </xf>
    <xf numFmtId="0" fontId="16" fillId="0" borderId="102" xfId="0" applyFont="1" applyFill="1" applyBorder="1" applyAlignment="1" applyProtection="1">
      <alignment horizontal="center" vertical="center"/>
      <protection hidden="1"/>
    </xf>
    <xf numFmtId="0" fontId="16" fillId="0" borderId="105" xfId="0" applyFont="1" applyFill="1" applyBorder="1" applyAlignment="1" applyProtection="1">
      <alignment horizontal="center" vertical="center"/>
      <protection hidden="1"/>
    </xf>
    <xf numFmtId="0" fontId="16" fillId="12" borderId="68" xfId="0" applyFont="1" applyFill="1" applyBorder="1" applyAlignment="1" applyProtection="1">
      <alignment horizontal="center" vertical="center"/>
      <protection hidden="1"/>
    </xf>
    <xf numFmtId="0" fontId="16" fillId="0" borderId="101" xfId="0" applyFont="1" applyFill="1" applyBorder="1" applyAlignment="1" applyProtection="1">
      <alignment horizontal="center" vertical="center"/>
      <protection hidden="1"/>
    </xf>
    <xf numFmtId="0" fontId="16" fillId="0" borderId="104" xfId="0" applyFont="1" applyFill="1" applyBorder="1" applyAlignment="1" applyProtection="1">
      <alignment horizontal="center" vertical="center"/>
      <protection hidden="1"/>
    </xf>
    <xf numFmtId="0" fontId="18" fillId="12" borderId="111" xfId="0" applyFont="1" applyFill="1" applyBorder="1" applyAlignment="1" applyProtection="1">
      <alignment horizontal="center" vertical="center"/>
      <protection hidden="1"/>
    </xf>
    <xf numFmtId="0" fontId="18" fillId="12" borderId="66" xfId="0" applyFont="1" applyFill="1" applyBorder="1" applyAlignment="1" applyProtection="1">
      <alignment horizontal="center" vertical="center"/>
      <protection hidden="1"/>
    </xf>
    <xf numFmtId="0" fontId="16" fillId="0" borderId="85" xfId="0" applyFont="1" applyFill="1" applyBorder="1" applyAlignment="1" applyProtection="1">
      <alignment horizontal="center" vertical="center"/>
      <protection hidden="1"/>
    </xf>
    <xf numFmtId="0" fontId="18" fillId="12" borderId="108" xfId="0" applyFont="1" applyFill="1" applyBorder="1" applyAlignment="1" applyProtection="1">
      <alignment horizontal="center" vertical="center"/>
      <protection hidden="1"/>
    </xf>
    <xf numFmtId="0" fontId="18" fillId="12" borderId="60" xfId="0" applyFont="1" applyFill="1" applyBorder="1" applyAlignment="1" applyProtection="1">
      <alignment horizontal="center" vertical="center"/>
      <protection hidden="1"/>
    </xf>
    <xf numFmtId="0" fontId="18" fillId="12" borderId="109" xfId="0" applyFont="1" applyFill="1" applyBorder="1" applyAlignment="1" applyProtection="1">
      <alignment horizontal="center" vertical="center"/>
      <protection hidden="1"/>
    </xf>
    <xf numFmtId="0" fontId="18" fillId="12" borderId="63" xfId="0" applyFont="1" applyFill="1" applyBorder="1" applyAlignment="1" applyProtection="1">
      <alignment horizontal="center" vertical="center"/>
      <protection hidden="1"/>
    </xf>
    <xf numFmtId="0" fontId="18" fillId="12" borderId="110" xfId="0" applyFont="1" applyFill="1" applyBorder="1" applyAlignment="1" applyProtection="1">
      <alignment horizontal="center" vertical="center"/>
      <protection hidden="1"/>
    </xf>
    <xf numFmtId="0" fontId="18" fillId="12" borderId="47" xfId="0" applyFont="1" applyFill="1" applyBorder="1" applyAlignment="1" applyProtection="1">
      <alignment horizontal="center" vertical="center"/>
      <protection hidden="1"/>
    </xf>
    <xf numFmtId="0" fontId="16" fillId="12" borderId="58" xfId="0" applyFont="1" applyFill="1" applyBorder="1" applyAlignment="1" applyProtection="1">
      <alignment horizontal="center" vertical="center"/>
      <protection hidden="1"/>
    </xf>
    <xf numFmtId="0" fontId="2" fillId="12" borderId="65" xfId="0" applyFont="1" applyFill="1" applyBorder="1" applyAlignment="1" applyProtection="1">
      <alignment horizontal="left" vertical="center"/>
    </xf>
    <xf numFmtId="0" fontId="2" fillId="12" borderId="66" xfId="0" applyFont="1" applyFill="1" applyBorder="1" applyAlignment="1" applyProtection="1">
      <alignment horizontal="left" vertical="center"/>
    </xf>
    <xf numFmtId="0" fontId="36" fillId="7" borderId="54" xfId="0" applyFont="1" applyFill="1" applyBorder="1" applyAlignment="1" applyProtection="1">
      <alignment horizontal="center" vertical="center"/>
      <protection hidden="1"/>
    </xf>
    <xf numFmtId="0" fontId="36" fillId="7" borderId="0" xfId="0" applyFont="1" applyFill="1" applyBorder="1" applyAlignment="1" applyProtection="1">
      <alignment horizontal="center" vertical="center"/>
      <protection hidden="1"/>
    </xf>
    <xf numFmtId="0" fontId="36" fillId="7" borderId="47" xfId="0" applyFont="1" applyFill="1" applyBorder="1" applyAlignment="1" applyProtection="1">
      <alignment horizontal="center" vertical="center"/>
      <protection hidden="1"/>
    </xf>
    <xf numFmtId="0" fontId="36" fillId="18" borderId="54" xfId="0" applyFont="1" applyFill="1" applyBorder="1" applyAlignment="1" applyProtection="1">
      <alignment horizontal="center" vertical="center"/>
      <protection hidden="1"/>
    </xf>
    <xf numFmtId="0" fontId="36" fillId="18" borderId="0" xfId="0" applyFont="1" applyFill="1" applyBorder="1" applyAlignment="1" applyProtection="1">
      <alignment horizontal="center" vertical="center"/>
      <protection hidden="1"/>
    </xf>
    <xf numFmtId="0" fontId="36" fillId="19" borderId="0" xfId="0" applyFont="1" applyFill="1" applyBorder="1" applyAlignment="1" applyProtection="1">
      <alignment horizontal="center" vertical="center"/>
      <protection hidden="1"/>
    </xf>
    <xf numFmtId="0" fontId="36" fillId="19" borderId="47" xfId="0" applyFont="1" applyFill="1" applyBorder="1" applyAlignment="1" applyProtection="1">
      <alignment horizontal="center" vertical="center"/>
      <protection hidden="1"/>
    </xf>
    <xf numFmtId="0" fontId="7" fillId="0" borderId="54" xfId="0" applyFont="1" applyBorder="1" applyAlignment="1" applyProtection="1">
      <alignment horizontal="center" vertical="center"/>
      <protection hidden="1"/>
    </xf>
    <xf numFmtId="0" fontId="7" fillId="0" borderId="0" xfId="0" applyFont="1" applyBorder="1" applyAlignment="1" applyProtection="1">
      <alignment horizontal="center" vertical="center"/>
      <protection hidden="1"/>
    </xf>
    <xf numFmtId="10" fontId="7" fillId="0" borderId="54" xfId="0" applyNumberFormat="1" applyFont="1" applyBorder="1" applyAlignment="1" applyProtection="1">
      <alignment horizontal="center" vertical="center"/>
      <protection hidden="1"/>
    </xf>
    <xf numFmtId="10" fontId="7" fillId="0" borderId="0" xfId="0" applyNumberFormat="1" applyFont="1" applyBorder="1" applyAlignment="1" applyProtection="1">
      <alignment horizontal="center" vertical="center"/>
      <protection hidden="1"/>
    </xf>
    <xf numFmtId="10" fontId="7" fillId="0" borderId="47" xfId="0" applyNumberFormat="1" applyFont="1" applyBorder="1" applyAlignment="1" applyProtection="1">
      <alignment horizontal="center" vertical="center"/>
      <protection hidden="1"/>
    </xf>
    <xf numFmtId="0" fontId="4" fillId="5" borderId="43" xfId="0" applyFont="1" applyFill="1" applyBorder="1" applyAlignment="1" applyProtection="1">
      <alignment horizontal="center" vertical="center" wrapText="1"/>
      <protection locked="0" hidden="1"/>
    </xf>
    <xf numFmtId="0" fontId="4" fillId="5" borderId="46" xfId="0" applyFont="1" applyFill="1" applyBorder="1" applyAlignment="1" applyProtection="1">
      <alignment horizontal="center" vertical="center" wrapText="1"/>
      <protection locked="0" hidden="1"/>
    </xf>
    <xf numFmtId="0" fontId="16" fillId="12" borderId="79" xfId="0" applyFont="1" applyFill="1" applyBorder="1" applyAlignment="1" applyProtection="1">
      <alignment horizontal="center" vertical="center"/>
      <protection hidden="1"/>
    </xf>
    <xf numFmtId="0" fontId="16" fillId="12" borderId="72" xfId="0" applyFont="1" applyFill="1" applyBorder="1" applyAlignment="1" applyProtection="1">
      <alignment horizontal="center" vertical="center"/>
      <protection hidden="1"/>
    </xf>
    <xf numFmtId="0" fontId="16" fillId="12" borderId="90" xfId="0" applyFont="1" applyFill="1" applyBorder="1" applyAlignment="1" applyProtection="1">
      <alignment horizontal="center" vertical="center"/>
      <protection hidden="1"/>
    </xf>
    <xf numFmtId="0" fontId="16" fillId="12" borderId="115" xfId="0" applyFont="1" applyFill="1" applyBorder="1" applyAlignment="1" applyProtection="1">
      <alignment horizontal="center" vertical="center"/>
      <protection hidden="1"/>
    </xf>
    <xf numFmtId="0" fontId="19" fillId="7" borderId="49" xfId="0" applyFont="1" applyFill="1" applyBorder="1" applyAlignment="1" applyProtection="1">
      <alignment horizontal="center" vertical="center" wrapText="1"/>
    </xf>
    <xf numFmtId="0" fontId="19" fillId="7" borderId="43" xfId="0" applyFont="1" applyFill="1" applyBorder="1" applyAlignment="1" applyProtection="1">
      <alignment horizontal="center" vertical="center" wrapText="1"/>
    </xf>
    <xf numFmtId="0" fontId="19" fillId="7" borderId="46" xfId="0" applyFont="1" applyFill="1" applyBorder="1" applyAlignment="1" applyProtection="1">
      <alignment horizontal="center" vertical="center" wrapText="1"/>
    </xf>
    <xf numFmtId="0" fontId="47" fillId="7" borderId="49" xfId="0" applyFont="1" applyFill="1" applyBorder="1" applyAlignment="1" applyProtection="1">
      <alignment horizontal="center" vertical="center"/>
      <protection hidden="1"/>
    </xf>
    <xf numFmtId="0" fontId="47" fillId="7" borderId="43" xfId="0" applyFont="1" applyFill="1" applyBorder="1" applyAlignment="1" applyProtection="1">
      <alignment horizontal="center" vertical="center"/>
      <protection hidden="1"/>
    </xf>
    <xf numFmtId="0" fontId="16" fillId="12" borderId="116" xfId="0" applyFont="1" applyFill="1" applyBorder="1" applyAlignment="1" applyProtection="1">
      <alignment horizontal="center" vertical="center"/>
      <protection hidden="1"/>
    </xf>
    <xf numFmtId="0" fontId="18" fillId="12" borderId="62" xfId="0" applyFont="1" applyFill="1" applyBorder="1" applyAlignment="1" applyProtection="1">
      <alignment horizontal="center" vertical="center"/>
      <protection hidden="1"/>
    </xf>
    <xf numFmtId="0" fontId="9" fillId="7" borderId="43" xfId="0" applyFont="1" applyFill="1" applyBorder="1" applyAlignment="1" applyProtection="1">
      <alignment horizontal="left" vertical="center" indent="2"/>
      <protection hidden="1"/>
    </xf>
    <xf numFmtId="0" fontId="35" fillId="12" borderId="54" xfId="0" applyFont="1" applyFill="1" applyBorder="1" applyAlignment="1" applyProtection="1">
      <alignment horizontal="left" vertical="center"/>
      <protection hidden="1"/>
    </xf>
    <xf numFmtId="0" fontId="35" fillId="12" borderId="0" xfId="0" applyFont="1" applyFill="1" applyBorder="1" applyAlignment="1" applyProtection="1">
      <alignment horizontal="left" vertical="center"/>
      <protection hidden="1"/>
    </xf>
    <xf numFmtId="0" fontId="18" fillId="12" borderId="91" xfId="0" applyFont="1" applyFill="1" applyBorder="1" applyAlignment="1" applyProtection="1">
      <alignment horizontal="center" vertical="center"/>
      <protection hidden="1"/>
    </xf>
    <xf numFmtId="0" fontId="55" fillId="7" borderId="55" xfId="0" applyFont="1" applyFill="1" applyBorder="1" applyAlignment="1" applyProtection="1">
      <alignment horizontal="left" vertical="top" wrapText="1"/>
      <protection hidden="1"/>
    </xf>
    <xf numFmtId="0" fontId="49" fillId="7" borderId="56" xfId="0" applyFont="1" applyFill="1" applyBorder="1" applyAlignment="1" applyProtection="1">
      <alignment horizontal="left" vertical="top"/>
      <protection hidden="1"/>
    </xf>
    <xf numFmtId="0" fontId="50" fillId="7" borderId="56" xfId="0" applyFont="1" applyFill="1" applyBorder="1" applyAlignment="1">
      <alignment horizontal="left" vertical="top"/>
    </xf>
    <xf numFmtId="0" fontId="50" fillId="7" borderId="57" xfId="0" applyFont="1" applyFill="1" applyBorder="1" applyAlignment="1">
      <alignment horizontal="left" vertical="top"/>
    </xf>
    <xf numFmtId="166" fontId="2" fillId="12" borderId="93" xfId="0" applyNumberFormat="1" applyFont="1" applyFill="1" applyBorder="1" applyAlignment="1" applyProtection="1">
      <alignment horizontal="left" vertical="center"/>
    </xf>
    <xf numFmtId="166" fontId="2" fillId="12" borderId="65" xfId="0" applyNumberFormat="1" applyFont="1" applyFill="1" applyBorder="1" applyAlignment="1" applyProtection="1">
      <alignment horizontal="left" vertical="center"/>
    </xf>
    <xf numFmtId="166" fontId="2" fillId="12" borderId="66" xfId="0" applyNumberFormat="1" applyFont="1" applyFill="1" applyBorder="1" applyAlignment="1" applyProtection="1">
      <alignment horizontal="left" vertical="center"/>
    </xf>
    <xf numFmtId="166" fontId="2" fillId="12" borderId="79" xfId="0" applyNumberFormat="1" applyFont="1" applyFill="1" applyBorder="1" applyAlignment="1" applyProtection="1">
      <alignment horizontal="left" vertical="center"/>
    </xf>
    <xf numFmtId="166" fontId="2" fillId="12" borderId="62" xfId="0" applyNumberFormat="1" applyFont="1" applyFill="1" applyBorder="1" applyAlignment="1" applyProtection="1">
      <alignment horizontal="left" vertical="center"/>
    </xf>
    <xf numFmtId="166" fontId="2" fillId="12" borderId="63" xfId="0" applyNumberFormat="1" applyFont="1" applyFill="1" applyBorder="1" applyAlignment="1" applyProtection="1">
      <alignment horizontal="left" vertical="center"/>
    </xf>
    <xf numFmtId="166" fontId="2" fillId="12" borderId="92" xfId="0" applyNumberFormat="1" applyFont="1" applyFill="1" applyBorder="1" applyAlignment="1" applyProtection="1">
      <alignment horizontal="left" vertical="center"/>
    </xf>
    <xf numFmtId="166" fontId="2" fillId="12" borderId="0" xfId="0" applyNumberFormat="1" applyFont="1" applyFill="1" applyBorder="1" applyAlignment="1" applyProtection="1">
      <alignment horizontal="left" vertical="center"/>
    </xf>
    <xf numFmtId="166" fontId="2" fillId="12" borderId="47" xfId="0" applyNumberFormat="1" applyFont="1" applyFill="1" applyBorder="1" applyAlignment="1" applyProtection="1">
      <alignment horizontal="left" vertical="center"/>
    </xf>
    <xf numFmtId="166" fontId="3" fillId="12" borderId="65" xfId="0" applyNumberFormat="1" applyFont="1" applyFill="1" applyBorder="1" applyAlignment="1" applyProtection="1">
      <alignment horizontal="left" vertical="center"/>
    </xf>
    <xf numFmtId="166" fontId="3" fillId="12" borderId="66" xfId="0" applyNumberFormat="1" applyFont="1" applyFill="1" applyBorder="1" applyAlignment="1" applyProtection="1">
      <alignment horizontal="left" vertical="center"/>
    </xf>
    <xf numFmtId="166" fontId="3" fillId="12" borderId="62" xfId="0" applyNumberFormat="1" applyFont="1" applyFill="1" applyBorder="1" applyAlignment="1" applyProtection="1">
      <alignment horizontal="left" vertical="center"/>
    </xf>
    <xf numFmtId="166" fontId="3" fillId="12" borderId="63" xfId="0" applyNumberFormat="1" applyFont="1" applyFill="1" applyBorder="1" applyAlignment="1" applyProtection="1">
      <alignment horizontal="left" vertical="center"/>
    </xf>
    <xf numFmtId="166" fontId="3" fillId="12" borderId="0" xfId="0" applyNumberFormat="1" applyFont="1" applyFill="1" applyBorder="1" applyAlignment="1" applyProtection="1">
      <alignment horizontal="left" vertical="center"/>
    </xf>
    <xf numFmtId="166" fontId="3" fillId="12" borderId="47" xfId="0" applyNumberFormat="1" applyFont="1" applyFill="1" applyBorder="1" applyAlignment="1" applyProtection="1">
      <alignment horizontal="left" vertical="center"/>
    </xf>
    <xf numFmtId="166" fontId="3" fillId="12" borderId="40" xfId="0" applyNumberFormat="1" applyFont="1" applyFill="1" applyBorder="1" applyAlignment="1" applyProtection="1">
      <alignment horizontal="left" vertical="center"/>
    </xf>
    <xf numFmtId="166" fontId="3" fillId="12" borderId="64" xfId="0" applyNumberFormat="1" applyFont="1" applyFill="1" applyBorder="1" applyAlignment="1" applyProtection="1">
      <alignment horizontal="left" vertical="center"/>
    </xf>
    <xf numFmtId="0" fontId="19" fillId="8" borderId="49" xfId="0" applyFont="1" applyFill="1" applyBorder="1" applyAlignment="1" applyProtection="1">
      <alignment horizontal="center" vertical="center" wrapText="1"/>
    </xf>
    <xf numFmtId="0" fontId="19" fillId="8" borderId="46" xfId="0" applyFont="1" applyFill="1" applyBorder="1" applyAlignment="1" applyProtection="1">
      <alignment horizontal="center" vertical="center" wrapText="1"/>
    </xf>
    <xf numFmtId="166" fontId="30" fillId="12" borderId="43" xfId="0" applyNumberFormat="1" applyFont="1" applyFill="1" applyBorder="1" applyAlignment="1" applyProtection="1">
      <alignment horizontal="center" vertical="center"/>
      <protection hidden="1"/>
    </xf>
    <xf numFmtId="166" fontId="30" fillId="12" borderId="46" xfId="0" applyNumberFormat="1" applyFont="1" applyFill="1" applyBorder="1" applyAlignment="1" applyProtection="1">
      <alignment horizontal="center" vertical="center"/>
      <protection hidden="1"/>
    </xf>
    <xf numFmtId="0" fontId="68" fillId="12" borderId="94" xfId="0" applyFont="1" applyFill="1" applyBorder="1" applyAlignment="1" applyProtection="1">
      <alignment horizontal="center" vertical="center"/>
      <protection hidden="1"/>
    </xf>
    <xf numFmtId="0" fontId="68" fillId="12" borderId="40" xfId="0" applyFont="1" applyFill="1" applyBorder="1" applyAlignment="1" applyProtection="1">
      <alignment horizontal="center" vertical="center"/>
      <protection hidden="1"/>
    </xf>
    <xf numFmtId="0" fontId="68" fillId="12" borderId="64" xfId="0" applyFont="1" applyFill="1" applyBorder="1" applyAlignment="1" applyProtection="1">
      <alignment horizontal="center" vertical="center"/>
      <protection hidden="1"/>
    </xf>
    <xf numFmtId="0" fontId="68" fillId="12" borderId="89" xfId="0" applyFont="1" applyFill="1" applyBorder="1" applyAlignment="1" applyProtection="1">
      <alignment horizontal="center" vertical="center"/>
      <protection hidden="1"/>
    </xf>
    <xf numFmtId="0" fontId="68" fillId="12" borderId="56" xfId="0" applyFont="1" applyFill="1" applyBorder="1" applyAlignment="1" applyProtection="1">
      <alignment horizontal="center" vertical="center"/>
      <protection hidden="1"/>
    </xf>
    <xf numFmtId="0" fontId="68" fillId="12" borderId="57" xfId="0" applyFont="1" applyFill="1" applyBorder="1" applyAlignment="1" applyProtection="1">
      <alignment horizontal="center" vertical="center"/>
      <protection hidden="1"/>
    </xf>
    <xf numFmtId="0" fontId="16" fillId="12" borderId="83" xfId="0" applyFont="1" applyFill="1" applyBorder="1" applyAlignment="1" applyProtection="1">
      <alignment horizontal="center" vertical="center"/>
      <protection hidden="1"/>
    </xf>
    <xf numFmtId="0" fontId="19" fillId="7" borderId="51" xfId="0" applyFont="1" applyFill="1" applyBorder="1" applyAlignment="1" applyProtection="1">
      <alignment horizontal="center" vertical="center" wrapText="1"/>
    </xf>
    <xf numFmtId="0" fontId="19" fillId="7" borderId="50" xfId="0" applyFont="1" applyFill="1" applyBorder="1" applyAlignment="1" applyProtection="1">
      <alignment horizontal="center" vertical="center" wrapText="1"/>
    </xf>
    <xf numFmtId="14" fontId="2" fillId="12" borderId="93" xfId="0" applyNumberFormat="1" applyFont="1" applyFill="1" applyBorder="1" applyAlignment="1" applyProtection="1">
      <alignment horizontal="left" vertical="center"/>
    </xf>
    <xf numFmtId="14" fontId="2" fillId="12" borderId="65" xfId="0" applyNumberFormat="1" applyFont="1" applyFill="1" applyBorder="1" applyAlignment="1" applyProtection="1">
      <alignment horizontal="left" vertical="center"/>
    </xf>
    <xf numFmtId="14" fontId="2" fillId="12" borderId="66" xfId="0" applyNumberFormat="1" applyFont="1" applyFill="1" applyBorder="1" applyAlignment="1" applyProtection="1">
      <alignment horizontal="left" vertical="center"/>
    </xf>
    <xf numFmtId="166" fontId="2" fillId="12" borderId="94" xfId="0" applyNumberFormat="1" applyFont="1" applyFill="1" applyBorder="1" applyAlignment="1" applyProtection="1">
      <alignment horizontal="left" vertical="center"/>
    </xf>
    <xf numFmtId="166" fontId="2" fillId="12" borderId="40" xfId="0" applyNumberFormat="1" applyFont="1" applyFill="1" applyBorder="1" applyAlignment="1" applyProtection="1">
      <alignment horizontal="left" vertical="center"/>
    </xf>
    <xf numFmtId="166" fontId="2" fillId="12" borderId="64" xfId="0" applyNumberFormat="1" applyFont="1" applyFill="1" applyBorder="1" applyAlignment="1" applyProtection="1">
      <alignment horizontal="left" vertical="center"/>
    </xf>
    <xf numFmtId="0" fontId="2" fillId="0" borderId="49" xfId="0" applyFont="1" applyFill="1" applyBorder="1" applyAlignment="1" applyProtection="1">
      <alignment horizontal="center" vertical="center"/>
      <protection hidden="1"/>
    </xf>
    <xf numFmtId="0" fontId="2" fillId="0" borderId="95" xfId="0" applyFont="1" applyFill="1" applyBorder="1" applyAlignment="1" applyProtection="1">
      <alignment horizontal="center" vertical="center"/>
      <protection hidden="1"/>
    </xf>
    <xf numFmtId="0" fontId="16" fillId="12" borderId="93" xfId="0" applyFont="1" applyFill="1" applyBorder="1" applyAlignment="1" applyProtection="1">
      <alignment horizontal="center" vertical="center"/>
      <protection hidden="1"/>
    </xf>
    <xf numFmtId="0" fontId="16" fillId="12" borderId="71" xfId="0" applyFont="1" applyFill="1" applyBorder="1" applyAlignment="1" applyProtection="1">
      <alignment horizontal="center" vertical="center"/>
      <protection hidden="1"/>
    </xf>
    <xf numFmtId="0" fontId="18" fillId="12" borderId="93" xfId="0" applyFont="1" applyFill="1" applyBorder="1" applyAlignment="1" applyProtection="1">
      <alignment horizontal="center" vertical="center"/>
      <protection hidden="1"/>
    </xf>
    <xf numFmtId="0" fontId="19" fillId="7" borderId="42" xfId="0" applyFont="1" applyFill="1" applyBorder="1" applyAlignment="1" applyProtection="1">
      <alignment horizontal="center" vertical="center" wrapText="1"/>
      <protection hidden="1"/>
    </xf>
    <xf numFmtId="0" fontId="18" fillId="12" borderId="79" xfId="0" applyFont="1" applyFill="1" applyBorder="1" applyAlignment="1" applyProtection="1">
      <alignment horizontal="center" vertical="center"/>
      <protection hidden="1"/>
    </xf>
    <xf numFmtId="0" fontId="5" fillId="0" borderId="52" xfId="0" applyFont="1" applyBorder="1" applyAlignment="1" applyProtection="1">
      <alignment horizontal="center" vertical="center" wrapText="1"/>
      <protection hidden="1"/>
    </xf>
    <xf numFmtId="0" fontId="5" fillId="0" borderId="41" xfId="0" applyFont="1" applyBorder="1" applyAlignment="1" applyProtection="1">
      <alignment horizontal="center" vertical="center" wrapText="1"/>
      <protection hidden="1"/>
    </xf>
    <xf numFmtId="0" fontId="5" fillId="0" borderId="53" xfId="0" applyFont="1" applyBorder="1" applyAlignment="1" applyProtection="1">
      <alignment horizontal="center" vertical="center" wrapText="1"/>
      <protection hidden="1"/>
    </xf>
    <xf numFmtId="0" fontId="5" fillId="0" borderId="54" xfId="0" applyFont="1" applyBorder="1" applyAlignment="1" applyProtection="1">
      <alignment horizontal="center" vertical="center" wrapText="1"/>
      <protection hidden="1"/>
    </xf>
    <xf numFmtId="0" fontId="5" fillId="0" borderId="0" xfId="0" applyFont="1" applyBorder="1" applyAlignment="1" applyProtection="1">
      <alignment horizontal="center" vertical="center" wrapText="1"/>
      <protection hidden="1"/>
    </xf>
    <xf numFmtId="0" fontId="5" fillId="0" borderId="47" xfId="0" applyFont="1" applyBorder="1" applyAlignment="1" applyProtection="1">
      <alignment horizontal="center" vertical="center" wrapText="1"/>
      <protection hidden="1"/>
    </xf>
    <xf numFmtId="10" fontId="7" fillId="0" borderId="55" xfId="0" applyNumberFormat="1" applyFont="1" applyBorder="1" applyAlignment="1" applyProtection="1">
      <alignment horizontal="center" vertical="center"/>
      <protection hidden="1"/>
    </xf>
    <xf numFmtId="10" fontId="7" fillId="0" borderId="56" xfId="0" applyNumberFormat="1" applyFont="1" applyBorder="1" applyAlignment="1" applyProtection="1">
      <alignment horizontal="center" vertical="center"/>
      <protection hidden="1"/>
    </xf>
    <xf numFmtId="10" fontId="7" fillId="0" borderId="57" xfId="0" applyNumberFormat="1" applyFont="1" applyBorder="1" applyAlignment="1" applyProtection="1">
      <alignment horizontal="center" vertical="center"/>
      <protection hidden="1"/>
    </xf>
    <xf numFmtId="0" fontId="16" fillId="12" borderId="136" xfId="0" applyFont="1" applyFill="1" applyBorder="1" applyAlignment="1" applyProtection="1">
      <alignment horizontal="center" vertical="center"/>
      <protection hidden="1"/>
    </xf>
    <xf numFmtId="0" fontId="16" fillId="12" borderId="84" xfId="0" applyFont="1" applyFill="1" applyBorder="1" applyAlignment="1" applyProtection="1">
      <alignment horizontal="center" vertical="center"/>
      <protection hidden="1"/>
    </xf>
    <xf numFmtId="0" fontId="16" fillId="12" borderId="81" xfId="0" applyFont="1" applyFill="1" applyBorder="1" applyAlignment="1" applyProtection="1">
      <alignment horizontal="center" vertical="center"/>
      <protection hidden="1"/>
    </xf>
    <xf numFmtId="0" fontId="15" fillId="0" borderId="5" xfId="0" applyFont="1" applyBorder="1" applyAlignment="1">
      <alignment horizontal="center" vertical="center" wrapText="1"/>
    </xf>
    <xf numFmtId="0" fontId="26" fillId="7" borderId="18" xfId="0" applyFont="1" applyFill="1" applyBorder="1" applyAlignment="1">
      <alignment horizontal="left" vertical="top" wrapText="1"/>
    </xf>
    <xf numFmtId="0" fontId="26" fillId="7" borderId="0" xfId="0" applyFont="1" applyFill="1" applyBorder="1" applyAlignment="1">
      <alignment horizontal="left" vertical="top" wrapText="1"/>
    </xf>
    <xf numFmtId="0" fontId="30" fillId="0" borderId="121" xfId="1" applyFont="1" applyFill="1" applyBorder="1" applyAlignment="1" applyProtection="1">
      <alignment horizontal="left" wrapText="1"/>
    </xf>
    <xf numFmtId="0" fontId="30" fillId="0" borderId="12" xfId="1" applyFont="1" applyFill="1" applyBorder="1" applyAlignment="1" applyProtection="1">
      <alignment horizontal="left" wrapText="1"/>
    </xf>
    <xf numFmtId="0" fontId="30" fillId="0" borderId="122" xfId="1" applyFont="1" applyFill="1" applyBorder="1" applyAlignment="1" applyProtection="1">
      <alignment horizontal="left" wrapText="1"/>
    </xf>
    <xf numFmtId="0" fontId="30" fillId="0" borderId="20" xfId="1" applyFont="1" applyFill="1" applyBorder="1" applyAlignment="1" applyProtection="1">
      <alignment horizontal="left" wrapText="1"/>
    </xf>
    <xf numFmtId="0" fontId="30" fillId="0" borderId="0" xfId="1" applyFont="1" applyFill="1" applyBorder="1" applyAlignment="1" applyProtection="1">
      <alignment horizontal="left" wrapText="1"/>
    </xf>
    <xf numFmtId="0" fontId="30" fillId="0" borderId="21" xfId="1" applyFont="1" applyFill="1" applyBorder="1" applyAlignment="1" applyProtection="1">
      <alignment horizontal="left" wrapText="1"/>
    </xf>
    <xf numFmtId="0" fontId="30" fillId="0" borderId="13" xfId="1" applyFont="1" applyFill="1" applyBorder="1" applyAlignment="1" applyProtection="1">
      <alignment horizontal="left" wrapText="1"/>
    </xf>
    <xf numFmtId="0" fontId="30" fillId="0" borderId="5" xfId="1" applyFont="1" applyFill="1" applyBorder="1" applyAlignment="1" applyProtection="1">
      <alignment horizontal="left" wrapText="1"/>
    </xf>
    <xf numFmtId="0" fontId="30" fillId="0" borderId="14" xfId="1" applyFont="1" applyFill="1" applyBorder="1" applyAlignment="1" applyProtection="1">
      <alignment horizontal="left" wrapText="1"/>
    </xf>
    <xf numFmtId="0" fontId="30" fillId="0" borderId="12" xfId="1" applyFont="1" applyFill="1" applyBorder="1" applyAlignment="1" applyProtection="1">
      <alignment horizontal="left" vertical="center" wrapText="1"/>
    </xf>
    <xf numFmtId="0" fontId="30" fillId="0" borderId="122" xfId="1" applyFont="1" applyFill="1" applyBorder="1" applyAlignment="1" applyProtection="1">
      <alignment horizontal="left" vertical="center" wrapText="1"/>
    </xf>
    <xf numFmtId="0" fontId="21" fillId="0" borderId="0" xfId="1" applyFont="1" applyFill="1" applyAlignment="1" applyProtection="1">
      <alignment horizontal="left" wrapText="1"/>
    </xf>
    <xf numFmtId="0" fontId="7" fillId="0" borderId="0" xfId="6" applyFont="1" applyFill="1" applyAlignment="1" applyProtection="1">
      <alignment horizontal="left" indent="2"/>
    </xf>
    <xf numFmtId="0" fontId="2" fillId="0" borderId="0" xfId="1" applyFill="1" applyAlignment="1" applyProtection="1">
      <alignment horizontal="left" vertical="top" wrapText="1"/>
    </xf>
    <xf numFmtId="0" fontId="30" fillId="0" borderId="0" xfId="1" applyFont="1" applyFill="1" applyAlignment="1" applyProtection="1">
      <alignment horizontal="left" vertical="top" wrapText="1" indent="2"/>
    </xf>
    <xf numFmtId="0" fontId="2" fillId="0" borderId="0" xfId="1" applyFill="1" applyAlignment="1" applyProtection="1">
      <alignment horizontal="left" vertical="top" wrapText="1" indent="2"/>
    </xf>
    <xf numFmtId="0" fontId="21" fillId="0" borderId="0" xfId="1" applyFont="1" applyFill="1" applyAlignment="1" applyProtection="1">
      <alignment horizontal="left"/>
    </xf>
    <xf numFmtId="0" fontId="2" fillId="0" borderId="0" xfId="1" applyFill="1" applyAlignment="1" applyProtection="1">
      <alignment horizontal="left" vertical="top" indent="2"/>
    </xf>
    <xf numFmtId="0" fontId="70" fillId="0" borderId="0" xfId="6" applyFont="1" applyFill="1" applyAlignment="1" applyProtection="1">
      <alignment horizontal="right"/>
    </xf>
    <xf numFmtId="0" fontId="30" fillId="0" borderId="0" xfId="1" applyFont="1" applyFill="1" applyAlignment="1" applyProtection="1">
      <alignment horizontal="left" indent="2"/>
    </xf>
    <xf numFmtId="0" fontId="21" fillId="9" borderId="0" xfId="1" applyFont="1" applyFill="1" applyAlignment="1" applyProtection="1">
      <alignment horizontal="left" vertical="center"/>
    </xf>
    <xf numFmtId="0" fontId="71" fillId="7" borderId="49" xfId="0" applyFont="1" applyFill="1" applyBorder="1" applyAlignment="1" applyProtection="1">
      <alignment horizontal="left" vertical="center" wrapText="1"/>
      <protection hidden="1"/>
    </xf>
    <xf numFmtId="0" fontId="71" fillId="7" borderId="43" xfId="0" applyFont="1" applyFill="1" applyBorder="1" applyAlignment="1" applyProtection="1">
      <alignment horizontal="left" vertical="center" wrapText="1"/>
      <protection hidden="1"/>
    </xf>
    <xf numFmtId="0" fontId="52" fillId="2" borderId="0" xfId="1" applyFont="1" applyFill="1" applyAlignment="1" applyProtection="1">
      <alignment horizontal="left" vertical="top" wrapText="1"/>
    </xf>
    <xf numFmtId="0" fontId="51" fillId="0" borderId="0" xfId="1" applyFont="1" applyFill="1" applyAlignment="1" applyProtection="1">
      <alignment horizontal="left" indent="3"/>
    </xf>
    <xf numFmtId="0" fontId="8" fillId="12" borderId="0" xfId="6" applyFont="1" applyFill="1" applyAlignment="1" applyProtection="1">
      <alignment horizontal="left" indent="2"/>
    </xf>
    <xf numFmtId="0" fontId="21" fillId="12" borderId="0" xfId="1" applyFont="1" applyFill="1" applyAlignment="1" applyProtection="1">
      <alignment horizontal="left" wrapText="1"/>
    </xf>
    <xf numFmtId="0" fontId="21" fillId="12" borderId="0" xfId="1" applyFont="1" applyFill="1" applyAlignment="1" applyProtection="1">
      <alignment horizontal="left"/>
    </xf>
    <xf numFmtId="0" fontId="2" fillId="0" borderId="0" xfId="1" applyFont="1" applyFill="1" applyAlignment="1" applyProtection="1">
      <alignment horizontal="left" vertical="top" wrapText="1" indent="2"/>
    </xf>
    <xf numFmtId="0" fontId="30" fillId="0" borderId="0" xfId="1" applyFont="1" applyFill="1" applyAlignment="1" applyProtection="1">
      <alignment horizontal="center" wrapText="1"/>
    </xf>
    <xf numFmtId="0" fontId="2" fillId="0" borderId="0" xfId="1" applyFill="1" applyAlignment="1" applyProtection="1">
      <alignment vertical="top"/>
    </xf>
    <xf numFmtId="0" fontId="2" fillId="0" borderId="0" xfId="1" applyFont="1" applyFill="1" applyAlignment="1" applyProtection="1">
      <alignment horizontal="left" vertical="top" indent="2"/>
    </xf>
    <xf numFmtId="0" fontId="2" fillId="0" borderId="0" xfId="6" applyFont="1" applyFill="1" applyAlignment="1" applyProtection="1">
      <alignment horizontal="left" wrapText="1"/>
    </xf>
    <xf numFmtId="0" fontId="30" fillId="0" borderId="121" xfId="1" applyFont="1" applyFill="1" applyBorder="1" applyAlignment="1" applyProtection="1">
      <alignment horizontal="left" vertical="center" wrapText="1"/>
    </xf>
    <xf numFmtId="0" fontId="30" fillId="0" borderId="13" xfId="1" applyFont="1" applyFill="1" applyBorder="1" applyAlignment="1" applyProtection="1">
      <alignment horizontal="left" vertical="center" wrapText="1"/>
    </xf>
    <xf numFmtId="0" fontId="30" fillId="0" borderId="5" xfId="1" applyFont="1" applyFill="1" applyBorder="1" applyAlignment="1" applyProtection="1">
      <alignment horizontal="left" vertical="center" wrapText="1"/>
    </xf>
    <xf numFmtId="0" fontId="30" fillId="0" borderId="14" xfId="1" applyFont="1" applyFill="1" applyBorder="1" applyAlignment="1" applyProtection="1">
      <alignment horizontal="left" vertical="center" wrapText="1"/>
    </xf>
    <xf numFmtId="0" fontId="30" fillId="0" borderId="3" xfId="1" applyFont="1" applyFill="1" applyBorder="1" applyAlignment="1" applyProtection="1">
      <alignment horizontal="left" vertical="center" wrapText="1"/>
    </xf>
    <xf numFmtId="0" fontId="30" fillId="0" borderId="2" xfId="1" applyFont="1" applyFill="1" applyBorder="1" applyAlignment="1" applyProtection="1">
      <alignment horizontal="left" vertical="center" wrapText="1"/>
    </xf>
    <xf numFmtId="0" fontId="30" fillId="0" borderId="4" xfId="1" applyFont="1" applyFill="1" applyBorder="1" applyAlignment="1" applyProtection="1">
      <alignment horizontal="left" vertical="center" wrapText="1"/>
    </xf>
    <xf numFmtId="0" fontId="2" fillId="0" borderId="0" xfId="1" applyFill="1" applyAlignment="1" applyProtection="1">
      <alignment horizontal="left" vertical="top"/>
    </xf>
    <xf numFmtId="0" fontId="4" fillId="0" borderId="0" xfId="1" applyFont="1" applyFill="1" applyAlignment="1" applyProtection="1">
      <alignment horizontal="center" vertical="center"/>
    </xf>
    <xf numFmtId="0" fontId="32" fillId="0" borderId="0" xfId="6" applyFont="1" applyFill="1" applyAlignment="1" applyProtection="1">
      <alignment horizontal="center"/>
    </xf>
    <xf numFmtId="0" fontId="30" fillId="0" borderId="0" xfId="1" applyFont="1" applyFill="1" applyAlignment="1" applyProtection="1">
      <alignment horizontal="left"/>
    </xf>
    <xf numFmtId="0" fontId="96" fillId="7" borderId="0" xfId="1" applyFont="1" applyFill="1" applyAlignment="1" applyProtection="1">
      <alignment horizontal="left" vertical="center"/>
    </xf>
    <xf numFmtId="0" fontId="87" fillId="0" borderId="0" xfId="0" applyFont="1" applyBorder="1" applyAlignment="1">
      <alignment horizontal="center" vertical="top" textRotation="255"/>
    </xf>
    <xf numFmtId="0" fontId="87" fillId="0" borderId="0" xfId="0" applyFont="1" applyAlignment="1">
      <alignment horizontal="center" vertical="top" textRotation="255"/>
    </xf>
    <xf numFmtId="0" fontId="40" fillId="7" borderId="0" xfId="0" applyFont="1" applyFill="1" applyBorder="1" applyAlignment="1">
      <alignment horizontal="center" vertical="center"/>
    </xf>
    <xf numFmtId="0" fontId="24" fillId="7" borderId="10" xfId="0" applyFont="1" applyFill="1" applyBorder="1" applyAlignment="1">
      <alignment horizontal="center" vertical="center"/>
    </xf>
    <xf numFmtId="0" fontId="40" fillId="7" borderId="0" xfId="0" applyFont="1" applyFill="1" applyAlignment="1">
      <alignment horizontal="center" vertical="center"/>
    </xf>
    <xf numFmtId="0" fontId="40" fillId="7" borderId="10" xfId="0" applyFont="1" applyFill="1" applyBorder="1" applyAlignment="1">
      <alignment horizontal="center" vertical="center"/>
    </xf>
    <xf numFmtId="0" fontId="85" fillId="17" borderId="30" xfId="0" applyFont="1" applyFill="1" applyBorder="1" applyAlignment="1">
      <alignment horizontal="center" vertical="center" wrapText="1"/>
    </xf>
    <xf numFmtId="0" fontId="85" fillId="17" borderId="33" xfId="0" applyFont="1" applyFill="1" applyBorder="1" applyAlignment="1">
      <alignment horizontal="center" vertical="center" wrapText="1"/>
    </xf>
    <xf numFmtId="0" fontId="83" fillId="0" borderId="7" xfId="5" applyFont="1" applyFill="1" applyBorder="1" applyAlignment="1">
      <alignment horizontal="center" wrapText="1" readingOrder="1"/>
    </xf>
    <xf numFmtId="0" fontId="83" fillId="0" borderId="0" xfId="5" applyFont="1" applyFill="1" applyBorder="1" applyAlignment="1">
      <alignment horizontal="center" wrapText="1" readingOrder="1"/>
    </xf>
    <xf numFmtId="0" fontId="83" fillId="0" borderId="130" xfId="5" applyFont="1" applyFill="1" applyBorder="1" applyAlignment="1">
      <alignment horizontal="center" wrapText="1" readingOrder="1"/>
    </xf>
    <xf numFmtId="0" fontId="45" fillId="0" borderId="132" xfId="5" applyFont="1" applyFill="1" applyBorder="1" applyAlignment="1">
      <alignment horizontal="center" wrapText="1" readingOrder="1"/>
    </xf>
    <xf numFmtId="0" fontId="45" fillId="0" borderId="133" xfId="5" applyFont="1" applyFill="1" applyBorder="1" applyAlignment="1">
      <alignment horizontal="center" wrapText="1" readingOrder="1"/>
    </xf>
    <xf numFmtId="0" fontId="45" fillId="0" borderId="134" xfId="5" applyFont="1" applyFill="1" applyBorder="1" applyAlignment="1">
      <alignment horizontal="center" wrapText="1" readingOrder="1"/>
    </xf>
    <xf numFmtId="0" fontId="85" fillId="17" borderId="29" xfId="0" applyFont="1" applyFill="1" applyBorder="1" applyAlignment="1">
      <alignment horizontal="center" vertical="center" wrapText="1"/>
    </xf>
    <xf numFmtId="0" fontId="40" fillId="7" borderId="10" xfId="0" applyFont="1" applyFill="1" applyBorder="1" applyAlignment="1">
      <alignment horizontal="center" vertical="center" wrapText="1"/>
    </xf>
  </cellXfs>
  <cellStyles count="7">
    <cellStyle name="Hyperlink" xfId="6" builtinId="8"/>
    <cellStyle name="Normal" xfId="0" builtinId="0"/>
    <cellStyle name="Normal 2" xfId="1"/>
    <cellStyle name="Normal 3" xfId="2"/>
    <cellStyle name="Normal 4" xfId="3"/>
    <cellStyle name="Normal 5" xfId="5"/>
    <cellStyle name="Percent" xfId="4" builtinId="5"/>
  </cellStyles>
  <dxfs count="71">
    <dxf>
      <fill>
        <patternFill>
          <bgColor rgb="FFFF0000"/>
        </patternFill>
      </fill>
    </dxf>
    <dxf>
      <fill>
        <patternFill>
          <bgColor rgb="FFFF0000"/>
        </patternFill>
      </fill>
    </dxf>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ill>
        <patternFill>
          <bgColor rgb="FFC00000"/>
        </patternFill>
      </fill>
    </dxf>
    <dxf>
      <font>
        <color theme="0"/>
      </font>
    </dxf>
    <dxf>
      <fill>
        <patternFill>
          <bgColor rgb="FFF3696B"/>
        </patternFill>
      </fill>
    </dxf>
    <dxf>
      <font>
        <color theme="0"/>
      </font>
      <fill>
        <patternFill>
          <bgColor rgb="FFFF0000"/>
        </patternFill>
      </fill>
    </dxf>
    <dxf>
      <font>
        <color theme="0"/>
      </font>
    </dxf>
    <dxf>
      <font>
        <b/>
        <i val="0"/>
        <color auto="1"/>
      </font>
      <fill>
        <gradientFill type="path" left="0.5" right="0.5" top="0.5" bottom="0.5">
          <stop position="0">
            <color theme="0"/>
          </stop>
          <stop position="1">
            <color rgb="FFFF0000"/>
          </stop>
        </gradientFill>
      </fill>
    </dxf>
    <dxf>
      <fill>
        <patternFill>
          <bgColor indexed="10"/>
        </patternFill>
      </fill>
    </dxf>
    <dxf>
      <fill>
        <patternFill>
          <bgColor rgb="FFFF6E73"/>
        </patternFill>
      </fill>
    </dxf>
    <dxf>
      <fill>
        <patternFill>
          <bgColor rgb="FFF3696B"/>
        </patternFill>
      </fill>
    </dxf>
    <dxf>
      <font>
        <color theme="0"/>
      </font>
    </dxf>
    <dxf>
      <font>
        <color theme="0"/>
      </font>
    </dxf>
    <dxf>
      <font>
        <color theme="0"/>
      </font>
      <fill>
        <patternFill>
          <bgColor rgb="FFE16E73"/>
        </patternFill>
      </fill>
    </dxf>
    <dxf>
      <font>
        <b/>
        <i val="0"/>
        <color auto="1"/>
      </font>
      <fill>
        <gradientFill type="path" left="0.5" right="0.5" top="0.5" bottom="0.5">
          <stop position="0">
            <color theme="0"/>
          </stop>
          <stop position="1">
            <color rgb="FFFF0000"/>
          </stop>
        </gradientFill>
      </fill>
    </dxf>
    <dxf>
      <fill>
        <patternFill>
          <bgColor rgb="FFE16E7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594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FF6600"/>
      <rgbColor rgb="00666699"/>
      <rgbColor rgb="00969696"/>
      <rgbColor rgb="003333CC"/>
      <rgbColor rgb="00336666"/>
      <rgbColor rgb="00003300"/>
      <rgbColor rgb="00333300"/>
      <rgbColor rgb="00B20000"/>
      <rgbColor rgb="00993366"/>
      <rgbColor rgb="00333399"/>
      <rgbColor rgb="00424242"/>
    </indexedColors>
    <mruColors>
      <color rgb="FF003C7F"/>
      <color rgb="FFF3696B"/>
      <color rgb="FF5ABE7B"/>
      <color rgb="FF00A89F"/>
      <color rgb="FFFF6E73"/>
      <color rgb="FFCBD4DD"/>
      <color rgb="FFE16E73"/>
      <color rgb="FF008080"/>
      <color rgb="FFCBD4E7"/>
      <color rgb="FF47556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4</xdr:col>
      <xdr:colOff>209550</xdr:colOff>
      <xdr:row>33</xdr:row>
      <xdr:rowOff>123825</xdr:rowOff>
    </xdr:from>
    <xdr:to>
      <xdr:col>5</xdr:col>
      <xdr:colOff>95250</xdr:colOff>
      <xdr:row>34</xdr:row>
      <xdr:rowOff>47625</xdr:rowOff>
    </xdr:to>
    <xdr:sp macro="" textlink="">
      <xdr:nvSpPr>
        <xdr:cNvPr id="4" name="AutoShape 33"/>
        <xdr:cNvSpPr>
          <a:spLocks noChangeArrowheads="1"/>
        </xdr:cNvSpPr>
      </xdr:nvSpPr>
      <xdr:spPr bwMode="auto">
        <a:xfrm>
          <a:off x="2190750" y="712470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2</xdr:col>
          <xdr:colOff>9525</xdr:colOff>
          <xdr:row>10</xdr:row>
          <xdr:rowOff>9525</xdr:rowOff>
        </xdr:from>
        <xdr:to>
          <xdr:col>7</xdr:col>
          <xdr:colOff>276225</xdr:colOff>
          <xdr:row>10</xdr:row>
          <xdr:rowOff>209550</xdr:rowOff>
        </xdr:to>
        <xdr:sp macro="" textlink="">
          <xdr:nvSpPr>
            <xdr:cNvPr id="7376" name="ComboBox1" hidden="1">
              <a:extLst>
                <a:ext uri="{63B3BB69-23CF-44E3-9099-C40C66FF867C}">
                  <a14:compatExt spid="_x0000_s73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11</xdr:row>
          <xdr:rowOff>0</xdr:rowOff>
        </xdr:from>
        <xdr:to>
          <xdr:col>7</xdr:col>
          <xdr:colOff>276225</xdr:colOff>
          <xdr:row>11</xdr:row>
          <xdr:rowOff>200025</xdr:rowOff>
        </xdr:to>
        <xdr:sp macro="" textlink="">
          <xdr:nvSpPr>
            <xdr:cNvPr id="7377" name="ComboBox2" hidden="1">
              <a:extLst>
                <a:ext uri="{63B3BB69-23CF-44E3-9099-C40C66FF867C}">
                  <a14:compatExt spid="_x0000_s7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38100</xdr:colOff>
          <xdr:row>6</xdr:row>
          <xdr:rowOff>28575</xdr:rowOff>
        </xdr:from>
        <xdr:to>
          <xdr:col>20</xdr:col>
          <xdr:colOff>552450</xdr:colOff>
          <xdr:row>8</xdr:row>
          <xdr:rowOff>28575</xdr:rowOff>
        </xdr:to>
        <xdr:sp macro="" textlink="">
          <xdr:nvSpPr>
            <xdr:cNvPr id="7380" name="Button 212" hidden="1">
              <a:extLst>
                <a:ext uri="{63B3BB69-23CF-44E3-9099-C40C66FF867C}">
                  <a14:compatExt spid="_x0000_s73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Instructions</a:t>
              </a:r>
            </a:p>
          </xdr:txBody>
        </xdr:sp>
        <xdr:clientData fPrintsWithSheet="0"/>
      </xdr:twoCellAnchor>
    </mc:Choice>
    <mc:Fallback/>
  </mc:AlternateContent>
  <xdr:twoCellAnchor editAs="oneCell">
    <xdr:from>
      <xdr:col>13</xdr:col>
      <xdr:colOff>66675</xdr:colOff>
      <xdr:row>1</xdr:row>
      <xdr:rowOff>115036</xdr:rowOff>
    </xdr:from>
    <xdr:to>
      <xdr:col>17</xdr:col>
      <xdr:colOff>599889</xdr:colOff>
      <xdr:row>2</xdr:row>
      <xdr:rowOff>153084</xdr:rowOff>
    </xdr:to>
    <xdr:pic>
      <xdr:nvPicPr>
        <xdr:cNvPr id="2" name="Picture 1"/>
        <xdr:cNvPicPr>
          <a:picLocks noChangeAspect="1"/>
        </xdr:cNvPicPr>
      </xdr:nvPicPr>
      <xdr:blipFill>
        <a:blip xmlns:r="http://schemas.openxmlformats.org/officeDocument/2006/relationships" r:embed="rId1"/>
        <a:stretch>
          <a:fillRect/>
        </a:stretch>
      </xdr:blipFill>
      <xdr:spPr>
        <a:xfrm>
          <a:off x="5218281" y="240685"/>
          <a:ext cx="1485714" cy="41904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xdr:col>
          <xdr:colOff>9525</xdr:colOff>
          <xdr:row>3</xdr:row>
          <xdr:rowOff>9525</xdr:rowOff>
        </xdr:from>
        <xdr:to>
          <xdr:col>18</xdr:col>
          <xdr:colOff>0</xdr:colOff>
          <xdr:row>4</xdr:row>
          <xdr:rowOff>9525</xdr:rowOff>
        </xdr:to>
        <xdr:sp macro="" textlink="">
          <xdr:nvSpPr>
            <xdr:cNvPr id="7382" name="ComboBox3" hidden="1">
              <a:extLst>
                <a:ext uri="{63B3BB69-23CF-44E3-9099-C40C66FF867C}">
                  <a14:compatExt spid="_x0000_s73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209550</xdr:colOff>
      <xdr:row>33</xdr:row>
      <xdr:rowOff>127635</xdr:rowOff>
    </xdr:from>
    <xdr:to>
      <xdr:col>5</xdr:col>
      <xdr:colOff>95250</xdr:colOff>
      <xdr:row>34</xdr:row>
      <xdr:rowOff>51435</xdr:rowOff>
    </xdr:to>
    <xdr:sp macro="" textlink="">
      <xdr:nvSpPr>
        <xdr:cNvPr id="4" name="AutoShape 33"/>
        <xdr:cNvSpPr>
          <a:spLocks noChangeArrowheads="1"/>
        </xdr:cNvSpPr>
      </xdr:nvSpPr>
      <xdr:spPr bwMode="auto">
        <a:xfrm>
          <a:off x="2190750" y="712851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19</xdr:col>
          <xdr:colOff>571500</xdr:colOff>
          <xdr:row>1</xdr:row>
          <xdr:rowOff>352425</xdr:rowOff>
        </xdr:from>
        <xdr:to>
          <xdr:col>23</xdr:col>
          <xdr:colOff>228600</xdr:colOff>
          <xdr:row>4</xdr:row>
          <xdr:rowOff>142875</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PDF Export</a:t>
              </a:r>
            </a:p>
          </xdr:txBody>
        </xdr:sp>
        <xdr:clientData fPrintsWithSheet="0"/>
      </xdr:twoCellAnchor>
    </mc:Choice>
    <mc:Fallback/>
  </mc:AlternateContent>
  <xdr:twoCellAnchor editAs="oneCell">
    <xdr:from>
      <xdr:col>13</xdr:col>
      <xdr:colOff>65256</xdr:colOff>
      <xdr:row>1</xdr:row>
      <xdr:rowOff>117345</xdr:rowOff>
    </xdr:from>
    <xdr:to>
      <xdr:col>17</xdr:col>
      <xdr:colOff>598470</xdr:colOff>
      <xdr:row>2</xdr:row>
      <xdr:rowOff>155393</xdr:rowOff>
    </xdr:to>
    <xdr:pic>
      <xdr:nvPicPr>
        <xdr:cNvPr id="6" name="Picture 5"/>
        <xdr:cNvPicPr>
          <a:picLocks noChangeAspect="1"/>
        </xdr:cNvPicPr>
      </xdr:nvPicPr>
      <xdr:blipFill>
        <a:blip xmlns:r="http://schemas.openxmlformats.org/officeDocument/2006/relationships" r:embed="rId1"/>
        <a:stretch>
          <a:fillRect/>
        </a:stretch>
      </xdr:blipFill>
      <xdr:spPr>
        <a:xfrm>
          <a:off x="5216862" y="242994"/>
          <a:ext cx="1485714" cy="4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438150</xdr:colOff>
          <xdr:row>1</xdr:row>
          <xdr:rowOff>676275</xdr:rowOff>
        </xdr:from>
        <xdr:to>
          <xdr:col>13</xdr:col>
          <xdr:colOff>2009775</xdr:colOff>
          <xdr:row>1</xdr:row>
          <xdr:rowOff>895350</xdr:rowOff>
        </xdr:to>
        <xdr:sp macro="" textlink="">
          <xdr:nvSpPr>
            <xdr:cNvPr id="11281" name="ComboBox2" hidden="1">
              <a:extLst>
                <a:ext uri="{63B3BB69-23CF-44E3-9099-C40C66FF867C}">
                  <a14:compatExt spid="_x0000_s112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13</xdr:col>
      <xdr:colOff>1961029</xdr:colOff>
      <xdr:row>0</xdr:row>
      <xdr:rowOff>437030</xdr:rowOff>
    </xdr:from>
    <xdr:to>
      <xdr:col>15</xdr:col>
      <xdr:colOff>412625</xdr:colOff>
      <xdr:row>0</xdr:row>
      <xdr:rowOff>1103697</xdr:rowOff>
    </xdr:to>
    <xdr:pic>
      <xdr:nvPicPr>
        <xdr:cNvPr id="2" name="Picture 1"/>
        <xdr:cNvPicPr>
          <a:picLocks noChangeAspect="1"/>
        </xdr:cNvPicPr>
      </xdr:nvPicPr>
      <xdr:blipFill>
        <a:blip xmlns:r="http://schemas.openxmlformats.org/officeDocument/2006/relationships" r:embed="rId1"/>
        <a:stretch>
          <a:fillRect/>
        </a:stretch>
      </xdr:blipFill>
      <xdr:spPr>
        <a:xfrm>
          <a:off x="22736735" y="437030"/>
          <a:ext cx="2485714" cy="66666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2276474</xdr:colOff>
      <xdr:row>0</xdr:row>
      <xdr:rowOff>142875</xdr:rowOff>
    </xdr:from>
    <xdr:to>
      <xdr:col>5</xdr:col>
      <xdr:colOff>3695513</xdr:colOff>
      <xdr:row>0</xdr:row>
      <xdr:rowOff>561923</xdr:rowOff>
    </xdr:to>
    <xdr:pic>
      <xdr:nvPicPr>
        <xdr:cNvPr id="9" name="Picture 8"/>
        <xdr:cNvPicPr>
          <a:picLocks noChangeAspect="1"/>
        </xdr:cNvPicPr>
      </xdr:nvPicPr>
      <xdr:blipFill>
        <a:blip xmlns:r="http://schemas.openxmlformats.org/officeDocument/2006/relationships" r:embed="rId1"/>
        <a:stretch>
          <a:fillRect/>
        </a:stretch>
      </xdr:blipFill>
      <xdr:spPr>
        <a:xfrm>
          <a:off x="6572249" y="142875"/>
          <a:ext cx="1419039" cy="41904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489585</xdr:colOff>
      <xdr:row>0</xdr:row>
      <xdr:rowOff>112395</xdr:rowOff>
    </xdr:from>
    <xdr:to>
      <xdr:col>6</xdr:col>
      <xdr:colOff>1617344</xdr:colOff>
      <xdr:row>0</xdr:row>
      <xdr:rowOff>441734</xdr:rowOff>
    </xdr:to>
    <xdr:pic>
      <xdr:nvPicPr>
        <xdr:cNvPr id="2" name="Picture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370" t="27154" r="12773" b="26030"/>
        <a:stretch/>
      </xdr:blipFill>
      <xdr:spPr>
        <a:xfrm>
          <a:off x="10563225" y="112395"/>
          <a:ext cx="1127759" cy="3293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171450</xdr:rowOff>
    </xdr:from>
    <xdr:to>
      <xdr:col>58</xdr:col>
      <xdr:colOff>66489</xdr:colOff>
      <xdr:row>0</xdr:row>
      <xdr:rowOff>590498</xdr:rowOff>
    </xdr:to>
    <xdr:pic>
      <xdr:nvPicPr>
        <xdr:cNvPr id="3" name="Picture 2"/>
        <xdr:cNvPicPr>
          <a:picLocks noChangeAspect="1"/>
        </xdr:cNvPicPr>
      </xdr:nvPicPr>
      <xdr:blipFill>
        <a:blip xmlns:r="http://schemas.openxmlformats.org/officeDocument/2006/relationships" r:embed="rId1"/>
        <a:stretch>
          <a:fillRect/>
        </a:stretch>
      </xdr:blipFill>
      <xdr:spPr>
        <a:xfrm>
          <a:off x="0" y="171450"/>
          <a:ext cx="1485714" cy="41904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lobal.sdl.corp\maidenhead\Users\marta.nowak\Desktop\New%20report\QRF-121_XXX_XXXXXX_XXX_XX_V2_new%20def.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Report_Initial"/>
      <sheetName val="Evaluation Report_Final Result"/>
      <sheetName val="Evaluation details_input"/>
      <sheetName val="Errors &amp; Weighting definitions"/>
      <sheetName val="Meta Rules &amp; FAQs"/>
      <sheetName val="old"/>
      <sheetName val="RCA form"/>
      <sheetName val="Sheet1"/>
      <sheetName val="Client-specific requirements"/>
      <sheetName val="Office mapping"/>
      <sheetName val="VLOOKUP"/>
      <sheetName val="Adequacy scoring"/>
    </sheetNames>
    <sheetDataSet>
      <sheetData sheetId="0">
        <row r="11">
          <cell r="L11" t="str">
            <v>Publishable</v>
          </cell>
        </row>
      </sheetData>
      <sheetData sheetId="1"/>
      <sheetData sheetId="2"/>
      <sheetData sheetId="3"/>
      <sheetData sheetId="4"/>
      <sheetData sheetId="5"/>
      <sheetData sheetId="6"/>
      <sheetData sheetId="7">
        <row r="2">
          <cell r="B2" t="str">
            <v>Brazil</v>
          </cell>
          <cell r="C2" t="str">
            <v>Acholi</v>
          </cell>
          <cell r="D2" t="str">
            <v>Aerospace</v>
          </cell>
          <cell r="E2" t="str">
            <v>Conventional</v>
          </cell>
          <cell r="G2" t="str">
            <v>Minor Error</v>
          </cell>
          <cell r="L2" t="str">
            <v>Not in compliance with client's instructions</v>
          </cell>
          <cell r="P2" t="str">
            <v>Implemented</v>
          </cell>
        </row>
        <row r="3">
          <cell r="B3" t="str">
            <v>Chile</v>
          </cell>
          <cell r="C3" t="str">
            <v>Afrikaans</v>
          </cell>
          <cell r="D3" t="str">
            <v>Automotive</v>
          </cell>
          <cell r="E3" t="str">
            <v>i-MT post-edit</v>
          </cell>
          <cell r="G3" t="str">
            <v>Serious Error</v>
          </cell>
          <cell r="L3" t="str">
            <v xml:space="preserve">Inconsistent with previous translations </v>
          </cell>
          <cell r="P3" t="str">
            <v>Not Implemented</v>
          </cell>
        </row>
        <row r="4">
          <cell r="B4" t="str">
            <v>China</v>
          </cell>
          <cell r="C4" t="str">
            <v>Akan</v>
          </cell>
          <cell r="D4" t="str">
            <v>Commercial</v>
          </cell>
          <cell r="G4" t="str">
            <v>Critical Error</v>
          </cell>
          <cell r="L4" t="str">
            <v>Preferential improvement</v>
          </cell>
          <cell r="P4" t="str">
            <v>Invalid</v>
          </cell>
        </row>
        <row r="5">
          <cell r="B5" t="str">
            <v>Croatia</v>
          </cell>
          <cell r="C5" t="str">
            <v>Albanian</v>
          </cell>
          <cell r="D5" t="str">
            <v>Consumer Electronics</v>
          </cell>
          <cell r="G5" t="str">
            <v>Repeated</v>
          </cell>
          <cell r="L5" t="str">
            <v>Files &amp; TMs not available / owned by client</v>
          </cell>
        </row>
        <row r="6">
          <cell r="B6" t="str">
            <v>Czech Republic</v>
          </cell>
          <cell r="C6" t="str">
            <v>Amharic</v>
          </cell>
          <cell r="D6" t="str">
            <v>Defence</v>
          </cell>
          <cell r="G6" t="str">
            <v>Preferential improvement</v>
          </cell>
        </row>
        <row r="7">
          <cell r="B7" t="str">
            <v>Denmark</v>
          </cell>
          <cell r="C7" t="str">
            <v>Arabic</v>
          </cell>
          <cell r="D7" t="str">
            <v>Energy &amp; Utilities</v>
          </cell>
        </row>
        <row r="8">
          <cell r="B8" t="str">
            <v>English Language Office</v>
          </cell>
          <cell r="C8" t="str">
            <v>Armenian</v>
          </cell>
          <cell r="D8" t="str">
            <v>Finance</v>
          </cell>
        </row>
        <row r="9">
          <cell r="B9" t="str">
            <v>Finland</v>
          </cell>
          <cell r="C9" t="str">
            <v>Assamese</v>
          </cell>
          <cell r="D9" t="str">
            <v>Games</v>
          </cell>
        </row>
        <row r="10">
          <cell r="B10" t="str">
            <v>France</v>
          </cell>
          <cell r="C10" t="str">
            <v>Aymara</v>
          </cell>
          <cell r="D10" t="str">
            <v>General</v>
          </cell>
        </row>
        <row r="11">
          <cell r="B11" t="str">
            <v>German Language Office</v>
          </cell>
          <cell r="C11" t="str">
            <v>Azerbaijani</v>
          </cell>
          <cell r="D11" t="str">
            <v>IT</v>
          </cell>
        </row>
        <row r="12">
          <cell r="B12" t="str">
            <v>Greece</v>
          </cell>
          <cell r="C12" t="str">
            <v>Azeri - Cyrillic</v>
          </cell>
          <cell r="D12" t="str">
            <v>Legal</v>
          </cell>
        </row>
        <row r="13">
          <cell r="B13" t="str">
            <v>Hungary</v>
          </cell>
          <cell r="C13" t="str">
            <v>Basque</v>
          </cell>
          <cell r="D13" t="str">
            <v>Life Sciences</v>
          </cell>
        </row>
        <row r="14">
          <cell r="B14" t="str">
            <v>India</v>
          </cell>
          <cell r="C14" t="str">
            <v>Belarusian</v>
          </cell>
          <cell r="D14" t="str">
            <v>Manufacturing</v>
          </cell>
        </row>
        <row r="15">
          <cell r="B15" t="str">
            <v>Italy</v>
          </cell>
          <cell r="C15" t="str">
            <v>Bemba</v>
          </cell>
          <cell r="D15" t="str">
            <v>Mechanical Engineering</v>
          </cell>
        </row>
        <row r="16">
          <cell r="B16" t="str">
            <v>Japan</v>
          </cell>
          <cell r="C16" t="str">
            <v>Bengali</v>
          </cell>
          <cell r="D16" t="str">
            <v>Patents</v>
          </cell>
        </row>
        <row r="17">
          <cell r="B17" t="str">
            <v xml:space="preserve">Korea </v>
          </cell>
          <cell r="C17" t="str">
            <v>Bengali - Bangladesh</v>
          </cell>
          <cell r="D17" t="str">
            <v>Telecommunications</v>
          </cell>
        </row>
        <row r="18">
          <cell r="B18" t="str">
            <v>Lebanon</v>
          </cell>
          <cell r="C18" t="str">
            <v>Bosnian</v>
          </cell>
          <cell r="D18" t="str">
            <v>Travel &amp; Tourism</v>
          </cell>
        </row>
        <row r="19">
          <cell r="B19" t="str">
            <v>Montreal</v>
          </cell>
          <cell r="C19" t="str">
            <v>Bulgarian</v>
          </cell>
        </row>
        <row r="20">
          <cell r="B20" t="str">
            <v>Netherlands</v>
          </cell>
          <cell r="C20" t="str">
            <v>Burmese</v>
          </cell>
        </row>
        <row r="21">
          <cell r="B21" t="str">
            <v>Norway</v>
          </cell>
          <cell r="C21" t="str">
            <v>Catalan</v>
          </cell>
        </row>
        <row r="22">
          <cell r="B22" t="str">
            <v>Poland</v>
          </cell>
          <cell r="C22" t="str">
            <v>Cebuano</v>
          </cell>
        </row>
        <row r="23">
          <cell r="B23" t="str">
            <v>Portugal</v>
          </cell>
          <cell r="C23" t="str">
            <v>Chechen</v>
          </cell>
        </row>
        <row r="24">
          <cell r="B24" t="str">
            <v>Romania</v>
          </cell>
          <cell r="C24" t="str">
            <v>Chewa</v>
          </cell>
        </row>
        <row r="25">
          <cell r="B25" t="str">
            <v>Russia</v>
          </cell>
          <cell r="C25" t="str">
            <v>Chinese - Simplified</v>
          </cell>
        </row>
        <row r="26">
          <cell r="B26" t="str">
            <v>Singapore</v>
          </cell>
          <cell r="C26" t="str">
            <v>Chinese - HongKong</v>
          </cell>
        </row>
        <row r="27">
          <cell r="B27" t="str">
            <v>Slovenia</v>
          </cell>
          <cell r="C27" t="str">
            <v>Chinese - Traditional</v>
          </cell>
        </row>
        <row r="28">
          <cell r="B28" t="str">
            <v>Spain</v>
          </cell>
          <cell r="C28" t="str">
            <v>Cree Plains</v>
          </cell>
        </row>
        <row r="29">
          <cell r="B29" t="str">
            <v>Sweden</v>
          </cell>
          <cell r="C29" t="str">
            <v>Creole - Haitian</v>
          </cell>
        </row>
        <row r="30">
          <cell r="B30" t="str">
            <v>Taiwan</v>
          </cell>
          <cell r="C30" t="str">
            <v>Croatian</v>
          </cell>
        </row>
        <row r="31">
          <cell r="B31" t="str">
            <v>Thailand</v>
          </cell>
          <cell r="C31" t="str">
            <v>Czech</v>
          </cell>
        </row>
        <row r="32">
          <cell r="B32" t="str">
            <v>Turkey</v>
          </cell>
          <cell r="C32" t="str">
            <v>Danish</v>
          </cell>
        </row>
        <row r="33">
          <cell r="B33" t="str">
            <v>Vietnam</v>
          </cell>
          <cell r="C33" t="str">
            <v>Dari</v>
          </cell>
        </row>
        <row r="34">
          <cell r="B34" t="str">
            <v>External Vendor</v>
          </cell>
          <cell r="C34" t="str">
            <v>Dinka</v>
          </cell>
        </row>
        <row r="35">
          <cell r="C35" t="str">
            <v>Dutch - Netherlands</v>
          </cell>
        </row>
        <row r="36">
          <cell r="C36" t="str">
            <v>Dutch - Belgian</v>
          </cell>
        </row>
        <row r="37">
          <cell r="C37" t="str">
            <v>Dzongkha</v>
          </cell>
        </row>
        <row r="38">
          <cell r="C38" t="str">
            <v>Ebira</v>
          </cell>
        </row>
        <row r="39">
          <cell r="C39" t="str">
            <v>English - Australian</v>
          </cell>
        </row>
        <row r="40">
          <cell r="C40" t="str">
            <v>English - International</v>
          </cell>
        </row>
        <row r="41">
          <cell r="C41" t="str">
            <v>English - UK</v>
          </cell>
        </row>
        <row r="42">
          <cell r="C42" t="str">
            <v>English - US</v>
          </cell>
        </row>
        <row r="43">
          <cell r="C43" t="str">
            <v>English - Canada</v>
          </cell>
        </row>
        <row r="44">
          <cell r="C44" t="str">
            <v>English - New Zealand</v>
          </cell>
        </row>
        <row r="45">
          <cell r="C45" t="str">
            <v>English - South Africa</v>
          </cell>
        </row>
        <row r="46">
          <cell r="C46" t="str">
            <v>Estonian</v>
          </cell>
        </row>
        <row r="47">
          <cell r="C47" t="str">
            <v>Faroese</v>
          </cell>
        </row>
        <row r="48">
          <cell r="C48" t="str">
            <v>Farsi</v>
          </cell>
        </row>
        <row r="49">
          <cell r="C49" t="str">
            <v>Fijian</v>
          </cell>
        </row>
        <row r="50">
          <cell r="C50" t="str">
            <v>Filipino</v>
          </cell>
        </row>
        <row r="51">
          <cell r="C51" t="str">
            <v>Finnish</v>
          </cell>
        </row>
        <row r="52">
          <cell r="C52" t="str">
            <v>French - France</v>
          </cell>
        </row>
        <row r="53">
          <cell r="C53" t="str">
            <v>French - Canada</v>
          </cell>
        </row>
        <row r="54">
          <cell r="C54" t="str">
            <v>French - Swiss</v>
          </cell>
        </row>
        <row r="55">
          <cell r="C55" t="str">
            <v>French - Belgium</v>
          </cell>
        </row>
        <row r="56">
          <cell r="C56" t="str">
            <v>French - Luxembourg</v>
          </cell>
        </row>
        <row r="57">
          <cell r="C57" t="str">
            <v>Frisian</v>
          </cell>
        </row>
        <row r="58">
          <cell r="C58" t="str">
            <v>Fulani</v>
          </cell>
        </row>
        <row r="59">
          <cell r="C59" t="str">
            <v>Ga</v>
          </cell>
        </row>
        <row r="60">
          <cell r="C60" t="str">
            <v>Gaelic Irish</v>
          </cell>
        </row>
        <row r="61">
          <cell r="C61" t="str">
            <v>Gaelic Scots</v>
          </cell>
        </row>
        <row r="62">
          <cell r="C62" t="str">
            <v>Galician</v>
          </cell>
        </row>
        <row r="63">
          <cell r="C63" t="str">
            <v>Ganda</v>
          </cell>
        </row>
        <row r="64">
          <cell r="C64" t="str">
            <v>Georgian</v>
          </cell>
        </row>
        <row r="65">
          <cell r="C65" t="str">
            <v>German - Germany</v>
          </cell>
        </row>
        <row r="66">
          <cell r="C66" t="str">
            <v>German - Austrian</v>
          </cell>
        </row>
        <row r="67">
          <cell r="C67" t="str">
            <v>German - Swiss</v>
          </cell>
        </row>
        <row r="68">
          <cell r="C68" t="str">
            <v>Gikuyu</v>
          </cell>
        </row>
        <row r="69">
          <cell r="C69" t="str">
            <v>Greek</v>
          </cell>
        </row>
        <row r="70">
          <cell r="C70" t="str">
            <v>Greenlandic</v>
          </cell>
        </row>
        <row r="71">
          <cell r="C71" t="str">
            <v>Guarani</v>
          </cell>
        </row>
        <row r="72">
          <cell r="C72" t="str">
            <v>Gujarati</v>
          </cell>
        </row>
        <row r="73">
          <cell r="C73" t="str">
            <v>Gun</v>
          </cell>
        </row>
        <row r="74">
          <cell r="C74" t="str">
            <v>Hausa</v>
          </cell>
        </row>
        <row r="75">
          <cell r="C75" t="str">
            <v>Haya</v>
          </cell>
        </row>
        <row r="76">
          <cell r="C76" t="str">
            <v>Hebrew</v>
          </cell>
        </row>
        <row r="77">
          <cell r="C77" t="str">
            <v>Hiligaynon</v>
          </cell>
        </row>
        <row r="78">
          <cell r="C78" t="str">
            <v>Hindi</v>
          </cell>
        </row>
        <row r="79">
          <cell r="C79" t="str">
            <v>Hindi - Fiji</v>
          </cell>
        </row>
        <row r="80">
          <cell r="C80" t="str">
            <v>Hmong</v>
          </cell>
        </row>
        <row r="81">
          <cell r="C81" t="str">
            <v>Hungarian</v>
          </cell>
        </row>
        <row r="82">
          <cell r="C82" t="str">
            <v>Ibanag</v>
          </cell>
        </row>
        <row r="83">
          <cell r="C83" t="str">
            <v>Icelandic</v>
          </cell>
        </row>
        <row r="84">
          <cell r="C84" t="str">
            <v>Igbo</v>
          </cell>
        </row>
        <row r="85">
          <cell r="C85" t="str">
            <v>Ilocano</v>
          </cell>
        </row>
        <row r="86">
          <cell r="C86" t="str">
            <v>Indonesian</v>
          </cell>
        </row>
        <row r="87">
          <cell r="C87" t="str">
            <v>Inuktitut</v>
          </cell>
        </row>
        <row r="88">
          <cell r="C88" t="str">
            <v>Isekiri</v>
          </cell>
        </row>
        <row r="89">
          <cell r="C89" t="str">
            <v>Italian</v>
          </cell>
        </row>
        <row r="90">
          <cell r="C90" t="str">
            <v>Italian - Switzerland</v>
          </cell>
        </row>
        <row r="91">
          <cell r="C91" t="str">
            <v>Japanese</v>
          </cell>
        </row>
        <row r="92">
          <cell r="C92" t="str">
            <v>Javanese</v>
          </cell>
        </row>
        <row r="93">
          <cell r="C93" t="str">
            <v>Jopara</v>
          </cell>
        </row>
        <row r="94">
          <cell r="C94" t="str">
            <v>K’iche’</v>
          </cell>
        </row>
        <row r="95">
          <cell r="C95" t="str">
            <v>Kannada</v>
          </cell>
        </row>
        <row r="96">
          <cell r="C96" t="str">
            <v>Kapampangan</v>
          </cell>
        </row>
        <row r="97">
          <cell r="C97" t="str">
            <v>Kashmiri</v>
          </cell>
        </row>
        <row r="98">
          <cell r="C98" t="str">
            <v>Kazakh</v>
          </cell>
        </row>
        <row r="99">
          <cell r="C99" t="str">
            <v>Khmer</v>
          </cell>
        </row>
        <row r="100">
          <cell r="C100" t="str">
            <v>Kirghiz</v>
          </cell>
        </row>
        <row r="101">
          <cell r="C101" t="str">
            <v>Kituba</v>
          </cell>
        </row>
        <row r="102">
          <cell r="C102" t="str">
            <v>Konkani</v>
          </cell>
        </row>
        <row r="103">
          <cell r="C103" t="str">
            <v>Koongo</v>
          </cell>
        </row>
        <row r="104">
          <cell r="C104" t="str">
            <v>Korean</v>
          </cell>
        </row>
        <row r="105">
          <cell r="C105" t="str">
            <v>Krio</v>
          </cell>
        </row>
        <row r="106">
          <cell r="C106" t="str">
            <v>Kurdish - Kurmanji</v>
          </cell>
        </row>
        <row r="107">
          <cell r="C107" t="str">
            <v>Kurdish - Sorani</v>
          </cell>
        </row>
        <row r="108">
          <cell r="C108" t="str">
            <v>Lao</v>
          </cell>
        </row>
        <row r="109">
          <cell r="C109" t="str">
            <v>Latin</v>
          </cell>
        </row>
        <row r="110">
          <cell r="C110" t="str">
            <v>Latvian</v>
          </cell>
        </row>
        <row r="111">
          <cell r="C111" t="str">
            <v>Lingala</v>
          </cell>
        </row>
        <row r="112">
          <cell r="C112" t="str">
            <v>Lithuanian</v>
          </cell>
        </row>
        <row r="113">
          <cell r="C113" t="str">
            <v>Luo</v>
          </cell>
        </row>
        <row r="114">
          <cell r="C114" t="str">
            <v>Luxembourgish</v>
          </cell>
        </row>
        <row r="115">
          <cell r="C115" t="str">
            <v>Macedonian</v>
          </cell>
        </row>
        <row r="116">
          <cell r="C116" t="str">
            <v>Makassar</v>
          </cell>
        </row>
        <row r="117">
          <cell r="C117" t="str">
            <v>Malagasy</v>
          </cell>
        </row>
        <row r="118">
          <cell r="C118" t="str">
            <v>Malay</v>
          </cell>
        </row>
        <row r="119">
          <cell r="C119" t="str">
            <v>Malayalam</v>
          </cell>
        </row>
        <row r="120">
          <cell r="C120" t="str">
            <v>Maldivian (Dhivehi)</v>
          </cell>
        </row>
        <row r="121">
          <cell r="C121" t="str">
            <v>Maltese</v>
          </cell>
        </row>
        <row r="122">
          <cell r="C122" t="str">
            <v>Maori</v>
          </cell>
        </row>
        <row r="123">
          <cell r="C123" t="str">
            <v>Marathi</v>
          </cell>
        </row>
        <row r="124">
          <cell r="C124" t="str">
            <v>Mauritian Creole</v>
          </cell>
        </row>
        <row r="125">
          <cell r="C125" t="str">
            <v>Moldovian</v>
          </cell>
        </row>
        <row r="126">
          <cell r="C126" t="str">
            <v>Mongolian</v>
          </cell>
        </row>
        <row r="127">
          <cell r="C127" t="str">
            <v>Montenegrin</v>
          </cell>
        </row>
        <row r="128">
          <cell r="C128" t="str">
            <v>Moroccan Darija</v>
          </cell>
        </row>
        <row r="129">
          <cell r="C129" t="str">
            <v>Nama</v>
          </cell>
        </row>
        <row r="130">
          <cell r="C130" t="str">
            <v>Ndebele</v>
          </cell>
        </row>
        <row r="131">
          <cell r="C131" t="str">
            <v>Nepali</v>
          </cell>
        </row>
        <row r="132">
          <cell r="C132" t="str">
            <v>Nicaraguan</v>
          </cell>
        </row>
        <row r="133">
          <cell r="C133" t="str">
            <v>Nigerian Pidgin</v>
          </cell>
        </row>
        <row r="134">
          <cell r="C134" t="str">
            <v>Norwegian</v>
          </cell>
        </row>
        <row r="135">
          <cell r="C135" t="str">
            <v>Norwegian - Nynorsk</v>
          </cell>
        </row>
        <row r="136">
          <cell r="C136" t="str">
            <v>Nuer</v>
          </cell>
        </row>
        <row r="137">
          <cell r="C137" t="str">
            <v>Ojibway</v>
          </cell>
        </row>
        <row r="138">
          <cell r="C138" t="str">
            <v>Oriya</v>
          </cell>
        </row>
        <row r="139">
          <cell r="C139" t="str">
            <v>Oromo</v>
          </cell>
        </row>
        <row r="140">
          <cell r="C140" t="str">
            <v>Papiamentu</v>
          </cell>
        </row>
        <row r="141">
          <cell r="C141" t="str">
            <v>Pashto</v>
          </cell>
        </row>
        <row r="142">
          <cell r="C142" t="str">
            <v>Polish</v>
          </cell>
        </row>
        <row r="143">
          <cell r="C143" t="str">
            <v>Portuguese - Brazil</v>
          </cell>
        </row>
        <row r="144">
          <cell r="C144" t="str">
            <v>Portuguese - Portugal</v>
          </cell>
        </row>
        <row r="145">
          <cell r="C145" t="str">
            <v>Punjabi - Indian</v>
          </cell>
        </row>
        <row r="146">
          <cell r="C146" t="str">
            <v>Punjabi - Pakistani</v>
          </cell>
        </row>
        <row r="147">
          <cell r="C147" t="str">
            <v>Quechua</v>
          </cell>
        </row>
        <row r="148">
          <cell r="C148" t="str">
            <v>Romanian</v>
          </cell>
        </row>
        <row r="149">
          <cell r="C149" t="str">
            <v>Romansch</v>
          </cell>
        </row>
        <row r="150">
          <cell r="C150" t="str">
            <v>Rundi</v>
          </cell>
        </row>
        <row r="151">
          <cell r="C151" t="str">
            <v>Russian</v>
          </cell>
        </row>
        <row r="152">
          <cell r="C152" t="str">
            <v>Rwanda</v>
          </cell>
        </row>
        <row r="153">
          <cell r="C153" t="str">
            <v>Sami</v>
          </cell>
        </row>
        <row r="154">
          <cell r="C154" t="str">
            <v>Samoan</v>
          </cell>
        </row>
        <row r="155">
          <cell r="C155" t="str">
            <v>Sepedi</v>
          </cell>
        </row>
        <row r="156">
          <cell r="C156" t="str">
            <v>Serbian - Cyrillic</v>
          </cell>
        </row>
        <row r="157">
          <cell r="C157" t="str">
            <v>Serbian - Latin</v>
          </cell>
        </row>
        <row r="158">
          <cell r="C158" t="str">
            <v>Sesotho</v>
          </cell>
        </row>
        <row r="159">
          <cell r="C159" t="str">
            <v>Shona</v>
          </cell>
        </row>
        <row r="160">
          <cell r="C160" t="str">
            <v>Sindhi</v>
          </cell>
        </row>
        <row r="161">
          <cell r="C161" t="str">
            <v>Sinhala</v>
          </cell>
        </row>
        <row r="162">
          <cell r="C162" t="str">
            <v>Lakota</v>
          </cell>
        </row>
        <row r="163">
          <cell r="C163" t="str">
            <v>Dakota</v>
          </cell>
        </row>
        <row r="164">
          <cell r="C164" t="str">
            <v>Sioux</v>
          </cell>
        </row>
        <row r="165">
          <cell r="C165" t="str">
            <v>Slovak</v>
          </cell>
        </row>
        <row r="166">
          <cell r="C166" t="str">
            <v>Slovenian</v>
          </cell>
        </row>
        <row r="167">
          <cell r="C167" t="str">
            <v>Somali</v>
          </cell>
        </row>
        <row r="168">
          <cell r="C168" t="str">
            <v>Spanish - Argentinean</v>
          </cell>
        </row>
        <row r="169">
          <cell r="C169" t="str">
            <v>Spanish - Chilean</v>
          </cell>
        </row>
        <row r="170">
          <cell r="C170" t="str">
            <v>Spanish - Colombian</v>
          </cell>
        </row>
        <row r="171">
          <cell r="C171" t="str">
            <v>Spanish - Spain</v>
          </cell>
        </row>
        <row r="172">
          <cell r="C172" t="str">
            <v>Spanish - Guatemalan</v>
          </cell>
        </row>
        <row r="173">
          <cell r="C173" t="str">
            <v>Spanish - International</v>
          </cell>
        </row>
        <row r="174">
          <cell r="C174" t="str">
            <v>Spanish - Latin American</v>
          </cell>
        </row>
        <row r="175">
          <cell r="C175" t="str">
            <v>Spanish - Mexican</v>
          </cell>
        </row>
        <row r="176">
          <cell r="C176" t="str">
            <v>Spanish - Peruvian</v>
          </cell>
        </row>
        <row r="177">
          <cell r="C177" t="str">
            <v>Spanish - Uruguayan</v>
          </cell>
        </row>
        <row r="178">
          <cell r="C178" t="str">
            <v>Spanish - Venezulean</v>
          </cell>
        </row>
        <row r="179">
          <cell r="C179" t="str">
            <v>Spanish - Bolivia</v>
          </cell>
        </row>
        <row r="180">
          <cell r="C180" t="str">
            <v>Spanish - Costa Rica</v>
          </cell>
        </row>
        <row r="181">
          <cell r="C181" t="str">
            <v>Spanish - Ecuador</v>
          </cell>
        </row>
        <row r="182">
          <cell r="C182" t="str">
            <v>Spanish - El Salvador</v>
          </cell>
        </row>
        <row r="183">
          <cell r="C183" t="str">
            <v>Spanish - Nicaragua</v>
          </cell>
        </row>
        <row r="184">
          <cell r="C184" t="str">
            <v>Spanish - Panama</v>
          </cell>
        </row>
        <row r="185">
          <cell r="C185" t="str">
            <v>Spanish - Paraguay</v>
          </cell>
        </row>
        <row r="186">
          <cell r="C186" t="str">
            <v>Spanish - Puerto Rico</v>
          </cell>
        </row>
        <row r="187">
          <cell r="C187" t="str">
            <v>Spanish - Cuban</v>
          </cell>
        </row>
        <row r="188">
          <cell r="C188" t="str">
            <v>Sudanese</v>
          </cell>
        </row>
        <row r="189">
          <cell r="C189" t="str">
            <v>Sundanese</v>
          </cell>
        </row>
        <row r="190">
          <cell r="C190" t="str">
            <v>Swahili</v>
          </cell>
        </row>
        <row r="191">
          <cell r="C191" t="str">
            <v>Swati</v>
          </cell>
        </row>
        <row r="192">
          <cell r="C192" t="str">
            <v>Swedish</v>
          </cell>
        </row>
        <row r="193">
          <cell r="C193" t="str">
            <v>Tagalog</v>
          </cell>
        </row>
        <row r="194">
          <cell r="C194" t="str">
            <v>Tajik</v>
          </cell>
        </row>
        <row r="195">
          <cell r="C195" t="str">
            <v>Tamil</v>
          </cell>
        </row>
        <row r="196">
          <cell r="C196" t="str">
            <v>Tatar</v>
          </cell>
        </row>
        <row r="197">
          <cell r="C197" t="str">
            <v>Telugu</v>
          </cell>
        </row>
        <row r="198">
          <cell r="C198" t="str">
            <v>Thai</v>
          </cell>
        </row>
        <row r="199">
          <cell r="C199" t="str">
            <v>Tibetan</v>
          </cell>
        </row>
        <row r="200">
          <cell r="C200" t="str">
            <v>Tigrinya</v>
          </cell>
        </row>
        <row r="201">
          <cell r="C201" t="str">
            <v>Tok Pisin</v>
          </cell>
        </row>
        <row r="202">
          <cell r="C202" t="str">
            <v>Tooro</v>
          </cell>
        </row>
        <row r="203">
          <cell r="C203" t="str">
            <v>Tsonga</v>
          </cell>
        </row>
        <row r="204">
          <cell r="C204" t="str">
            <v>Tswana</v>
          </cell>
        </row>
        <row r="205">
          <cell r="C205" t="str">
            <v>Turkish</v>
          </cell>
        </row>
        <row r="206">
          <cell r="C206" t="str">
            <v>Turkmen</v>
          </cell>
        </row>
        <row r="207">
          <cell r="C207" t="str">
            <v>Uighur</v>
          </cell>
        </row>
        <row r="208">
          <cell r="C208" t="str">
            <v>Ukrainian</v>
          </cell>
        </row>
        <row r="209">
          <cell r="C209" t="str">
            <v>Urdu</v>
          </cell>
        </row>
        <row r="210">
          <cell r="C210" t="str">
            <v>Uzbek</v>
          </cell>
        </row>
        <row r="211">
          <cell r="C211" t="str">
            <v>Uzbek (Latin)</v>
          </cell>
        </row>
        <row r="212">
          <cell r="C212" t="str">
            <v>Valencian</v>
          </cell>
        </row>
        <row r="213">
          <cell r="C213" t="str">
            <v>Venda</v>
          </cell>
        </row>
        <row r="214">
          <cell r="C214" t="str">
            <v>Vietnamese</v>
          </cell>
        </row>
        <row r="215">
          <cell r="C215" t="str">
            <v>Welsh</v>
          </cell>
        </row>
        <row r="216">
          <cell r="C216" t="str">
            <v>Xhosa</v>
          </cell>
        </row>
        <row r="217">
          <cell r="C217" t="str">
            <v>Yiddish</v>
          </cell>
        </row>
        <row r="218">
          <cell r="C218" t="str">
            <v>Yoruba</v>
          </cell>
        </row>
        <row r="219">
          <cell r="C219" t="str">
            <v>Zhuang</v>
          </cell>
        </row>
        <row r="220">
          <cell r="C220" t="str">
            <v>Zulu</v>
          </cell>
        </row>
      </sheetData>
      <sheetData sheetId="8"/>
      <sheetData sheetId="9">
        <row r="1">
          <cell r="A1" t="str">
            <v>Identifier</v>
          </cell>
          <cell r="B1" t="str">
            <v>CostCenter</v>
          </cell>
        </row>
        <row r="2">
          <cell r="A2" t="str">
            <v>AL</v>
          </cell>
          <cell r="B2" t="str">
            <v>Alliance</v>
          </cell>
        </row>
        <row r="3">
          <cell r="A3" t="str">
            <v>AN</v>
          </cell>
          <cell r="B3" t="str">
            <v>Alterian General</v>
          </cell>
        </row>
        <row r="4">
          <cell r="A4" t="str">
            <v>BG</v>
          </cell>
          <cell r="B4" t="str">
            <v>Bray General</v>
          </cell>
        </row>
        <row r="5">
          <cell r="A5" t="str">
            <v>BR</v>
          </cell>
          <cell r="B5" t="str">
            <v>Brazil</v>
          </cell>
        </row>
        <row r="6">
          <cell r="A6" t="str">
            <v>CM</v>
          </cell>
          <cell r="B6" t="str">
            <v>Campaign Management and Analytics</v>
          </cell>
        </row>
        <row r="7">
          <cell r="A7" t="str">
            <v>CE</v>
          </cell>
          <cell r="B7" t="str">
            <v>Central Europe General</v>
          </cell>
        </row>
        <row r="8">
          <cell r="A8" t="str">
            <v>CL</v>
          </cell>
          <cell r="B8" t="str">
            <v>Chile</v>
          </cell>
        </row>
        <row r="9">
          <cell r="A9" t="str">
            <v>CG</v>
          </cell>
          <cell r="B9" t="str">
            <v>China General</v>
          </cell>
        </row>
        <row r="10">
          <cell r="A10" t="str">
            <v>CC</v>
          </cell>
          <cell r="B10" t="str">
            <v>China PMO</v>
          </cell>
        </row>
        <row r="11">
          <cell r="A11" t="str">
            <v>CH</v>
          </cell>
          <cell r="B11" t="str">
            <v>China Language Office</v>
          </cell>
        </row>
        <row r="12">
          <cell r="A12" t="str">
            <v>CT</v>
          </cell>
          <cell r="B12" t="str">
            <v>Click2Translate</v>
          </cell>
        </row>
        <row r="13">
          <cell r="A13" t="str">
            <v>CO</v>
          </cell>
          <cell r="B13" t="str">
            <v>Consultancy</v>
          </cell>
        </row>
        <row r="14">
          <cell r="A14" t="str">
            <v>CR</v>
          </cell>
          <cell r="B14" t="str">
            <v>Croatia</v>
          </cell>
        </row>
        <row r="15">
          <cell r="A15" t="str">
            <v>CZ</v>
          </cell>
          <cell r="B15" t="str">
            <v>Czech Republic</v>
          </cell>
        </row>
        <row r="16">
          <cell r="A16" t="str">
            <v>DK</v>
          </cell>
          <cell r="B16" t="str">
            <v>Nordic PMO</v>
          </cell>
        </row>
        <row r="17">
          <cell r="A17" t="str">
            <v>SX</v>
          </cell>
          <cell r="B17" t="str">
            <v>Desktop</v>
          </cell>
        </row>
        <row r="18">
          <cell r="A18" t="str">
            <v>EN</v>
          </cell>
          <cell r="B18" t="str">
            <v>English Language Office</v>
          </cell>
        </row>
        <row r="19">
          <cell r="A19" t="str">
            <v>EP</v>
          </cell>
          <cell r="B19" t="str">
            <v>Enterprise Products</v>
          </cell>
        </row>
        <row r="20">
          <cell r="A20" t="str">
            <v>EE</v>
          </cell>
          <cell r="B20" t="str">
            <v>European Sales General</v>
          </cell>
        </row>
        <row r="21">
          <cell r="A21" t="str">
            <v>FI</v>
          </cell>
          <cell r="B21" t="str">
            <v>Nordic PMO</v>
          </cell>
        </row>
        <row r="22">
          <cell r="A22" t="str">
            <v>FL</v>
          </cell>
          <cell r="B22" t="str">
            <v>Colorado PMO</v>
          </cell>
        </row>
        <row r="23">
          <cell r="A23" t="str">
            <v>FD</v>
          </cell>
          <cell r="B23" t="str">
            <v>Florida</v>
          </cell>
        </row>
        <row r="24">
          <cell r="A24" t="str">
            <v>FR</v>
          </cell>
          <cell r="B24" t="str">
            <v>France</v>
          </cell>
        </row>
        <row r="25">
          <cell r="A25" t="str">
            <v>FH</v>
          </cell>
          <cell r="B25" t="str">
            <v>Fredhopper</v>
          </cell>
        </row>
        <row r="26">
          <cell r="A26" t="str">
            <v>FT</v>
          </cell>
          <cell r="B26" t="str">
            <v>FreeTranslation</v>
          </cell>
        </row>
        <row r="27">
          <cell r="A27" t="str">
            <v>GM</v>
          </cell>
          <cell r="B27" t="str">
            <v>Sheffield PMO</v>
          </cell>
        </row>
        <row r="28">
          <cell r="A28" t="str">
            <v>GN</v>
          </cell>
          <cell r="B28" t="str">
            <v>German Language Office</v>
          </cell>
        </row>
        <row r="29">
          <cell r="A29" t="str">
            <v>GS</v>
          </cell>
          <cell r="B29" t="str">
            <v>Germany General</v>
          </cell>
        </row>
        <row r="30">
          <cell r="A30" t="str">
            <v>GE</v>
          </cell>
          <cell r="B30" t="str">
            <v>Stuttgart PMO</v>
          </cell>
        </row>
        <row r="31">
          <cell r="A31" t="str">
            <v>GO</v>
          </cell>
          <cell r="B31" t="str">
            <v>Bray PMO</v>
          </cell>
        </row>
        <row r="32">
          <cell r="A32" t="str">
            <v>GK</v>
          </cell>
          <cell r="B32" t="str">
            <v>Greece</v>
          </cell>
        </row>
        <row r="33">
          <cell r="A33" t="str">
            <v>GG</v>
          </cell>
          <cell r="B33" t="str">
            <v>Group General</v>
          </cell>
        </row>
        <row r="34">
          <cell r="A34" t="str">
            <v>HG</v>
          </cell>
          <cell r="B34" t="str">
            <v>Hengelo General</v>
          </cell>
        </row>
        <row r="35">
          <cell r="A35" t="str">
            <v>HE</v>
          </cell>
          <cell r="B35" t="str">
            <v>Hengelo PMO</v>
          </cell>
        </row>
        <row r="36">
          <cell r="A36" t="str">
            <v>HN</v>
          </cell>
          <cell r="B36" t="str">
            <v>Netherlands</v>
          </cell>
        </row>
        <row r="37">
          <cell r="A37" t="str">
            <v>HO</v>
          </cell>
          <cell r="B37" t="str">
            <v>Maidenhead PMO</v>
          </cell>
        </row>
        <row r="38">
          <cell r="A38" t="str">
            <v>HU</v>
          </cell>
          <cell r="B38" t="str">
            <v>Hungary</v>
          </cell>
        </row>
        <row r="39">
          <cell r="A39" t="str">
            <v>KB</v>
          </cell>
          <cell r="B39" t="str">
            <v>iMT</v>
          </cell>
        </row>
        <row r="40">
          <cell r="A40" t="str">
            <v>IN</v>
          </cell>
          <cell r="B40" t="str">
            <v>India</v>
          </cell>
        </row>
        <row r="41">
          <cell r="A41" t="str">
            <v>IE</v>
          </cell>
          <cell r="B41" t="str">
            <v>India Express</v>
          </cell>
        </row>
        <row r="42">
          <cell r="A42" t="str">
            <v>IT</v>
          </cell>
          <cell r="B42" t="str">
            <v>Italy</v>
          </cell>
        </row>
        <row r="43">
          <cell r="A43" t="str">
            <v>JG</v>
          </cell>
          <cell r="B43" t="str">
            <v>Japan General</v>
          </cell>
        </row>
        <row r="44">
          <cell r="A44" t="str">
            <v>JJ</v>
          </cell>
          <cell r="B44" t="str">
            <v>Japan PMO</v>
          </cell>
        </row>
        <row r="45">
          <cell r="A45" t="str">
            <v>JP</v>
          </cell>
          <cell r="B45" t="str">
            <v xml:space="preserve">Japan </v>
          </cell>
        </row>
        <row r="46">
          <cell r="A46" t="str">
            <v>KG</v>
          </cell>
          <cell r="B46" t="str">
            <v>Korea General</v>
          </cell>
        </row>
        <row r="47">
          <cell r="A47" t="str">
            <v>KK</v>
          </cell>
          <cell r="B47" t="str">
            <v>Korea PMO</v>
          </cell>
        </row>
        <row r="48">
          <cell r="A48" t="str">
            <v>KO</v>
          </cell>
          <cell r="B48" t="str">
            <v xml:space="preserve">Korea </v>
          </cell>
        </row>
        <row r="49">
          <cell r="A49" t="str">
            <v>GW</v>
          </cell>
          <cell r="B49" t="str">
            <v>Language Gateway</v>
          </cell>
        </row>
        <row r="50">
          <cell r="A50" t="str">
            <v>LS</v>
          </cell>
          <cell r="B50" t="str">
            <v>Language Services General</v>
          </cell>
        </row>
        <row r="51">
          <cell r="A51" t="str">
            <v>LU</v>
          </cell>
          <cell r="B51" t="str">
            <v>Language Services USA General</v>
          </cell>
        </row>
        <row r="52">
          <cell r="A52" t="str">
            <v>LT</v>
          </cell>
          <cell r="B52" t="str">
            <v>Language Technology General</v>
          </cell>
        </row>
        <row r="53">
          <cell r="A53" t="str">
            <v>LB</v>
          </cell>
          <cell r="B53" t="str">
            <v>Lebanon</v>
          </cell>
        </row>
        <row r="54">
          <cell r="A54" t="str">
            <v>LE</v>
          </cell>
          <cell r="B54" t="str">
            <v>Leuven PMO</v>
          </cell>
        </row>
        <row r="55">
          <cell r="A55" t="str">
            <v>LG</v>
          </cell>
          <cell r="B55" t="str">
            <v>Leuven General</v>
          </cell>
        </row>
        <row r="56">
          <cell r="A56" t="str">
            <v>MG</v>
          </cell>
          <cell r="B56" t="str">
            <v>Maidenhead General</v>
          </cell>
        </row>
        <row r="57">
          <cell r="A57" t="str">
            <v>ST</v>
          </cell>
          <cell r="B57" t="str">
            <v>Maidenhead Studio</v>
          </cell>
        </row>
        <row r="58">
          <cell r="A58" t="str">
            <v>MO</v>
          </cell>
          <cell r="B58" t="str">
            <v>Montreal General</v>
          </cell>
        </row>
        <row r="59">
          <cell r="A59" t="str">
            <v>MI</v>
          </cell>
          <cell r="B59" t="str">
            <v>Montreal Interpretation</v>
          </cell>
        </row>
        <row r="60">
          <cell r="A60" t="str">
            <v>MN</v>
          </cell>
          <cell r="B60" t="str">
            <v>Canada</v>
          </cell>
        </row>
        <row r="61">
          <cell r="A61" t="str">
            <v>NG</v>
          </cell>
          <cell r="B61" t="str">
            <v>Nordic General</v>
          </cell>
        </row>
        <row r="62">
          <cell r="A62" t="str">
            <v>NW</v>
          </cell>
          <cell r="B62" t="str">
            <v>Nordic PMO</v>
          </cell>
        </row>
        <row r="63">
          <cell r="A63" t="str">
            <v>OR</v>
          </cell>
          <cell r="B63" t="str">
            <v>San Jose PMO</v>
          </cell>
        </row>
        <row r="64">
          <cell r="A64" t="str">
            <v>PH</v>
          </cell>
          <cell r="B64" t="str">
            <v>Leuven PMO</v>
          </cell>
        </row>
        <row r="65">
          <cell r="A65" t="str">
            <v>PL</v>
          </cell>
          <cell r="B65" t="str">
            <v>Poland</v>
          </cell>
        </row>
        <row r="66">
          <cell r="A66" t="str">
            <v>QT</v>
          </cell>
          <cell r="B66" t="str">
            <v>Quatron</v>
          </cell>
        </row>
        <row r="67">
          <cell r="A67" t="str">
            <v>RO</v>
          </cell>
          <cell r="B67" t="str">
            <v>Romania</v>
          </cell>
        </row>
        <row r="68">
          <cell r="A68" t="str">
            <v>RU</v>
          </cell>
          <cell r="B68" t="str">
            <v>Russia</v>
          </cell>
        </row>
        <row r="69">
          <cell r="A69" t="str">
            <v>LW</v>
          </cell>
          <cell r="B69" t="str">
            <v>SDL Language Weaver</v>
          </cell>
        </row>
        <row r="70">
          <cell r="A70" t="str">
            <v>SH</v>
          </cell>
          <cell r="B70" t="str">
            <v>Sheffield General</v>
          </cell>
        </row>
        <row r="71">
          <cell r="A71" t="str">
            <v>SG</v>
          </cell>
          <cell r="B71" t="str">
            <v>Singapore</v>
          </cell>
        </row>
        <row r="72">
          <cell r="A72" t="str">
            <v>SL</v>
          </cell>
          <cell r="B72" t="str">
            <v>Slovenia</v>
          </cell>
        </row>
        <row r="73">
          <cell r="A73" t="str">
            <v>SO</v>
          </cell>
          <cell r="B73" t="str">
            <v>Social Intelligence</v>
          </cell>
        </row>
        <row r="74">
          <cell r="A74" t="str">
            <v>SP</v>
          </cell>
          <cell r="B74" t="str">
            <v>Spain</v>
          </cell>
        </row>
        <row r="75">
          <cell r="A75" t="str">
            <v>MM</v>
          </cell>
          <cell r="B75" t="str">
            <v>Montreal PMO</v>
          </cell>
        </row>
        <row r="76">
          <cell r="A76" t="str">
            <v>XY</v>
          </cell>
          <cell r="B76" t="str">
            <v>Structured Content Technologies</v>
          </cell>
        </row>
        <row r="77">
          <cell r="A77" t="str">
            <v>SW</v>
          </cell>
          <cell r="B77" t="str">
            <v>Nordic PMO</v>
          </cell>
        </row>
        <row r="78">
          <cell r="A78" t="str">
            <v>TA</v>
          </cell>
          <cell r="B78" t="str">
            <v>Taiwan</v>
          </cell>
        </row>
        <row r="79">
          <cell r="A79" t="str">
            <v>TH</v>
          </cell>
          <cell r="B79" t="str">
            <v>Thailand</v>
          </cell>
        </row>
        <row r="80">
          <cell r="A80" t="str">
            <v>TU</v>
          </cell>
          <cell r="B80" t="str">
            <v>Turkey</v>
          </cell>
        </row>
        <row r="81">
          <cell r="A81" t="str">
            <v>ES</v>
          </cell>
          <cell r="B81" t="str">
            <v>UK Service Sales</v>
          </cell>
        </row>
        <row r="82">
          <cell r="A82" t="str">
            <v>US</v>
          </cell>
          <cell r="B82" t="str">
            <v>US Service Sales</v>
          </cell>
        </row>
        <row r="83">
          <cell r="A83" t="str">
            <v>UG</v>
          </cell>
          <cell r="B83" t="str">
            <v>USA General</v>
          </cell>
        </row>
        <row r="84">
          <cell r="A84" t="str">
            <v>VN</v>
          </cell>
          <cell r="B84" t="str">
            <v>Vietnam</v>
          </cell>
        </row>
        <row r="85">
          <cell r="A85" t="str">
            <v>WC</v>
          </cell>
          <cell r="B85" t="str">
            <v>Web Content Management - Alterian</v>
          </cell>
        </row>
        <row r="86">
          <cell r="A86" t="str">
            <v>TR</v>
          </cell>
          <cell r="B86" t="str">
            <v>Web Content Management - Tridion</v>
          </cell>
        </row>
        <row r="87">
          <cell r="A87" t="str">
            <v>LI</v>
          </cell>
          <cell r="B87" t="str">
            <v>Life Sciences PMO</v>
          </cell>
        </row>
        <row r="88">
          <cell r="A88" t="str">
            <v>LM</v>
          </cell>
          <cell r="B88" t="str">
            <v>Life Sciences EMEA PMO</v>
          </cell>
        </row>
        <row r="89">
          <cell r="A89" t="str">
            <v>NP</v>
          </cell>
          <cell r="B89" t="str">
            <v>Nordic PMO</v>
          </cell>
        </row>
        <row r="90">
          <cell r="A90" t="str">
            <v>SM</v>
          </cell>
          <cell r="B90" t="str">
            <v>SMB PMO</v>
          </cell>
        </row>
      </sheetData>
      <sheetData sheetId="10">
        <row r="2">
          <cell r="A2" t="str">
            <v>___</v>
          </cell>
          <cell r="B2" t="str">
            <v>SYSTEM</v>
          </cell>
        </row>
        <row r="3">
          <cell r="A3">
            <v>360</v>
          </cell>
          <cell r="B3" t="str">
            <v>Qihoo 360 Technology Co. Ltd.</v>
          </cell>
        </row>
        <row r="4">
          <cell r="A4">
            <v>433</v>
          </cell>
          <cell r="B4" t="str">
            <v>4:33 Creative Lab</v>
          </cell>
        </row>
        <row r="5">
          <cell r="A5" t="str">
            <v>3PR</v>
          </cell>
          <cell r="B5" t="str">
            <v>3PAR Inc.</v>
          </cell>
        </row>
        <row r="6">
          <cell r="A6" t="str">
            <v>3SI</v>
          </cell>
          <cell r="B6" t="str">
            <v>3 Suisses International Group</v>
          </cell>
        </row>
        <row r="7">
          <cell r="A7" t="str">
            <v>A24</v>
          </cell>
          <cell r="B7" t="str">
            <v>Visma AS</v>
          </cell>
        </row>
        <row r="8">
          <cell r="A8" t="str">
            <v>A2Z</v>
          </cell>
          <cell r="B8" t="str">
            <v>A2Z GLOBAL, L.L.C.</v>
          </cell>
        </row>
        <row r="9">
          <cell r="A9" t="str">
            <v>AAA</v>
          </cell>
          <cell r="B9" t="str">
            <v>AAA Language Services Inc</v>
          </cell>
        </row>
        <row r="10">
          <cell r="A10" t="str">
            <v>AAB</v>
          </cell>
          <cell r="B10" t="str">
            <v>A+A boundless Communication</v>
          </cell>
        </row>
        <row r="11">
          <cell r="A11" t="str">
            <v>AAC</v>
          </cell>
          <cell r="B11" t="str">
            <v>Acre CR, spol. Ltd.</v>
          </cell>
        </row>
        <row r="12">
          <cell r="A12" t="str">
            <v>AAH</v>
          </cell>
          <cell r="B12" t="str">
            <v>Alameda Alliance for Health</v>
          </cell>
        </row>
        <row r="13">
          <cell r="A13" t="str">
            <v>AAI</v>
          </cell>
          <cell r="B13" t="str">
            <v>American Airlines</v>
          </cell>
        </row>
        <row r="14">
          <cell r="A14" t="str">
            <v>AAL</v>
          </cell>
          <cell r="B14" t="str">
            <v>Asiana Airlines, Inc.</v>
          </cell>
        </row>
        <row r="15">
          <cell r="A15" t="str">
            <v>AAM</v>
          </cell>
          <cell r="B15" t="str">
            <v>American Automobile Association, Inc</v>
          </cell>
        </row>
        <row r="16">
          <cell r="A16" t="str">
            <v>AAO</v>
          </cell>
          <cell r="B16" t="str">
            <v>The American Academy of Orthopaedic Surgeons</v>
          </cell>
        </row>
        <row r="17">
          <cell r="A17" t="str">
            <v>AAP</v>
          </cell>
          <cell r="B17" t="str">
            <v>Apg Algemene Pensioen Groep N V</v>
          </cell>
        </row>
        <row r="18">
          <cell r="A18" t="str">
            <v>AAR</v>
          </cell>
          <cell r="B18" t="str">
            <v>AARP</v>
          </cell>
        </row>
        <row r="19">
          <cell r="A19" t="str">
            <v>AAS</v>
          </cell>
          <cell r="B19" t="str">
            <v>Avolar Aerolineas, S.A. de C.V.</v>
          </cell>
        </row>
        <row r="20">
          <cell r="A20" t="str">
            <v>AAT</v>
          </cell>
          <cell r="B20" t="str">
            <v xml:space="preserve">AVG Technologies </v>
          </cell>
        </row>
        <row r="21">
          <cell r="A21" t="str">
            <v>AAV</v>
          </cell>
          <cell r="B21" t="str">
            <v>Amersfoortse Algemene Verzekering Maatschappij</v>
          </cell>
        </row>
        <row r="22">
          <cell r="A22" t="str">
            <v>ABA</v>
          </cell>
          <cell r="B22" t="str">
            <v>aba z&amp;b Schleifmaschinen GmbH</v>
          </cell>
        </row>
        <row r="23">
          <cell r="A23" t="str">
            <v>ABB</v>
          </cell>
          <cell r="B23" t="str">
            <v>ABB Ltd</v>
          </cell>
        </row>
        <row r="24">
          <cell r="A24" t="str">
            <v>ABE</v>
          </cell>
          <cell r="B24" t="str">
            <v>Abeism Corporation</v>
          </cell>
        </row>
        <row r="25">
          <cell r="A25" t="str">
            <v>ABH</v>
          </cell>
          <cell r="B25" t="str">
            <v>Autobar Group Ltd</v>
          </cell>
        </row>
        <row r="26">
          <cell r="A26" t="str">
            <v>ABI</v>
          </cell>
          <cell r="B26" t="str">
            <v>Abitibi-Consolidated Inc.</v>
          </cell>
        </row>
        <row r="27">
          <cell r="A27" t="str">
            <v>ABN</v>
          </cell>
          <cell r="B27" t="str">
            <v>ABN AMRO Holding N.V.</v>
          </cell>
        </row>
        <row r="28">
          <cell r="A28" t="str">
            <v>ABS</v>
          </cell>
          <cell r="B28" t="str">
            <v>Anheuser-Busch InBev SA/NV</v>
          </cell>
        </row>
        <row r="29">
          <cell r="A29" t="str">
            <v>ABU</v>
          </cell>
          <cell r="B29" t="str">
            <v>Abu Dhabi Commercial Bank</v>
          </cell>
        </row>
        <row r="30">
          <cell r="A30" t="str">
            <v>ABY</v>
          </cell>
          <cell r="B30" t="str">
            <v>Abbey Entertainment Limited</v>
          </cell>
        </row>
        <row r="31">
          <cell r="A31" t="str">
            <v>AC0</v>
          </cell>
          <cell r="B31" t="str">
            <v>ACN, Inc</v>
          </cell>
        </row>
        <row r="32">
          <cell r="A32" t="str">
            <v>AC1</v>
          </cell>
          <cell r="B32" t="str">
            <v>American Chemical Society</v>
          </cell>
        </row>
        <row r="33">
          <cell r="A33" t="str">
            <v>AC2</v>
          </cell>
          <cell r="B33" t="str">
            <v>AutoCanada Inc.</v>
          </cell>
        </row>
        <row r="34">
          <cell r="A34" t="str">
            <v>ACA</v>
          </cell>
          <cell r="B34" t="str">
            <v>ACE Aviation Holdings Inc</v>
          </cell>
        </row>
        <row r="35">
          <cell r="A35" t="str">
            <v>ACC</v>
          </cell>
          <cell r="B35" t="str">
            <v>Accenture Ltd</v>
          </cell>
        </row>
        <row r="36">
          <cell r="A36" t="str">
            <v>ACD</v>
          </cell>
          <cell r="B36" t="str">
            <v>Eyeti B.V</v>
          </cell>
        </row>
        <row r="37">
          <cell r="A37" t="str">
            <v>ACE</v>
          </cell>
          <cell r="B37" t="str">
            <v>Acer Corporation</v>
          </cell>
        </row>
        <row r="38">
          <cell r="A38" t="str">
            <v>ACF</v>
          </cell>
          <cell r="B38" t="str">
            <v>Alameda Children and Families Commission</v>
          </cell>
        </row>
        <row r="39">
          <cell r="A39" t="str">
            <v>ACG</v>
          </cell>
          <cell r="B39" t="str">
            <v>Agori Communications GmbH</v>
          </cell>
        </row>
        <row r="40">
          <cell r="A40" t="str">
            <v>ACH</v>
          </cell>
          <cell r="B40" t="str">
            <v>Archant Holdings Ltd</v>
          </cell>
        </row>
        <row r="41">
          <cell r="A41" t="str">
            <v>ACI</v>
          </cell>
          <cell r="B41" t="str">
            <v>aci DV-Organisation</v>
          </cell>
        </row>
        <row r="42">
          <cell r="A42" t="str">
            <v>ACJ</v>
          </cell>
          <cell r="B42" t="str">
            <v>Acxiom Corporation</v>
          </cell>
        </row>
        <row r="43">
          <cell r="A43" t="str">
            <v>ACK</v>
          </cell>
          <cell r="B43" t="str">
            <v>Accudyne Industries LLC</v>
          </cell>
        </row>
        <row r="44">
          <cell r="A44" t="str">
            <v>ACL</v>
          </cell>
          <cell r="B44" t="str">
            <v>Acclaro Inc.</v>
          </cell>
        </row>
        <row r="45">
          <cell r="A45" t="str">
            <v>ACM</v>
          </cell>
          <cell r="B45" t="str">
            <v xml:space="preserve">ACASS </v>
          </cell>
        </row>
        <row r="46">
          <cell r="A46" t="str">
            <v>ACN</v>
          </cell>
          <cell r="B46" t="str">
            <v>Alcon Inc.</v>
          </cell>
        </row>
        <row r="47">
          <cell r="A47" t="str">
            <v>ACO</v>
          </cell>
          <cell r="B47" t="str">
            <v>Acronis Inc.</v>
          </cell>
        </row>
        <row r="48">
          <cell r="A48" t="str">
            <v>ACP</v>
          </cell>
          <cell r="B48" t="str">
            <v>American Institute of Certified Public Accountants</v>
          </cell>
        </row>
        <row r="49">
          <cell r="A49" t="str">
            <v>ACQ</v>
          </cell>
          <cell r="B49" t="str">
            <v>Acme Packet</v>
          </cell>
        </row>
        <row r="50">
          <cell r="A50" t="str">
            <v>ACR</v>
          </cell>
          <cell r="B50" t="str">
            <v>Accor</v>
          </cell>
        </row>
        <row r="51">
          <cell r="A51" t="str">
            <v>ACS</v>
          </cell>
          <cell r="B51" t="str">
            <v>Affiliated Computer Services Inc.</v>
          </cell>
        </row>
        <row r="52">
          <cell r="A52" t="str">
            <v>ACT</v>
          </cell>
          <cell r="B52" t="str">
            <v>Activision Inc</v>
          </cell>
        </row>
        <row r="53">
          <cell r="A53" t="str">
            <v>ACU</v>
          </cell>
          <cell r="B53" t="str">
            <v>Actuate Corporation</v>
          </cell>
        </row>
        <row r="54">
          <cell r="A54" t="str">
            <v>ACV</v>
          </cell>
          <cell r="B54" t="str">
            <v>ACV-CSC</v>
          </cell>
        </row>
        <row r="55">
          <cell r="A55" t="str">
            <v>ACW</v>
          </cell>
          <cell r="B55" t="str">
            <v>ACI Worldwide Inc</v>
          </cell>
        </row>
        <row r="56">
          <cell r="A56" t="str">
            <v>AD0</v>
          </cell>
          <cell r="B56" t="str">
            <v>Alliance Data Systems, Inc.</v>
          </cell>
        </row>
        <row r="57">
          <cell r="A57" t="str">
            <v>AD1</v>
          </cell>
          <cell r="B57" t="str">
            <v>Avery Dennison Corporation</v>
          </cell>
        </row>
        <row r="58">
          <cell r="A58" t="str">
            <v>AD3</v>
          </cell>
          <cell r="B58" t="str">
            <v>ADP</v>
          </cell>
        </row>
        <row r="59">
          <cell r="A59" t="str">
            <v>ADA</v>
          </cell>
          <cell r="B59" t="str">
            <v>AdaQuest Inc.</v>
          </cell>
        </row>
        <row r="60">
          <cell r="A60" t="str">
            <v>ADB</v>
          </cell>
          <cell r="B60" t="str">
            <v>Adobe Systems Incorporated</v>
          </cell>
        </row>
        <row r="61">
          <cell r="A61" t="str">
            <v>ADC</v>
          </cell>
          <cell r="B61" t="str">
            <v>A.D.I.C.A. S.r.l.</v>
          </cell>
        </row>
        <row r="62">
          <cell r="A62" t="str">
            <v>ADD</v>
          </cell>
          <cell r="B62" t="str">
            <v>adidas AG</v>
          </cell>
        </row>
        <row r="63">
          <cell r="A63" t="str">
            <v>ADE</v>
          </cell>
          <cell r="B63" t="str">
            <v>Advanced Energy Industries, Inc.</v>
          </cell>
        </row>
        <row r="64">
          <cell r="A64" t="str">
            <v>ADH</v>
          </cell>
          <cell r="B64" t="str">
            <v>Adam Hall GmbH</v>
          </cell>
        </row>
        <row r="65">
          <cell r="A65" t="str">
            <v>ADI</v>
          </cell>
          <cell r="B65" t="str">
            <v>Avid Technology, Inc</v>
          </cell>
        </row>
        <row r="66">
          <cell r="A66" t="str">
            <v>ADK</v>
          </cell>
          <cell r="B66" t="str">
            <v>Autodesk Inc</v>
          </cell>
        </row>
        <row r="67">
          <cell r="A67" t="str">
            <v>ADN</v>
          </cell>
          <cell r="B67" t="str">
            <v>Adnovate Nederland BV</v>
          </cell>
        </row>
        <row r="68">
          <cell r="A68" t="str">
            <v>ADP</v>
          </cell>
          <cell r="B68" t="str">
            <v>Automatic Data Processing, Inc.</v>
          </cell>
        </row>
        <row r="69">
          <cell r="A69" t="str">
            <v>ADQ</v>
          </cell>
          <cell r="B69" t="str">
            <v>Abu Dhabi Airports Company</v>
          </cell>
        </row>
        <row r="70">
          <cell r="A70" t="str">
            <v>ADS</v>
          </cell>
          <cell r="B70" t="str">
            <v>Applied Digital Solutions</v>
          </cell>
        </row>
        <row r="71">
          <cell r="A71" t="str">
            <v>ADT</v>
          </cell>
          <cell r="B71" t="str">
            <v>Adtran, Inc.</v>
          </cell>
        </row>
        <row r="72">
          <cell r="A72" t="str">
            <v>ADU</v>
          </cell>
          <cell r="B72" t="str">
            <v>ADABUS GmbH</v>
          </cell>
        </row>
        <row r="73">
          <cell r="A73" t="str">
            <v>ADV</v>
          </cell>
          <cell r="B73" t="str">
            <v>Advantex Marketing International Inc</v>
          </cell>
        </row>
        <row r="74">
          <cell r="A74" t="str">
            <v>AEC</v>
          </cell>
          <cell r="B74" t="str">
            <v>AECOM Technology Corporation</v>
          </cell>
        </row>
        <row r="75">
          <cell r="A75" t="str">
            <v>AEG</v>
          </cell>
          <cell r="B75" t="str">
            <v>Aegis Group plc</v>
          </cell>
        </row>
        <row r="76">
          <cell r="A76" t="str">
            <v>AEN</v>
          </cell>
          <cell r="B76" t="str">
            <v>Aegon N.V.</v>
          </cell>
        </row>
        <row r="77">
          <cell r="A77" t="str">
            <v>AEO</v>
          </cell>
          <cell r="B77" t="str">
            <v>American Eagle Outfitters Inc</v>
          </cell>
        </row>
        <row r="78">
          <cell r="A78" t="str">
            <v>AER</v>
          </cell>
          <cell r="B78" t="str">
            <v>Consorcio Aeromexico S.A.B. de C.V</v>
          </cell>
        </row>
        <row r="79">
          <cell r="A79" t="str">
            <v>AET</v>
          </cell>
          <cell r="B79" t="str">
            <v>AETNA</v>
          </cell>
        </row>
        <row r="80">
          <cell r="A80" t="str">
            <v>AFG</v>
          </cell>
          <cell r="B80" t="str">
            <v>Affinia Group Holdings Inc.</v>
          </cell>
        </row>
        <row r="81">
          <cell r="A81" t="str">
            <v>AFN</v>
          </cell>
          <cell r="B81" t="str">
            <v>AFNOR</v>
          </cell>
        </row>
        <row r="82">
          <cell r="A82" t="str">
            <v>AFP</v>
          </cell>
          <cell r="B82" t="str">
            <v>AMERICAN FINANCIAL PRINTING, Inc</v>
          </cell>
        </row>
        <row r="83">
          <cell r="A83" t="str">
            <v>AFR</v>
          </cell>
          <cell r="B83" t="str">
            <v>Africalia</v>
          </cell>
        </row>
        <row r="84">
          <cell r="A84" t="str">
            <v>AFS</v>
          </cell>
          <cell r="B84" t="str">
            <v>Alexander Finke Services</v>
          </cell>
        </row>
        <row r="85">
          <cell r="A85" t="str">
            <v>AFX</v>
          </cell>
          <cell r="B85" t="str">
            <v>Afexa Life Sciences Inc.</v>
          </cell>
        </row>
        <row r="86">
          <cell r="A86" t="str">
            <v>AGA</v>
          </cell>
          <cell r="B86" t="str">
            <v>AGF Management Limited</v>
          </cell>
        </row>
        <row r="87">
          <cell r="A87" t="str">
            <v>AGC</v>
          </cell>
          <cell r="B87" t="str">
            <v>AGCO Corporation</v>
          </cell>
        </row>
        <row r="88">
          <cell r="A88" t="str">
            <v>AGE</v>
          </cell>
          <cell r="B88" t="str">
            <v>AGA Interactive</v>
          </cell>
        </row>
        <row r="89">
          <cell r="A89" t="str">
            <v>AGF</v>
          </cell>
          <cell r="B89" t="str">
            <v>Agfa-Gevaert NV</v>
          </cell>
        </row>
        <row r="90">
          <cell r="A90" t="str">
            <v>AGG</v>
          </cell>
          <cell r="B90" t="str">
            <v>APG Group</v>
          </cell>
        </row>
        <row r="91">
          <cell r="A91" t="str">
            <v>AGI</v>
          </cell>
          <cell r="B91" t="str">
            <v>Agilent Technologies Inc</v>
          </cell>
        </row>
        <row r="92">
          <cell r="A92" t="str">
            <v>AGJ</v>
          </cell>
          <cell r="B92" t="str">
            <v>Aksel G Johansen</v>
          </cell>
        </row>
        <row r="93">
          <cell r="A93" t="str">
            <v>AGL</v>
          </cell>
          <cell r="B93" t="str">
            <v>All Languages Ltd.</v>
          </cell>
        </row>
        <row r="94">
          <cell r="A94" t="str">
            <v>AGO</v>
          </cell>
          <cell r="B94" t="str">
            <v>Avago Technologies, Inc.</v>
          </cell>
        </row>
        <row r="95">
          <cell r="A95" t="str">
            <v>AGP</v>
          </cell>
          <cell r="B95" t="str">
            <v>Agropur Cooperative</v>
          </cell>
        </row>
        <row r="96">
          <cell r="A96" t="str">
            <v>AGR</v>
          </cell>
          <cell r="B96" t="str">
            <v>Unit 4 Agresso N.V</v>
          </cell>
        </row>
        <row r="97">
          <cell r="A97" t="str">
            <v>AGS</v>
          </cell>
          <cell r="B97" t="str">
            <v>Agere Systems Inc</v>
          </cell>
        </row>
        <row r="98">
          <cell r="A98" t="str">
            <v>AGT</v>
          </cell>
          <cell r="B98" t="str">
            <v>BULL SAS</v>
          </cell>
        </row>
        <row r="99">
          <cell r="A99" t="str">
            <v>AGY</v>
          </cell>
          <cell r="B99" t="str">
            <v>Agilisys Inc.</v>
          </cell>
        </row>
        <row r="100">
          <cell r="A100" t="str">
            <v>AHA</v>
          </cell>
          <cell r="B100" t="str">
            <v>American Heart Association, Inc.</v>
          </cell>
        </row>
        <row r="101">
          <cell r="A101" t="str">
            <v>AHB</v>
          </cell>
          <cell r="B101" t="str">
            <v>Alfresco Software Inc.</v>
          </cell>
        </row>
        <row r="102">
          <cell r="A102" t="str">
            <v>AHO</v>
          </cell>
          <cell r="B102" t="str">
            <v>Koninklijke Ahold N.V</v>
          </cell>
        </row>
        <row r="103">
          <cell r="A103" t="str">
            <v>AHR</v>
          </cell>
          <cell r="B103" t="str">
            <v>American Hotel Register Company</v>
          </cell>
        </row>
        <row r="104">
          <cell r="A104" t="str">
            <v>AHS</v>
          </cell>
          <cell r="B104" t="str">
            <v>Ahead Software GMBH</v>
          </cell>
        </row>
        <row r="105">
          <cell r="A105" t="str">
            <v>AHT</v>
          </cell>
          <cell r="B105" t="str">
            <v>AHT</v>
          </cell>
        </row>
        <row r="106">
          <cell r="A106" t="str">
            <v>AIB</v>
          </cell>
          <cell r="B106" t="str">
            <v>Bureau Economique de la Province de Namur</v>
          </cell>
        </row>
        <row r="107">
          <cell r="A107" t="str">
            <v>AIG</v>
          </cell>
          <cell r="B107" t="str">
            <v>American International Group, Inc.</v>
          </cell>
        </row>
        <row r="108">
          <cell r="A108" t="str">
            <v>AII</v>
          </cell>
          <cell r="B108" t="str">
            <v>Aimia Inc.</v>
          </cell>
        </row>
        <row r="109">
          <cell r="A109" t="str">
            <v>AIK</v>
          </cell>
          <cell r="B109" t="str">
            <v>Aikawa Group</v>
          </cell>
        </row>
        <row r="110">
          <cell r="A110" t="str">
            <v>AIL</v>
          </cell>
          <cell r="B110" t="str">
            <v>AIC Limited</v>
          </cell>
        </row>
        <row r="111">
          <cell r="A111" t="str">
            <v>AIO</v>
          </cell>
          <cell r="B111" t="str">
            <v>Abbott Laboratories</v>
          </cell>
        </row>
        <row r="112">
          <cell r="A112" t="str">
            <v>AIP</v>
          </cell>
          <cell r="B112" t="str">
            <v>American Institute Of Physics Incorporated</v>
          </cell>
        </row>
        <row r="113">
          <cell r="A113" t="str">
            <v>AIR</v>
          </cell>
          <cell r="B113" t="str">
            <v>Airbnb, Inc.</v>
          </cell>
        </row>
        <row r="114">
          <cell r="A114" t="str">
            <v>AKA</v>
          </cell>
          <cell r="B114" t="str">
            <v>Akal UK Limited</v>
          </cell>
        </row>
        <row r="115">
          <cell r="A115" t="str">
            <v>AKD</v>
          </cell>
          <cell r="B115" t="str">
            <v>The Aga Khan Development Network</v>
          </cell>
        </row>
        <row r="116">
          <cell r="A116" t="str">
            <v>AKN</v>
          </cell>
          <cell r="B116" t="str">
            <v>ARKADIN</v>
          </cell>
        </row>
        <row r="117">
          <cell r="A117" t="str">
            <v>AKQ</v>
          </cell>
          <cell r="B117" t="str">
            <v>AKQA Inc</v>
          </cell>
        </row>
        <row r="118">
          <cell r="A118" t="str">
            <v>AKT</v>
          </cell>
          <cell r="B118" t="str">
            <v>Akamai Technologies, Inc.</v>
          </cell>
        </row>
        <row r="119">
          <cell r="A119" t="str">
            <v>AKZ</v>
          </cell>
          <cell r="B119" t="str">
            <v>Akzo Nobel NV</v>
          </cell>
        </row>
        <row r="120">
          <cell r="A120" t="str">
            <v>AL0</v>
          </cell>
          <cell r="B120" t="str">
            <v>Alitalia - Compagnia Aerea Italiana S.p.A.</v>
          </cell>
        </row>
        <row r="121">
          <cell r="A121" t="str">
            <v>AL1</v>
          </cell>
          <cell r="B121" t="str">
            <v>Altana Chemie AG</v>
          </cell>
        </row>
        <row r="122">
          <cell r="A122" t="str">
            <v>AL2</v>
          </cell>
          <cell r="B122" t="str">
            <v>ALDO Group Inc.</v>
          </cell>
        </row>
        <row r="123">
          <cell r="A123" t="str">
            <v>AL4</v>
          </cell>
          <cell r="B123" t="str">
            <v>Aldebaran Robotics</v>
          </cell>
        </row>
        <row r="124">
          <cell r="A124" t="str">
            <v>AL5</v>
          </cell>
          <cell r="B124" t="str">
            <v>Aliyun</v>
          </cell>
        </row>
        <row r="125">
          <cell r="A125" t="str">
            <v>AL6</v>
          </cell>
          <cell r="B125" t="str">
            <v>ALIBABA</v>
          </cell>
        </row>
        <row r="126">
          <cell r="A126" t="str">
            <v>ALA</v>
          </cell>
          <cell r="B126" t="str">
            <v>Alliander NV</v>
          </cell>
        </row>
        <row r="127">
          <cell r="A127" t="str">
            <v>ALB</v>
          </cell>
          <cell r="B127" t="str">
            <v>AlphaBlox Corporation</v>
          </cell>
        </row>
        <row r="128">
          <cell r="A128" t="str">
            <v>ALD</v>
          </cell>
          <cell r="B128" t="str">
            <v>Alder Hey IMAGINE Appeal</v>
          </cell>
        </row>
        <row r="129">
          <cell r="A129" t="str">
            <v>ALE</v>
          </cell>
          <cell r="B129" t="str">
            <v>Laboratorios Almirall, S.A.</v>
          </cell>
        </row>
        <row r="130">
          <cell r="A130" t="str">
            <v>ALF</v>
          </cell>
          <cell r="B130" t="str">
            <v>Alfabase-Publikatie Processors B.V.</v>
          </cell>
        </row>
        <row r="131">
          <cell r="A131" t="str">
            <v>ALG</v>
          </cell>
          <cell r="B131" t="str">
            <v>Align Technology Inc.</v>
          </cell>
        </row>
        <row r="132">
          <cell r="A132" t="str">
            <v>ALH</v>
          </cell>
          <cell r="B132" t="str">
            <v>Alio Health</v>
          </cell>
        </row>
        <row r="133">
          <cell r="A133" t="str">
            <v>ALI</v>
          </cell>
          <cell r="B133" t="str">
            <v>Alpha Intro</v>
          </cell>
        </row>
        <row r="134">
          <cell r="A134" t="str">
            <v>ALK</v>
          </cell>
          <cell r="B134" t="str">
            <v>ALK Technologies Inc</v>
          </cell>
        </row>
        <row r="135">
          <cell r="A135" t="str">
            <v>ALL</v>
          </cell>
          <cell r="B135" t="str">
            <v>Allianz SE</v>
          </cell>
        </row>
        <row r="136">
          <cell r="A136" t="str">
            <v>ALM</v>
          </cell>
          <cell r="B136" t="str">
            <v>Allianz Madvac Inc</v>
          </cell>
        </row>
        <row r="137">
          <cell r="A137" t="str">
            <v>ALN</v>
          </cell>
          <cell r="B137" t="str">
            <v>Allergan, Inc.</v>
          </cell>
        </row>
        <row r="138">
          <cell r="A138" t="str">
            <v>ALP</v>
          </cell>
          <cell r="B138" t="str">
            <v>AllPosters.com Inc.</v>
          </cell>
        </row>
        <row r="139">
          <cell r="A139" t="str">
            <v>ALQ</v>
          </cell>
          <cell r="B139" t="str">
            <v>Alpiq Holding Ltd</v>
          </cell>
        </row>
        <row r="140">
          <cell r="A140" t="str">
            <v>ALS</v>
          </cell>
          <cell r="B140" t="str">
            <v>ALSTOM</v>
          </cell>
        </row>
        <row r="141">
          <cell r="A141" t="str">
            <v>ALT</v>
          </cell>
          <cell r="B141" t="str">
            <v>Compagnie Financière Alcatel</v>
          </cell>
        </row>
        <row r="142">
          <cell r="A142" t="str">
            <v>ALU</v>
          </cell>
          <cell r="B142" t="str">
            <v>Alutiiq, LLC</v>
          </cell>
        </row>
        <row r="143">
          <cell r="A143" t="str">
            <v>ALV</v>
          </cell>
          <cell r="B143" t="str">
            <v>Alfa Laval Corporate AB</v>
          </cell>
        </row>
        <row r="144">
          <cell r="A144" t="str">
            <v>ALX</v>
          </cell>
          <cell r="B144" t="str">
            <v>Advanced Language Translation Inc</v>
          </cell>
        </row>
        <row r="145">
          <cell r="A145" t="str">
            <v>ALY</v>
          </cell>
          <cell r="B145" t="str">
            <v>ALAYA INC.</v>
          </cell>
        </row>
        <row r="146">
          <cell r="A146" t="str">
            <v>ALZ</v>
          </cell>
          <cell r="B146" t="str">
            <v>The Allstate Corporation</v>
          </cell>
        </row>
        <row r="147">
          <cell r="A147" t="str">
            <v>AM3</v>
          </cell>
          <cell r="B147" t="str">
            <v>Amgen Inc.</v>
          </cell>
        </row>
        <row r="148">
          <cell r="A148" t="str">
            <v>AMA</v>
          </cell>
          <cell r="B148" t="str">
            <v>Amazys Holding AG</v>
          </cell>
        </row>
        <row r="149">
          <cell r="A149" t="str">
            <v>AMB</v>
          </cell>
          <cell r="B149" t="str">
            <v>The Amateur Boxing Association of England Ltd.</v>
          </cell>
        </row>
        <row r="150">
          <cell r="A150" t="str">
            <v>AMC</v>
          </cell>
          <cell r="B150" t="str">
            <v>Art Technology Group Inc</v>
          </cell>
        </row>
        <row r="151">
          <cell r="A151" t="str">
            <v>AMD</v>
          </cell>
          <cell r="B151" t="str">
            <v>Advanced Micro Devices Inc</v>
          </cell>
        </row>
        <row r="152">
          <cell r="A152" t="str">
            <v>AME</v>
          </cell>
          <cell r="B152" t="str">
            <v>Amersham plc</v>
          </cell>
        </row>
        <row r="153">
          <cell r="A153" t="str">
            <v>AMG</v>
          </cell>
          <cell r="B153" t="str">
            <v>Access Meeting</v>
          </cell>
        </row>
        <row r="154">
          <cell r="A154" t="str">
            <v>AMH</v>
          </cell>
          <cell r="B154" t="str">
            <v>AMBIO Helse AS</v>
          </cell>
        </row>
        <row r="155">
          <cell r="A155" t="str">
            <v>AMI</v>
          </cell>
          <cell r="B155" t="str">
            <v>Astral Media Inc.</v>
          </cell>
        </row>
        <row r="156">
          <cell r="A156" t="str">
            <v>AMK</v>
          </cell>
          <cell r="B156" t="str">
            <v>amana inc.</v>
          </cell>
        </row>
        <row r="157">
          <cell r="A157" t="str">
            <v>AML</v>
          </cell>
          <cell r="B157" t="str">
            <v>AM General, LLC</v>
          </cell>
        </row>
        <row r="158">
          <cell r="A158" t="str">
            <v>AMM</v>
          </cell>
          <cell r="B158" t="str">
            <v>ACCESS Medical, LLC</v>
          </cell>
        </row>
        <row r="159">
          <cell r="A159" t="str">
            <v>AMN</v>
          </cell>
          <cell r="B159" t="str">
            <v>AMERICAN MEDICAL ASSOCIATION</v>
          </cell>
        </row>
        <row r="160">
          <cell r="A160" t="str">
            <v>AMO</v>
          </cell>
          <cell r="B160" t="str">
            <v>Amoi Electronics Co. Ltd.</v>
          </cell>
        </row>
        <row r="161">
          <cell r="A161" t="str">
            <v>AMP</v>
          </cell>
          <cell r="B161" t="str">
            <v>Amplexor Nv</v>
          </cell>
        </row>
        <row r="162">
          <cell r="A162" t="str">
            <v>AMQ</v>
          </cell>
          <cell r="B162" t="str">
            <v>AMR Corporation</v>
          </cell>
        </row>
        <row r="163">
          <cell r="A163" t="str">
            <v>AMR</v>
          </cell>
          <cell r="B163" t="str">
            <v>Amer Sports Corporation</v>
          </cell>
        </row>
        <row r="164">
          <cell r="A164" t="str">
            <v>AMS</v>
          </cell>
          <cell r="B164" t="str">
            <v>American Specialty Health, Inc</v>
          </cell>
        </row>
        <row r="165">
          <cell r="A165" t="str">
            <v>AMT</v>
          </cell>
          <cell r="B165" t="str">
            <v>Amnesty International Limited</v>
          </cell>
        </row>
        <row r="166">
          <cell r="A166" t="str">
            <v>AMW</v>
          </cell>
          <cell r="B166" t="str">
            <v>Alticor, Inc.</v>
          </cell>
        </row>
        <row r="167">
          <cell r="A167" t="str">
            <v>AMX</v>
          </cell>
          <cell r="B167" t="str">
            <v>American Express Company</v>
          </cell>
        </row>
        <row r="168">
          <cell r="A168" t="str">
            <v>AMZ</v>
          </cell>
          <cell r="B168" t="str">
            <v>Amazon.Com Inc</v>
          </cell>
        </row>
        <row r="169">
          <cell r="A169" t="str">
            <v>ANA</v>
          </cell>
          <cell r="B169" t="str">
            <v>Ansira Partners LLC</v>
          </cell>
        </row>
        <row r="170">
          <cell r="A170" t="str">
            <v>AND</v>
          </cell>
          <cell r="B170" t="str">
            <v>Analog Devices Inc.</v>
          </cell>
        </row>
        <row r="171">
          <cell r="A171" t="str">
            <v>ANE</v>
          </cell>
          <cell r="B171" t="str">
            <v>Action Engine Corporation</v>
          </cell>
        </row>
        <row r="172">
          <cell r="A172" t="str">
            <v>ANF</v>
          </cell>
          <cell r="B172" t="str">
            <v>Abercrombie &amp; Fitch Co.</v>
          </cell>
        </row>
        <row r="173">
          <cell r="A173" t="str">
            <v>ANL</v>
          </cell>
          <cell r="B173" t="str">
            <v>All Nippon Airways Co., Ltd.</v>
          </cell>
        </row>
        <row r="174">
          <cell r="A174" t="str">
            <v>ANR</v>
          </cell>
          <cell r="B174" t="str">
            <v>Anvir Software</v>
          </cell>
        </row>
        <row r="175">
          <cell r="A175" t="str">
            <v>ANT</v>
          </cell>
          <cell r="B175" t="str">
            <v>Antech Systems, Inc.</v>
          </cell>
        </row>
        <row r="176">
          <cell r="A176" t="str">
            <v>ANV</v>
          </cell>
          <cell r="B176" t="str">
            <v>Atradius NV</v>
          </cell>
        </row>
        <row r="177">
          <cell r="A177" t="str">
            <v>ANW</v>
          </cell>
          <cell r="B177" t="str">
            <v>ANWB B.V.</v>
          </cell>
        </row>
        <row r="178">
          <cell r="A178" t="str">
            <v>ANZ</v>
          </cell>
          <cell r="B178" t="str">
            <v>St Antonius Ziekenhuis</v>
          </cell>
        </row>
        <row r="179">
          <cell r="A179" t="str">
            <v>AOL</v>
          </cell>
          <cell r="B179" t="str">
            <v>AOL LLC.</v>
          </cell>
        </row>
        <row r="180">
          <cell r="A180" t="str">
            <v>AON</v>
          </cell>
          <cell r="B180" t="str">
            <v xml:space="preserve">Asia Online PTE Ltd </v>
          </cell>
        </row>
        <row r="181">
          <cell r="A181" t="str">
            <v>AOO</v>
          </cell>
          <cell r="B181" t="str">
            <v>ATOS Origin</v>
          </cell>
        </row>
        <row r="182">
          <cell r="A182" t="str">
            <v>AOP</v>
          </cell>
          <cell r="B182" t="str">
            <v>Aopen Inc</v>
          </cell>
        </row>
        <row r="183">
          <cell r="A183" t="str">
            <v>AOS</v>
          </cell>
          <cell r="B183" t="str">
            <v>Actino Software GmbH</v>
          </cell>
        </row>
        <row r="184">
          <cell r="A184" t="str">
            <v>AP0</v>
          </cell>
          <cell r="B184" t="str">
            <v>The Associated Press</v>
          </cell>
        </row>
        <row r="185">
          <cell r="A185" t="str">
            <v>APA</v>
          </cell>
          <cell r="B185" t="str">
            <v>American Psychological Association</v>
          </cell>
        </row>
        <row r="186">
          <cell r="A186" t="str">
            <v>APC</v>
          </cell>
          <cell r="B186" t="str">
            <v>Aptalis Pharma Canada Inc.</v>
          </cell>
        </row>
        <row r="187">
          <cell r="A187" t="str">
            <v>APD</v>
          </cell>
          <cell r="B187" t="str">
            <v>Applied Language Solutions Llc</v>
          </cell>
        </row>
        <row r="188">
          <cell r="A188" t="str">
            <v>APG</v>
          </cell>
          <cell r="B188" t="str">
            <v>Apicil Gestion</v>
          </cell>
        </row>
        <row r="189">
          <cell r="A189" t="str">
            <v>APH</v>
          </cell>
          <cell r="B189" t="str">
            <v>Alpha CRC</v>
          </cell>
        </row>
        <row r="190">
          <cell r="A190" t="str">
            <v>API</v>
          </cell>
          <cell r="B190" t="str">
            <v>Apicius</v>
          </cell>
        </row>
        <row r="191">
          <cell r="A191" t="str">
            <v>APJ</v>
          </cell>
          <cell r="B191" t="str">
            <v>Apigee Corp.</v>
          </cell>
        </row>
        <row r="192">
          <cell r="A192" t="str">
            <v>APK</v>
          </cell>
          <cell r="B192" t="str">
            <v>Aplicor Inc.</v>
          </cell>
        </row>
        <row r="193">
          <cell r="A193" t="str">
            <v>APL</v>
          </cell>
          <cell r="B193" t="str">
            <v>Appleton Papers Inc</v>
          </cell>
        </row>
        <row r="194">
          <cell r="A194" t="str">
            <v>APM</v>
          </cell>
          <cell r="B194" t="str">
            <v>Applied Materials, Inc.</v>
          </cell>
        </row>
        <row r="195">
          <cell r="A195" t="str">
            <v>APO</v>
          </cell>
          <cell r="B195" t="str">
            <v xml:space="preserve">Apotex Inc. </v>
          </cell>
        </row>
        <row r="196">
          <cell r="A196" t="str">
            <v>APP</v>
          </cell>
          <cell r="B196" t="str">
            <v>Applix Inc</v>
          </cell>
        </row>
        <row r="197">
          <cell r="A197" t="str">
            <v>APR</v>
          </cell>
          <cell r="B197" t="str">
            <v>Air Products</v>
          </cell>
        </row>
        <row r="198">
          <cell r="A198" t="str">
            <v>APS</v>
          </cell>
          <cell r="B198" t="str">
            <v>groupe Apsys SAS</v>
          </cell>
        </row>
        <row r="199">
          <cell r="A199" t="str">
            <v>APT</v>
          </cell>
          <cell r="B199" t="str">
            <v>Aptas, Inc.</v>
          </cell>
        </row>
        <row r="200">
          <cell r="A200" t="str">
            <v>APV</v>
          </cell>
          <cell r="B200" t="str">
            <v>Apollo Tyres Ltd</v>
          </cell>
        </row>
        <row r="201">
          <cell r="A201" t="str">
            <v>APX</v>
          </cell>
          <cell r="B201" t="str">
            <v>Apple Inc.</v>
          </cell>
        </row>
        <row r="202">
          <cell r="A202" t="str">
            <v>AQL</v>
          </cell>
          <cell r="B202" t="str">
            <v>ACAL plc</v>
          </cell>
        </row>
        <row r="203">
          <cell r="A203" t="str">
            <v>AQR</v>
          </cell>
          <cell r="B203" t="str">
            <v>Aquire, Inc.</v>
          </cell>
        </row>
        <row r="204">
          <cell r="A204" t="str">
            <v>ARA</v>
          </cell>
          <cell r="B204" t="str">
            <v>Aramex Dubai</v>
          </cell>
        </row>
        <row r="205">
          <cell r="A205" t="str">
            <v>ARB</v>
          </cell>
          <cell r="B205" t="str">
            <v>Arbetsmiljoverket (Av)</v>
          </cell>
        </row>
        <row r="206">
          <cell r="A206" t="str">
            <v>ARC</v>
          </cell>
          <cell r="B206" t="str">
            <v>American Red Cross</v>
          </cell>
        </row>
        <row r="207">
          <cell r="A207" t="str">
            <v>ARD</v>
          </cell>
          <cell r="B207" t="str">
            <v>Arriva Coöperatie W.A.</v>
          </cell>
        </row>
        <row r="208">
          <cell r="A208" t="str">
            <v>ARE</v>
          </cell>
          <cell r="B208" t="str">
            <v>Carlyle Partners IV, L.P</v>
          </cell>
        </row>
        <row r="209">
          <cell r="A209" t="str">
            <v>ARG</v>
          </cell>
          <cell r="B209" t="str">
            <v>Argenta Groep Nv</v>
          </cell>
        </row>
        <row r="210">
          <cell r="A210" t="str">
            <v>ARI</v>
          </cell>
          <cell r="B210" t="str">
            <v>ARI Network Services, Inc</v>
          </cell>
        </row>
        <row r="211">
          <cell r="A211" t="str">
            <v>ARK</v>
          </cell>
          <cell r="B211" t="str">
            <v>Air France-KLM S.A.</v>
          </cell>
        </row>
        <row r="212">
          <cell r="A212" t="str">
            <v>ARL</v>
          </cell>
          <cell r="B212" t="str">
            <v>ArcelorMittal</v>
          </cell>
        </row>
        <row r="213">
          <cell r="A213" t="str">
            <v>ARM</v>
          </cell>
          <cell r="B213" t="str">
            <v>ARM Holdings PLC</v>
          </cell>
        </row>
        <row r="214">
          <cell r="A214" t="str">
            <v>ARN</v>
          </cell>
          <cell r="B214" t="str">
            <v>Arithnea GmbH</v>
          </cell>
        </row>
        <row r="215">
          <cell r="A215" t="str">
            <v>ARR</v>
          </cell>
          <cell r="B215" t="str">
            <v>AMR Research, Inc</v>
          </cell>
        </row>
        <row r="216">
          <cell r="A216" t="str">
            <v>ARS</v>
          </cell>
          <cell r="B216" t="str">
            <v>S.A. Armstrong Limited</v>
          </cell>
        </row>
        <row r="217">
          <cell r="A217" t="str">
            <v>ART</v>
          </cell>
          <cell r="B217" t="str">
            <v>Art.com, Inc</v>
          </cell>
        </row>
        <row r="218">
          <cell r="A218" t="str">
            <v>ARU</v>
          </cell>
          <cell r="B218" t="str">
            <v>Pharmaceutical Product Development, LLC</v>
          </cell>
        </row>
        <row r="219">
          <cell r="A219" t="str">
            <v>ARV</v>
          </cell>
          <cell r="B219" t="str">
            <v>AREVA</v>
          </cell>
        </row>
        <row r="220">
          <cell r="A220" t="str">
            <v>ARW</v>
          </cell>
          <cell r="B220" t="str">
            <v>AROUND THE WORD</v>
          </cell>
        </row>
        <row r="221">
          <cell r="A221" t="str">
            <v>ARX</v>
          </cell>
          <cell r="B221" t="str">
            <v>Arthrex Inc</v>
          </cell>
        </row>
        <row r="222">
          <cell r="A222" t="str">
            <v>AS1</v>
          </cell>
          <cell r="B222" t="str">
            <v>Alion Science &amp; Technology</v>
          </cell>
        </row>
        <row r="223">
          <cell r="A223" t="str">
            <v>AS2</v>
          </cell>
          <cell r="B223" t="str">
            <v>Dr. Al Sears Center for Health &amp; Wellness</v>
          </cell>
        </row>
        <row r="224">
          <cell r="A224" t="str">
            <v>ASA</v>
          </cell>
          <cell r="B224" t="str">
            <v>Asahi Kasei Corporation</v>
          </cell>
        </row>
        <row r="225">
          <cell r="A225" t="str">
            <v>ASC</v>
          </cell>
          <cell r="B225" t="str">
            <v>Agile Software Corporation</v>
          </cell>
        </row>
        <row r="226">
          <cell r="A226" t="str">
            <v>ASD</v>
          </cell>
          <cell r="B226" t="str">
            <v>Aspect Education UK Ltd.</v>
          </cell>
        </row>
        <row r="227">
          <cell r="A227" t="str">
            <v>ASG</v>
          </cell>
          <cell r="B227" t="str">
            <v>Artwork Systems Group NV</v>
          </cell>
        </row>
        <row r="228">
          <cell r="A228" t="str">
            <v>ASH</v>
          </cell>
          <cell r="B228" t="str">
            <v>K. K. Ashisuto</v>
          </cell>
        </row>
        <row r="229">
          <cell r="A229" t="str">
            <v>ASI</v>
          </cell>
          <cell r="B229" t="str">
            <v>Aspect Software, Inc.</v>
          </cell>
        </row>
        <row r="230">
          <cell r="A230" t="str">
            <v>ASL</v>
          </cell>
          <cell r="B230" t="str">
            <v>A1 Sports Ltd</v>
          </cell>
        </row>
        <row r="231">
          <cell r="A231" t="str">
            <v>ASM</v>
          </cell>
          <cell r="B231" t="str">
            <v>ASTM International</v>
          </cell>
        </row>
        <row r="232">
          <cell r="A232" t="str">
            <v>ASO</v>
          </cell>
          <cell r="B232" t="str">
            <v>ASOS plc</v>
          </cell>
        </row>
        <row r="233">
          <cell r="A233" t="str">
            <v>ASR</v>
          </cell>
          <cell r="B233" t="str">
            <v>ASR Verzekeringsgroep N.V.</v>
          </cell>
        </row>
        <row r="234">
          <cell r="A234" t="str">
            <v>ASS</v>
          </cell>
          <cell r="B234" t="str">
            <v>Astute Inc.</v>
          </cell>
        </row>
        <row r="235">
          <cell r="A235" t="str">
            <v>AST</v>
          </cell>
          <cell r="B235" t="str">
            <v>Aspen Technology, Inc.</v>
          </cell>
        </row>
        <row r="236">
          <cell r="A236" t="str">
            <v>ASU</v>
          </cell>
          <cell r="B236" t="str">
            <v>ASUSTeK COMPUTER Inc.</v>
          </cell>
        </row>
        <row r="237">
          <cell r="A237" t="str">
            <v>ASZ</v>
          </cell>
          <cell r="B237" t="str">
            <v>AstraZeneca PLC</v>
          </cell>
        </row>
        <row r="238">
          <cell r="A238" t="str">
            <v>AT0</v>
          </cell>
          <cell r="B238" t="str">
            <v>Atmel Corporation</v>
          </cell>
        </row>
        <row r="239">
          <cell r="A239" t="str">
            <v>AT1</v>
          </cell>
          <cell r="B239" t="str">
            <v>Atlas Technologies Inc</v>
          </cell>
        </row>
        <row r="240">
          <cell r="A240" t="str">
            <v>ATA</v>
          </cell>
          <cell r="B240" t="str">
            <v>AT&amp;T Inc.</v>
          </cell>
        </row>
        <row r="241">
          <cell r="A241" t="str">
            <v>ATB</v>
          </cell>
          <cell r="B241" t="str">
            <v>Attached B.V.</v>
          </cell>
        </row>
        <row r="242">
          <cell r="A242" t="str">
            <v>ATC</v>
          </cell>
          <cell r="B242" t="str">
            <v>Atlas Copco AB</v>
          </cell>
        </row>
        <row r="243">
          <cell r="A243" t="str">
            <v>ATD</v>
          </cell>
          <cell r="B243" t="str">
            <v>TOURISM AUSTRALIA</v>
          </cell>
        </row>
        <row r="244">
          <cell r="A244" t="str">
            <v>ATE</v>
          </cell>
          <cell r="B244" t="str">
            <v>ALTEN SA</v>
          </cell>
        </row>
        <row r="245">
          <cell r="A245" t="str">
            <v>ATG</v>
          </cell>
          <cell r="B245" t="str">
            <v>Al Tayer Group</v>
          </cell>
        </row>
        <row r="246">
          <cell r="A246" t="str">
            <v>ATH</v>
          </cell>
          <cell r="B246" t="str">
            <v>Athena Automation Ltd</v>
          </cell>
        </row>
        <row r="247">
          <cell r="A247" t="str">
            <v>ATI</v>
          </cell>
          <cell r="B247" t="str">
            <v>ATI Technologies Inc.</v>
          </cell>
        </row>
        <row r="248">
          <cell r="A248" t="str">
            <v>ATK</v>
          </cell>
          <cell r="B248" t="str">
            <v>Atkins Global</v>
          </cell>
        </row>
        <row r="249">
          <cell r="A249" t="str">
            <v>ATL</v>
          </cell>
          <cell r="B249" t="str">
            <v>Association of Teachers &amp; Lecturers</v>
          </cell>
        </row>
        <row r="250">
          <cell r="A250" t="str">
            <v>ATM</v>
          </cell>
          <cell r="B250" t="str">
            <v>AttachmateWRQ</v>
          </cell>
        </row>
        <row r="251">
          <cell r="A251" t="str">
            <v>ATN</v>
          </cell>
          <cell r="B251" t="str">
            <v>Activision Publishing</v>
          </cell>
        </row>
        <row r="252">
          <cell r="A252" t="str">
            <v>ATO</v>
          </cell>
          <cell r="B252" t="str">
            <v>A.L.T.O</v>
          </cell>
        </row>
        <row r="253">
          <cell r="A253" t="str">
            <v>ATP</v>
          </cell>
          <cell r="B253" t="str">
            <v>Atempo S.A.</v>
          </cell>
        </row>
        <row r="254">
          <cell r="A254" t="str">
            <v>ATQ</v>
          </cell>
          <cell r="B254" t="str">
            <v>Autoquake Ltd</v>
          </cell>
        </row>
        <row r="255">
          <cell r="A255" t="str">
            <v>ATS</v>
          </cell>
          <cell r="B255" t="str">
            <v>ATS Automation Tooling Systems Inc.</v>
          </cell>
        </row>
        <row r="256">
          <cell r="A256" t="str">
            <v>ATU</v>
          </cell>
          <cell r="B256" t="str">
            <v>A.T.U Auto-Teile-Unger Investment GmbH &amp; Co. KG</v>
          </cell>
        </row>
        <row r="257">
          <cell r="A257" t="str">
            <v>ATW</v>
          </cell>
          <cell r="B257" t="str">
            <v>Attraction World Ltd</v>
          </cell>
        </row>
        <row r="258">
          <cell r="A258" t="str">
            <v>ATY</v>
          </cell>
          <cell r="B258" t="str">
            <v>Autonomy Corporation plc</v>
          </cell>
        </row>
        <row r="259">
          <cell r="A259" t="str">
            <v>AUC</v>
          </cell>
          <cell r="B259" t="str">
            <v>Groupe Auchan S.A.</v>
          </cell>
        </row>
        <row r="260">
          <cell r="A260" t="str">
            <v>AUE</v>
          </cell>
          <cell r="B260" t="str">
            <v>AUSTAR ENTERTAINMENT PTY LIMITED</v>
          </cell>
        </row>
        <row r="261">
          <cell r="A261" t="str">
            <v>AUG</v>
          </cell>
          <cell r="B261" t="str">
            <v>Australian Government</v>
          </cell>
        </row>
        <row r="262">
          <cell r="A262" t="str">
            <v>AUM</v>
          </cell>
          <cell r="B262" t="str">
            <v>AUMA Riester GmbH &amp; Co. KG</v>
          </cell>
        </row>
        <row r="263">
          <cell r="A263" t="str">
            <v>AUR</v>
          </cell>
          <cell r="B263" t="str">
            <v>Aurelius A.G.</v>
          </cell>
        </row>
        <row r="264">
          <cell r="A264" t="str">
            <v>AUS</v>
          </cell>
          <cell r="B264" t="str">
            <v>Austro Control</v>
          </cell>
        </row>
        <row r="265">
          <cell r="A265" t="str">
            <v>AV0</v>
          </cell>
          <cell r="B265" t="str">
            <v>Algemene Omroepvereniging AVRO</v>
          </cell>
        </row>
        <row r="266">
          <cell r="A266" t="str">
            <v>AVA</v>
          </cell>
          <cell r="B266" t="str">
            <v>Avaya Inc</v>
          </cell>
        </row>
        <row r="267">
          <cell r="A267" t="str">
            <v>AVC</v>
          </cell>
          <cell r="B267" t="str">
            <v>Acclivus Corporation</v>
          </cell>
        </row>
        <row r="268">
          <cell r="A268" t="str">
            <v>AVD</v>
          </cell>
          <cell r="B268" t="str">
            <v>Avanade Inc</v>
          </cell>
        </row>
        <row r="269">
          <cell r="A269" t="str">
            <v>AVE</v>
          </cell>
          <cell r="B269" t="str">
            <v>Sanofi-Aventis S.A.</v>
          </cell>
        </row>
        <row r="270">
          <cell r="A270" t="str">
            <v>AVI</v>
          </cell>
          <cell r="B270" t="str">
            <v>Aviva plc</v>
          </cell>
        </row>
        <row r="271">
          <cell r="A271" t="str">
            <v>AVL</v>
          </cell>
          <cell r="B271" t="str">
            <v>AVL List GmbH</v>
          </cell>
        </row>
        <row r="272">
          <cell r="A272" t="str">
            <v>AVM</v>
          </cell>
          <cell r="B272" t="str">
            <v>AVM Computersysteme Vertriebs GmbH</v>
          </cell>
        </row>
        <row r="273">
          <cell r="A273" t="str">
            <v>AVN</v>
          </cell>
          <cell r="B273" t="str">
            <v>Avnet Inc</v>
          </cell>
        </row>
        <row r="274">
          <cell r="A274" t="str">
            <v>AVO</v>
          </cell>
          <cell r="B274" t="str">
            <v>Avinor AS</v>
          </cell>
        </row>
        <row r="275">
          <cell r="A275" t="str">
            <v>AVQ</v>
          </cell>
          <cell r="B275" t="str">
            <v>Avanquest Software</v>
          </cell>
        </row>
        <row r="276">
          <cell r="A276" t="str">
            <v>AVR</v>
          </cell>
          <cell r="B276" t="str">
            <v>Active Risk Group plc</v>
          </cell>
        </row>
        <row r="277">
          <cell r="A277" t="str">
            <v>AVT</v>
          </cell>
          <cell r="B277" t="str">
            <v>Aventail Corporation</v>
          </cell>
        </row>
        <row r="278">
          <cell r="A278" t="str">
            <v>AVU</v>
          </cell>
          <cell r="B278" t="str">
            <v>A.S.Adventure n.v.</v>
          </cell>
        </row>
        <row r="279">
          <cell r="A279" t="str">
            <v>AVZ</v>
          </cell>
          <cell r="B279" t="str">
            <v>The Avanza Group, LLC</v>
          </cell>
        </row>
        <row r="280">
          <cell r="A280" t="str">
            <v>AWE</v>
          </cell>
          <cell r="B280" t="str">
            <v>AWE plc</v>
          </cell>
        </row>
        <row r="281">
          <cell r="A281" t="str">
            <v>AWI</v>
          </cell>
          <cell r="B281" t="str">
            <v>Armstrong Holdings, Inc</v>
          </cell>
        </row>
        <row r="282">
          <cell r="A282" t="str">
            <v>AWL</v>
          </cell>
          <cell r="B282" t="str">
            <v>AWL Techniek BV</v>
          </cell>
        </row>
        <row r="283">
          <cell r="A283" t="str">
            <v>AWM</v>
          </cell>
          <cell r="B283" t="str">
            <v>Advantage West Midlands</v>
          </cell>
        </row>
        <row r="284">
          <cell r="A284" t="str">
            <v>AXA</v>
          </cell>
          <cell r="B284" t="str">
            <v>AXA</v>
          </cell>
        </row>
        <row r="285">
          <cell r="A285" t="str">
            <v>AXD</v>
          </cell>
          <cell r="B285" t="str">
            <v>Alexandra PLC</v>
          </cell>
        </row>
        <row r="286">
          <cell r="A286" t="str">
            <v>AXS</v>
          </cell>
          <cell r="B286" t="str">
            <v>AXS-One, Inc.</v>
          </cell>
        </row>
        <row r="287">
          <cell r="A287" t="str">
            <v>AZE</v>
          </cell>
          <cell r="B287" t="str">
            <v xml:space="preserve">The Hasgrove Group </v>
          </cell>
        </row>
        <row r="288">
          <cell r="A288" t="str">
            <v>AZT</v>
          </cell>
          <cell r="B288" t="str">
            <v>Actoz Soft Co., Ltd.</v>
          </cell>
        </row>
        <row r="289">
          <cell r="A289" t="str">
            <v>B1S</v>
          </cell>
          <cell r="B289" t="str">
            <v>Bank for International Settlements</v>
          </cell>
        </row>
        <row r="290">
          <cell r="A290" t="str">
            <v>B2X</v>
          </cell>
          <cell r="B290" t="str">
            <v>B2X Corporation</v>
          </cell>
        </row>
        <row r="291">
          <cell r="A291" t="str">
            <v>B4N</v>
          </cell>
          <cell r="B291" t="str">
            <v>Buy4Now Ltd.</v>
          </cell>
        </row>
        <row r="292">
          <cell r="A292" t="str">
            <v>BA0</v>
          </cell>
          <cell r="B292" t="str">
            <v>BAE SYSTEMS plc</v>
          </cell>
        </row>
        <row r="293">
          <cell r="A293" t="str">
            <v>BAB</v>
          </cell>
          <cell r="B293" t="str">
            <v>Babcock International Group PLC</v>
          </cell>
        </row>
        <row r="294">
          <cell r="A294" t="str">
            <v>BAD</v>
          </cell>
          <cell r="B294" t="str">
            <v>Band Interprise</v>
          </cell>
        </row>
        <row r="295">
          <cell r="A295" t="str">
            <v>BAC</v>
          </cell>
          <cell r="B295" t="str">
            <v>Barcelona Activa</v>
          </cell>
        </row>
        <row r="296">
          <cell r="A296" t="str">
            <v>BAE</v>
          </cell>
          <cell r="B296" t="str">
            <v>Bain &amp; Company, Inc.</v>
          </cell>
        </row>
        <row r="297">
          <cell r="A297" t="str">
            <v>BAF</v>
          </cell>
          <cell r="B297" t="str">
            <v>BASF Aktiengesellschaft</v>
          </cell>
        </row>
        <row r="298">
          <cell r="A298" t="str">
            <v>BAI</v>
          </cell>
          <cell r="B298" t="str">
            <v>Business Architects Inc.</v>
          </cell>
        </row>
        <row r="299">
          <cell r="A299" t="str">
            <v>BAJ</v>
          </cell>
          <cell r="B299" t="str">
            <v>Baja Mining Corporation</v>
          </cell>
        </row>
        <row r="300">
          <cell r="A300" t="str">
            <v>BAK</v>
          </cell>
          <cell r="B300" t="str">
            <v>Bankrate, Inc</v>
          </cell>
        </row>
        <row r="301">
          <cell r="A301" t="str">
            <v>BAL</v>
          </cell>
          <cell r="B301" t="str">
            <v>Bausch &amp; Lomb Incorporated</v>
          </cell>
        </row>
        <row r="302">
          <cell r="A302" t="str">
            <v>BAM</v>
          </cell>
          <cell r="B302" t="str">
            <v>British American Tobacco plc</v>
          </cell>
        </row>
        <row r="303">
          <cell r="A303" t="str">
            <v>BAN</v>
          </cell>
          <cell r="B303" t="str">
            <v>Bartanex NV</v>
          </cell>
        </row>
        <row r="304">
          <cell r="A304" t="str">
            <v>BAR</v>
          </cell>
          <cell r="B304" t="str">
            <v>Barclays PLC</v>
          </cell>
        </row>
        <row r="305">
          <cell r="A305" t="str">
            <v>BAS</v>
          </cell>
          <cell r="B305" t="str">
            <v>Basware Corporation</v>
          </cell>
        </row>
        <row r="306">
          <cell r="A306" t="str">
            <v>BAT</v>
          </cell>
          <cell r="B306" t="str">
            <v>Baltimore Technologies plc.</v>
          </cell>
        </row>
        <row r="307">
          <cell r="A307" t="str">
            <v>BAX</v>
          </cell>
          <cell r="B307" t="str">
            <v>Baxter International Inc</v>
          </cell>
        </row>
        <row r="308">
          <cell r="A308" t="str">
            <v>BAY</v>
          </cell>
          <cell r="B308" t="str">
            <v>Bayer AG</v>
          </cell>
        </row>
        <row r="309">
          <cell r="A309" t="str">
            <v>BAZ</v>
          </cell>
          <cell r="B309" t="str">
            <v>BazaarVoice, Inc.</v>
          </cell>
        </row>
        <row r="310">
          <cell r="A310" t="str">
            <v>BBC</v>
          </cell>
          <cell r="B310" t="str">
            <v>British Broadcasting Corporation</v>
          </cell>
        </row>
        <row r="311">
          <cell r="A311" t="str">
            <v>BBD</v>
          </cell>
          <cell r="B311" t="str">
            <v>DAVID CLARK (DESIGN GROUP) LTD</v>
          </cell>
        </row>
        <row r="312">
          <cell r="A312" t="str">
            <v>BBL</v>
          </cell>
          <cell r="B312" t="str">
            <v>Building Blocks (UK) Ltd</v>
          </cell>
        </row>
        <row r="313">
          <cell r="A313" t="str">
            <v>BBM</v>
          </cell>
          <cell r="B313" t="str">
            <v>Babel Media Ltd</v>
          </cell>
        </row>
        <row r="314">
          <cell r="A314" t="str">
            <v>BBR</v>
          </cell>
          <cell r="B314" t="str">
            <v>Boroughbridge Limited</v>
          </cell>
        </row>
        <row r="315">
          <cell r="A315" t="str">
            <v>BBS</v>
          </cell>
          <cell r="B315" t="str">
            <v>Buffalo Brothers Studios East Inc</v>
          </cell>
        </row>
        <row r="316">
          <cell r="A316" t="str">
            <v>BBV</v>
          </cell>
          <cell r="B316" t="str">
            <v>Banco Bilbao Vizcaya Argentaria, S.A.</v>
          </cell>
        </row>
        <row r="317">
          <cell r="A317" t="str">
            <v>BBY</v>
          </cell>
          <cell r="B317" t="str">
            <v>Best Buy Co., Inc</v>
          </cell>
        </row>
        <row r="318">
          <cell r="A318" t="str">
            <v>BCA</v>
          </cell>
          <cell r="B318" t="str">
            <v>Breastcancer.org</v>
          </cell>
        </row>
        <row r="319">
          <cell r="A319" t="str">
            <v>BCB</v>
          </cell>
          <cell r="B319" t="str">
            <v>Blue Cross and Blue Shield Association</v>
          </cell>
        </row>
        <row r="320">
          <cell r="A320" t="str">
            <v>BCC</v>
          </cell>
          <cell r="B320" t="str">
            <v>Breakfast Cereal Manufacturers of Canada</v>
          </cell>
        </row>
        <row r="321">
          <cell r="A321" t="str">
            <v>BCD</v>
          </cell>
          <cell r="B321" t="str">
            <v>Brocade Communications Systems, Inc.</v>
          </cell>
        </row>
        <row r="322">
          <cell r="A322" t="str">
            <v>BCG</v>
          </cell>
          <cell r="B322" t="str">
            <v>The Boston Consulting Group Inc</v>
          </cell>
        </row>
        <row r="323">
          <cell r="A323" t="str">
            <v>BCL</v>
          </cell>
          <cell r="B323" t="str">
            <v>Bob Carr Consulting, Inc.</v>
          </cell>
        </row>
        <row r="324">
          <cell r="A324" t="str">
            <v>BCM</v>
          </cell>
          <cell r="B324" t="str">
            <v>Belgacom NV/SA</v>
          </cell>
        </row>
        <row r="325">
          <cell r="A325" t="str">
            <v>BCO</v>
          </cell>
          <cell r="B325" t="str">
            <v>Beckman Coulter, Inc.</v>
          </cell>
        </row>
        <row r="326">
          <cell r="A326" t="str">
            <v>BCP</v>
          </cell>
          <cell r="B326" t="str">
            <v>Ball Corporation</v>
          </cell>
        </row>
        <row r="327">
          <cell r="A327" t="str">
            <v>BCT</v>
          </cell>
          <cell r="B327" t="str">
            <v>BTG Plc</v>
          </cell>
        </row>
        <row r="328">
          <cell r="A328" t="str">
            <v>BDA</v>
          </cell>
          <cell r="B328" t="str">
            <v>British Dental Association</v>
          </cell>
        </row>
        <row r="329">
          <cell r="A329" t="str">
            <v>BDC</v>
          </cell>
          <cell r="B329" t="str">
            <v>Becton, Dickinson and Company</v>
          </cell>
        </row>
        <row r="330">
          <cell r="A330" t="str">
            <v>BDE</v>
          </cell>
          <cell r="B330" t="str">
            <v>Black &amp; Decker Corporation</v>
          </cell>
        </row>
        <row r="331">
          <cell r="A331" t="str">
            <v>BDF</v>
          </cell>
          <cell r="B331" t="str">
            <v>Beiersdorf Group</v>
          </cell>
        </row>
        <row r="332">
          <cell r="A332" t="str">
            <v>BDH</v>
          </cell>
          <cell r="B332" t="str">
            <v>Brewin Dolphin Holdings PLC</v>
          </cell>
        </row>
        <row r="333">
          <cell r="A333" t="str">
            <v>BDR</v>
          </cell>
          <cell r="B333" t="str">
            <v>BDR Thermea</v>
          </cell>
        </row>
        <row r="334">
          <cell r="A334" t="str">
            <v>BDS</v>
          </cell>
          <cell r="B334" t="str">
            <v>Black Duck Software, Inc</v>
          </cell>
        </row>
        <row r="335">
          <cell r="A335" t="str">
            <v>BEA</v>
          </cell>
          <cell r="B335" t="str">
            <v>Bearings New Media Direction BV</v>
          </cell>
        </row>
        <row r="336">
          <cell r="A336" t="str">
            <v>BEB</v>
          </cell>
          <cell r="B336" t="str">
            <v>Bechtle AG</v>
          </cell>
        </row>
        <row r="337">
          <cell r="A337" t="str">
            <v>BEC</v>
          </cell>
          <cell r="B337" t="str">
            <v>Buka Entertainment Company</v>
          </cell>
        </row>
        <row r="338">
          <cell r="A338" t="str">
            <v>BEE</v>
          </cell>
          <cell r="B338" t="str">
            <v>BEBEO</v>
          </cell>
        </row>
        <row r="339">
          <cell r="A339" t="str">
            <v>BEH</v>
          </cell>
          <cell r="B339" t="str">
            <v>Bente Helstrøm</v>
          </cell>
        </row>
        <row r="340">
          <cell r="A340" t="str">
            <v>BEI</v>
          </cell>
          <cell r="B340" t="str">
            <v>Bennett Environmental Inc.</v>
          </cell>
        </row>
        <row r="341">
          <cell r="A341" t="str">
            <v>BEJ</v>
          </cell>
          <cell r="B341" t="str">
            <v>Beljan Ltd Inc</v>
          </cell>
        </row>
        <row r="342">
          <cell r="A342" t="str">
            <v>BEL</v>
          </cell>
          <cell r="B342" t="str">
            <v>Belga Press Agency</v>
          </cell>
        </row>
        <row r="343">
          <cell r="A343" t="str">
            <v>BEN</v>
          </cell>
          <cell r="B343" t="str">
            <v>Bentley Systems Inc.</v>
          </cell>
        </row>
        <row r="344">
          <cell r="A344" t="str">
            <v>BEO</v>
          </cell>
          <cell r="B344" t="str">
            <v xml:space="preserve">Betsson AB </v>
          </cell>
        </row>
        <row r="345">
          <cell r="A345" t="str">
            <v>BER</v>
          </cell>
          <cell r="B345" t="str">
            <v>Beru AG</v>
          </cell>
        </row>
        <row r="346">
          <cell r="A346" t="str">
            <v>BES</v>
          </cell>
          <cell r="B346" t="str">
            <v>BEA Systems Inc</v>
          </cell>
        </row>
        <row r="347">
          <cell r="A347" t="str">
            <v>BET</v>
          </cell>
          <cell r="B347" t="str">
            <v>bet365 Group Limited</v>
          </cell>
        </row>
        <row r="348">
          <cell r="A348" t="str">
            <v>BEW</v>
          </cell>
          <cell r="B348" t="str">
            <v>Bewator Holdings AB</v>
          </cell>
        </row>
        <row r="349">
          <cell r="A349" t="str">
            <v>BEX</v>
          </cell>
          <cell r="B349" t="str">
            <v>Bechtel Group, Inc.</v>
          </cell>
        </row>
        <row r="350">
          <cell r="A350" t="str">
            <v>BEY</v>
          </cell>
          <cell r="B350" t="str">
            <v>Business Events Sydney Limited</v>
          </cell>
        </row>
        <row r="351">
          <cell r="A351" t="str">
            <v>BFA</v>
          </cell>
          <cell r="B351" t="str">
            <v>Best Friends Animal Society</v>
          </cell>
        </row>
        <row r="352">
          <cell r="A352" t="str">
            <v>BFB</v>
          </cell>
          <cell r="B352" t="str">
            <v>B &amp; F Beteiligungs GmbH</v>
          </cell>
        </row>
        <row r="353">
          <cell r="A353" t="str">
            <v>BFO</v>
          </cell>
          <cell r="B353" t="str">
            <v>Brown-Forman Corporation</v>
          </cell>
        </row>
        <row r="354">
          <cell r="A354" t="str">
            <v>BFS</v>
          </cell>
          <cell r="B354" t="str">
            <v>BFS Finance GmbH</v>
          </cell>
        </row>
        <row r="355">
          <cell r="A355" t="str">
            <v>BFT</v>
          </cell>
          <cell r="B355" t="str">
            <v>BFST</v>
          </cell>
        </row>
        <row r="356">
          <cell r="A356" t="str">
            <v>BGG</v>
          </cell>
          <cell r="B356" t="str">
            <v>BG Group plc</v>
          </cell>
        </row>
        <row r="357">
          <cell r="A357" t="str">
            <v>BGH</v>
          </cell>
          <cell r="B357" t="str">
            <v>Barcelo Gestion Hotelera S.L.</v>
          </cell>
        </row>
        <row r="358">
          <cell r="A358" t="str">
            <v>BGR</v>
          </cell>
          <cell r="B358" t="str">
            <v>Behringer International GmbH</v>
          </cell>
        </row>
        <row r="359">
          <cell r="A359" t="str">
            <v>BHA</v>
          </cell>
          <cell r="B359" t="str">
            <v>Bigby, Havis &amp; Associates, Inc</v>
          </cell>
        </row>
        <row r="360">
          <cell r="A360" t="str">
            <v>BHC</v>
          </cell>
          <cell r="B360" t="str">
            <v>Textron Inc.</v>
          </cell>
        </row>
        <row r="361">
          <cell r="A361" t="str">
            <v>BHH</v>
          </cell>
          <cell r="B361" t="str">
            <v>Behringer Holdings  (Pte) Ltd.</v>
          </cell>
        </row>
        <row r="362">
          <cell r="A362" t="str">
            <v>BHI</v>
          </cell>
          <cell r="B362" t="str">
            <v>Baker Hughes Inc</v>
          </cell>
        </row>
        <row r="363">
          <cell r="A363" t="str">
            <v>BHO</v>
          </cell>
          <cell r="B363" t="str">
            <v>Blokker Holding B.V.</v>
          </cell>
        </row>
        <row r="364">
          <cell r="A364" t="str">
            <v>BHW</v>
          </cell>
          <cell r="B364" t="str">
            <v>Berkshire Hathaway Inc</v>
          </cell>
        </row>
        <row r="365">
          <cell r="A365" t="str">
            <v>BIA</v>
          </cell>
          <cell r="B365" t="str">
            <v>Biltema Sweden AB</v>
          </cell>
        </row>
        <row r="366">
          <cell r="A366" t="str">
            <v>BIB</v>
          </cell>
          <cell r="B366" t="str">
            <v>Biblica US, Inc.</v>
          </cell>
        </row>
        <row r="367">
          <cell r="A367" t="str">
            <v>BIC</v>
          </cell>
          <cell r="B367" t="str">
            <v>Business Innovation Consultants B.V.</v>
          </cell>
        </row>
        <row r="368">
          <cell r="A368" t="str">
            <v>BII</v>
          </cell>
          <cell r="B368" t="str">
            <v>Beaufour Ipsen International</v>
          </cell>
        </row>
        <row r="369">
          <cell r="A369" t="str">
            <v>BIL</v>
          </cell>
          <cell r="B369" t="str">
            <v>Brother Industries, Ltd</v>
          </cell>
        </row>
        <row r="370">
          <cell r="A370" t="str">
            <v>BIM</v>
          </cell>
          <cell r="B370" t="str">
            <v>bioMerieux SA</v>
          </cell>
        </row>
        <row r="371">
          <cell r="A371" t="str">
            <v>BIO</v>
          </cell>
          <cell r="B371" t="str">
            <v>Biomni</v>
          </cell>
        </row>
        <row r="372">
          <cell r="A372" t="str">
            <v>BIR</v>
          </cell>
          <cell r="B372" t="str">
            <v>Birks and Mayors Inc.</v>
          </cell>
        </row>
        <row r="373">
          <cell r="A373" t="str">
            <v>BIS</v>
          </cell>
          <cell r="B373" t="str">
            <v>Bank of International Settlements</v>
          </cell>
        </row>
        <row r="374">
          <cell r="A374" t="str">
            <v>BIT</v>
          </cell>
          <cell r="B374" t="str">
            <v>Biotonix, Inc.</v>
          </cell>
        </row>
        <row r="375">
          <cell r="A375" t="str">
            <v>BIZ</v>
          </cell>
          <cell r="B375" t="str">
            <v>Bizerba GmbH &amp; Co. KG</v>
          </cell>
        </row>
        <row r="376">
          <cell r="A376" t="str">
            <v>BJB</v>
          </cell>
          <cell r="B376" t="str">
            <v>Bank J. Van Breda &amp; Co NV</v>
          </cell>
        </row>
        <row r="377">
          <cell r="A377" t="str">
            <v>BJG</v>
          </cell>
          <cell r="B377" t="str">
            <v>BrainJuicer Group plc</v>
          </cell>
        </row>
        <row r="378">
          <cell r="A378" t="str">
            <v>BKA</v>
          </cell>
          <cell r="B378" t="str">
            <v>Bank of America Corporation</v>
          </cell>
        </row>
        <row r="379">
          <cell r="A379" t="str">
            <v>BKG</v>
          </cell>
          <cell r="B379" t="str">
            <v>Burger King Holdings Inc.</v>
          </cell>
        </row>
        <row r="380">
          <cell r="A380" t="str">
            <v>BKI</v>
          </cell>
          <cell r="B380" t="str">
            <v>Blackboard Inc,</v>
          </cell>
        </row>
        <row r="381">
          <cell r="A381" t="str">
            <v>BKK</v>
          </cell>
          <cell r="B381" t="str">
            <v>BKK Group</v>
          </cell>
        </row>
        <row r="382">
          <cell r="A382" t="str">
            <v>BKR</v>
          </cell>
          <cell r="B382" t="str">
            <v>Berker GmbH &amp; Co. KG</v>
          </cell>
        </row>
        <row r="383">
          <cell r="A383" t="str">
            <v>BKT</v>
          </cell>
          <cell r="B383" t="str">
            <v>Bickerton &amp;</v>
          </cell>
        </row>
        <row r="384">
          <cell r="A384" t="str">
            <v>BLA</v>
          </cell>
          <cell r="B384" t="str">
            <v>Belanor as</v>
          </cell>
        </row>
        <row r="385">
          <cell r="A385" t="str">
            <v>BLB</v>
          </cell>
          <cell r="B385" t="str">
            <v>Bluebeam Software, Inc.</v>
          </cell>
        </row>
        <row r="386">
          <cell r="A386" t="str">
            <v>BLC</v>
          </cell>
          <cell r="B386" t="str">
            <v>Banque Laurentienne du Canada</v>
          </cell>
        </row>
        <row r="387">
          <cell r="A387" t="str">
            <v>BLD</v>
          </cell>
          <cell r="B387" t="str">
            <v>Bluedesk Groep B.V.</v>
          </cell>
        </row>
        <row r="388">
          <cell r="A388" t="str">
            <v>BLF</v>
          </cell>
          <cell r="B388" t="str">
            <v>Belfius Bank</v>
          </cell>
        </row>
        <row r="389">
          <cell r="A389" t="str">
            <v>BLG</v>
          </cell>
          <cell r="B389" t="str">
            <v>Bourne Leisure Group</v>
          </cell>
        </row>
        <row r="390">
          <cell r="A390" t="str">
            <v>BLH</v>
          </cell>
          <cell r="B390" t="str">
            <v>Stichting Bloemenbureau Holland</v>
          </cell>
        </row>
        <row r="391">
          <cell r="A391" t="str">
            <v>BLK</v>
          </cell>
          <cell r="B391" t="str">
            <v>Belkin International, Inc.</v>
          </cell>
        </row>
        <row r="392">
          <cell r="A392" t="str">
            <v>BLL</v>
          </cell>
          <cell r="B392" t="str">
            <v>Boart Longyear Limited</v>
          </cell>
        </row>
        <row r="393">
          <cell r="A393" t="str">
            <v>BLN</v>
          </cell>
          <cell r="B393" t="str">
            <v>Blondé NV</v>
          </cell>
        </row>
        <row r="394">
          <cell r="A394" t="str">
            <v>BLO</v>
          </cell>
          <cell r="B394" t="str">
            <v>Bloomberg L.P.</v>
          </cell>
        </row>
        <row r="395">
          <cell r="A395" t="str">
            <v>BLR</v>
          </cell>
          <cell r="B395" t="str">
            <v>Blue Rider Design</v>
          </cell>
        </row>
        <row r="396">
          <cell r="A396" t="str">
            <v>BLS</v>
          </cell>
          <cell r="B396" t="str">
            <v>The Blackstone Group L.P.</v>
          </cell>
        </row>
        <row r="397">
          <cell r="A397" t="str">
            <v>BLT</v>
          </cell>
          <cell r="B397" t="str">
            <v>Bluetooth SIG Inc.</v>
          </cell>
        </row>
        <row r="398">
          <cell r="A398" t="str">
            <v>BLU</v>
          </cell>
          <cell r="B398" t="str">
            <v>Bluewin AG</v>
          </cell>
        </row>
        <row r="399">
          <cell r="A399" t="str">
            <v>BLZ</v>
          </cell>
          <cell r="B399" t="str">
            <v>Blitz Digital Studios</v>
          </cell>
        </row>
        <row r="400">
          <cell r="A400" t="str">
            <v>BMA</v>
          </cell>
          <cell r="B400" t="str">
            <v>British Medical Association</v>
          </cell>
        </row>
        <row r="401">
          <cell r="A401" t="str">
            <v>BMC</v>
          </cell>
          <cell r="B401" t="str">
            <v>BMC Software Inc</v>
          </cell>
        </row>
        <row r="402">
          <cell r="A402" t="str">
            <v>BMG</v>
          </cell>
          <cell r="B402" t="str">
            <v>Bill &amp; Melinda Gates Foundation</v>
          </cell>
        </row>
        <row r="403">
          <cell r="A403" t="str">
            <v>BMN</v>
          </cell>
          <cell r="B403" t="str">
            <v>Buhrmann NV</v>
          </cell>
        </row>
        <row r="404">
          <cell r="A404" t="str">
            <v>BMS</v>
          </cell>
          <cell r="B404" t="str">
            <v>Bristol-Myers Squibb Company</v>
          </cell>
        </row>
        <row r="405">
          <cell r="A405" t="str">
            <v>BMT</v>
          </cell>
          <cell r="B405" t="str">
            <v>Zimmer Biomet Holdings, Inc</v>
          </cell>
        </row>
        <row r="406">
          <cell r="A406" t="str">
            <v>BMW</v>
          </cell>
          <cell r="B406" t="str">
            <v>BMW AG</v>
          </cell>
        </row>
        <row r="407">
          <cell r="A407" t="str">
            <v>BNA</v>
          </cell>
          <cell r="B407" t="str">
            <v>The Bureau of National Affairs, Inc.</v>
          </cell>
        </row>
        <row r="408">
          <cell r="A408" t="str">
            <v>BNB</v>
          </cell>
          <cell r="B408" t="str">
            <v>Barnes &amp; Noble Inc</v>
          </cell>
        </row>
        <row r="409">
          <cell r="A409" t="str">
            <v>BNC</v>
          </cell>
          <cell r="B409" t="str">
            <v>Banque Nationale du Canada</v>
          </cell>
        </row>
        <row r="410">
          <cell r="A410" t="str">
            <v>BNF</v>
          </cell>
          <cell r="B410" t="str">
            <v>Bernafon AG</v>
          </cell>
        </row>
        <row r="411">
          <cell r="A411" t="str">
            <v>BNN</v>
          </cell>
          <cell r="B411" t="str">
            <v>Banner Engineering Corp</v>
          </cell>
        </row>
        <row r="412">
          <cell r="A412" t="str">
            <v>BNP</v>
          </cell>
          <cell r="B412" t="str">
            <v>BNP Paribas SA</v>
          </cell>
        </row>
        <row r="413">
          <cell r="A413" t="str">
            <v>BNQ</v>
          </cell>
          <cell r="B413" t="str">
            <v>BenQ Corporation</v>
          </cell>
        </row>
        <row r="414">
          <cell r="A414" t="str">
            <v>BNS</v>
          </cell>
          <cell r="B414" t="str">
            <v>The Bank of Nova Scotia</v>
          </cell>
        </row>
        <row r="415">
          <cell r="A415" t="str">
            <v>BNU</v>
          </cell>
          <cell r="B415" t="str">
            <v>Buckinghamshire New University</v>
          </cell>
        </row>
        <row r="416">
          <cell r="A416" t="str">
            <v>BNY</v>
          </cell>
          <cell r="B416" t="str">
            <v>The Bank of New York Mellon Corporation</v>
          </cell>
        </row>
        <row r="417">
          <cell r="A417" t="str">
            <v>BOB</v>
          </cell>
          <cell r="B417" t="str">
            <v>Business Objects S.A.</v>
          </cell>
        </row>
        <row r="418">
          <cell r="A418" t="str">
            <v>BOE</v>
          </cell>
          <cell r="B418" t="str">
            <v>The Boeing Company</v>
          </cell>
        </row>
        <row r="419">
          <cell r="A419" t="str">
            <v>BOH</v>
          </cell>
          <cell r="B419" t="str">
            <v>Boehringer Ingelheim GmbH</v>
          </cell>
        </row>
        <row r="420">
          <cell r="A420" t="str">
            <v>BOI</v>
          </cell>
          <cell r="B420" t="str">
            <v>Bank of Ireland</v>
          </cell>
        </row>
        <row r="421">
          <cell r="A421" t="str">
            <v>BOM</v>
          </cell>
          <cell r="B421" t="str">
            <v>Bombardier Inc</v>
          </cell>
        </row>
        <row r="422">
          <cell r="A422" t="str">
            <v>BOO</v>
          </cell>
          <cell r="B422" t="str">
            <v>Koninklijke Boom Uitgevers B.V.</v>
          </cell>
        </row>
        <row r="423">
          <cell r="A423" t="str">
            <v>BOR</v>
          </cell>
          <cell r="B423" t="str">
            <v>Bourne</v>
          </cell>
        </row>
        <row r="424">
          <cell r="A424" t="str">
            <v>BOS</v>
          </cell>
          <cell r="B424" t="str">
            <v>Robert Bosch GmbH</v>
          </cell>
        </row>
        <row r="425">
          <cell r="A425" t="str">
            <v>BOU</v>
          </cell>
          <cell r="B425" t="str">
            <v>Bouvet ASA</v>
          </cell>
        </row>
        <row r="426">
          <cell r="A426" t="str">
            <v>BOX</v>
          </cell>
          <cell r="B426" t="str">
            <v>Box Inc.</v>
          </cell>
        </row>
        <row r="427">
          <cell r="A427" t="str">
            <v>BOY</v>
          </cell>
          <cell r="B427" t="str">
            <v>Boyner Holding A.S.</v>
          </cell>
        </row>
        <row r="428">
          <cell r="A428" t="str">
            <v>BPI</v>
          </cell>
          <cell r="B428" t="str">
            <v>Big Picture Interactive</v>
          </cell>
        </row>
        <row r="429">
          <cell r="A429" t="str">
            <v>BPP</v>
          </cell>
          <cell r="B429" t="str">
            <v>BP Plc</v>
          </cell>
        </row>
        <row r="430">
          <cell r="A430" t="str">
            <v>BPS</v>
          </cell>
          <cell r="B430" t="str">
            <v>Blue Pumpkin Software Inc</v>
          </cell>
        </row>
        <row r="431">
          <cell r="A431" t="str">
            <v>BPT</v>
          </cell>
          <cell r="B431" t="str">
            <v>BOOKPARTNER A/S</v>
          </cell>
        </row>
        <row r="432">
          <cell r="A432" t="str">
            <v>BRA</v>
          </cell>
          <cell r="B432" t="str">
            <v>Brady Corporation</v>
          </cell>
        </row>
        <row r="433">
          <cell r="A433" t="str">
            <v>BRB</v>
          </cell>
          <cell r="B433" t="str">
            <v>Brambles Limited</v>
          </cell>
        </row>
        <row r="434">
          <cell r="A434" t="str">
            <v>BRD</v>
          </cell>
          <cell r="B434" t="str">
            <v>Broadcom Corporation</v>
          </cell>
        </row>
        <row r="435">
          <cell r="A435" t="str">
            <v>BRE</v>
          </cell>
          <cell r="B435" t="str">
            <v>E. Breuninger GmbH &amp; Co.</v>
          </cell>
        </row>
        <row r="436">
          <cell r="A436" t="str">
            <v>BRG</v>
          </cell>
          <cell r="B436" t="str">
            <v>Bernecker + Rainer Industrie-Elektronik Ges.m.b.H</v>
          </cell>
        </row>
        <row r="437">
          <cell r="A437" t="str">
            <v>BRI</v>
          </cell>
          <cell r="B437" t="str">
            <v>Brita GmbH</v>
          </cell>
        </row>
        <row r="438">
          <cell r="A438" t="str">
            <v>BRK</v>
          </cell>
          <cell r="B438" t="str">
            <v>BlackRock, Inc</v>
          </cell>
        </row>
        <row r="439">
          <cell r="A439" t="str">
            <v>BRL</v>
          </cell>
          <cell r="B439" t="str">
            <v>Brill Gartengeräte GmbH</v>
          </cell>
        </row>
        <row r="440">
          <cell r="A440" t="str">
            <v>BRM</v>
          </cell>
          <cell r="B440" t="str">
            <v>Brandbox Media Pty Ltd</v>
          </cell>
        </row>
        <row r="441">
          <cell r="A441" t="str">
            <v>BRN</v>
          </cell>
          <cell r="B441" t="str">
            <v>Brainnet B.V.</v>
          </cell>
        </row>
        <row r="442">
          <cell r="A442" t="str">
            <v>BRT</v>
          </cell>
          <cell r="B442" t="str">
            <v>Britax Child Safety Inc.</v>
          </cell>
        </row>
        <row r="443">
          <cell r="A443" t="str">
            <v>BRU</v>
          </cell>
          <cell r="B443" t="str">
            <v>Brussels Airlines</v>
          </cell>
        </row>
        <row r="444">
          <cell r="A444" t="str">
            <v>BRW</v>
          </cell>
          <cell r="B444" t="str">
            <v>Brütsch Rüegger Holding AG</v>
          </cell>
        </row>
        <row r="445">
          <cell r="A445" t="str">
            <v>BSC</v>
          </cell>
          <cell r="B445" t="str">
            <v>Boston Scientific Corporation</v>
          </cell>
        </row>
        <row r="446">
          <cell r="A446" t="str">
            <v>BSE</v>
          </cell>
          <cell r="B446" t="str">
            <v>Bose Corporation</v>
          </cell>
        </row>
        <row r="447">
          <cell r="A447" t="str">
            <v>BSH</v>
          </cell>
          <cell r="B447" t="str">
            <v>BSH Bosch und Siemens Hausgeräte GmbH</v>
          </cell>
        </row>
        <row r="448">
          <cell r="A448" t="str">
            <v>BSL</v>
          </cell>
          <cell r="B448" t="str">
            <v>Basler Insurance Group</v>
          </cell>
        </row>
        <row r="449">
          <cell r="A449" t="str">
            <v>BSP</v>
          </cell>
          <cell r="B449" t="str">
            <v>BLUE SHEEP HOLDINGS LTD</v>
          </cell>
        </row>
        <row r="450">
          <cell r="A450" t="str">
            <v>BTA</v>
          </cell>
          <cell r="B450" t="str">
            <v xml:space="preserve">BRITISH TRANSPORT POLICE AUTHORITY </v>
          </cell>
        </row>
        <row r="451">
          <cell r="A451" t="str">
            <v>BTC</v>
          </cell>
          <cell r="B451" t="str">
            <v>Basis Technology Corporation</v>
          </cell>
        </row>
        <row r="452">
          <cell r="A452" t="str">
            <v>BTD</v>
          </cell>
          <cell r="B452" t="str">
            <v>Constructions Industrielles de la Méditerranée</v>
          </cell>
        </row>
        <row r="453">
          <cell r="A453" t="str">
            <v>BTG</v>
          </cell>
          <cell r="B453" t="str">
            <v>Bancroft Technology Group, Inc</v>
          </cell>
        </row>
        <row r="454">
          <cell r="A454" t="str">
            <v>BTH</v>
          </cell>
          <cell r="B454" t="str">
            <v>Banyan Tree Holdings Limited</v>
          </cell>
        </row>
        <row r="455">
          <cell r="A455" t="str">
            <v>BTI</v>
          </cell>
          <cell r="B455" t="str">
            <v>BioTie Therapies Oyj</v>
          </cell>
        </row>
        <row r="456">
          <cell r="A456" t="str">
            <v>BTL</v>
          </cell>
          <cell r="B456" t="str">
            <v>Bertelsmann AG</v>
          </cell>
        </row>
        <row r="457">
          <cell r="A457" t="str">
            <v>BTP</v>
          </cell>
          <cell r="B457" t="str">
            <v>BT Group plc</v>
          </cell>
        </row>
        <row r="458">
          <cell r="A458" t="str">
            <v>BTS</v>
          </cell>
          <cell r="B458" t="str">
            <v>Betstone Ltd</v>
          </cell>
        </row>
        <row r="459">
          <cell r="A459" t="str">
            <v>BTT</v>
          </cell>
          <cell r="B459" t="str">
            <v>Beat It B.V.</v>
          </cell>
        </row>
        <row r="460">
          <cell r="A460" t="str">
            <v>BTX</v>
          </cell>
          <cell r="B460" t="str">
            <v>Britax Excelsior Ltd</v>
          </cell>
        </row>
        <row r="461">
          <cell r="A461" t="str">
            <v>BTZ</v>
          </cell>
          <cell r="B461" t="str">
            <v>Blitz Games</v>
          </cell>
        </row>
        <row r="462">
          <cell r="A462" t="str">
            <v>BUM</v>
          </cell>
          <cell r="B462" t="str">
            <v>Bottomline Technologies (de) Inc</v>
          </cell>
        </row>
        <row r="463">
          <cell r="A463" t="str">
            <v>BUR</v>
          </cell>
          <cell r="B463" t="str">
            <v>Burgopak Ltd</v>
          </cell>
        </row>
        <row r="464">
          <cell r="A464" t="str">
            <v>BUS</v>
          </cell>
          <cell r="B464" t="str">
            <v>Brand USA</v>
          </cell>
        </row>
        <row r="465">
          <cell r="A465" t="str">
            <v>BUX</v>
          </cell>
          <cell r="B465" t="str">
            <v>Buxton Company</v>
          </cell>
        </row>
        <row r="466">
          <cell r="A466" t="str">
            <v>BVG</v>
          </cell>
          <cell r="B466" t="str">
            <v>Bureau Véritas Group</v>
          </cell>
        </row>
        <row r="467">
          <cell r="A467" t="str">
            <v>BVI</v>
          </cell>
          <cell r="B467" t="str">
            <v>BusinessVision Sp. z o.o.</v>
          </cell>
        </row>
        <row r="468">
          <cell r="A468" t="str">
            <v>BWA</v>
          </cell>
          <cell r="B468" t="str">
            <v>Baywa AG</v>
          </cell>
        </row>
        <row r="469">
          <cell r="A469" t="str">
            <v>BWI</v>
          </cell>
          <cell r="B469" t="str">
            <v>Best Western International, Inc.</v>
          </cell>
        </row>
        <row r="470">
          <cell r="A470" t="str">
            <v>BWN</v>
          </cell>
          <cell r="B470" t="str">
            <v>Electraworks Limited</v>
          </cell>
        </row>
        <row r="471">
          <cell r="A471" t="str">
            <v>BYD</v>
          </cell>
          <cell r="B471" t="str">
            <v>BYD Company Limited</v>
          </cell>
        </row>
        <row r="472">
          <cell r="A472" t="str">
            <v>BYN</v>
          </cell>
          <cell r="B472" t="str">
            <v>Babylon Ltd.</v>
          </cell>
        </row>
        <row r="473">
          <cell r="A473" t="str">
            <v>BYT</v>
          </cell>
          <cell r="B473" t="str">
            <v>Bytes Technology Group Ltd</v>
          </cell>
        </row>
        <row r="474">
          <cell r="A474" t="str">
            <v>BZD</v>
          </cell>
          <cell r="B474" t="str">
            <v>Blizzard Entertainment, Inc.</v>
          </cell>
        </row>
        <row r="475">
          <cell r="A475" t="str">
            <v>BZT</v>
          </cell>
          <cell r="B475" t="str">
            <v>BIZIText GmbH</v>
          </cell>
        </row>
        <row r="476">
          <cell r="A476" t="str">
            <v>BZZ</v>
          </cell>
          <cell r="B476" t="str">
            <v>Bizz Travel B.V.</v>
          </cell>
        </row>
        <row r="477">
          <cell r="A477" t="str">
            <v>C&amp;C</v>
          </cell>
          <cell r="B477" t="str">
            <v>C&amp;COM Advertising s.r.o.</v>
          </cell>
        </row>
        <row r="478">
          <cell r="A478" t="str">
            <v>C0P</v>
          </cell>
          <cell r="B478" t="str">
            <v>Coop</v>
          </cell>
        </row>
        <row r="479">
          <cell r="A479" t="str">
            <v>C2C</v>
          </cell>
          <cell r="B479" t="str">
            <v>ITOCHU Techno-Solutions Corporations</v>
          </cell>
        </row>
        <row r="480">
          <cell r="A480" t="str">
            <v>CA0</v>
          </cell>
          <cell r="B480" t="str">
            <v>Cascades Inc.</v>
          </cell>
        </row>
        <row r="481">
          <cell r="A481" t="str">
            <v>CA1</v>
          </cell>
          <cell r="B481" t="str">
            <v xml:space="preserve">Campbell Soup Company </v>
          </cell>
        </row>
        <row r="482">
          <cell r="A482" t="str">
            <v>CA2</v>
          </cell>
          <cell r="B482" t="str">
            <v>Commercial Aircraft Corporation of China, Ltd.</v>
          </cell>
        </row>
        <row r="483">
          <cell r="A483" t="str">
            <v>CA3</v>
          </cell>
          <cell r="B483" t="str">
            <v>China Airlines Ltd.</v>
          </cell>
        </row>
        <row r="484">
          <cell r="A484" t="str">
            <v>CAA</v>
          </cell>
          <cell r="B484" t="str">
            <v>Cognita Asia Holdings Pte Ltd</v>
          </cell>
        </row>
        <row r="485">
          <cell r="A485" t="str">
            <v>CAB</v>
          </cell>
          <cell r="B485" t="str">
            <v>CAPEB</v>
          </cell>
        </row>
        <row r="486">
          <cell r="A486" t="str">
            <v>CAC</v>
          </cell>
          <cell r="B486" t="str">
            <v>CACI International Inc.</v>
          </cell>
        </row>
        <row r="487">
          <cell r="A487" t="str">
            <v>CAD</v>
          </cell>
          <cell r="B487" t="str">
            <v>Canada Direct</v>
          </cell>
        </row>
        <row r="488">
          <cell r="A488" t="str">
            <v>CAE</v>
          </cell>
          <cell r="B488" t="str">
            <v>Catchpoint Systems, Inc</v>
          </cell>
        </row>
        <row r="489">
          <cell r="A489" t="str">
            <v>CAF</v>
          </cell>
          <cell r="B489" t="str">
            <v>La Capitale Financial Group</v>
          </cell>
        </row>
        <row r="490">
          <cell r="A490" t="str">
            <v>CAG</v>
          </cell>
          <cell r="B490" t="str">
            <v>Continental AG</v>
          </cell>
        </row>
        <row r="491">
          <cell r="A491" t="str">
            <v>CAH</v>
          </cell>
          <cell r="B491" t="str">
            <v>Cardinal Health, Inc.</v>
          </cell>
        </row>
        <row r="492">
          <cell r="A492" t="str">
            <v>CAI</v>
          </cell>
          <cell r="B492" t="str">
            <v>CA, Inc.</v>
          </cell>
        </row>
        <row r="493">
          <cell r="A493" t="str">
            <v>CAJ</v>
          </cell>
          <cell r="B493" t="str">
            <v>Caja España</v>
          </cell>
        </row>
        <row r="494">
          <cell r="A494" t="str">
            <v>CAN</v>
          </cell>
          <cell r="B494" t="str">
            <v>Canon Inc</v>
          </cell>
        </row>
        <row r="495">
          <cell r="A495" t="str">
            <v>CAO</v>
          </cell>
          <cell r="B495" t="str">
            <v xml:space="preserve">California Association of Realtors, Inc. </v>
          </cell>
        </row>
        <row r="496">
          <cell r="A496" t="str">
            <v>CAP</v>
          </cell>
          <cell r="B496" t="str">
            <v>Capcom USA Inc</v>
          </cell>
        </row>
        <row r="497">
          <cell r="A497" t="str">
            <v>CAR</v>
          </cell>
          <cell r="B497" t="str">
            <v>Care 1st</v>
          </cell>
        </row>
        <row r="498">
          <cell r="A498" t="str">
            <v>CAS</v>
          </cell>
          <cell r="B498" t="str">
            <v>Casio Computer Co., Ltd</v>
          </cell>
        </row>
        <row r="499">
          <cell r="A499" t="str">
            <v>CAT</v>
          </cell>
          <cell r="B499" t="str">
            <v>Caterpillar Inc.</v>
          </cell>
        </row>
        <row r="500">
          <cell r="A500" t="str">
            <v>CAX</v>
          </cell>
          <cell r="B500" t="str">
            <v>Capax Global Ltd</v>
          </cell>
        </row>
        <row r="501">
          <cell r="A501" t="str">
            <v>CBC</v>
          </cell>
          <cell r="B501" t="str">
            <v>CB CONSULTORIA E INTEGRACION INFORMATICA S.L.</v>
          </cell>
        </row>
        <row r="502">
          <cell r="A502" t="str">
            <v>CBD</v>
          </cell>
          <cell r="B502" t="str">
            <v>Baidu, Inc.</v>
          </cell>
        </row>
        <row r="503">
          <cell r="A503" t="str">
            <v>CBF</v>
          </cell>
          <cell r="B503" t="str">
            <v>CBF (Commissie Voor Het Bank)</v>
          </cell>
        </row>
        <row r="504">
          <cell r="A504" t="str">
            <v>CBH</v>
          </cell>
          <cell r="B504" t="str">
            <v>Centraal Boekhuis B.V.</v>
          </cell>
        </row>
        <row r="505">
          <cell r="A505" t="str">
            <v>CBK</v>
          </cell>
          <cell r="B505" t="str">
            <v>Central Bank of Kuwait</v>
          </cell>
        </row>
        <row r="506">
          <cell r="A506" t="str">
            <v>CBL</v>
          </cell>
          <cell r="B506" t="str">
            <v>Cold Brew Labs Inc</v>
          </cell>
        </row>
        <row r="507">
          <cell r="A507" t="str">
            <v>CBT</v>
          </cell>
          <cell r="B507" t="str">
            <v>CfBT Education Trust</v>
          </cell>
        </row>
        <row r="508">
          <cell r="A508" t="str">
            <v>CCA</v>
          </cell>
          <cell r="B508" t="str">
            <v>Celerant Consulting Limited</v>
          </cell>
        </row>
        <row r="509">
          <cell r="A509" t="str">
            <v>CCC</v>
          </cell>
          <cell r="B509" t="str">
            <v>The Coca Cola Company</v>
          </cell>
        </row>
        <row r="510">
          <cell r="A510" t="str">
            <v>CCI</v>
          </cell>
          <cell r="B510" t="str">
            <v>Carlson Companies, Inc.</v>
          </cell>
        </row>
        <row r="511">
          <cell r="A511" t="str">
            <v>CCL</v>
          </cell>
          <cell r="B511" t="str">
            <v>Center for Creative Leadership</v>
          </cell>
        </row>
        <row r="512">
          <cell r="A512" t="str">
            <v>CCM</v>
          </cell>
          <cell r="B512" t="str">
            <v>Chambre de commerce du Montreal metro</v>
          </cell>
        </row>
        <row r="513">
          <cell r="A513" t="str">
            <v>CCP</v>
          </cell>
          <cell r="B513" t="str">
            <v>CCP Systems AG</v>
          </cell>
        </row>
        <row r="514">
          <cell r="A514" t="str">
            <v>CCS</v>
          </cell>
          <cell r="B514" t="str">
            <v>CCS Compact Computer Systeme GmbH</v>
          </cell>
        </row>
        <row r="515">
          <cell r="A515" t="str">
            <v>CCT</v>
          </cell>
          <cell r="B515" t="str">
            <v>Conceptual Systems Inc.</v>
          </cell>
        </row>
        <row r="516">
          <cell r="A516" t="str">
            <v>CDA</v>
          </cell>
          <cell r="B516" t="str">
            <v xml:space="preserve">ANALYSIS &amp; DESIGN APPLICATION CO. LTD. </v>
          </cell>
        </row>
        <row r="517">
          <cell r="A517" t="str">
            <v>CDC</v>
          </cell>
          <cell r="B517" t="str">
            <v>CDC Solutions Ltd</v>
          </cell>
        </row>
        <row r="518">
          <cell r="A518" t="str">
            <v>CDE</v>
          </cell>
          <cell r="B518" t="str">
            <v>ClinEdge LLC</v>
          </cell>
        </row>
        <row r="519">
          <cell r="A519" t="str">
            <v>CDF</v>
          </cell>
          <cell r="B519" t="str">
            <v>Cardiff Software Inc</v>
          </cell>
        </row>
        <row r="520">
          <cell r="A520" t="str">
            <v>CDI</v>
          </cell>
          <cell r="B520" t="str">
            <v>CDI Corporation</v>
          </cell>
        </row>
        <row r="521">
          <cell r="A521" t="str">
            <v>CDL</v>
          </cell>
          <cell r="B521" t="str">
            <v>Circulo De Lectores Sa</v>
          </cell>
        </row>
        <row r="522">
          <cell r="A522" t="str">
            <v>CDM</v>
          </cell>
          <cell r="B522" t="str">
            <v>Cubed Digital Media</v>
          </cell>
        </row>
        <row r="523">
          <cell r="A523" t="str">
            <v>CDP</v>
          </cell>
          <cell r="B523" t="str">
            <v>Cardo Pump AB</v>
          </cell>
        </row>
        <row r="524">
          <cell r="A524" t="str">
            <v>CDR</v>
          </cell>
          <cell r="B524" t="str">
            <v>Clayton, Dubilier &amp; Rice Inc.</v>
          </cell>
        </row>
        <row r="525">
          <cell r="A525" t="str">
            <v>CDS</v>
          </cell>
          <cell r="B525" t="str">
            <v>CDS Ltd</v>
          </cell>
        </row>
        <row r="526">
          <cell r="A526" t="str">
            <v>CDT</v>
          </cell>
          <cell r="B526" t="str">
            <v>Cendant Corporation</v>
          </cell>
        </row>
        <row r="527">
          <cell r="A527" t="str">
            <v>CDZ</v>
          </cell>
          <cell r="B527" t="str">
            <v>The CDA Organisation Limited</v>
          </cell>
        </row>
        <row r="528">
          <cell r="A528" t="str">
            <v>CEA</v>
          </cell>
          <cell r="B528" t="str">
            <v>Clear Graphics Ltd</v>
          </cell>
        </row>
        <row r="529">
          <cell r="A529" t="str">
            <v>CEB</v>
          </cell>
          <cell r="B529" t="str">
            <v>University of California</v>
          </cell>
        </row>
        <row r="530">
          <cell r="A530" t="str">
            <v>CEC</v>
          </cell>
          <cell r="B530" t="str">
            <v>Cerberus Capital Management, L.P.</v>
          </cell>
        </row>
        <row r="531">
          <cell r="A531" t="str">
            <v>CED</v>
          </cell>
          <cell r="B531" t="str">
            <v>Cedar Point Communications, Inc.</v>
          </cell>
        </row>
        <row r="532">
          <cell r="A532" t="str">
            <v>CEE</v>
          </cell>
          <cell r="B532" t="str">
            <v>Content Enablers Inc.</v>
          </cell>
        </row>
        <row r="533">
          <cell r="A533" t="str">
            <v>CEF</v>
          </cell>
          <cell r="B533" t="str">
            <v>CeFormT d.o.o.</v>
          </cell>
        </row>
        <row r="534">
          <cell r="A534" t="str">
            <v>CEG</v>
          </cell>
          <cell r="B534" t="str">
            <v>CONRAD Holding</v>
          </cell>
        </row>
        <row r="535">
          <cell r="A535" t="str">
            <v>CEH</v>
          </cell>
          <cell r="B535" t="str">
            <v>Consejería de Economía y Hacienda</v>
          </cell>
        </row>
        <row r="536">
          <cell r="A536" t="str">
            <v>CEI</v>
          </cell>
          <cell r="B536" t="str">
            <v>Cenveo, Inc</v>
          </cell>
        </row>
        <row r="537">
          <cell r="A537" t="str">
            <v>CEL</v>
          </cell>
          <cell r="B537" t="str">
            <v>CENGAGE LEARNING</v>
          </cell>
        </row>
        <row r="538">
          <cell r="A538" t="str">
            <v>CEN</v>
          </cell>
          <cell r="B538" t="str">
            <v>Centrinity Ltd</v>
          </cell>
        </row>
        <row r="539">
          <cell r="A539" t="str">
            <v>CEP</v>
          </cell>
          <cell r="B539" t="str">
            <v>China Eastern Air Holding Company</v>
          </cell>
        </row>
        <row r="540">
          <cell r="A540" t="str">
            <v>CER</v>
          </cell>
          <cell r="B540" t="str">
            <v>Cerner Corporation</v>
          </cell>
        </row>
        <row r="541">
          <cell r="A541" t="str">
            <v>CEV</v>
          </cell>
          <cell r="B541" t="str">
            <v>Centrum voor Werk en Inkomen</v>
          </cell>
        </row>
        <row r="542">
          <cell r="A542" t="str">
            <v>CFI</v>
          </cell>
          <cell r="B542" t="str">
            <v>Centrale Financiën Instellingen</v>
          </cell>
        </row>
        <row r="543">
          <cell r="A543" t="str">
            <v>CFN</v>
          </cell>
          <cell r="B543" t="str">
            <v>CareFusion Corporation</v>
          </cell>
        </row>
        <row r="544">
          <cell r="A544" t="str">
            <v>CFR</v>
          </cell>
          <cell r="B544" t="str">
            <v>Carrefour SA</v>
          </cell>
        </row>
        <row r="545">
          <cell r="A545" t="str">
            <v>CFS</v>
          </cell>
          <cell r="B545" t="str">
            <v>Convenience Food Systems BV</v>
          </cell>
        </row>
        <row r="546">
          <cell r="A546" t="str">
            <v>CGA</v>
          </cell>
          <cell r="B546" t="str">
            <v>Capgemini</v>
          </cell>
        </row>
        <row r="547">
          <cell r="A547" t="str">
            <v>CGC</v>
          </cell>
          <cell r="B547" t="str">
            <v>Certified General Accountants Association of Canada</v>
          </cell>
        </row>
        <row r="548">
          <cell r="A548" t="str">
            <v>CGI</v>
          </cell>
          <cell r="B548" t="str">
            <v>CGI Group Inc.</v>
          </cell>
        </row>
        <row r="549">
          <cell r="A549" t="str">
            <v>CGL</v>
          </cell>
          <cell r="B549" t="str">
            <v>Cargill Incorporated</v>
          </cell>
        </row>
        <row r="550">
          <cell r="A550" t="str">
            <v>CGN</v>
          </cell>
          <cell r="B550" t="str">
            <v>Cognitas GmbH</v>
          </cell>
        </row>
        <row r="551">
          <cell r="A551" t="str">
            <v>CGS</v>
          </cell>
          <cell r="B551" t="str">
            <v>Cegos Group</v>
          </cell>
        </row>
        <row r="552">
          <cell r="A552" t="str">
            <v>CHA</v>
          </cell>
          <cell r="B552" t="str">
            <v>Chaos Systems AB</v>
          </cell>
        </row>
        <row r="553">
          <cell r="A553" t="str">
            <v>CHC</v>
          </cell>
          <cell r="B553" t="str">
            <v>Cherry Corporation</v>
          </cell>
        </row>
        <row r="554">
          <cell r="A554" t="str">
            <v>CHE</v>
          </cell>
          <cell r="B554" t="str">
            <v>Chello broadband nv</v>
          </cell>
        </row>
        <row r="555">
          <cell r="A555" t="str">
            <v>CHF</v>
          </cell>
          <cell r="B555" t="str">
            <v>ChildFund International</v>
          </cell>
        </row>
        <row r="556">
          <cell r="A556" t="str">
            <v>CHG</v>
          </cell>
          <cell r="B556" t="str">
            <v>Chugach Industries, Inc</v>
          </cell>
        </row>
        <row r="557">
          <cell r="A557" t="str">
            <v>CHH</v>
          </cell>
          <cell r="B557" t="str">
            <v>Compare Holdings B.V.</v>
          </cell>
        </row>
        <row r="558">
          <cell r="A558" t="str">
            <v>CHI</v>
          </cell>
          <cell r="B558" t="str">
            <v>Chi Mei Communication Systems, Inc</v>
          </cell>
        </row>
        <row r="559">
          <cell r="A559" t="str">
            <v>CHK</v>
          </cell>
          <cell r="B559" t="str">
            <v>Cheung Kong (Holdings) Ltd</v>
          </cell>
        </row>
        <row r="560">
          <cell r="A560" t="str">
            <v>CHL</v>
          </cell>
          <cell r="B560" t="str">
            <v>Chartwell Master Care LP</v>
          </cell>
        </row>
        <row r="561">
          <cell r="A561" t="str">
            <v>CHM</v>
          </cell>
          <cell r="B561" t="str">
            <v>Chemtura Corporation</v>
          </cell>
        </row>
        <row r="562">
          <cell r="A562" t="str">
            <v>CHN</v>
          </cell>
          <cell r="B562" t="str">
            <v>Chanel S.A.S.</v>
          </cell>
        </row>
        <row r="563">
          <cell r="A563" t="str">
            <v>CHO</v>
          </cell>
          <cell r="B563" t="str">
            <v>Choice Translating</v>
          </cell>
        </row>
        <row r="564">
          <cell r="A564" t="str">
            <v>CHR</v>
          </cell>
          <cell r="B564" t="str">
            <v>Chrono24.com GmbH</v>
          </cell>
        </row>
        <row r="565">
          <cell r="A565" t="str">
            <v>CHS</v>
          </cell>
          <cell r="B565" t="str">
            <v>Check Point Software Technologies Ltd.</v>
          </cell>
        </row>
        <row r="566">
          <cell r="A566" t="str">
            <v>CHT</v>
          </cell>
          <cell r="B566" t="str">
            <v>Christian Aid Trading Ltd</v>
          </cell>
        </row>
        <row r="567">
          <cell r="A567" t="str">
            <v>CHU</v>
          </cell>
          <cell r="B567" t="str">
            <v>Church Of Scientology International</v>
          </cell>
        </row>
        <row r="568">
          <cell r="A568" t="str">
            <v>CHV</v>
          </cell>
          <cell r="B568" t="str">
            <v>Chevron Corp</v>
          </cell>
        </row>
        <row r="569">
          <cell r="A569" t="str">
            <v>CHY</v>
          </cell>
          <cell r="B569" t="str">
            <v>Changyou.com Limited</v>
          </cell>
        </row>
        <row r="570">
          <cell r="A570" t="str">
            <v>CI0</v>
          </cell>
          <cell r="B570" t="str">
            <v xml:space="preserve">Canadian Institute of Mining, Metallurgy and Petroleum </v>
          </cell>
        </row>
        <row r="571">
          <cell r="A571" t="str">
            <v>CIB</v>
          </cell>
          <cell r="B571" t="str">
            <v>Canadian Imperial Bank of Commerce</v>
          </cell>
        </row>
        <row r="572">
          <cell r="A572" t="str">
            <v>CIC</v>
          </cell>
          <cell r="B572" t="str">
            <v>Consejería de Industria Comercio y Nuevas Tec</v>
          </cell>
        </row>
        <row r="573">
          <cell r="A573" t="str">
            <v>CID</v>
          </cell>
          <cell r="B573" t="str">
            <v>CIPD Chartered Institute for Personnel and Development</v>
          </cell>
        </row>
        <row r="574">
          <cell r="A574" t="str">
            <v>CIE</v>
          </cell>
          <cell r="B574" t="str">
            <v>Consultatie Implementatie Technisch beheer bv</v>
          </cell>
        </row>
        <row r="575">
          <cell r="A575" t="str">
            <v>CIG</v>
          </cell>
          <cell r="B575" t="str">
            <v>CitiGroup Inc</v>
          </cell>
        </row>
        <row r="576">
          <cell r="A576" t="str">
            <v>CIH</v>
          </cell>
          <cell r="B576" t="str">
            <v>CIHI</v>
          </cell>
        </row>
        <row r="577">
          <cell r="A577" t="str">
            <v>CII</v>
          </cell>
          <cell r="B577" t="str">
            <v>Citec Oy Ab</v>
          </cell>
        </row>
        <row r="578">
          <cell r="A578" t="str">
            <v>CIL</v>
          </cell>
          <cell r="B578" t="str">
            <v>CALLCREDIT INFORMATION GROUP LTD</v>
          </cell>
        </row>
        <row r="579">
          <cell r="A579" t="str">
            <v>CIM</v>
          </cell>
          <cell r="B579" t="str">
            <v>Cimmetry Systems Inc</v>
          </cell>
        </row>
        <row r="580">
          <cell r="A580" t="str">
            <v>CIN</v>
          </cell>
          <cell r="B580" t="str">
            <v>Compassion International</v>
          </cell>
        </row>
        <row r="581">
          <cell r="A581" t="str">
            <v>CIO</v>
          </cell>
          <cell r="B581" t="str">
            <v>Cielo Co., Ltd</v>
          </cell>
        </row>
        <row r="582">
          <cell r="A582" t="str">
            <v>CIP</v>
          </cell>
          <cell r="B582" t="str">
            <v>Cipal-ICA Telepolis VZW</v>
          </cell>
        </row>
        <row r="583">
          <cell r="A583" t="str">
            <v>CIQ</v>
          </cell>
          <cell r="B583" t="str">
            <v>The McGraw-Hill Companies, Inc.</v>
          </cell>
        </row>
        <row r="584">
          <cell r="A584" t="str">
            <v>CIS</v>
          </cell>
          <cell r="B584" t="str">
            <v>Cisco Systems Inc.</v>
          </cell>
        </row>
        <row r="585">
          <cell r="A585" t="str">
            <v>CIT</v>
          </cell>
          <cell r="B585" t="str">
            <v>Citrix Systems Inc</v>
          </cell>
        </row>
        <row r="586">
          <cell r="A586" t="str">
            <v>CIV</v>
          </cell>
          <cell r="B586" t="str">
            <v>Consortio Invest AB</v>
          </cell>
        </row>
        <row r="587">
          <cell r="A587" t="str">
            <v>CIY</v>
          </cell>
          <cell r="B587" t="str">
            <v>Comercio Industria Y Distribucion S L</v>
          </cell>
        </row>
        <row r="588">
          <cell r="A588" t="str">
            <v>CJC</v>
          </cell>
          <cell r="B588" t="str">
            <v>C &amp; J Clark Ltd</v>
          </cell>
        </row>
        <row r="589">
          <cell r="A589" t="str">
            <v>CJI</v>
          </cell>
          <cell r="B589" t="str">
            <v>Centraal Justitieel Incasso Bureau</v>
          </cell>
        </row>
        <row r="590">
          <cell r="A590" t="str">
            <v>CLA</v>
          </cell>
          <cell r="B590" t="str">
            <v>Clarus Corporation</v>
          </cell>
        </row>
        <row r="591">
          <cell r="A591" t="str">
            <v>CLC</v>
          </cell>
          <cell r="B591" t="str">
            <v>Canada Lands Company Limited</v>
          </cell>
        </row>
        <row r="592">
          <cell r="A592" t="str">
            <v>CLD</v>
          </cell>
          <cell r="B592" t="str">
            <v>ClearEdge Power</v>
          </cell>
        </row>
        <row r="593">
          <cell r="A593" t="str">
            <v>CLE</v>
          </cell>
          <cell r="B593" t="str">
            <v>Cleo Communications</v>
          </cell>
        </row>
        <row r="594">
          <cell r="A594" t="str">
            <v>CLF</v>
          </cell>
          <cell r="B594" t="str">
            <v>Canada Life Assurance Company</v>
          </cell>
        </row>
        <row r="595">
          <cell r="A595" t="str">
            <v>CLI</v>
          </cell>
          <cell r="B595" t="str">
            <v>Click2Translate</v>
          </cell>
        </row>
        <row r="596">
          <cell r="A596" t="str">
            <v>CLN</v>
          </cell>
          <cell r="B596" t="str">
            <v>Clinphone Group Ltd</v>
          </cell>
        </row>
        <row r="597">
          <cell r="A597" t="str">
            <v>CLO</v>
          </cell>
          <cell r="B597" t="str">
            <v>Cloudera, Inc.</v>
          </cell>
        </row>
        <row r="598">
          <cell r="A598" t="str">
            <v>CLP</v>
          </cell>
          <cell r="B598" t="str">
            <v>ClearPoint Learning Systems</v>
          </cell>
        </row>
        <row r="599">
          <cell r="A599" t="str">
            <v>CLR</v>
          </cell>
          <cell r="B599" t="str">
            <v>Clorox Company</v>
          </cell>
        </row>
        <row r="600">
          <cell r="A600" t="str">
            <v>CLS</v>
          </cell>
          <cell r="B600" t="str">
            <v>Claire's Inc.</v>
          </cell>
        </row>
        <row r="601">
          <cell r="A601" t="str">
            <v>CLT</v>
          </cell>
          <cell r="B601" t="str">
            <v>COLT Telecommunications</v>
          </cell>
        </row>
        <row r="602">
          <cell r="A602" t="str">
            <v>CLX</v>
          </cell>
          <cell r="B602" t="str">
            <v>CILEx (Chartered Institute of Legal Executives)</v>
          </cell>
        </row>
        <row r="603">
          <cell r="A603" t="str">
            <v>CMA</v>
          </cell>
          <cell r="B603" t="str">
            <v>Cips Marketing Group, Inc.</v>
          </cell>
        </row>
        <row r="604">
          <cell r="A604" t="str">
            <v>CMB</v>
          </cell>
          <cell r="B604" t="str">
            <v>Compass Bank</v>
          </cell>
        </row>
        <row r="605">
          <cell r="A605" t="str">
            <v>CMC</v>
          </cell>
          <cell r="B605" t="str">
            <v>Children's Medical Center</v>
          </cell>
        </row>
        <row r="606">
          <cell r="A606" t="str">
            <v>CMD</v>
          </cell>
          <cell r="B606" t="str">
            <v>CONMED Corporation</v>
          </cell>
        </row>
        <row r="607">
          <cell r="A607" t="str">
            <v>CMG</v>
          </cell>
          <cell r="B607" t="str">
            <v>California Casualty Management Company</v>
          </cell>
        </row>
        <row r="608">
          <cell r="A608" t="str">
            <v>CMI</v>
          </cell>
          <cell r="B608" t="str">
            <v>Curiosity Media, Inc.</v>
          </cell>
        </row>
        <row r="609">
          <cell r="A609" t="str">
            <v>CML</v>
          </cell>
          <cell r="B609" t="str">
            <v>Comelit Group SpA</v>
          </cell>
        </row>
        <row r="610">
          <cell r="A610" t="str">
            <v>CMP</v>
          </cell>
          <cell r="B610" t="str">
            <v>Compuware Corporation</v>
          </cell>
        </row>
        <row r="611">
          <cell r="A611" t="str">
            <v>CMS</v>
          </cell>
          <cell r="B611" t="str">
            <v>The CUMIS Group Limited</v>
          </cell>
        </row>
        <row r="612">
          <cell r="A612" t="str">
            <v>CMV</v>
          </cell>
          <cell r="B612" t="str">
            <v>Comverse Technology Inc.</v>
          </cell>
        </row>
        <row r="613">
          <cell r="A613" t="str">
            <v>CNC</v>
          </cell>
          <cell r="B613" t="str">
            <v>Concurrent Technologies Corporation</v>
          </cell>
        </row>
        <row r="614">
          <cell r="A614" t="str">
            <v>CNE</v>
          </cell>
          <cell r="B614" t="str">
            <v>Celanese Corporation</v>
          </cell>
        </row>
        <row r="615">
          <cell r="A615" t="str">
            <v>CNG</v>
          </cell>
          <cell r="B615" t="str">
            <v>ConAgra Foods, Inc.</v>
          </cell>
        </row>
        <row r="616">
          <cell r="A616" t="str">
            <v>CNH</v>
          </cell>
          <cell r="B616" t="str">
            <v>CNH Global N.V.</v>
          </cell>
        </row>
        <row r="617">
          <cell r="A617" t="str">
            <v>CNI</v>
          </cell>
          <cell r="B617" t="str">
            <v>CNIM SA</v>
          </cell>
        </row>
        <row r="618">
          <cell r="A618" t="str">
            <v>CNL</v>
          </cell>
          <cell r="B618" t="str">
            <v>Cornell University</v>
          </cell>
        </row>
        <row r="619">
          <cell r="A619" t="str">
            <v>CNP</v>
          </cell>
          <cell r="B619" t="str">
            <v>China National Nuclear Corporation</v>
          </cell>
        </row>
        <row r="620">
          <cell r="A620" t="str">
            <v>CNS</v>
          </cell>
          <cell r="B620" t="str">
            <v>Cronos Nv</v>
          </cell>
        </row>
        <row r="621">
          <cell r="A621" t="str">
            <v>CNT</v>
          </cell>
          <cell r="B621" t="str">
            <v>Centennial UK Limited</v>
          </cell>
        </row>
        <row r="622">
          <cell r="A622" t="str">
            <v>CNX</v>
          </cell>
          <cell r="B622" t="str">
            <v>China National Institute of Standardization</v>
          </cell>
        </row>
        <row r="623">
          <cell r="A623" t="str">
            <v>CO0</v>
          </cell>
          <cell r="B623" t="str">
            <v>Comcast Corporation</v>
          </cell>
        </row>
        <row r="624">
          <cell r="A624" t="str">
            <v>CO2</v>
          </cell>
          <cell r="B624" t="str">
            <v>COLUMNS DESIGN LTD</v>
          </cell>
        </row>
        <row r="625">
          <cell r="A625" t="str">
            <v>CO8</v>
          </cell>
          <cell r="B625" t="str">
            <v>Cochlear Limited</v>
          </cell>
        </row>
        <row r="626">
          <cell r="A626" t="str">
            <v>COA</v>
          </cell>
          <cell r="B626" t="str">
            <v>Continental Airlines Inc.</v>
          </cell>
        </row>
        <row r="627">
          <cell r="A627" t="str">
            <v>COB</v>
          </cell>
          <cell r="B627" t="str">
            <v>The Co-operative Bank p.l.c.</v>
          </cell>
        </row>
        <row r="628">
          <cell r="A628" t="str">
            <v>COC</v>
          </cell>
          <cell r="B628" t="str">
            <v>Clear One Communications Inc.</v>
          </cell>
        </row>
        <row r="629">
          <cell r="A629" t="str">
            <v>COD</v>
          </cell>
          <cell r="B629" t="str">
            <v>Codemasters Software Company Ltd (The)</v>
          </cell>
        </row>
        <row r="630">
          <cell r="A630" t="str">
            <v>COE</v>
          </cell>
          <cell r="B630" t="str">
            <v>Cox Enterprises, Inc</v>
          </cell>
        </row>
        <row r="631">
          <cell r="A631" t="str">
            <v>COG</v>
          </cell>
          <cell r="B631" t="str">
            <v>Cognos Inc</v>
          </cell>
        </row>
        <row r="632">
          <cell r="A632" t="str">
            <v>COH</v>
          </cell>
          <cell r="B632" t="str">
            <v>Conzzeta Holding AG</v>
          </cell>
        </row>
        <row r="633">
          <cell r="A633" t="str">
            <v>COI</v>
          </cell>
          <cell r="B633" t="str">
            <v>COI Consulting für Office und Information GmbH</v>
          </cell>
        </row>
        <row r="634">
          <cell r="A634" t="str">
            <v>COL</v>
          </cell>
          <cell r="B634" t="str">
            <v>Colgate Palmolive</v>
          </cell>
        </row>
        <row r="635">
          <cell r="A635" t="str">
            <v>COV</v>
          </cell>
          <cell r="B635" t="str">
            <v>Laboratory Corporation of America Holdings</v>
          </cell>
        </row>
        <row r="636">
          <cell r="A636" t="str">
            <v>COM</v>
          </cell>
          <cell r="B636" t="str">
            <v>3Com Corporation</v>
          </cell>
        </row>
        <row r="637">
          <cell r="A637" t="str">
            <v>CON</v>
          </cell>
          <cell r="B637" t="str">
            <v>Concord Communications Inc</v>
          </cell>
        </row>
        <row r="638">
          <cell r="A638" t="str">
            <v>COO</v>
          </cell>
          <cell r="B638" t="str">
            <v>Cooper Industries Inc</v>
          </cell>
        </row>
        <row r="639">
          <cell r="A639" t="str">
            <v>COP</v>
          </cell>
          <cell r="B639" t="str">
            <v>The Co-operators Group Limited</v>
          </cell>
        </row>
        <row r="640">
          <cell r="A640" t="str">
            <v>COQ</v>
          </cell>
          <cell r="B640" t="str">
            <v>Congressional Quarterly Inc</v>
          </cell>
        </row>
        <row r="641">
          <cell r="A641" t="str">
            <v>COR</v>
          </cell>
          <cell r="B641" t="str">
            <v>Corel Corporation</v>
          </cell>
        </row>
        <row r="642">
          <cell r="A642" t="str">
            <v>COS</v>
          </cell>
          <cell r="B642" t="str">
            <v>Costco Wholesale Corporation</v>
          </cell>
        </row>
        <row r="643">
          <cell r="A643" t="str">
            <v>COT</v>
          </cell>
          <cell r="B643" t="str">
            <v>CommonTime Limited</v>
          </cell>
        </row>
        <row r="644">
          <cell r="A644" t="str">
            <v>COU</v>
          </cell>
          <cell r="B644" t="str">
            <v>Council of Europe</v>
          </cell>
        </row>
        <row r="645">
          <cell r="A645" t="str">
            <v>COX</v>
          </cell>
          <cell r="B645" t="str">
            <v>Colinx LLC</v>
          </cell>
        </row>
        <row r="646">
          <cell r="A646" t="str">
            <v>CPA</v>
          </cell>
          <cell r="B646" t="str">
            <v>The Capita Group Plc</v>
          </cell>
        </row>
        <row r="647">
          <cell r="A647" t="str">
            <v>CPB</v>
          </cell>
          <cell r="B647" t="str">
            <v>Critical Past LLC</v>
          </cell>
        </row>
        <row r="648">
          <cell r="A648" t="str">
            <v>CPD</v>
          </cell>
          <cell r="B648" t="str">
            <v>Compendium Group BV</v>
          </cell>
        </row>
        <row r="649">
          <cell r="A649" t="str">
            <v>CPI</v>
          </cell>
          <cell r="B649" t="str">
            <v>ChoicePoint Inc.</v>
          </cell>
        </row>
        <row r="650">
          <cell r="A650" t="str">
            <v>CPL</v>
          </cell>
          <cell r="B650" t="str">
            <v>CPA Global Limited</v>
          </cell>
        </row>
        <row r="651">
          <cell r="A651" t="str">
            <v>CPO</v>
          </cell>
          <cell r="B651" t="str">
            <v>Campo Santo</v>
          </cell>
        </row>
        <row r="652">
          <cell r="A652" t="str">
            <v>CPS</v>
          </cell>
          <cell r="B652" t="str">
            <v>Computershare Limited</v>
          </cell>
        </row>
        <row r="653">
          <cell r="A653" t="str">
            <v>CPT</v>
          </cell>
          <cell r="B653" t="str">
            <v>Captiva Software Corporation</v>
          </cell>
        </row>
        <row r="654">
          <cell r="A654" t="str">
            <v>CPX</v>
          </cell>
          <cell r="B654" t="str">
            <v>Raiffeisen Informatik GmbH</v>
          </cell>
        </row>
        <row r="655">
          <cell r="A655" t="str">
            <v>CQT</v>
          </cell>
          <cell r="B655" t="str">
            <v>Cumquat Information Technology B.V.</v>
          </cell>
        </row>
        <row r="656">
          <cell r="A656" t="str">
            <v>CR0</v>
          </cell>
          <cell r="B656" t="str">
            <v>Crown Partners</v>
          </cell>
        </row>
        <row r="657">
          <cell r="A657" t="str">
            <v>CR1</v>
          </cell>
          <cell r="B657" t="str">
            <v>CREDANT Technologies, Inc.</v>
          </cell>
        </row>
        <row r="658">
          <cell r="A658" t="str">
            <v>CRA</v>
          </cell>
          <cell r="B658" t="str">
            <v>Cramer Systems Europe Ltd</v>
          </cell>
        </row>
        <row r="659">
          <cell r="A659" t="str">
            <v>CRB</v>
          </cell>
          <cell r="B659" t="str">
            <v>Corbis Corporation</v>
          </cell>
        </row>
        <row r="660">
          <cell r="A660" t="str">
            <v>CRC</v>
          </cell>
          <cell r="B660" t="str">
            <v>Coretronic Corporation</v>
          </cell>
        </row>
        <row r="661">
          <cell r="A661" t="str">
            <v>CRD</v>
          </cell>
          <cell r="B661" t="str">
            <v>CaridianBCT Inc</v>
          </cell>
        </row>
        <row r="662">
          <cell r="A662" t="str">
            <v>CRE</v>
          </cell>
          <cell r="B662" t="str">
            <v>Cresson SARL</v>
          </cell>
        </row>
        <row r="663">
          <cell r="A663" t="str">
            <v>CRG</v>
          </cell>
          <cell r="B663" t="str">
            <v>Credit Agricole SA</v>
          </cell>
        </row>
        <row r="664">
          <cell r="A664" t="str">
            <v>CRH</v>
          </cell>
          <cell r="B664" t="str">
            <v>Conseil Régional de Haute-Normandie</v>
          </cell>
        </row>
        <row r="665">
          <cell r="A665" t="str">
            <v>CRI</v>
          </cell>
          <cell r="B665" t="str">
            <v>Critical Path Software Inc</v>
          </cell>
        </row>
        <row r="666">
          <cell r="A666" t="str">
            <v>CRL</v>
          </cell>
          <cell r="B666" t="str">
            <v>Cross Language n.v.</v>
          </cell>
        </row>
        <row r="667">
          <cell r="A667" t="str">
            <v>CRM</v>
          </cell>
          <cell r="B667" t="str">
            <v>CREDA COMMUNICATIONS LTD</v>
          </cell>
        </row>
        <row r="668">
          <cell r="A668" t="str">
            <v>CRN</v>
          </cell>
          <cell r="B668" t="str">
            <v>Corning Inc.</v>
          </cell>
        </row>
        <row r="669">
          <cell r="A669" t="str">
            <v>CRO</v>
          </cell>
          <cell r="B669" t="str">
            <v>Crown Holdings Inc</v>
          </cell>
        </row>
        <row r="670">
          <cell r="A670" t="str">
            <v>CRP</v>
          </cell>
          <cell r="B670" t="str">
            <v>Corpedia, Inc.</v>
          </cell>
        </row>
        <row r="671">
          <cell r="A671" t="str">
            <v>CRS</v>
          </cell>
          <cell r="B671" t="str">
            <v>Corsair Memory, Inc</v>
          </cell>
        </row>
        <row r="672">
          <cell r="A672" t="str">
            <v>CRT</v>
          </cell>
          <cell r="B672" t="str">
            <v>Crest Engineering B.V.</v>
          </cell>
        </row>
        <row r="673">
          <cell r="A673" t="str">
            <v>CRU</v>
          </cell>
          <cell r="B673" t="str">
            <v>CREATA (AUST) PTY LIMITED</v>
          </cell>
        </row>
        <row r="674">
          <cell r="A674" t="str">
            <v>CRW</v>
          </cell>
          <cell r="B674" t="str">
            <v>CROW Innovatie en Beheer B.V.</v>
          </cell>
        </row>
        <row r="675">
          <cell r="A675" t="str">
            <v>CRY</v>
          </cell>
          <cell r="B675" t="str">
            <v>Cryo Interactive</v>
          </cell>
        </row>
        <row r="676">
          <cell r="A676" t="str">
            <v>CS1</v>
          </cell>
          <cell r="B676" t="str">
            <v>Cornerstone Group of Companies Limited</v>
          </cell>
        </row>
        <row r="677">
          <cell r="A677" t="str">
            <v>CSA</v>
          </cell>
          <cell r="B677" t="str">
            <v>Consumer Source, Inc</v>
          </cell>
        </row>
        <row r="678">
          <cell r="A678" t="str">
            <v>CSB</v>
          </cell>
          <cell r="B678" t="str">
            <v>Compunnel Software Group, Inc.</v>
          </cell>
        </row>
        <row r="679">
          <cell r="A679" t="str">
            <v>CSC</v>
          </cell>
          <cell r="B679" t="str">
            <v>The Charles Schwab Corporation</v>
          </cell>
        </row>
        <row r="680">
          <cell r="A680" t="str">
            <v>CSE</v>
          </cell>
          <cell r="B680" t="str">
            <v>OPTO CIRCUITS (INDIA) LIMITED</v>
          </cell>
        </row>
        <row r="681">
          <cell r="A681" t="str">
            <v>CSG</v>
          </cell>
          <cell r="B681" t="str">
            <v>Credit Suisse Group</v>
          </cell>
        </row>
        <row r="682">
          <cell r="A682" t="str">
            <v>CSH</v>
          </cell>
          <cell r="B682" t="str">
            <v>Carestream Health Inc</v>
          </cell>
        </row>
        <row r="683">
          <cell r="A683" t="str">
            <v>CSI</v>
          </cell>
          <cell r="B683" t="str">
            <v>Concerto Software, Incorporated</v>
          </cell>
        </row>
        <row r="684">
          <cell r="A684" t="str">
            <v>CSL</v>
          </cell>
          <cell r="B684" t="str">
            <v>CSSS de Lac-Saint-Jean-Est</v>
          </cell>
        </row>
        <row r="685">
          <cell r="A685" t="str">
            <v>CSN</v>
          </cell>
          <cell r="B685" t="str">
            <v>China Southern Airlines Company Limited</v>
          </cell>
        </row>
        <row r="686">
          <cell r="A686" t="str">
            <v>CSO</v>
          </cell>
          <cell r="B686" t="str">
            <v>Cirque du Soleil Inc</v>
          </cell>
        </row>
        <row r="687">
          <cell r="A687" t="str">
            <v>CSP</v>
          </cell>
          <cell r="B687" t="str">
            <v>CommScope Inc</v>
          </cell>
        </row>
        <row r="688">
          <cell r="A688" t="str">
            <v>CSR</v>
          </cell>
          <cell r="B688" t="str">
            <v>Coursera Inc.</v>
          </cell>
        </row>
        <row r="689">
          <cell r="A689" t="str">
            <v>CSS</v>
          </cell>
          <cell r="B689" t="str">
            <v>Computer Sciences Canada Inc</v>
          </cell>
        </row>
        <row r="690">
          <cell r="A690" t="str">
            <v>CST</v>
          </cell>
          <cell r="B690" t="str">
            <v>Computer Sciences Corporation</v>
          </cell>
        </row>
        <row r="691">
          <cell r="A691" t="str">
            <v>CSW</v>
          </cell>
          <cell r="B691" t="str">
            <v>CaseWare International Inc</v>
          </cell>
        </row>
        <row r="692">
          <cell r="A692" t="str">
            <v>CSX</v>
          </cell>
          <cell r="B692" t="str">
            <v>cScape Group plc</v>
          </cell>
        </row>
        <row r="693">
          <cell r="A693" t="str">
            <v>CSY</v>
          </cell>
          <cell r="B693" t="str">
            <v>Cypress Semiconductor Corporation</v>
          </cell>
        </row>
        <row r="694">
          <cell r="A694" t="str">
            <v>CTB</v>
          </cell>
          <cell r="B694" t="str">
            <v>ConstructionSkills</v>
          </cell>
        </row>
        <row r="695">
          <cell r="A695" t="str">
            <v>CTC</v>
          </cell>
          <cell r="B695" t="str">
            <v>con.train consulting + training GmbH</v>
          </cell>
        </row>
        <row r="696">
          <cell r="A696" t="str">
            <v>CTD</v>
          </cell>
          <cell r="B696" t="str">
            <v>Alimentation Couche-Tard Inc.</v>
          </cell>
        </row>
        <row r="697">
          <cell r="A697" t="str">
            <v>CTG</v>
          </cell>
          <cell r="B697" t="str">
            <v>Com Text Group AS</v>
          </cell>
        </row>
        <row r="698">
          <cell r="A698" t="str">
            <v>CTH</v>
          </cell>
          <cell r="B698" t="str">
            <v>C.T.C. Dealer Holdings</v>
          </cell>
        </row>
        <row r="699">
          <cell r="A699" t="str">
            <v>CTI</v>
          </cell>
          <cell r="B699" t="str">
            <v>Canadian Tire Corporation, Limited</v>
          </cell>
        </row>
        <row r="700">
          <cell r="A700" t="str">
            <v>CTL</v>
          </cell>
          <cell r="B700" t="str">
            <v>Catalytic Health</v>
          </cell>
        </row>
        <row r="701">
          <cell r="A701" t="str">
            <v>CTN</v>
          </cell>
          <cell r="B701" t="str">
            <v>Parallax Capital Partners, LLC</v>
          </cell>
        </row>
        <row r="702">
          <cell r="A702" t="str">
            <v>CTO</v>
          </cell>
          <cell r="B702" t="str">
            <v>Canadian Tourism Commission</v>
          </cell>
        </row>
        <row r="703">
          <cell r="A703" t="str">
            <v>CTP</v>
          </cell>
          <cell r="B703" t="str">
            <v>Coats Group Limited</v>
          </cell>
        </row>
        <row r="704">
          <cell r="A704" t="str">
            <v>CTR</v>
          </cell>
          <cell r="B704" t="str">
            <v>Centrepoint Technologies Inc</v>
          </cell>
        </row>
        <row r="705">
          <cell r="A705" t="str">
            <v>CTS</v>
          </cell>
          <cell r="B705" t="str">
            <v>Columbus Technologies And Services, Inc</v>
          </cell>
        </row>
        <row r="706">
          <cell r="A706" t="str">
            <v>CTT</v>
          </cell>
          <cell r="B706" t="str">
            <v>Creative Technology Ltd</v>
          </cell>
        </row>
        <row r="707">
          <cell r="A707" t="str">
            <v>CTY</v>
          </cell>
          <cell r="B707" t="str">
            <v>Charles Tyrwhitt LLP</v>
          </cell>
        </row>
        <row r="708">
          <cell r="A708" t="str">
            <v>CUA</v>
          </cell>
          <cell r="B708" t="str">
            <v>Carahsoft Technology Corp.</v>
          </cell>
        </row>
        <row r="709">
          <cell r="A709" t="str">
            <v>CUB</v>
          </cell>
          <cell r="B709" t="str">
            <v>Cuba Bidco Ltd</v>
          </cell>
        </row>
        <row r="710">
          <cell r="A710" t="str">
            <v>CUL</v>
          </cell>
          <cell r="B710" t="str">
            <v>Culligan International Company</v>
          </cell>
        </row>
        <row r="711">
          <cell r="A711" t="str">
            <v>CUM</v>
          </cell>
          <cell r="B711" t="str">
            <v>Cummins Inc</v>
          </cell>
        </row>
        <row r="712">
          <cell r="A712" t="str">
            <v>CUN</v>
          </cell>
          <cell r="B712" t="str">
            <v>Cundari Group Ltd.</v>
          </cell>
        </row>
        <row r="713">
          <cell r="A713" t="str">
            <v>CUP</v>
          </cell>
          <cell r="B713" t="str">
            <v>Cupid Media Pty</v>
          </cell>
        </row>
        <row r="714">
          <cell r="A714" t="str">
            <v>CUR</v>
          </cell>
          <cell r="B714" t="str">
            <v>Curetis AG</v>
          </cell>
        </row>
        <row r="715">
          <cell r="A715" t="str">
            <v>CUS</v>
          </cell>
          <cell r="B715" t="str">
            <v>Cubist Pharmaceuticals, Inc.</v>
          </cell>
        </row>
        <row r="716">
          <cell r="A716" t="str">
            <v>CVD</v>
          </cell>
          <cell r="B716" t="str">
            <v>Covidien plc</v>
          </cell>
        </row>
        <row r="717">
          <cell r="A717" t="str">
            <v>CVN</v>
          </cell>
          <cell r="B717" t="str">
            <v>Executive Conversation Inc.</v>
          </cell>
        </row>
        <row r="718">
          <cell r="A718" t="str">
            <v>CVZ</v>
          </cell>
          <cell r="B718" t="str">
            <v>College Voor Zorgverzekeringen</v>
          </cell>
        </row>
        <row r="719">
          <cell r="A719" t="str">
            <v>CWV</v>
          </cell>
          <cell r="B719" t="str">
            <v>ConWeaver</v>
          </cell>
        </row>
        <row r="720">
          <cell r="A720" t="str">
            <v>CYB</v>
          </cell>
          <cell r="B720" t="str">
            <v>Cyberonics Europe S.A.</v>
          </cell>
        </row>
        <row r="721">
          <cell r="A721" t="str">
            <v>CYM</v>
          </cell>
          <cell r="B721" t="str">
            <v>Cymer, Inc.</v>
          </cell>
        </row>
        <row r="722">
          <cell r="A722" t="str">
            <v>CYO</v>
          </cell>
          <cell r="B722" t="str">
            <v>CryoCath Technologies Inc.</v>
          </cell>
        </row>
        <row r="723">
          <cell r="A723" t="str">
            <v>CYS</v>
          </cell>
          <cell r="B723" t="str">
            <v>CyberShift, Inc.</v>
          </cell>
        </row>
        <row r="724">
          <cell r="A724" t="str">
            <v>CYT</v>
          </cell>
          <cell r="B724" t="str">
            <v>Cytyc Corporation</v>
          </cell>
        </row>
        <row r="725">
          <cell r="A725" t="str">
            <v>CZM</v>
          </cell>
          <cell r="B725" t="str">
            <v>CZMNED</v>
          </cell>
        </row>
        <row r="726">
          <cell r="A726" t="str">
            <v>CZT</v>
          </cell>
          <cell r="B726" t="str">
            <v>Cognizant Technology Solutions Corporation</v>
          </cell>
        </row>
        <row r="727">
          <cell r="A727" t="str">
            <v>D2L</v>
          </cell>
          <cell r="B727" t="str">
            <v>Desire2Learn Incorporated</v>
          </cell>
        </row>
        <row r="728">
          <cell r="A728" t="str">
            <v>DA0</v>
          </cell>
          <cell r="B728" t="str">
            <v>DAISO Industries Co., Ltd.</v>
          </cell>
        </row>
        <row r="729">
          <cell r="A729" t="str">
            <v>DAA</v>
          </cell>
          <cell r="B729" t="str">
            <v>Daiichi Sankyo Company Limited</v>
          </cell>
        </row>
        <row r="730">
          <cell r="A730" t="str">
            <v>DAC</v>
          </cell>
          <cell r="B730" t="str">
            <v>ADAC Verlag GmbH</v>
          </cell>
        </row>
        <row r="731">
          <cell r="A731" t="str">
            <v>DAD</v>
          </cell>
          <cell r="B731" t="str">
            <v xml:space="preserve">Dako Denmark A/S </v>
          </cell>
        </row>
        <row r="732">
          <cell r="A732" t="str">
            <v>DAE</v>
          </cell>
          <cell r="B732" t="str">
            <v>Daikin Europe N V Nv</v>
          </cell>
        </row>
        <row r="733">
          <cell r="A733" t="str">
            <v>DAG</v>
          </cell>
          <cell r="B733" t="str">
            <v>Danger Inc</v>
          </cell>
        </row>
        <row r="734">
          <cell r="A734" t="str">
            <v>DAJ</v>
          </cell>
          <cell r="B734" t="str">
            <v xml:space="preserve">Daikin Industries, Ltd. </v>
          </cell>
        </row>
        <row r="735">
          <cell r="A735" t="str">
            <v>DAK</v>
          </cell>
          <cell r="B735" t="str">
            <v>Dakota Editions</v>
          </cell>
        </row>
        <row r="736">
          <cell r="A736" t="str">
            <v>DAL</v>
          </cell>
          <cell r="B736" t="str">
            <v>Daleen Technologies, Inc.</v>
          </cell>
        </row>
        <row r="737">
          <cell r="A737" t="str">
            <v>DAM</v>
          </cell>
          <cell r="B737" t="str">
            <v>Daimler AG</v>
          </cell>
        </row>
        <row r="738">
          <cell r="A738" t="str">
            <v>DAN</v>
          </cell>
          <cell r="B738" t="str">
            <v>Dana Corporation</v>
          </cell>
        </row>
        <row r="739">
          <cell r="A739" t="str">
            <v>DAS</v>
          </cell>
          <cell r="B739" t="str">
            <v>Dassault Systemes SA</v>
          </cell>
        </row>
        <row r="740">
          <cell r="A740" t="str">
            <v>DAT</v>
          </cell>
          <cell r="B740" t="str">
            <v>Datamation Limited</v>
          </cell>
        </row>
        <row r="741">
          <cell r="A741" t="str">
            <v>DAU</v>
          </cell>
          <cell r="B741" t="str">
            <v>Dako USA</v>
          </cell>
        </row>
        <row r="742">
          <cell r="A742" t="str">
            <v>DAW</v>
          </cell>
          <cell r="B742" t="str">
            <v>DATAWORDS DATASIA</v>
          </cell>
        </row>
        <row r="743">
          <cell r="A743" t="str">
            <v>DAZ</v>
          </cell>
          <cell r="B743" t="str">
            <v>DAS Rechtsbijstand</v>
          </cell>
        </row>
        <row r="744">
          <cell r="A744" t="str">
            <v>DBA</v>
          </cell>
          <cell r="B744" t="str">
            <v>Deutsche Bank AG</v>
          </cell>
        </row>
        <row r="745">
          <cell r="A745" t="str">
            <v>DBC</v>
          </cell>
          <cell r="B745" t="str">
            <v>Debica</v>
          </cell>
        </row>
        <row r="746">
          <cell r="A746" t="str">
            <v>DBH</v>
          </cell>
          <cell r="B746" t="str">
            <v>Debenhams plc</v>
          </cell>
        </row>
        <row r="747">
          <cell r="A747" t="str">
            <v>DBU</v>
          </cell>
          <cell r="B747" t="str">
            <v>Deutsche Bundesbank</v>
          </cell>
        </row>
        <row r="748">
          <cell r="A748" t="str">
            <v>DCA</v>
          </cell>
          <cell r="B748" t="str">
            <v>Data Conversion Center Bvba</v>
          </cell>
        </row>
        <row r="749">
          <cell r="A749" t="str">
            <v>DCB</v>
          </cell>
          <cell r="B749" t="str">
            <v>Descours et Cabaud Benelux S.A.</v>
          </cell>
        </row>
        <row r="750">
          <cell r="A750" t="str">
            <v>DCC</v>
          </cell>
          <cell r="B750" t="str">
            <v>Distech Controls Inc.</v>
          </cell>
        </row>
        <row r="751">
          <cell r="A751" t="str">
            <v>DCL</v>
          </cell>
          <cell r="B751" t="str">
            <v>Deecal International Ltd</v>
          </cell>
        </row>
        <row r="752">
          <cell r="A752" t="str">
            <v>DCO</v>
          </cell>
          <cell r="B752" t="str">
            <v>Deluxe Corporation</v>
          </cell>
        </row>
        <row r="753">
          <cell r="A753" t="str">
            <v>DCS</v>
          </cell>
          <cell r="B753" t="str">
            <v>DCS AsiaPac Ltd</v>
          </cell>
        </row>
        <row r="754">
          <cell r="A754" t="str">
            <v>DCU</v>
          </cell>
          <cell r="B754" t="str">
            <v>DocuSign, Inc</v>
          </cell>
        </row>
        <row r="755">
          <cell r="A755" t="str">
            <v>DDE</v>
          </cell>
          <cell r="B755" t="str">
            <v>De Dierenbescherming</v>
          </cell>
        </row>
        <row r="756">
          <cell r="A756" t="str">
            <v>DDG</v>
          </cell>
          <cell r="B756" t="str">
            <v>DDG BV</v>
          </cell>
        </row>
        <row r="757">
          <cell r="A757" t="str">
            <v>DDH</v>
          </cell>
          <cell r="B757" t="str">
            <v>Dimension Data Holdings plc</v>
          </cell>
        </row>
        <row r="758">
          <cell r="A758" t="str">
            <v>DDI</v>
          </cell>
          <cell r="B758" t="str">
            <v>Document Dialog BV</v>
          </cell>
        </row>
        <row r="759">
          <cell r="A759" t="str">
            <v>DDP</v>
          </cell>
          <cell r="B759" t="str">
            <v>Development Dimensions International Inc</v>
          </cell>
        </row>
        <row r="760">
          <cell r="A760" t="str">
            <v>DDT</v>
          </cell>
          <cell r="B760" t="str">
            <v>DataDirect Technologies Inc</v>
          </cell>
        </row>
        <row r="761">
          <cell r="A761" t="str">
            <v>DEA</v>
          </cell>
          <cell r="B761" t="str">
            <v>DeNA Co., Ltd.</v>
          </cell>
        </row>
        <row r="762">
          <cell r="A762" t="str">
            <v>DEB</v>
          </cell>
          <cell r="B762" t="str">
            <v>Descours et Cabaud Benelux S.A.</v>
          </cell>
        </row>
        <row r="763">
          <cell r="A763" t="str">
            <v>DEC</v>
          </cell>
          <cell r="B763" t="str">
            <v>Digital Electronic Corporation</v>
          </cell>
        </row>
        <row r="764">
          <cell r="A764" t="str">
            <v>DEE</v>
          </cell>
          <cell r="B764" t="str">
            <v>Deere &amp; Company</v>
          </cell>
        </row>
        <row r="765">
          <cell r="A765" t="str">
            <v>DEF</v>
          </cell>
          <cell r="B765" t="str">
            <v>De Friesland Zorgverzekeraar</v>
          </cell>
        </row>
        <row r="766">
          <cell r="A766" t="str">
            <v>DEG</v>
          </cell>
          <cell r="B766" t="str">
            <v>De Goudse Verzekeringen</v>
          </cell>
        </row>
        <row r="767">
          <cell r="A767" t="str">
            <v>DEH</v>
          </cell>
          <cell r="B767" t="str">
            <v>Deltahage B V</v>
          </cell>
        </row>
        <row r="768">
          <cell r="A768" t="str">
            <v>DEI</v>
          </cell>
          <cell r="B768" t="str">
            <v>The Designory Inc.</v>
          </cell>
        </row>
        <row r="769">
          <cell r="A769" t="str">
            <v>DEL</v>
          </cell>
          <cell r="B769" t="str">
            <v>Dell Incorporated</v>
          </cell>
        </row>
        <row r="770">
          <cell r="A770" t="str">
            <v>DEN</v>
          </cell>
          <cell r="B770" t="str">
            <v>Dentalmatic Technologies Inc</v>
          </cell>
        </row>
        <row r="771">
          <cell r="A771" t="str">
            <v>DEP</v>
          </cell>
          <cell r="B771" t="str">
            <v>Delphi Corporation</v>
          </cell>
        </row>
        <row r="772">
          <cell r="A772" t="str">
            <v>DER</v>
          </cell>
          <cell r="B772" t="str">
            <v>Derivco (Pty) Ltd</v>
          </cell>
        </row>
        <row r="773">
          <cell r="A773" t="str">
            <v>DES</v>
          </cell>
          <cell r="B773" t="str">
            <v>Design Science, Inc.</v>
          </cell>
        </row>
        <row r="774">
          <cell r="A774" t="str">
            <v>DET</v>
          </cell>
          <cell r="B774" t="str">
            <v>Delta NV</v>
          </cell>
        </row>
        <row r="775">
          <cell r="A775" t="str">
            <v>DEU</v>
          </cell>
          <cell r="B775" t="str">
            <v>German Federal Government</v>
          </cell>
        </row>
        <row r="776">
          <cell r="A776" t="str">
            <v>DEV</v>
          </cell>
          <cell r="B776" t="str">
            <v>De Vlijt NV</v>
          </cell>
        </row>
        <row r="777">
          <cell r="A777" t="str">
            <v>DEX</v>
          </cell>
          <cell r="B777" t="str">
            <v>Dexia SA</v>
          </cell>
        </row>
        <row r="778">
          <cell r="A778" t="str">
            <v>DFD</v>
          </cell>
          <cell r="B778" t="str">
            <v>DFDS A/S</v>
          </cell>
        </row>
        <row r="779">
          <cell r="A779" t="str">
            <v>DFE</v>
          </cell>
          <cell r="B779" t="str">
            <v>Datamation LTD SDN BHD</v>
          </cell>
        </row>
        <row r="780">
          <cell r="A780" t="str">
            <v>DFG</v>
          </cell>
          <cell r="B780" t="str">
            <v>Dollar Financial Group</v>
          </cell>
        </row>
        <row r="781">
          <cell r="A781" t="str">
            <v>DFL</v>
          </cell>
          <cell r="B781" t="str">
            <v>Dress-for-less GmbH</v>
          </cell>
        </row>
        <row r="782">
          <cell r="A782" t="str">
            <v>DFX</v>
          </cell>
          <cell r="B782" t="str">
            <v>DigitalFX International, Inc.</v>
          </cell>
        </row>
        <row r="783">
          <cell r="A783" t="str">
            <v>DGG</v>
          </cell>
          <cell r="B783" t="str">
            <v>Domestic &amp; General Group plc</v>
          </cell>
        </row>
        <row r="784">
          <cell r="A784" t="str">
            <v>DGL</v>
          </cell>
          <cell r="B784" t="str">
            <v>Douglas Holding AG</v>
          </cell>
        </row>
        <row r="785">
          <cell r="A785" t="str">
            <v>DGM</v>
          </cell>
          <cell r="B785" t="str">
            <v>Digimaker AS</v>
          </cell>
        </row>
        <row r="786">
          <cell r="A786" t="str">
            <v>DGP</v>
          </cell>
          <cell r="B786" t="str">
            <v>Dogan Portal ve Elektronik Ticaret A.S.</v>
          </cell>
        </row>
        <row r="787">
          <cell r="A787" t="str">
            <v>DGU</v>
          </cell>
          <cell r="B787" t="str">
            <v>Direct Golf UK Ltd</v>
          </cell>
        </row>
        <row r="788">
          <cell r="A788" t="str">
            <v>DHG</v>
          </cell>
          <cell r="B788" t="str">
            <v>DHGate.com</v>
          </cell>
        </row>
        <row r="789">
          <cell r="A789" t="str">
            <v>DHI</v>
          </cell>
          <cell r="B789" t="str">
            <v>DHI Group</v>
          </cell>
        </row>
        <row r="790">
          <cell r="A790" t="str">
            <v>DHL</v>
          </cell>
          <cell r="B790" t="str">
            <v>Deutsche Post DHL</v>
          </cell>
        </row>
        <row r="791">
          <cell r="A791" t="str">
            <v>DHR</v>
          </cell>
          <cell r="B791" t="str">
            <v>Danaher Corporation</v>
          </cell>
        </row>
        <row r="792">
          <cell r="A792" t="str">
            <v>DHS</v>
          </cell>
          <cell r="B792" t="str">
            <v>Département des Hauts-de-Seine</v>
          </cell>
        </row>
        <row r="793">
          <cell r="A793" t="str">
            <v>DIB</v>
          </cell>
          <cell r="B793" t="str">
            <v>DO IT BEST CORP.</v>
          </cell>
        </row>
        <row r="794">
          <cell r="A794" t="str">
            <v>DIE</v>
          </cell>
          <cell r="B794" t="str">
            <v>Diebold Inc</v>
          </cell>
        </row>
        <row r="795">
          <cell r="A795" t="str">
            <v>DIF</v>
          </cell>
          <cell r="B795" t="str">
            <v>Difko A/S</v>
          </cell>
        </row>
        <row r="796">
          <cell r="A796" t="str">
            <v>DIG</v>
          </cell>
          <cell r="B796" t="str">
            <v>Digital Bridges Ltd</v>
          </cell>
        </row>
        <row r="797">
          <cell r="A797" t="str">
            <v>DIJ</v>
          </cell>
          <cell r="B797" t="str">
            <v>digitalPersona</v>
          </cell>
        </row>
        <row r="798">
          <cell r="A798" t="str">
            <v>DIL</v>
          </cell>
          <cell r="B798" t="str">
            <v>Dutka International (PA) Inc.</v>
          </cell>
        </row>
        <row r="799">
          <cell r="A799" t="str">
            <v>DIO</v>
          </cell>
          <cell r="B799" t="str">
            <v>Diotek</v>
          </cell>
        </row>
        <row r="800">
          <cell r="A800" t="str">
            <v>DIP</v>
          </cell>
          <cell r="B800" t="str">
            <v>DIGITAL PUBLISHING SOLUTIONS</v>
          </cell>
        </row>
        <row r="801">
          <cell r="A801" t="str">
            <v>DIR</v>
          </cell>
          <cell r="B801" t="str">
            <v>Direxions Marketing Solutions Pvt. Ltd</v>
          </cell>
        </row>
        <row r="802">
          <cell r="A802" t="str">
            <v>DIS</v>
          </cell>
          <cell r="B802" t="str">
            <v>Dätwyler Führungs AG</v>
          </cell>
        </row>
        <row r="803">
          <cell r="A803" t="str">
            <v>DIT</v>
          </cell>
          <cell r="B803" t="str">
            <v>Digirati</v>
          </cell>
        </row>
        <row r="804">
          <cell r="A804" t="str">
            <v>DJI</v>
          </cell>
          <cell r="B804" t="str">
            <v>SZ DJI Technology Co., Ltd.</v>
          </cell>
        </row>
        <row r="805">
          <cell r="A805" t="str">
            <v>DJS</v>
          </cell>
          <cell r="B805" t="str">
            <v>Dartmouth Journal Services Inc</v>
          </cell>
        </row>
        <row r="806">
          <cell r="A806" t="str">
            <v>DKE</v>
          </cell>
          <cell r="B806" t="str">
            <v>DKE Deutsche Kommission Elektrotechnik Elektronik Informationstechnik im DIN und VDE</v>
          </cell>
        </row>
        <row r="807">
          <cell r="A807" t="str">
            <v>DKG</v>
          </cell>
          <cell r="B807" t="str">
            <v>Danish Government</v>
          </cell>
        </row>
        <row r="808">
          <cell r="A808" t="str">
            <v>DLA</v>
          </cell>
          <cell r="B808" t="str">
            <v>Dela</v>
          </cell>
        </row>
        <row r="809">
          <cell r="A809" t="str">
            <v>DLB</v>
          </cell>
          <cell r="B809" t="str">
            <v>Dolby Laboratories Inc</v>
          </cell>
        </row>
        <row r="810">
          <cell r="A810" t="str">
            <v>DLG</v>
          </cell>
          <cell r="B810" t="str">
            <v>Delta Lloyd Groep</v>
          </cell>
        </row>
        <row r="811">
          <cell r="A811" t="str">
            <v>DLH</v>
          </cell>
          <cell r="B811" t="str">
            <v>Delhaize Group SA</v>
          </cell>
        </row>
        <row r="812">
          <cell r="A812" t="str">
            <v>DLI</v>
          </cell>
          <cell r="B812" t="str">
            <v>Dutch Lion Coöperatief U.A.</v>
          </cell>
        </row>
        <row r="813">
          <cell r="A813" t="str">
            <v>DLK</v>
          </cell>
          <cell r="B813" t="str">
            <v>Deltek, Inc.</v>
          </cell>
        </row>
        <row r="814">
          <cell r="A814" t="str">
            <v>DLL</v>
          </cell>
          <cell r="B814" t="str">
            <v>Data Lateral Limited</v>
          </cell>
        </row>
        <row r="815">
          <cell r="A815" t="str">
            <v>DLR</v>
          </cell>
          <cell r="B815" t="str">
            <v>De La Rue plc</v>
          </cell>
        </row>
        <row r="816">
          <cell r="A816" t="str">
            <v>DLT</v>
          </cell>
          <cell r="B816" t="str">
            <v>Deloitte Touche Tohmatsu</v>
          </cell>
        </row>
        <row r="817">
          <cell r="A817" t="str">
            <v>DMC</v>
          </cell>
          <cell r="B817" t="str">
            <v>Archer Daniels Midland Company</v>
          </cell>
        </row>
        <row r="818">
          <cell r="A818" t="str">
            <v>DMD</v>
          </cell>
          <cell r="B818" t="str">
            <v>Demand Solutions</v>
          </cell>
        </row>
        <row r="819">
          <cell r="A819" t="str">
            <v>DMG</v>
          </cell>
          <cell r="B819" t="str">
            <v>Deilmann-Montan Group</v>
          </cell>
        </row>
        <row r="820">
          <cell r="A820" t="str">
            <v>DMN</v>
          </cell>
          <cell r="B820" t="str">
            <v>Damen Shipyards Group</v>
          </cell>
        </row>
        <row r="821">
          <cell r="A821" t="str">
            <v>DMS</v>
          </cell>
          <cell r="B821" t="str">
            <v>DMG Mori Seiki AG</v>
          </cell>
        </row>
        <row r="822">
          <cell r="A822" t="str">
            <v>DMT</v>
          </cell>
          <cell r="B822" t="str">
            <v>Domtar Corporation</v>
          </cell>
        </row>
        <row r="823">
          <cell r="A823" t="str">
            <v>DMU</v>
          </cell>
          <cell r="B823" t="str">
            <v>De Montfort University</v>
          </cell>
        </row>
        <row r="824">
          <cell r="A824" t="str">
            <v>DNB</v>
          </cell>
          <cell r="B824" t="str">
            <v>De Nederlandsche Bank</v>
          </cell>
        </row>
        <row r="825">
          <cell r="A825" t="str">
            <v>DNL</v>
          </cell>
          <cell r="B825" t="str">
            <v>Danier Leather Inc.</v>
          </cell>
        </row>
        <row r="826">
          <cell r="A826" t="str">
            <v>DNP</v>
          </cell>
          <cell r="B826" t="str">
            <v>Dai Nippon Printing Co Ltd</v>
          </cell>
        </row>
        <row r="827">
          <cell r="A827" t="str">
            <v>DNV</v>
          </cell>
          <cell r="B827" t="str">
            <v>Det Norske Veritas</v>
          </cell>
        </row>
        <row r="828">
          <cell r="A828" t="str">
            <v>DOC</v>
          </cell>
          <cell r="B828" t="str">
            <v>NTT DoCoMo, Inc</v>
          </cell>
        </row>
        <row r="829">
          <cell r="A829" t="str">
            <v>DOE</v>
          </cell>
          <cell r="B829" t="str">
            <v>Dong Energy</v>
          </cell>
        </row>
        <row r="830">
          <cell r="A830" t="str">
            <v>DOG</v>
          </cell>
          <cell r="B830" t="str">
            <v>Dokumentation ohne Grenzen GmbH</v>
          </cell>
        </row>
        <row r="831">
          <cell r="A831" t="str">
            <v>DOH</v>
          </cell>
          <cell r="B831" t="str">
            <v>Dometic WAECO International GmbH</v>
          </cell>
        </row>
        <row r="832">
          <cell r="A832" t="str">
            <v>DOM</v>
          </cell>
          <cell r="B832" t="str">
            <v>Dotz Marketing S/a.</v>
          </cell>
        </row>
        <row r="833">
          <cell r="A833" t="str">
            <v>DON</v>
          </cell>
          <cell r="B833" t="str">
            <v>Done Solutions Oyj</v>
          </cell>
        </row>
        <row r="834">
          <cell r="A834" t="str">
            <v>DOR</v>
          </cell>
          <cell r="B834" t="str">
            <v>dotOrange</v>
          </cell>
        </row>
        <row r="835">
          <cell r="A835" t="str">
            <v>DOV</v>
          </cell>
          <cell r="B835" t="str">
            <v>DoveBid Inc.</v>
          </cell>
        </row>
        <row r="836">
          <cell r="A836" t="str">
            <v>DPA</v>
          </cell>
          <cell r="B836" t="str">
            <v>DePauli AG</v>
          </cell>
        </row>
        <row r="837">
          <cell r="A837" t="str">
            <v>DPL</v>
          </cell>
          <cell r="B837" t="str">
            <v>Deploy Solutions, Inc.</v>
          </cell>
        </row>
        <row r="838">
          <cell r="A838" t="str">
            <v>DPS</v>
          </cell>
          <cell r="B838" t="str">
            <v>Deutsche Post Selekt Mail Nederland C V</v>
          </cell>
        </row>
        <row r="839">
          <cell r="A839" t="str">
            <v>DRA</v>
          </cell>
          <cell r="B839" t="str">
            <v>Drägerwerk AG &amp; Co. KGaA</v>
          </cell>
        </row>
        <row r="840">
          <cell r="A840" t="str">
            <v>DRC</v>
          </cell>
          <cell r="B840" t="str">
            <v>Data Recognition Corporation</v>
          </cell>
        </row>
        <row r="841">
          <cell r="A841" t="str">
            <v>DRJ</v>
          </cell>
          <cell r="B841" t="str">
            <v>Dr. Jays, Inc.</v>
          </cell>
        </row>
        <row r="842">
          <cell r="A842" t="str">
            <v>DRL</v>
          </cell>
          <cell r="B842" t="str">
            <v>AO PLC</v>
          </cell>
        </row>
        <row r="843">
          <cell r="A843" t="str">
            <v>DRS</v>
          </cell>
          <cell r="B843" t="str">
            <v>Direct Services Miami, Inc.</v>
          </cell>
        </row>
        <row r="844">
          <cell r="A844" t="str">
            <v>DRT</v>
          </cell>
          <cell r="B844" t="str">
            <v>Darty Plc</v>
          </cell>
        </row>
        <row r="845">
          <cell r="A845" t="str">
            <v>DSC</v>
          </cell>
          <cell r="B845" t="str">
            <v>Royal DSM N.V.</v>
          </cell>
        </row>
        <row r="846">
          <cell r="A846" t="str">
            <v>DSI</v>
          </cell>
          <cell r="B846" t="str">
            <v>DSSI, LLC</v>
          </cell>
        </row>
        <row r="847">
          <cell r="A847" t="str">
            <v>DSM</v>
          </cell>
          <cell r="B847" t="str">
            <v>Docstream AS</v>
          </cell>
        </row>
        <row r="848">
          <cell r="A848" t="str">
            <v>DSO</v>
          </cell>
          <cell r="B848" t="str">
            <v>Denso Corporation</v>
          </cell>
        </row>
        <row r="849">
          <cell r="A849" t="str">
            <v>DSP</v>
          </cell>
          <cell r="B849" t="str">
            <v>dSPACE GmbH</v>
          </cell>
        </row>
        <row r="850">
          <cell r="A850" t="str">
            <v>DSS</v>
          </cell>
          <cell r="B850" t="str">
            <v>Dessau Inc</v>
          </cell>
        </row>
        <row r="851">
          <cell r="A851" t="str">
            <v>DST</v>
          </cell>
          <cell r="B851" t="str">
            <v>DST Media Technology Co., Ltd</v>
          </cell>
        </row>
        <row r="852">
          <cell r="A852" t="str">
            <v>DSU</v>
          </cell>
          <cell r="B852" t="str">
            <v>Dentsu Inc</v>
          </cell>
        </row>
        <row r="853">
          <cell r="A853" t="str">
            <v>DTA</v>
          </cell>
          <cell r="B853" t="str">
            <v xml:space="preserve">Detica Group plc </v>
          </cell>
        </row>
        <row r="854">
          <cell r="A854" t="str">
            <v>DTB</v>
          </cell>
          <cell r="B854" t="str">
            <v>DATA BECKER Corporation</v>
          </cell>
        </row>
        <row r="855">
          <cell r="A855" t="str">
            <v>DTC</v>
          </cell>
          <cell r="B855" t="str">
            <v>Deutsche Telekom AG</v>
          </cell>
        </row>
        <row r="856">
          <cell r="A856" t="str">
            <v>DTT</v>
          </cell>
          <cell r="B856" t="str">
            <v>The Depository Trust &amp; Clearing Corporation</v>
          </cell>
        </row>
        <row r="857">
          <cell r="A857" t="str">
            <v>DTV</v>
          </cell>
          <cell r="B857" t="str">
            <v>The DIRECTV Group, Inc.</v>
          </cell>
        </row>
        <row r="858">
          <cell r="A858" t="str">
            <v>DUA</v>
          </cell>
          <cell r="B858" t="str">
            <v>Dienst Uitvoering Onderwijs</v>
          </cell>
        </row>
        <row r="859">
          <cell r="A859" t="str">
            <v>DUK</v>
          </cell>
          <cell r="B859" t="str">
            <v>Duke University</v>
          </cell>
        </row>
        <row r="860">
          <cell r="A860" t="str">
            <v>DUM</v>
          </cell>
          <cell r="B860" t="str">
            <v>Daum Communications Corp</v>
          </cell>
        </row>
        <row r="861">
          <cell r="A861" t="str">
            <v>DUN</v>
          </cell>
          <cell r="B861" t="str">
            <v>Dunnes Stores</v>
          </cell>
        </row>
        <row r="862">
          <cell r="A862" t="str">
            <v>DUO</v>
          </cell>
          <cell r="B862" t="str">
            <v>Duo Communication Design, Inc</v>
          </cell>
        </row>
        <row r="863">
          <cell r="A863" t="str">
            <v>DUP</v>
          </cell>
          <cell r="B863" t="str">
            <v>E.I. du Pont Canada Company</v>
          </cell>
        </row>
        <row r="864">
          <cell r="A864" t="str">
            <v>DVI</v>
          </cell>
          <cell r="B864" t="str">
            <v>Dataviz Inc.</v>
          </cell>
        </row>
        <row r="865">
          <cell r="A865" t="str">
            <v>DVM</v>
          </cell>
          <cell r="B865" t="str">
            <v>DeviceVM Inc</v>
          </cell>
        </row>
        <row r="866">
          <cell r="A866" t="str">
            <v>DVX</v>
          </cell>
          <cell r="B866" t="str">
            <v>DivXNetworks Inc</v>
          </cell>
        </row>
        <row r="867">
          <cell r="A867" t="str">
            <v>DYN</v>
          </cell>
          <cell r="B867" t="str">
            <v>Dynatrace</v>
          </cell>
        </row>
        <row r="868">
          <cell r="A868" t="str">
            <v>DYS</v>
          </cell>
          <cell r="B868" t="str">
            <v>Walt Disney Company (The)</v>
          </cell>
        </row>
        <row r="869">
          <cell r="A869" t="str">
            <v>DYX</v>
          </cell>
          <cell r="B869" t="str">
            <v>Dyax Corporation</v>
          </cell>
        </row>
        <row r="870">
          <cell r="A870" t="str">
            <v>EAA</v>
          </cell>
          <cell r="B870" t="str">
            <v>eDOC Aviation AG</v>
          </cell>
        </row>
        <row r="871">
          <cell r="A871" t="str">
            <v>EAD</v>
          </cell>
          <cell r="B871" t="str">
            <v>EADS N.V.</v>
          </cell>
        </row>
        <row r="872">
          <cell r="A872" t="str">
            <v>EAE</v>
          </cell>
          <cell r="B872" t="str">
            <v>EAE group Germany</v>
          </cell>
        </row>
        <row r="873">
          <cell r="A873" t="str">
            <v>EAG</v>
          </cell>
          <cell r="B873" t="str">
            <v>Eagle International Institute Inc</v>
          </cell>
        </row>
        <row r="874">
          <cell r="A874" t="str">
            <v>EAH</v>
          </cell>
          <cell r="B874" t="str">
            <v>Eaton Corporation</v>
          </cell>
        </row>
        <row r="875">
          <cell r="A875" t="str">
            <v>EAL</v>
          </cell>
          <cell r="B875" t="str">
            <v>Education Australia Limited</v>
          </cell>
        </row>
        <row r="876">
          <cell r="A876" t="str">
            <v>EAT</v>
          </cell>
          <cell r="B876" t="str">
            <v>Electronic Arts Inc</v>
          </cell>
        </row>
        <row r="877">
          <cell r="A877" t="str">
            <v>EBA</v>
          </cell>
          <cell r="B877" t="str">
            <v>eBags Inc</v>
          </cell>
        </row>
        <row r="878">
          <cell r="A878" t="str">
            <v>EBI</v>
          </cell>
          <cell r="B878" t="str">
            <v>Encyclopaedia Britannica Inc</v>
          </cell>
        </row>
        <row r="879">
          <cell r="A879" t="str">
            <v>EBR</v>
          </cell>
          <cell r="B879" t="str">
            <v>Ebrand Worldwide</v>
          </cell>
        </row>
        <row r="880">
          <cell r="A880" t="str">
            <v>EBS</v>
          </cell>
          <cell r="B880" t="str">
            <v>Ebsco Industries Inc</v>
          </cell>
        </row>
        <row r="881">
          <cell r="A881" t="str">
            <v>EBU</v>
          </cell>
          <cell r="B881" t="str">
            <v>European Broadcasting Union</v>
          </cell>
        </row>
        <row r="882">
          <cell r="A882" t="str">
            <v>EBY</v>
          </cell>
          <cell r="B882" t="str">
            <v>eBay Inc</v>
          </cell>
        </row>
        <row r="883">
          <cell r="A883" t="str">
            <v>EC1</v>
          </cell>
          <cell r="B883" t="str">
            <v>Electronics Industry Citizenship Coalition</v>
          </cell>
        </row>
        <row r="884">
          <cell r="A884" t="str">
            <v>ECA</v>
          </cell>
          <cell r="B884" t="str">
            <v>eCargo Enterprise Limited</v>
          </cell>
        </row>
        <row r="885">
          <cell r="A885" t="str">
            <v>ECC</v>
          </cell>
          <cell r="B885" t="str">
            <v>EchoStar Corporation</v>
          </cell>
        </row>
        <row r="886">
          <cell r="A886" t="str">
            <v>ECG</v>
          </cell>
          <cell r="B886" t="str">
            <v>eCOGRA</v>
          </cell>
        </row>
        <row r="887">
          <cell r="A887" t="str">
            <v>ECH</v>
          </cell>
          <cell r="B887" t="str">
            <v>EC Harris</v>
          </cell>
        </row>
        <row r="888">
          <cell r="A888" t="str">
            <v>ECI</v>
          </cell>
          <cell r="B888" t="str">
            <v>E.C.I. Voor Boeken &amp; Platen B.V.</v>
          </cell>
        </row>
        <row r="889">
          <cell r="A889" t="str">
            <v>ECL</v>
          </cell>
          <cell r="B889" t="str">
            <v>ACTIVE EVANS INVESTMENT LP</v>
          </cell>
        </row>
        <row r="890">
          <cell r="A890" t="str">
            <v>ECN</v>
          </cell>
          <cell r="B890" t="str">
            <v>EuroControl</v>
          </cell>
        </row>
        <row r="891">
          <cell r="A891" t="str">
            <v>ECO</v>
          </cell>
          <cell r="B891" t="str">
            <v>eCollege</v>
          </cell>
        </row>
        <row r="892">
          <cell r="A892" t="str">
            <v>ECT</v>
          </cell>
          <cell r="B892" t="str">
            <v>Exact Holding N.V.</v>
          </cell>
        </row>
        <row r="893">
          <cell r="A893" t="str">
            <v>ED0</v>
          </cell>
          <cell r="B893" t="str">
            <v>EDirect Group</v>
          </cell>
        </row>
        <row r="894">
          <cell r="A894" t="str">
            <v>EDG</v>
          </cell>
          <cell r="B894" t="str">
            <v>Elastic Digital</v>
          </cell>
        </row>
        <row r="895">
          <cell r="A895" t="str">
            <v>EDI</v>
          </cell>
          <cell r="B895" t="str">
            <v>Madrigall</v>
          </cell>
        </row>
        <row r="896">
          <cell r="A896" t="str">
            <v>EDJ</v>
          </cell>
          <cell r="B896" t="str">
            <v>The Jones Financial Companies, L.L.L.P.</v>
          </cell>
        </row>
        <row r="897">
          <cell r="A897" t="str">
            <v>EDL</v>
          </cell>
          <cell r="B897" t="str">
            <v>Edwards Lifesciences</v>
          </cell>
        </row>
        <row r="898">
          <cell r="A898" t="str">
            <v>EDN</v>
          </cell>
          <cell r="B898" t="str">
            <v>Edan Instruments, Inc.</v>
          </cell>
        </row>
        <row r="899">
          <cell r="A899" t="str">
            <v>EDO</v>
          </cell>
          <cell r="B899" t="str">
            <v>Eisenrieth Dokumentations GmbH</v>
          </cell>
        </row>
        <row r="900">
          <cell r="A900" t="str">
            <v>EDP</v>
          </cell>
          <cell r="B900" t="str">
            <v>EDITA PRIMA OY</v>
          </cell>
        </row>
        <row r="901">
          <cell r="A901" t="str">
            <v>EDS</v>
          </cell>
          <cell r="B901" t="str">
            <v>Electronic Data Systems Corporation</v>
          </cell>
        </row>
        <row r="902">
          <cell r="A902" t="str">
            <v>EDU</v>
          </cell>
          <cell r="B902" t="str">
            <v>EduCap Inc.</v>
          </cell>
        </row>
        <row r="903">
          <cell r="A903" t="str">
            <v>EDW</v>
          </cell>
          <cell r="B903" t="str">
            <v>everydayWINE Co. Ltd</v>
          </cell>
        </row>
        <row r="904">
          <cell r="A904" t="str">
            <v>EEA</v>
          </cell>
          <cell r="B904" t="str">
            <v>Extron Electronics</v>
          </cell>
        </row>
        <row r="905">
          <cell r="A905" t="str">
            <v>EEB</v>
          </cell>
          <cell r="B905" t="str">
            <v>Embraer-Empresa Brasileira de Aeronáutica S.A.</v>
          </cell>
        </row>
        <row r="906">
          <cell r="A906" t="str">
            <v>EEC</v>
          </cell>
          <cell r="B906" t="str">
            <v>Emerson Electric Co</v>
          </cell>
        </row>
        <row r="907">
          <cell r="A907" t="str">
            <v>EEE</v>
          </cell>
          <cell r="B907" t="str">
            <v>888 Holding plc</v>
          </cell>
        </row>
        <row r="908">
          <cell r="A908" t="str">
            <v>EES</v>
          </cell>
          <cell r="B908" t="str">
            <v>Energy Enterprise Solutions Llc</v>
          </cell>
        </row>
        <row r="909">
          <cell r="A909" t="str">
            <v>EFC</v>
          </cell>
          <cell r="B909" t="str">
            <v>E*Trade Financial Corporation</v>
          </cell>
        </row>
        <row r="910">
          <cell r="A910" t="str">
            <v>EFF</v>
          </cell>
          <cell r="B910" t="str">
            <v>Effectory B.V.</v>
          </cell>
        </row>
        <row r="911">
          <cell r="A911" t="str">
            <v>EFI</v>
          </cell>
          <cell r="B911" t="str">
            <v>e frontier inc</v>
          </cell>
        </row>
        <row r="912">
          <cell r="A912" t="str">
            <v>EGG</v>
          </cell>
          <cell r="B912" t="str">
            <v>ESG Group</v>
          </cell>
        </row>
        <row r="913">
          <cell r="A913" t="str">
            <v>EHB</v>
          </cell>
          <cell r="B913" t="str">
            <v>E.H. Booth &amp; Co. Ltd.</v>
          </cell>
        </row>
        <row r="914">
          <cell r="A914" t="str">
            <v>EHM</v>
          </cell>
          <cell r="B914" t="str">
            <v>Eastern Harbor Media LLC</v>
          </cell>
        </row>
        <row r="915">
          <cell r="A915" t="str">
            <v>EHR</v>
          </cell>
          <cell r="B915" t="str">
            <v>Expo Hoteles &amp; Resorts S.L.</v>
          </cell>
        </row>
        <row r="916">
          <cell r="A916" t="str">
            <v>EIC</v>
          </cell>
          <cell r="B916" t="str">
            <v>Eicom ApS</v>
          </cell>
        </row>
        <row r="917">
          <cell r="A917" t="str">
            <v>EIF</v>
          </cell>
          <cell r="B917" t="str">
            <v>Eiffage SA</v>
          </cell>
        </row>
        <row r="918">
          <cell r="A918" t="str">
            <v>EIG</v>
          </cell>
          <cell r="B918" t="str">
            <v>Ecclesiastical Insurance Group</v>
          </cell>
        </row>
        <row r="919">
          <cell r="A919" t="str">
            <v>EIR</v>
          </cell>
          <cell r="B919" t="str">
            <v>Eircom Group Ltd</v>
          </cell>
        </row>
        <row r="920">
          <cell r="A920" t="str">
            <v>E-L</v>
          </cell>
          <cell r="B920" t="str">
            <v>John Wiley &amp; Sons, Inc</v>
          </cell>
        </row>
        <row r="921">
          <cell r="A921" t="str">
            <v>ELA</v>
          </cell>
          <cell r="B921" t="str">
            <v>Elan Corporation plc</v>
          </cell>
        </row>
        <row r="922">
          <cell r="A922" t="str">
            <v>ELC</v>
          </cell>
          <cell r="B922" t="str">
            <v>Electrocomponents plc</v>
          </cell>
        </row>
        <row r="923">
          <cell r="A923" t="str">
            <v>ELD</v>
          </cell>
          <cell r="B923" t="str">
            <v>Eldon Holding Aktiebolag</v>
          </cell>
        </row>
        <row r="924">
          <cell r="A924" t="str">
            <v>ELE</v>
          </cell>
          <cell r="B924" t="str">
            <v>Elekta AB</v>
          </cell>
        </row>
        <row r="925">
          <cell r="A925" t="str">
            <v>ELI</v>
          </cell>
          <cell r="B925" t="str">
            <v>Electronics for Imaging, Inc.</v>
          </cell>
        </row>
        <row r="926">
          <cell r="A926" t="str">
            <v>ELK</v>
          </cell>
          <cell r="B926" t="str">
            <v>Element K LLC</v>
          </cell>
        </row>
        <row r="927">
          <cell r="A927" t="str">
            <v>ELN</v>
          </cell>
          <cell r="B927" t="str">
            <v>Elanders Anymedia News Ab</v>
          </cell>
        </row>
        <row r="928">
          <cell r="A928" t="str">
            <v>ELR</v>
          </cell>
          <cell r="B928" t="str">
            <v>Elring Klinger AG</v>
          </cell>
        </row>
        <row r="929">
          <cell r="A929" t="str">
            <v>ELT</v>
          </cell>
          <cell r="B929" t="str">
            <v>Electude B.V.</v>
          </cell>
        </row>
        <row r="930">
          <cell r="A930" t="str">
            <v>ELU</v>
          </cell>
          <cell r="B930" t="str">
            <v>Elluminate</v>
          </cell>
        </row>
        <row r="931">
          <cell r="A931" t="str">
            <v>ELX</v>
          </cell>
          <cell r="B931" t="str">
            <v>AB Electrolux</v>
          </cell>
        </row>
        <row r="932">
          <cell r="A932" t="str">
            <v>EMA</v>
          </cell>
          <cell r="B932" t="str">
            <v>Top Right Group Limited</v>
          </cell>
        </row>
        <row r="933">
          <cell r="A933" t="str">
            <v>EMB</v>
          </cell>
          <cell r="B933" t="str">
            <v>Emakina Group S.A.</v>
          </cell>
        </row>
        <row r="934">
          <cell r="A934" t="str">
            <v>EMC</v>
          </cell>
          <cell r="B934" t="str">
            <v>EMC Corporation</v>
          </cell>
        </row>
        <row r="935">
          <cell r="A935" t="str">
            <v>EMD</v>
          </cell>
          <cell r="B935" t="str">
            <v>eMind AS</v>
          </cell>
        </row>
        <row r="936">
          <cell r="A936" t="str">
            <v>EME</v>
          </cell>
          <cell r="B936" t="str">
            <v>EMP Merchandising GmbH</v>
          </cell>
        </row>
        <row r="937">
          <cell r="A937" t="str">
            <v>EMG</v>
          </cell>
          <cell r="B937" t="str">
            <v>EMAG Holding GmbH</v>
          </cell>
        </row>
        <row r="938">
          <cell r="A938" t="str">
            <v>EMI</v>
          </cell>
          <cell r="B938" t="str">
            <v>The Emirates Group</v>
          </cell>
        </row>
        <row r="939">
          <cell r="A939" t="str">
            <v>EMM</v>
          </cell>
          <cell r="B939" t="str">
            <v>EMPIRICS MARKETING PTY LTD</v>
          </cell>
        </row>
        <row r="940">
          <cell r="A940" t="str">
            <v>EMP</v>
          </cell>
          <cell r="B940" t="str">
            <v>Emaar Properties PJSC</v>
          </cell>
        </row>
        <row r="941">
          <cell r="A941" t="str">
            <v>ENB</v>
          </cell>
          <cell r="B941" t="str">
            <v>Enbridge Inc.</v>
          </cell>
        </row>
        <row r="942">
          <cell r="A942" t="str">
            <v>END</v>
          </cell>
          <cell r="B942" t="str">
            <v>Eniro Danmark A/S</v>
          </cell>
        </row>
        <row r="943">
          <cell r="A943" t="str">
            <v>ENI</v>
          </cell>
          <cell r="B943" t="str">
            <v>Enterprise Ireland</v>
          </cell>
        </row>
        <row r="944">
          <cell r="A944" t="str">
            <v>ENL</v>
          </cell>
          <cell r="B944" t="str">
            <v>Enlighten</v>
          </cell>
        </row>
        <row r="945">
          <cell r="A945" t="str">
            <v>ENP</v>
          </cell>
          <cell r="B945" t="str">
            <v>Enterprise Rent-A-Car Company</v>
          </cell>
        </row>
        <row r="946">
          <cell r="A946" t="str">
            <v>ENR</v>
          </cell>
          <cell r="B946" t="str">
            <v>ENERCON GmbH</v>
          </cell>
        </row>
        <row r="947">
          <cell r="A947" t="str">
            <v>ENS</v>
          </cell>
          <cell r="B947" t="str">
            <v>Enspire Learning, Inc</v>
          </cell>
        </row>
        <row r="948">
          <cell r="A948" t="str">
            <v>ENT</v>
          </cell>
          <cell r="B948" t="str">
            <v>Entrust Inc</v>
          </cell>
        </row>
        <row r="949">
          <cell r="A949" t="str">
            <v>ENU</v>
          </cell>
          <cell r="B949" t="str">
            <v>ENUCUZ PAZARLAMA TURIZM REKLAM VE TELEKOMUNIKASYON TICARET A S</v>
          </cell>
        </row>
        <row r="950">
          <cell r="A950" t="str">
            <v>ENV</v>
          </cell>
          <cell r="B950" t="str">
            <v>Envision Applied Systems Ltd.</v>
          </cell>
        </row>
        <row r="951">
          <cell r="A951" t="str">
            <v>EPA</v>
          </cell>
          <cell r="B951" t="str">
            <v>European Patent Office</v>
          </cell>
        </row>
        <row r="952">
          <cell r="A952" t="str">
            <v>EPF</v>
          </cell>
          <cell r="B952" t="str">
            <v>European Parliament_France</v>
          </cell>
        </row>
        <row r="953">
          <cell r="A953" t="str">
            <v>EPI</v>
          </cell>
          <cell r="B953" t="str">
            <v>Eagle Topco LP</v>
          </cell>
        </row>
        <row r="954">
          <cell r="A954" t="str">
            <v>EPM</v>
          </cell>
          <cell r="B954" t="str">
            <v>EPAM Systems, Inc</v>
          </cell>
        </row>
        <row r="955">
          <cell r="A955" t="str">
            <v>EPO</v>
          </cell>
          <cell r="B955" t="str">
            <v>Epocal, Inc.</v>
          </cell>
        </row>
        <row r="956">
          <cell r="A956" t="str">
            <v>EPP</v>
          </cell>
          <cell r="B956" t="str">
            <v>Eppendorf AG</v>
          </cell>
        </row>
        <row r="957">
          <cell r="A957" t="str">
            <v>EPR</v>
          </cell>
          <cell r="B957" t="str">
            <v>ePredix Inc</v>
          </cell>
        </row>
        <row r="958">
          <cell r="A958" t="str">
            <v>EPS</v>
          </cell>
          <cell r="B958" t="str">
            <v>e-pro solutions GmbH</v>
          </cell>
        </row>
        <row r="959">
          <cell r="A959" t="str">
            <v>EPT</v>
          </cell>
          <cell r="B959" t="str">
            <v>Esprinet SpA</v>
          </cell>
        </row>
        <row r="960">
          <cell r="A960" t="str">
            <v>EPV</v>
          </cell>
          <cell r="B960" t="str">
            <v>Espace pour la Vie</v>
          </cell>
        </row>
        <row r="961">
          <cell r="A961" t="str">
            <v>EQN</v>
          </cell>
          <cell r="B961" t="str">
            <v>Equens NV</v>
          </cell>
        </row>
        <row r="962">
          <cell r="A962" t="str">
            <v>EQU</v>
          </cell>
          <cell r="B962" t="str">
            <v>Equator (Scotland) Ltd</v>
          </cell>
        </row>
        <row r="963">
          <cell r="A963" t="str">
            <v>ERA</v>
          </cell>
          <cell r="B963" t="str">
            <v>Erasmus University Rotterdam</v>
          </cell>
        </row>
        <row r="964">
          <cell r="A964" t="str">
            <v>ERC</v>
          </cell>
          <cell r="B964" t="str">
            <v>Euroclear</v>
          </cell>
        </row>
        <row r="965">
          <cell r="A965" t="str">
            <v>ERI</v>
          </cell>
          <cell r="B965" t="str">
            <v>Telefonaktiebolaget LM Ericsson</v>
          </cell>
        </row>
        <row r="966">
          <cell r="A966" t="str">
            <v>ERK</v>
          </cell>
          <cell r="B966" t="str">
            <v>ERIKS N.V</v>
          </cell>
        </row>
        <row r="967">
          <cell r="A967" t="str">
            <v>ERL</v>
          </cell>
          <cell r="B967" t="str">
            <v>Eurail.Com B.V.</v>
          </cell>
        </row>
        <row r="968">
          <cell r="A968" t="str">
            <v>ERM</v>
          </cell>
          <cell r="B968" t="str">
            <v>ERM POWER LIMITED</v>
          </cell>
        </row>
        <row r="969">
          <cell r="A969" t="str">
            <v>ERN</v>
          </cell>
          <cell r="B969" t="str">
            <v>Earnest (London) LTD</v>
          </cell>
        </row>
        <row r="970">
          <cell r="A970" t="str">
            <v>ERS</v>
          </cell>
          <cell r="B970" t="str">
            <v>Erste Group Bank AG</v>
          </cell>
        </row>
        <row r="971">
          <cell r="A971" t="str">
            <v>ERY</v>
          </cell>
          <cell r="B971" t="str">
            <v>Ernst &amp; Young Global Limited</v>
          </cell>
        </row>
        <row r="972">
          <cell r="A972" t="str">
            <v>ESB</v>
          </cell>
          <cell r="B972" t="str">
            <v>ESAB, Inc.</v>
          </cell>
        </row>
        <row r="973">
          <cell r="A973" t="str">
            <v>ESD</v>
          </cell>
          <cell r="B973" t="str">
            <v>Esdégé - Rijgersdaal</v>
          </cell>
        </row>
        <row r="974">
          <cell r="A974" t="str">
            <v>ESE</v>
          </cell>
          <cell r="B974" t="str">
            <v>Elbit Systems Ltd.</v>
          </cell>
        </row>
        <row r="975">
          <cell r="A975" t="str">
            <v>ESG</v>
          </cell>
          <cell r="B975" t="str">
            <v>Espresso GmbH</v>
          </cell>
        </row>
        <row r="976">
          <cell r="A976" t="str">
            <v>ESI</v>
          </cell>
          <cell r="B976" t="str">
            <v>Extended Systems Inc</v>
          </cell>
        </row>
        <row r="977">
          <cell r="A977" t="str">
            <v>ESK</v>
          </cell>
          <cell r="B977" t="str">
            <v>Esko-Graphics</v>
          </cell>
        </row>
        <row r="978">
          <cell r="A978" t="str">
            <v>ESM</v>
          </cell>
          <cell r="B978" t="str">
            <v>Ensim Corporation</v>
          </cell>
        </row>
        <row r="979">
          <cell r="A979" t="str">
            <v>ESP</v>
          </cell>
          <cell r="B979" t="str">
            <v>Espial Group Inc.</v>
          </cell>
        </row>
        <row r="980">
          <cell r="A980" t="str">
            <v>ESR</v>
          </cell>
          <cell r="B980" t="str">
            <v>Environmental Systems Research Institute, Inc.</v>
          </cell>
        </row>
        <row r="981">
          <cell r="A981" t="str">
            <v>ESS</v>
          </cell>
          <cell r="B981" t="str">
            <v>Essent NV</v>
          </cell>
        </row>
        <row r="982">
          <cell r="A982" t="str">
            <v>EST</v>
          </cell>
          <cell r="B982" t="str">
            <v>The Estee Lauder Companies, Inc.</v>
          </cell>
        </row>
        <row r="983">
          <cell r="A983" t="str">
            <v>ETA</v>
          </cell>
          <cell r="B983" t="str">
            <v>Etisalat</v>
          </cell>
        </row>
        <row r="984">
          <cell r="A984" t="str">
            <v>ETB</v>
          </cell>
          <cell r="B984" t="str">
            <v>MakeMyTrip Limited</v>
          </cell>
        </row>
        <row r="985">
          <cell r="A985" t="str">
            <v>ETH</v>
          </cell>
          <cell r="B985" t="str">
            <v>Ethics Point, Inc</v>
          </cell>
        </row>
        <row r="986">
          <cell r="A986" t="str">
            <v>ETI</v>
          </cell>
          <cell r="B986" t="str">
            <v xml:space="preserve">Etihad Airways P.J.S.C. </v>
          </cell>
        </row>
        <row r="987">
          <cell r="A987" t="str">
            <v>ETL</v>
          </cell>
          <cell r="B987" t="str">
            <v>Eyretel plc</v>
          </cell>
        </row>
        <row r="988">
          <cell r="A988" t="str">
            <v>ETM</v>
          </cell>
          <cell r="B988" t="str">
            <v>Miss Etam BV</v>
          </cell>
        </row>
        <row r="989">
          <cell r="A989" t="str">
            <v>ETN</v>
          </cell>
          <cell r="B989" t="str">
            <v>ETNA Group b.v.</v>
          </cell>
        </row>
        <row r="990">
          <cell r="A990" t="str">
            <v>ETR</v>
          </cell>
          <cell r="B990" t="str">
            <v>Etrasoft n.v.</v>
          </cell>
        </row>
        <row r="991">
          <cell r="A991" t="str">
            <v>ETS</v>
          </cell>
          <cell r="B991" t="str">
            <v>EDUCATIONAL TESTING SERVICE</v>
          </cell>
        </row>
        <row r="992">
          <cell r="A992" t="str">
            <v>EUC</v>
          </cell>
          <cell r="B992" t="str">
            <v>European Commission</v>
          </cell>
        </row>
        <row r="993">
          <cell r="A993" t="str">
            <v>EUI</v>
          </cell>
          <cell r="B993" t="str">
            <v>Euroscript International SA</v>
          </cell>
        </row>
        <row r="994">
          <cell r="A994" t="str">
            <v>EUK</v>
          </cell>
          <cell r="B994" t="str">
            <v>Eureko B.V.</v>
          </cell>
        </row>
        <row r="995">
          <cell r="A995" t="str">
            <v>EUP</v>
          </cell>
          <cell r="B995" t="str">
            <v>European Parliament</v>
          </cell>
        </row>
        <row r="996">
          <cell r="A996" t="str">
            <v>EUR</v>
          </cell>
          <cell r="B996" t="str">
            <v>European Union</v>
          </cell>
        </row>
        <row r="997">
          <cell r="A997" t="str">
            <v>EUS</v>
          </cell>
          <cell r="B997" t="str">
            <v>EUS Holdings LTD</v>
          </cell>
        </row>
        <row r="998">
          <cell r="A998" t="str">
            <v>EUT</v>
          </cell>
          <cell r="B998" t="str">
            <v>Eurotext Translations Limited</v>
          </cell>
        </row>
        <row r="999">
          <cell r="A999" t="str">
            <v>EVA</v>
          </cell>
          <cell r="B999" t="str">
            <v>EV Group Gmbh</v>
          </cell>
        </row>
        <row r="1000">
          <cell r="A1000" t="str">
            <v>EVE</v>
          </cell>
          <cell r="B1000" t="str">
            <v>Everis Spain S L</v>
          </cell>
        </row>
        <row r="1001">
          <cell r="A1001" t="str">
            <v>EVG</v>
          </cell>
          <cell r="B1001" t="str">
            <v>Evergreen Group</v>
          </cell>
        </row>
        <row r="1002">
          <cell r="A1002" t="str">
            <v>EVL</v>
          </cell>
          <cell r="B1002" t="str">
            <v xml:space="preserve">ENVIROFONE LTD </v>
          </cell>
        </row>
        <row r="1003">
          <cell r="A1003" t="str">
            <v>EVN</v>
          </cell>
          <cell r="B1003" t="str">
            <v>Evanston Northwestern Healthcare Corp</v>
          </cell>
        </row>
        <row r="1004">
          <cell r="A1004" t="str">
            <v>EVO</v>
          </cell>
          <cell r="B1004" t="str">
            <v>Evolve24 LLC</v>
          </cell>
        </row>
        <row r="1005">
          <cell r="A1005" t="str">
            <v>EVT</v>
          </cell>
          <cell r="B1005" t="str">
            <v>Evant Incorporated</v>
          </cell>
        </row>
        <row r="1006">
          <cell r="A1006" t="str">
            <v>EXA</v>
          </cell>
          <cell r="B1006" t="str">
            <v>Exabyte Corporation</v>
          </cell>
        </row>
        <row r="1007">
          <cell r="A1007" t="str">
            <v>EXC</v>
          </cell>
          <cell r="B1007" t="str">
            <v>EXA Corporation</v>
          </cell>
        </row>
        <row r="1008">
          <cell r="A1008" t="str">
            <v>EXD</v>
          </cell>
          <cell r="B1008" t="str">
            <v>Expedia, Inc.</v>
          </cell>
        </row>
        <row r="1009">
          <cell r="A1009" t="str">
            <v>EXG</v>
          </cell>
          <cell r="B1009" t="str">
            <v>Extraprise Group Inc</v>
          </cell>
        </row>
        <row r="1010">
          <cell r="A1010" t="str">
            <v>EXI</v>
          </cell>
          <cell r="B1010" t="str">
            <v>ExitCare LLC</v>
          </cell>
        </row>
        <row r="1011">
          <cell r="A1011" t="str">
            <v>EXN</v>
          </cell>
          <cell r="B1011" t="str">
            <v>Experian</v>
          </cell>
        </row>
        <row r="1012">
          <cell r="A1012" t="str">
            <v>EXP</v>
          </cell>
          <cell r="B1012" t="str">
            <v>Experian plc.</v>
          </cell>
        </row>
        <row r="1013">
          <cell r="A1013" t="str">
            <v>EXQ</v>
          </cell>
          <cell r="B1013" t="str">
            <v>Exapaq</v>
          </cell>
        </row>
        <row r="1014">
          <cell r="A1014" t="str">
            <v>EXS</v>
          </cell>
          <cell r="B1014" t="str">
            <v>Expert Systems</v>
          </cell>
        </row>
        <row r="1015">
          <cell r="A1015" t="str">
            <v>EXX</v>
          </cell>
          <cell r="B1015" t="str">
            <v>Exxon Mobil Corporation</v>
          </cell>
        </row>
        <row r="1016">
          <cell r="A1016" t="str">
            <v>EYE</v>
          </cell>
          <cell r="B1016" t="str">
            <v>EYE-D Creative Limited</v>
          </cell>
        </row>
        <row r="1017">
          <cell r="A1017" t="str">
            <v>EZB</v>
          </cell>
          <cell r="B1017" t="str">
            <v>Enza Zaden Beheer B V</v>
          </cell>
        </row>
        <row r="1018">
          <cell r="A1018" t="str">
            <v>EZI</v>
          </cell>
          <cell r="B1018" t="str">
            <v>Ezibuy Limited</v>
          </cell>
        </row>
        <row r="1019">
          <cell r="A1019" t="str">
            <v>FAC</v>
          </cell>
          <cell r="B1019" t="str">
            <v>Facebook, Inc.</v>
          </cell>
        </row>
        <row r="1020">
          <cell r="A1020" t="str">
            <v>FAF</v>
          </cell>
          <cell r="B1020" t="str">
            <v>Financial Accounting Foundation, Inc.</v>
          </cell>
        </row>
        <row r="1021">
          <cell r="A1021" t="str">
            <v>FAI</v>
          </cell>
          <cell r="B1021" t="str">
            <v>Fair Isaac Corporation</v>
          </cell>
        </row>
        <row r="1022">
          <cell r="A1022" t="str">
            <v>FAL</v>
          </cell>
          <cell r="B1022" t="str">
            <v>Falk eSolutions AG</v>
          </cell>
        </row>
        <row r="1023">
          <cell r="A1023" t="str">
            <v>FAN</v>
          </cell>
          <cell r="B1023" t="str">
            <v>Fannie May Holdings Inc.</v>
          </cell>
        </row>
        <row r="1024">
          <cell r="A1024" t="str">
            <v>FAR</v>
          </cell>
          <cell r="B1024" t="str">
            <v>Fairpoint Communications, Inc</v>
          </cell>
        </row>
        <row r="1025">
          <cell r="A1025" t="str">
            <v>FAS</v>
          </cell>
          <cell r="B1025" t="str">
            <v>Fasthosts Internet Limited</v>
          </cell>
        </row>
        <row r="1026">
          <cell r="A1026" t="str">
            <v>FAT</v>
          </cell>
          <cell r="B1026" t="str">
            <v>FatWire Corporation</v>
          </cell>
        </row>
        <row r="1027">
          <cell r="A1027" t="str">
            <v>FAY</v>
          </cell>
          <cell r="B1027" t="str">
            <v>Factonomy Ltd</v>
          </cell>
        </row>
        <row r="1028">
          <cell r="A1028" t="str">
            <v>FCA</v>
          </cell>
          <cell r="B1028" t="str">
            <v>Chrysler Group LLC</v>
          </cell>
        </row>
        <row r="1029">
          <cell r="A1029" t="str">
            <v>FCD</v>
          </cell>
          <cell r="B1029" t="str">
            <v>Fédération des caisses Desjardins du Québec</v>
          </cell>
        </row>
        <row r="1030">
          <cell r="A1030" t="str">
            <v>FCM</v>
          </cell>
          <cell r="B1030" t="str">
            <v>Forex Capital Markets LLC</v>
          </cell>
        </row>
        <row r="1031">
          <cell r="A1031" t="str">
            <v>FCS</v>
          </cell>
          <cell r="B1031" t="str">
            <v>Fecron Consulting Services S.L.</v>
          </cell>
        </row>
        <row r="1032">
          <cell r="A1032" t="str">
            <v>FDC</v>
          </cell>
          <cell r="B1032" t="str">
            <v>Fukuda Denshi Co., Ltd.</v>
          </cell>
        </row>
        <row r="1033">
          <cell r="A1033" t="str">
            <v>FDE</v>
          </cell>
          <cell r="B1033" t="str">
            <v>First Derivatives plc</v>
          </cell>
        </row>
        <row r="1034">
          <cell r="A1034" t="str">
            <v>FDI</v>
          </cell>
          <cell r="B1034" t="str">
            <v>Naspers Limited</v>
          </cell>
        </row>
        <row r="1035">
          <cell r="A1035" t="str">
            <v>FDL</v>
          </cell>
          <cell r="B1035" t="str">
            <v xml:space="preserve">Firstright Developments Limited </v>
          </cell>
        </row>
        <row r="1036">
          <cell r="A1036" t="str">
            <v>FED</v>
          </cell>
          <cell r="B1036" t="str">
            <v>Fedex Corporation</v>
          </cell>
        </row>
        <row r="1037">
          <cell r="A1037" t="str">
            <v>FEL</v>
          </cell>
          <cell r="B1037" t="str">
            <v>Fellowes Inc</v>
          </cell>
        </row>
        <row r="1038">
          <cell r="A1038" t="str">
            <v>FEM</v>
          </cell>
          <cell r="B1038" t="str">
            <v>Ferm B.V.</v>
          </cell>
        </row>
        <row r="1039">
          <cell r="A1039" t="str">
            <v>FEN</v>
          </cell>
          <cell r="B1039" t="str">
            <v>Fenwal Inc</v>
          </cell>
        </row>
        <row r="1040">
          <cell r="A1040" t="str">
            <v>FEP</v>
          </cell>
          <cell r="B1040" t="str">
            <v>Fedict Et D'util Pub</v>
          </cell>
        </row>
        <row r="1041">
          <cell r="A1041" t="str">
            <v>FER</v>
          </cell>
          <cell r="B1041" t="str">
            <v>Fernbach Software AG</v>
          </cell>
        </row>
        <row r="1042">
          <cell r="A1042" t="str">
            <v>FES</v>
          </cell>
          <cell r="B1042" t="str">
            <v>Forrester Research Inc.</v>
          </cell>
        </row>
        <row r="1043">
          <cell r="A1043" t="str">
            <v>FFG</v>
          </cell>
          <cell r="B1043" t="str">
            <v>FFG Flensburger Fahrzeugbau GmbH</v>
          </cell>
        </row>
        <row r="1044">
          <cell r="A1044" t="str">
            <v>FFS</v>
          </cell>
          <cell r="B1044" t="str">
            <v>Family Assurance Friendly Society Ltd</v>
          </cell>
        </row>
        <row r="1045">
          <cell r="A1045" t="str">
            <v>FFT</v>
          </cell>
          <cell r="B1045" t="str">
            <v>Fitness First Plc</v>
          </cell>
        </row>
        <row r="1046">
          <cell r="A1046" t="str">
            <v>FFV</v>
          </cell>
          <cell r="B1046" t="str">
            <v>F5 Networks</v>
          </cell>
        </row>
        <row r="1047">
          <cell r="A1047" t="str">
            <v>FGB</v>
          </cell>
          <cell r="B1047" t="str">
            <v>First Gulf Bank</v>
          </cell>
        </row>
        <row r="1048">
          <cell r="A1048" t="str">
            <v>FGC</v>
          </cell>
          <cell r="B1048" t="str">
            <v>Fortuna Groupe Conseil</v>
          </cell>
        </row>
        <row r="1049">
          <cell r="A1049" t="str">
            <v>FHI</v>
          </cell>
          <cell r="B1049" t="str">
            <v>Fuji Heavy Industries Ltd.</v>
          </cell>
        </row>
        <row r="1050">
          <cell r="A1050" t="str">
            <v>FHO</v>
          </cell>
          <cell r="B1050" t="str">
            <v>F Hoffman - La Roche Ltd</v>
          </cell>
        </row>
        <row r="1051">
          <cell r="A1051" t="str">
            <v>FIA</v>
          </cell>
          <cell r="B1051" t="str">
            <v>FIAF Air Materiel Command</v>
          </cell>
        </row>
        <row r="1052">
          <cell r="A1052" t="str">
            <v>FIC</v>
          </cell>
          <cell r="B1052" t="str">
            <v>Fintecs Corporation</v>
          </cell>
        </row>
        <row r="1053">
          <cell r="A1053" t="str">
            <v>FID</v>
          </cell>
          <cell r="B1053" t="str">
            <v>Fidelity National Information Services, Inc</v>
          </cell>
        </row>
        <row r="1054">
          <cell r="A1054" t="str">
            <v>FIE</v>
          </cell>
          <cell r="B1054" t="str">
            <v>Fisher Investments, Inc.</v>
          </cell>
        </row>
        <row r="1055">
          <cell r="A1055" t="str">
            <v>FIL</v>
          </cell>
          <cell r="B1055" t="str">
            <v>FileNet Corporation</v>
          </cell>
        </row>
        <row r="1056">
          <cell r="A1056" t="str">
            <v>FIM</v>
          </cell>
          <cell r="B1056" t="str">
            <v>Fimalac</v>
          </cell>
        </row>
        <row r="1057">
          <cell r="A1057" t="str">
            <v>FIN</v>
          </cell>
          <cell r="B1057" t="str">
            <v>Finaref S.A.</v>
          </cell>
        </row>
        <row r="1058">
          <cell r="A1058" t="str">
            <v>FIR</v>
          </cell>
          <cell r="B1058" t="str">
            <v>First Data Corp</v>
          </cell>
        </row>
        <row r="1059">
          <cell r="A1059" t="str">
            <v>FIS</v>
          </cell>
          <cell r="B1059" t="str">
            <v>Thermo Fisher Scientific Inc</v>
          </cell>
        </row>
        <row r="1060">
          <cell r="A1060" t="str">
            <v>FIT</v>
          </cell>
          <cell r="B1060" t="str">
            <v>Fiat Group</v>
          </cell>
        </row>
        <row r="1061">
          <cell r="A1061" t="str">
            <v>FIV</v>
          </cell>
          <cell r="B1061" t="str">
            <v>Five Guys Enterprises, LLC</v>
          </cell>
        </row>
        <row r="1062">
          <cell r="A1062" t="str">
            <v>FL1</v>
          </cell>
          <cell r="B1062" t="str">
            <v>FLE SINGAPORE PTE LTD</v>
          </cell>
        </row>
        <row r="1063">
          <cell r="A1063" t="str">
            <v>FLA</v>
          </cell>
          <cell r="B1063" t="str">
            <v>Petites Affiches</v>
          </cell>
        </row>
        <row r="1064">
          <cell r="A1064" t="str">
            <v>FLD</v>
          </cell>
          <cell r="B1064" t="str">
            <v>FieldGlass, Inc.</v>
          </cell>
        </row>
        <row r="1065">
          <cell r="A1065" t="str">
            <v>FLE</v>
          </cell>
          <cell r="B1065" t="str">
            <v>Flexlink</v>
          </cell>
        </row>
        <row r="1066">
          <cell r="A1066" t="str">
            <v>FLG</v>
          </cell>
          <cell r="B1066" t="str">
            <v>Friends Life Group plc</v>
          </cell>
        </row>
        <row r="1067">
          <cell r="A1067" t="str">
            <v>FLH</v>
          </cell>
          <cell r="B1067" t="str">
            <v>The Football League Limited</v>
          </cell>
        </row>
        <row r="1068">
          <cell r="A1068" t="str">
            <v>FLI</v>
          </cell>
          <cell r="B1068" t="str">
            <v>FLIR Systems, Inc.</v>
          </cell>
        </row>
        <row r="1069">
          <cell r="A1069" t="str">
            <v>FLL</v>
          </cell>
          <cell r="B1069" t="str">
            <v>Foley &amp; Lardner LLP</v>
          </cell>
        </row>
        <row r="1070">
          <cell r="A1070" t="str">
            <v>FLO</v>
          </cell>
          <cell r="B1070" t="str">
            <v>Flow Europe GmbH</v>
          </cell>
        </row>
        <row r="1071">
          <cell r="A1071" t="str">
            <v>FLR</v>
          </cell>
          <cell r="B1071" t="str">
            <v>Follett Library Resources, Inc</v>
          </cell>
        </row>
        <row r="1072">
          <cell r="A1072" t="str">
            <v>FLS</v>
          </cell>
          <cell r="B1072" t="str">
            <v>FLSmidth A/S</v>
          </cell>
        </row>
        <row r="1073">
          <cell r="A1073" t="str">
            <v>FLT</v>
          </cell>
          <cell r="B1073" t="str">
            <v>FILTER, LLC</v>
          </cell>
        </row>
        <row r="1074">
          <cell r="A1074" t="str">
            <v>FLW</v>
          </cell>
          <cell r="B1074" t="str">
            <v>Flowserve Corporation</v>
          </cell>
        </row>
        <row r="1075">
          <cell r="A1075" t="str">
            <v>FLX</v>
          </cell>
          <cell r="B1075" t="str">
            <v>Flexera Software, Inc.</v>
          </cell>
        </row>
        <row r="1076">
          <cell r="A1076" t="str">
            <v>FLY</v>
          </cell>
          <cell r="B1076" t="str">
            <v>Go Fly Ltd</v>
          </cell>
        </row>
        <row r="1077">
          <cell r="A1077" t="str">
            <v>FMA</v>
          </cell>
          <cell r="B1077" t="str">
            <v>Family Motor Coach Association, Inc.</v>
          </cell>
        </row>
        <row r="1078">
          <cell r="A1078" t="str">
            <v>FMC</v>
          </cell>
          <cell r="B1078" t="str">
            <v>Fondation des maladies du coeur du Canada</v>
          </cell>
        </row>
        <row r="1079">
          <cell r="A1079" t="str">
            <v>FMG</v>
          </cell>
          <cell r="B1079" t="str">
            <v>Factory Mutual Insurance Company</v>
          </cell>
        </row>
        <row r="1080">
          <cell r="A1080" t="str">
            <v>FMJ</v>
          </cell>
          <cell r="B1080" t="str">
            <v>Finnish Ministry of Justice</v>
          </cell>
        </row>
        <row r="1081">
          <cell r="A1081" t="str">
            <v>FML</v>
          </cell>
          <cell r="B1081" t="str">
            <v>Forum Muhendislik Ltd. STI</v>
          </cell>
        </row>
        <row r="1082">
          <cell r="A1082" t="str">
            <v>FMV</v>
          </cell>
          <cell r="B1082" t="str">
            <v>Manulife Financial Corp (Financière Manuvie)</v>
          </cell>
        </row>
        <row r="1083">
          <cell r="A1083" t="str">
            <v>FNB</v>
          </cell>
          <cell r="B1083" t="str">
            <v>Banque de France</v>
          </cell>
        </row>
        <row r="1084">
          <cell r="A1084" t="str">
            <v>FNC</v>
          </cell>
          <cell r="B1084" t="str">
            <v>FANUC CORPORATION</v>
          </cell>
        </row>
        <row r="1085">
          <cell r="A1085" t="str">
            <v>FND</v>
          </cell>
          <cell r="B1085" t="str">
            <v>Findel plc</v>
          </cell>
        </row>
        <row r="1086">
          <cell r="A1086" t="str">
            <v>FNF</v>
          </cell>
          <cell r="B1086" t="str">
            <v>First National Financial LP</v>
          </cell>
        </row>
        <row r="1087">
          <cell r="A1087" t="str">
            <v>FNN</v>
          </cell>
          <cell r="B1087" t="str">
            <v>Finnair Oyj</v>
          </cell>
        </row>
        <row r="1088">
          <cell r="A1088" t="str">
            <v>FNP</v>
          </cell>
          <cell r="B1088" t="str">
            <v>Prima Industrie Spa</v>
          </cell>
        </row>
        <row r="1089">
          <cell r="A1089" t="str">
            <v>FNV</v>
          </cell>
          <cell r="B1089" t="str">
            <v>FNV Vakcentrale</v>
          </cell>
        </row>
        <row r="1090">
          <cell r="A1090" t="str">
            <v>FO1</v>
          </cell>
          <cell r="B1090" t="str">
            <v>FOXIT</v>
          </cell>
        </row>
        <row r="1091">
          <cell r="A1091" t="str">
            <v>FO9</v>
          </cell>
          <cell r="B1091" t="str">
            <v>Foundry9 LLC</v>
          </cell>
        </row>
        <row r="1092">
          <cell r="A1092" t="str">
            <v>FOB</v>
          </cell>
          <cell r="B1092" t="str">
            <v>Forbo Holding AG</v>
          </cell>
        </row>
        <row r="1093">
          <cell r="A1093" t="str">
            <v>FOG</v>
          </cell>
          <cell r="B1093" t="str">
            <v>Foremost Graphics, Llc</v>
          </cell>
        </row>
        <row r="1094">
          <cell r="A1094" t="str">
            <v>FOL</v>
          </cell>
          <cell r="B1094" t="str">
            <v>Folksam AB</v>
          </cell>
        </row>
        <row r="1095">
          <cell r="A1095" t="str">
            <v>FOR</v>
          </cell>
          <cell r="B1095" t="str">
            <v>Fortis Group</v>
          </cell>
        </row>
        <row r="1096">
          <cell r="A1096" t="str">
            <v>FOS</v>
          </cell>
          <cell r="B1096" t="str">
            <v>Foster Wheeler Ltd.</v>
          </cell>
        </row>
        <row r="1097">
          <cell r="A1097" t="str">
            <v>FOX</v>
          </cell>
          <cell r="B1097" t="str">
            <v>FOXBORO ECKARDT</v>
          </cell>
        </row>
        <row r="1098">
          <cell r="A1098" t="str">
            <v>FPH</v>
          </cell>
          <cell r="B1098" t="str">
            <v>Fox Parrack Hirsch Communications</v>
          </cell>
        </row>
        <row r="1099">
          <cell r="A1099" t="str">
            <v>FRA</v>
          </cell>
          <cell r="B1099" t="str">
            <v>Fraunhofer Gesellschaft e.V.</v>
          </cell>
        </row>
        <row r="1100">
          <cell r="A1100" t="str">
            <v>FRC</v>
          </cell>
          <cell r="B1100" t="str">
            <v>Force Management, LLC</v>
          </cell>
        </row>
        <row r="1101">
          <cell r="A1101" t="str">
            <v>FRD</v>
          </cell>
          <cell r="B1101" t="str">
            <v>Ford Motor Co</v>
          </cell>
        </row>
        <row r="1102">
          <cell r="A1102" t="str">
            <v>FRE</v>
          </cell>
          <cell r="B1102" t="str">
            <v>Fresenius Group</v>
          </cell>
        </row>
        <row r="1103">
          <cell r="A1103" t="str">
            <v>FRH</v>
          </cell>
          <cell r="B1103" t="str">
            <v>Free Record Shop Holding B.V.</v>
          </cell>
        </row>
        <row r="1104">
          <cell r="A1104" t="str">
            <v>FRI</v>
          </cell>
          <cell r="B1104" t="str">
            <v>Fritz Egger GmbH &amp; co. OG</v>
          </cell>
        </row>
        <row r="1105">
          <cell r="A1105" t="str">
            <v>FRM</v>
          </cell>
          <cell r="B1105" t="str">
            <v>Formel D GmbH</v>
          </cell>
        </row>
        <row r="1106">
          <cell r="A1106" t="str">
            <v>FRN</v>
          </cell>
          <cell r="B1106" t="str">
            <v>Frontwalker AB</v>
          </cell>
        </row>
        <row r="1107">
          <cell r="A1107" t="str">
            <v>FRO</v>
          </cell>
          <cell r="B1107" t="str">
            <v>1stFrontstore A/S</v>
          </cell>
        </row>
        <row r="1108">
          <cell r="A1108" t="str">
            <v>FRP</v>
          </cell>
          <cell r="B1108" t="str">
            <v>Francotyp Postalia Group</v>
          </cell>
        </row>
        <row r="1109">
          <cell r="A1109" t="str">
            <v>FRR</v>
          </cell>
          <cell r="B1109" t="str">
            <v>Ferring B.V.</v>
          </cell>
        </row>
        <row r="1110">
          <cell r="A1110" t="str">
            <v>FRS</v>
          </cell>
          <cell r="B1110" t="str">
            <v>Frontrange Solutions Inc</v>
          </cell>
        </row>
        <row r="1111">
          <cell r="A1111" t="str">
            <v>FRU</v>
          </cell>
          <cell r="B1111" t="str">
            <v>Fruugo Limited</v>
          </cell>
        </row>
        <row r="1112">
          <cell r="A1112" t="str">
            <v>FRV</v>
          </cell>
          <cell r="B1112" t="str">
            <v>Freever SA</v>
          </cell>
        </row>
        <row r="1113">
          <cell r="A1113" t="str">
            <v>FRX</v>
          </cell>
          <cell r="B1113" t="str">
            <v>FRx Software Corporation</v>
          </cell>
        </row>
        <row r="1114">
          <cell r="A1114" t="str">
            <v>FRY</v>
          </cell>
          <cell r="B1114" t="str">
            <v>Fry Communications, Inc.</v>
          </cell>
        </row>
        <row r="1115">
          <cell r="A1115" t="str">
            <v>FSA</v>
          </cell>
          <cell r="B1115" t="str">
            <v>Fast Search &amp; Transfer ASA</v>
          </cell>
        </row>
        <row r="1116">
          <cell r="A1116" t="str">
            <v>FSC</v>
          </cell>
          <cell r="B1116" t="str">
            <v>F-Secure Corporation</v>
          </cell>
        </row>
        <row r="1117">
          <cell r="A1117" t="str">
            <v>FSE</v>
          </cell>
          <cell r="B1117" t="str">
            <v>Freescale Semiconductor, Inc</v>
          </cell>
        </row>
        <row r="1118">
          <cell r="A1118" t="str">
            <v>FSH</v>
          </cell>
          <cell r="B1118" t="str">
            <v>Four Seasons Hotels, Inc</v>
          </cell>
        </row>
        <row r="1119">
          <cell r="A1119" t="str">
            <v>FSI</v>
          </cell>
          <cell r="B1119" t="str">
            <v>Freudenberg Simrit KG</v>
          </cell>
        </row>
        <row r="1120">
          <cell r="A1120" t="str">
            <v>FSK</v>
          </cell>
          <cell r="B1120" t="str">
            <v>Fiskars Corporation</v>
          </cell>
        </row>
        <row r="1121">
          <cell r="A1121" t="str">
            <v>FSN</v>
          </cell>
          <cell r="B1121" t="str">
            <v>FIRST Scandinavia</v>
          </cell>
        </row>
        <row r="1122">
          <cell r="A1122" t="str">
            <v>FSS</v>
          </cell>
          <cell r="B1122" t="str">
            <v>FS Invest SARL</v>
          </cell>
        </row>
        <row r="1123">
          <cell r="A1123" t="str">
            <v>FST</v>
          </cell>
          <cell r="B1123" t="str">
            <v>Festo AG &amp; Co. KG</v>
          </cell>
        </row>
        <row r="1124">
          <cell r="A1124" t="str">
            <v>FTC</v>
          </cell>
          <cell r="B1124" t="str">
            <v>Fortum Corporation</v>
          </cell>
        </row>
        <row r="1125">
          <cell r="A1125" t="str">
            <v>FTD</v>
          </cell>
          <cell r="B1125" t="str">
            <v>FTD Inc.</v>
          </cell>
        </row>
        <row r="1126">
          <cell r="A1126" t="str">
            <v>FTG</v>
          </cell>
          <cell r="B1126" t="str">
            <v>France Telecom SA</v>
          </cell>
        </row>
        <row r="1127">
          <cell r="A1127" t="str">
            <v>FUA</v>
          </cell>
          <cell r="B1127" t="str">
            <v>Future Electronics, Inc</v>
          </cell>
        </row>
        <row r="1128">
          <cell r="A1128" t="str">
            <v>FUD</v>
          </cell>
          <cell r="B1128" t="str">
            <v>Fuddruckers Inc.</v>
          </cell>
        </row>
        <row r="1129">
          <cell r="A1129" t="str">
            <v>FUF</v>
          </cell>
          <cell r="B1129" t="str">
            <v>FUJIFILM Holding Corporation</v>
          </cell>
        </row>
        <row r="1130">
          <cell r="A1130" t="str">
            <v>FUH</v>
          </cell>
          <cell r="B1130" t="str">
            <v xml:space="preserve">FUHU, Inc </v>
          </cell>
        </row>
        <row r="1131">
          <cell r="A1131" t="str">
            <v>FUJ</v>
          </cell>
          <cell r="B1131" t="str">
            <v>Fujitsu Limited</v>
          </cell>
        </row>
        <row r="1132">
          <cell r="A1132" t="str">
            <v>FWD</v>
          </cell>
          <cell r="B1132" t="str">
            <v>ForwardSlash</v>
          </cell>
        </row>
        <row r="1133">
          <cell r="A1133" t="str">
            <v>FWG</v>
          </cell>
          <cell r="B1133" t="str">
            <v>The Finance Wales Group</v>
          </cell>
        </row>
        <row r="1134">
          <cell r="A1134" t="str">
            <v>FWL</v>
          </cell>
          <cell r="B1134" t="str">
            <v>Fusion Workshop Ltd.</v>
          </cell>
        </row>
        <row r="1135">
          <cell r="A1135" t="str">
            <v>FWM</v>
          </cell>
          <cell r="B1135" t="str">
            <v>Flake-Wilkerson Market Insights LLC</v>
          </cell>
        </row>
        <row r="1136">
          <cell r="A1136" t="str">
            <v>FWS</v>
          </cell>
          <cell r="B1136" t="str">
            <v>Foster Web Solutions &amp; Consulting</v>
          </cell>
        </row>
        <row r="1137">
          <cell r="A1137" t="str">
            <v>FXT</v>
          </cell>
          <cell r="B1137" t="str">
            <v xml:space="preserve">FreestyleXtreme Trading Ltd </v>
          </cell>
        </row>
        <row r="1138">
          <cell r="A1138" t="str">
            <v>FZA</v>
          </cell>
          <cell r="B1138" t="str">
            <v>The Forzani Group Ltd.</v>
          </cell>
        </row>
        <row r="1139">
          <cell r="A1139" t="str">
            <v>GAA</v>
          </cell>
          <cell r="B1139" t="str">
            <v>General Atomic Technologies Corporation</v>
          </cell>
        </row>
        <row r="1140">
          <cell r="A1140" t="str">
            <v>GAC</v>
          </cell>
          <cell r="B1140" t="str">
            <v>Generalitat de Catalunya</v>
          </cell>
        </row>
        <row r="1141">
          <cell r="A1141" t="str">
            <v>GAG</v>
          </cell>
          <cell r="B1141" t="str">
            <v>Gaggle.Net, Inc</v>
          </cell>
        </row>
        <row r="1142">
          <cell r="A1142" t="str">
            <v>GAM</v>
          </cell>
          <cell r="B1142" t="str">
            <v>Galderma Pharma SA</v>
          </cell>
        </row>
        <row r="1143">
          <cell r="A1143" t="str">
            <v>GAP</v>
          </cell>
          <cell r="B1143" t="str">
            <v>Gap Inc</v>
          </cell>
        </row>
        <row r="1144">
          <cell r="A1144" t="str">
            <v>GAR</v>
          </cell>
          <cell r="B1144" t="str">
            <v>Gartner Inc</v>
          </cell>
        </row>
        <row r="1145">
          <cell r="A1145" t="str">
            <v>GAS</v>
          </cell>
          <cell r="B1145" t="str">
            <v>Gamesys ltd</v>
          </cell>
        </row>
        <row r="1146">
          <cell r="A1146" t="str">
            <v>GB1</v>
          </cell>
          <cell r="B1146" t="str">
            <v>GBP Group</v>
          </cell>
        </row>
        <row r="1147">
          <cell r="A1147" t="str">
            <v>GBA</v>
          </cell>
          <cell r="B1147" t="str">
            <v>GB Group plc</v>
          </cell>
        </row>
        <row r="1148">
          <cell r="A1148" t="str">
            <v>GBC</v>
          </cell>
          <cell r="B1148" t="str">
            <v>Groupe Beauchemin</v>
          </cell>
        </row>
        <row r="1149">
          <cell r="A1149" t="str">
            <v>GBG</v>
          </cell>
          <cell r="B1149" t="str">
            <v>Global Graphics S.A.</v>
          </cell>
        </row>
        <row r="1150">
          <cell r="A1150" t="str">
            <v>GBL</v>
          </cell>
          <cell r="B1150" t="str">
            <v>Groupe Bruxelles Lambert</v>
          </cell>
        </row>
        <row r="1151">
          <cell r="A1151" t="str">
            <v>GBS</v>
          </cell>
          <cell r="B1151" t="str">
            <v>Global Business Travel</v>
          </cell>
        </row>
        <row r="1152">
          <cell r="A1152" t="str">
            <v>GCC</v>
          </cell>
          <cell r="B1152" t="str">
            <v>Grand Circle Corporation</v>
          </cell>
        </row>
        <row r="1153">
          <cell r="A1153" t="str">
            <v>GCO</v>
          </cell>
          <cell r="B1153" t="str">
            <v>GOCOMPARE.COM LTD</v>
          </cell>
        </row>
        <row r="1154">
          <cell r="A1154" t="str">
            <v>GCP</v>
          </cell>
          <cell r="B1154" t="str">
            <v>Goldcorp Inc.</v>
          </cell>
        </row>
        <row r="1155">
          <cell r="A1155" t="str">
            <v>GDA</v>
          </cell>
          <cell r="B1155" t="str">
            <v>Gildan Activewear Inc.</v>
          </cell>
        </row>
        <row r="1156">
          <cell r="A1156" t="str">
            <v>GDC</v>
          </cell>
          <cell r="B1156" t="str">
            <v>General Dynamics Corporation</v>
          </cell>
        </row>
        <row r="1157">
          <cell r="A1157" t="str">
            <v>GDG</v>
          </cell>
          <cell r="B1157" t="str">
            <v>Giesecke &amp; Devrient GmbH</v>
          </cell>
        </row>
        <row r="1158">
          <cell r="A1158" t="str">
            <v>GEA</v>
          </cell>
          <cell r="B1158" t="str">
            <v>Geac Computer Corporation Limited</v>
          </cell>
        </row>
        <row r="1159">
          <cell r="A1159" t="str">
            <v>GEB</v>
          </cell>
          <cell r="B1159" t="str">
            <v>GENBAND Inc.</v>
          </cell>
        </row>
        <row r="1160">
          <cell r="A1160" t="str">
            <v>GEC</v>
          </cell>
          <cell r="B1160" t="str">
            <v>GlobalEnglish Corporation</v>
          </cell>
        </row>
        <row r="1161">
          <cell r="A1161" t="str">
            <v>GED</v>
          </cell>
          <cell r="B1161" t="str">
            <v>Geometry Global LLC</v>
          </cell>
        </row>
        <row r="1162">
          <cell r="A1162" t="str">
            <v>GEI</v>
          </cell>
          <cell r="B1162" t="str">
            <v>GEIE SI 3SI</v>
          </cell>
        </row>
        <row r="1163">
          <cell r="A1163" t="str">
            <v>GEK</v>
          </cell>
          <cell r="B1163" t="str">
            <v>GeDok Kurztusch e.K.</v>
          </cell>
        </row>
        <row r="1164">
          <cell r="A1164" t="str">
            <v>GEM</v>
          </cell>
          <cell r="B1164" t="str">
            <v>Gemalto N.V.</v>
          </cell>
        </row>
        <row r="1165">
          <cell r="A1165" t="str">
            <v>GEN</v>
          </cell>
          <cell r="B1165" t="str">
            <v>General Electric Company</v>
          </cell>
        </row>
        <row r="1166">
          <cell r="A1166" t="str">
            <v>GER</v>
          </cell>
          <cell r="B1166" t="str">
            <v>General Register Office for England and Wales</v>
          </cell>
        </row>
        <row r="1167">
          <cell r="A1167" t="str">
            <v>GET</v>
          </cell>
          <cell r="B1167" t="str">
            <v>Getty Images, inc</v>
          </cell>
        </row>
        <row r="1168">
          <cell r="A1168" t="str">
            <v>GFC</v>
          </cell>
          <cell r="B1168" t="str">
            <v>Georg Fischer AG</v>
          </cell>
        </row>
        <row r="1169">
          <cell r="A1169" t="str">
            <v>GFD</v>
          </cell>
          <cell r="B1169" t="str">
            <v>GrafiData Holding B.V.</v>
          </cell>
        </row>
        <row r="1170">
          <cell r="A1170" t="str">
            <v>GGG</v>
          </cell>
          <cell r="B1170" t="str">
            <v>Grey Global Group Inc</v>
          </cell>
        </row>
        <row r="1171">
          <cell r="A1171" t="str">
            <v>GGL</v>
          </cell>
          <cell r="B1171" t="str">
            <v>Google Inc.</v>
          </cell>
        </row>
        <row r="1172">
          <cell r="A1172" t="str">
            <v>GGR</v>
          </cell>
          <cell r="B1172" t="str">
            <v>Globe Group SRL</v>
          </cell>
        </row>
        <row r="1173">
          <cell r="A1173" t="str">
            <v>GHA</v>
          </cell>
          <cell r="B1173" t="str">
            <v>Genesis Housing Association</v>
          </cell>
        </row>
        <row r="1174">
          <cell r="A1174" t="str">
            <v>GHC</v>
          </cell>
          <cell r="B1174" t="str">
            <v>GE Healthcare China</v>
          </cell>
        </row>
        <row r="1175">
          <cell r="A1175" t="str">
            <v>GHP</v>
          </cell>
          <cell r="B1175" t="str">
            <v>GRAYS (AUST) HOLDINGS PTY LIMITED</v>
          </cell>
        </row>
        <row r="1176">
          <cell r="A1176" t="str">
            <v>GHR</v>
          </cell>
          <cell r="B1176" t="str">
            <v>Greenland Home Rule Government</v>
          </cell>
        </row>
        <row r="1177">
          <cell r="A1177" t="str">
            <v>GIE</v>
          </cell>
          <cell r="B1177" t="str">
            <v>GIE Arcade Services</v>
          </cell>
        </row>
        <row r="1178">
          <cell r="A1178" t="str">
            <v>GIG</v>
          </cell>
          <cell r="B1178" t="str">
            <v>Giganews, Inc</v>
          </cell>
        </row>
        <row r="1179">
          <cell r="A1179" t="str">
            <v>GIL</v>
          </cell>
          <cell r="B1179" t="str">
            <v>Gilson Graphics</v>
          </cell>
        </row>
        <row r="1180">
          <cell r="A1180" t="str">
            <v>GLA</v>
          </cell>
          <cell r="B1180" t="str">
            <v>GALA Incorporated</v>
          </cell>
        </row>
        <row r="1181">
          <cell r="A1181" t="str">
            <v>GLD</v>
          </cell>
          <cell r="B1181" t="str">
            <v>Genelabs Technologies Inc</v>
          </cell>
        </row>
        <row r="1182">
          <cell r="A1182" t="str">
            <v>GLE</v>
          </cell>
          <cell r="B1182" t="str">
            <v>Grupo Francis Lefebvre</v>
          </cell>
        </row>
        <row r="1183">
          <cell r="A1183" t="str">
            <v>GLF</v>
          </cell>
          <cell r="B1183" t="str">
            <v>Goldleaf Financial Solutions, Inc</v>
          </cell>
        </row>
        <row r="1184">
          <cell r="A1184" t="str">
            <v>GLG</v>
          </cell>
          <cell r="B1184" t="str">
            <v>Gallant Leaman Green Communications Inc.</v>
          </cell>
        </row>
        <row r="1185">
          <cell r="A1185" t="str">
            <v>GLK</v>
          </cell>
          <cell r="B1185" t="str">
            <v>Global Knowledge Training LLC</v>
          </cell>
        </row>
        <row r="1186">
          <cell r="A1186" t="str">
            <v>GLL</v>
          </cell>
          <cell r="B1186" t="str">
            <v>Gallup Inc</v>
          </cell>
        </row>
        <row r="1187">
          <cell r="A1187" t="str">
            <v>GLO</v>
          </cell>
          <cell r="B1187" t="str">
            <v>Taliance</v>
          </cell>
        </row>
        <row r="1188">
          <cell r="A1188" t="str">
            <v>GLP</v>
          </cell>
          <cell r="B1188" t="str">
            <v>Global Payments Inc.</v>
          </cell>
        </row>
        <row r="1189">
          <cell r="A1189" t="str">
            <v>GLR</v>
          </cell>
          <cell r="B1189" t="str">
            <v>GLOBAL RED HOLDINGS PTY LIMITED</v>
          </cell>
        </row>
        <row r="1190">
          <cell r="A1190" t="str">
            <v>GLS</v>
          </cell>
          <cell r="B1190" t="str">
            <v>Glasspaper AS</v>
          </cell>
        </row>
        <row r="1191">
          <cell r="A1191" t="str">
            <v>GMA</v>
          </cell>
          <cell r="B1191" t="str">
            <v>Ally Financial</v>
          </cell>
        </row>
        <row r="1192">
          <cell r="A1192" t="str">
            <v>GMC</v>
          </cell>
          <cell r="B1192" t="str">
            <v>General Motors Corporation</v>
          </cell>
        </row>
        <row r="1193">
          <cell r="A1193" t="str">
            <v>GMI</v>
          </cell>
          <cell r="B1193" t="str">
            <v>Global Market Insite, Inc.</v>
          </cell>
        </row>
        <row r="1194">
          <cell r="A1194" t="str">
            <v>GML</v>
          </cell>
          <cell r="B1194" t="str">
            <v>General Mills, Inc.</v>
          </cell>
        </row>
        <row r="1195">
          <cell r="A1195" t="str">
            <v>GMR</v>
          </cell>
          <cell r="B1195" t="str">
            <v>GMCR Inc.</v>
          </cell>
        </row>
        <row r="1196">
          <cell r="A1196" t="str">
            <v>GMT</v>
          </cell>
          <cell r="B1196" t="str">
            <v>Groupe Matelsom S.A.</v>
          </cell>
        </row>
        <row r="1197">
          <cell r="A1197" t="str">
            <v>GND</v>
          </cell>
          <cell r="B1197" t="str">
            <v>Genesis Direct</v>
          </cell>
        </row>
        <row r="1198">
          <cell r="A1198" t="str">
            <v>GNI</v>
          </cell>
          <cell r="B1198" t="str">
            <v>GEA Group Aktiengesellschaft</v>
          </cell>
        </row>
        <row r="1199">
          <cell r="A1199" t="str">
            <v>GNL</v>
          </cell>
          <cell r="B1199" t="str">
            <v>Government of the Netherlands</v>
          </cell>
        </row>
        <row r="1200">
          <cell r="A1200" t="str">
            <v>GNS</v>
          </cell>
          <cell r="B1200" t="str">
            <v>Genesys SA</v>
          </cell>
        </row>
        <row r="1201">
          <cell r="A1201" t="str">
            <v>GNZ</v>
          </cell>
          <cell r="B1201" t="str">
            <v>Government of New Zealand</v>
          </cell>
        </row>
        <row r="1202">
          <cell r="A1202" t="str">
            <v>GOB</v>
          </cell>
          <cell r="B1202" t="str">
            <v>GOVERNMENT OF ISRAEL</v>
          </cell>
        </row>
        <row r="1203">
          <cell r="A1203" t="str">
            <v>GOC</v>
          </cell>
          <cell r="B1203" t="str">
            <v>Gobierno de Canarias</v>
          </cell>
        </row>
        <row r="1204">
          <cell r="A1204" t="str">
            <v>GOD</v>
          </cell>
          <cell r="B1204" t="str">
            <v>Gordano Ltd</v>
          </cell>
        </row>
        <row r="1205">
          <cell r="A1205" t="str">
            <v>GOH</v>
          </cell>
          <cell r="B1205" t="str">
            <v>GoodHabitz B.V.</v>
          </cell>
        </row>
        <row r="1206">
          <cell r="A1206" t="str">
            <v>GOI</v>
          </cell>
          <cell r="B1206" t="str">
            <v>Government of Ireland - Department of Justice (Goldsmith)</v>
          </cell>
        </row>
        <row r="1207">
          <cell r="A1207" t="str">
            <v>GOL</v>
          </cell>
          <cell r="B1207" t="str">
            <v>GOAL/QPC Inc</v>
          </cell>
        </row>
        <row r="1208">
          <cell r="A1208" t="str">
            <v>GON</v>
          </cell>
          <cell r="B1208" t="str">
            <v>Government of Norway</v>
          </cell>
        </row>
        <row r="1209">
          <cell r="A1209" t="str">
            <v>GOO</v>
          </cell>
          <cell r="B1209" t="str">
            <v>Government of Ontario</v>
          </cell>
        </row>
        <row r="1210">
          <cell r="A1210" t="str">
            <v>GOP</v>
          </cell>
          <cell r="B1210" t="str">
            <v>Govpartner Com, Inc</v>
          </cell>
        </row>
        <row r="1211">
          <cell r="A1211" t="str">
            <v>GOR</v>
          </cell>
          <cell r="B1211" t="str">
            <v>GoPro, Inc.</v>
          </cell>
        </row>
        <row r="1212">
          <cell r="A1212" t="str">
            <v>GPB</v>
          </cell>
          <cell r="B1212" t="str">
            <v>GPB</v>
          </cell>
        </row>
        <row r="1213">
          <cell r="A1213" t="str">
            <v>GPL</v>
          </cell>
          <cell r="B1213" t="str">
            <v>Getting Personal (UK) Ltd</v>
          </cell>
        </row>
        <row r="1214">
          <cell r="A1214" t="str">
            <v>GPR</v>
          </cell>
          <cell r="B1214" t="str">
            <v>Go Project srl</v>
          </cell>
        </row>
        <row r="1215">
          <cell r="A1215" t="str">
            <v>GPS</v>
          </cell>
          <cell r="B1215" t="str">
            <v>GP Strategies Corporation</v>
          </cell>
        </row>
        <row r="1216">
          <cell r="A1216" t="str">
            <v>GPV</v>
          </cell>
          <cell r="B1216" t="str">
            <v>GROUP POSITIVE LTD</v>
          </cell>
        </row>
        <row r="1217">
          <cell r="A1217" t="str">
            <v>GR0</v>
          </cell>
          <cell r="B1217" t="str">
            <v>GREE, Inc.</v>
          </cell>
        </row>
        <row r="1218">
          <cell r="A1218" t="str">
            <v>GRA</v>
          </cell>
          <cell r="B1218" t="str">
            <v>Graphisoft</v>
          </cell>
        </row>
        <row r="1219">
          <cell r="A1219" t="str">
            <v>GRB</v>
          </cell>
          <cell r="B1219" t="str">
            <v>Grenzebach  Maschinenbau GmbH</v>
          </cell>
        </row>
        <row r="1220">
          <cell r="A1220" t="str">
            <v>GRD</v>
          </cell>
          <cell r="B1220" t="str">
            <v>Gardena Holding AG</v>
          </cell>
        </row>
        <row r="1221">
          <cell r="A1221" t="str">
            <v>GRE</v>
          </cell>
          <cell r="B1221" t="str">
            <v>Greenheck Fan Corporation</v>
          </cell>
        </row>
        <row r="1222">
          <cell r="A1222" t="str">
            <v>GRF</v>
          </cell>
          <cell r="B1222" t="str">
            <v>Grafikon Nv</v>
          </cell>
        </row>
        <row r="1223">
          <cell r="A1223" t="str">
            <v>GRH</v>
          </cell>
          <cell r="B1223" t="str">
            <v>Greenbank Holidays Ltd</v>
          </cell>
        </row>
        <row r="1224">
          <cell r="A1224" t="str">
            <v>GRL</v>
          </cell>
          <cell r="B1224" t="str">
            <v>Grid, LLC</v>
          </cell>
        </row>
        <row r="1225">
          <cell r="A1225" t="str">
            <v>GRM</v>
          </cell>
          <cell r="B1225" t="str">
            <v>Garmin Ltd</v>
          </cell>
        </row>
        <row r="1226">
          <cell r="A1226" t="str">
            <v>GRN</v>
          </cell>
          <cell r="B1226" t="str">
            <v>Grønlands Selvstyre</v>
          </cell>
        </row>
        <row r="1227">
          <cell r="A1227" t="str">
            <v>GRO</v>
          </cell>
          <cell r="B1227" t="str">
            <v>Grolsche Bierbrouwerij BV</v>
          </cell>
        </row>
        <row r="1228">
          <cell r="A1228" t="str">
            <v>GRP</v>
          </cell>
          <cell r="B1228" t="str">
            <v xml:space="preserve">Groupama SA </v>
          </cell>
        </row>
        <row r="1229">
          <cell r="A1229" t="str">
            <v>GRW</v>
          </cell>
          <cell r="B1229" t="str">
            <v>Graphic World Incorporated</v>
          </cell>
        </row>
        <row r="1230">
          <cell r="A1230" t="str">
            <v>GRY</v>
          </cell>
          <cell r="B1230" t="str">
            <v>Gryphon Technologies</v>
          </cell>
        </row>
        <row r="1231">
          <cell r="A1231" t="str">
            <v>GS1</v>
          </cell>
          <cell r="B1231" t="str">
            <v>GS1 Canada</v>
          </cell>
        </row>
        <row r="1232">
          <cell r="A1232" t="str">
            <v>GSC</v>
          </cell>
          <cell r="B1232" t="str">
            <v>Gerber Scientific, Inc</v>
          </cell>
        </row>
        <row r="1233">
          <cell r="A1233" t="str">
            <v>GSI</v>
          </cell>
          <cell r="B1233" t="str">
            <v>GSI Group Inc.</v>
          </cell>
        </row>
        <row r="1234">
          <cell r="A1234" t="str">
            <v>GSK</v>
          </cell>
          <cell r="B1234" t="str">
            <v>GlaxoSmithKline plc</v>
          </cell>
        </row>
        <row r="1235">
          <cell r="A1235" t="str">
            <v>GSR</v>
          </cell>
          <cell r="B1235" t="str">
            <v>G-Star</v>
          </cell>
        </row>
        <row r="1236">
          <cell r="A1236" t="str">
            <v>GST</v>
          </cell>
          <cell r="B1236" t="str">
            <v>GameStop Group</v>
          </cell>
        </row>
        <row r="1237">
          <cell r="A1237" t="str">
            <v>GTC</v>
          </cell>
          <cell r="B1237" t="str">
            <v>Garr Tool Company</v>
          </cell>
        </row>
        <row r="1238">
          <cell r="A1238" t="str">
            <v>GTE</v>
          </cell>
          <cell r="B1238" t="str">
            <v>The Goodyear Tire &amp; Rubber Company</v>
          </cell>
        </row>
        <row r="1239">
          <cell r="A1239" t="str">
            <v>GTG</v>
          </cell>
          <cell r="B1239" t="str">
            <v>Getinge Group</v>
          </cell>
        </row>
        <row r="1240">
          <cell r="A1240" t="str">
            <v>GTI</v>
          </cell>
          <cell r="B1240" t="str">
            <v>Good Technology, Inc.</v>
          </cell>
        </row>
        <row r="1241">
          <cell r="A1241" t="str">
            <v>GTR</v>
          </cell>
          <cell r="B1241" t="str">
            <v>Getronics N.V.</v>
          </cell>
        </row>
        <row r="1242">
          <cell r="A1242" t="str">
            <v>GUB</v>
          </cell>
          <cell r="B1242" t="str">
            <v>Gulf Bank</v>
          </cell>
        </row>
        <row r="1243">
          <cell r="A1243" t="str">
            <v>GUE</v>
          </cell>
          <cell r="B1243" t="str">
            <v>Guestlogic</v>
          </cell>
        </row>
        <row r="1244">
          <cell r="A1244" t="str">
            <v>GUI</v>
          </cell>
          <cell r="B1244" t="str">
            <v>Guideworks, Llc</v>
          </cell>
        </row>
        <row r="1245">
          <cell r="A1245" t="str">
            <v>GUL</v>
          </cell>
          <cell r="B1245" t="str">
            <v>Donvand Ltd</v>
          </cell>
        </row>
        <row r="1246">
          <cell r="A1246" t="str">
            <v>GUN</v>
          </cell>
          <cell r="B1246" t="str">
            <v>Gunt Gerätebau GmbH</v>
          </cell>
        </row>
        <row r="1247">
          <cell r="A1247" t="str">
            <v>GUS</v>
          </cell>
          <cell r="B1247" t="str">
            <v>GUS plc</v>
          </cell>
        </row>
        <row r="1248">
          <cell r="A1248" t="str">
            <v>GVA</v>
          </cell>
          <cell r="B1248" t="str">
            <v>Austrian Government</v>
          </cell>
        </row>
        <row r="1249">
          <cell r="A1249" t="str">
            <v>GVC</v>
          </cell>
          <cell r="B1249" t="str">
            <v>Government of Canada</v>
          </cell>
        </row>
        <row r="1250">
          <cell r="A1250" t="str">
            <v>GWL</v>
          </cell>
          <cell r="B1250" t="str">
            <v>The Great-West Life Assurance Company</v>
          </cell>
        </row>
        <row r="1251">
          <cell r="A1251" t="str">
            <v>GWS</v>
          </cell>
          <cell r="B1251" t="str">
            <v>Guidewire Software Inc.</v>
          </cell>
        </row>
        <row r="1252">
          <cell r="A1252" t="str">
            <v>GYR</v>
          </cell>
          <cell r="B1252" t="str">
            <v>GyroGroup plc.</v>
          </cell>
        </row>
        <row r="1253">
          <cell r="A1253" t="str">
            <v>GZM</v>
          </cell>
          <cell r="B1253" t="str">
            <v>Genzyme Corporation</v>
          </cell>
        </row>
        <row r="1254">
          <cell r="A1254" t="str">
            <v>HAA</v>
          </cell>
          <cell r="B1254" t="str">
            <v>Hasgrove plc</v>
          </cell>
        </row>
        <row r="1255">
          <cell r="A1255" t="str">
            <v>HAC</v>
          </cell>
          <cell r="B1255" t="str">
            <v>Hancom, Inc.</v>
          </cell>
        </row>
        <row r="1256">
          <cell r="A1256" t="str">
            <v>HAE</v>
          </cell>
          <cell r="B1256" t="str">
            <v>Haier Group Company</v>
          </cell>
        </row>
        <row r="1257">
          <cell r="A1257" t="str">
            <v>HAF</v>
          </cell>
          <cell r="B1257" t="str">
            <v>H&amp;F Bridge Partnership Ltd.</v>
          </cell>
        </row>
        <row r="1258">
          <cell r="A1258" t="str">
            <v>HAG</v>
          </cell>
          <cell r="B1258" t="str">
            <v>Gemeente Den Haag</v>
          </cell>
        </row>
        <row r="1259">
          <cell r="A1259" t="str">
            <v>HAI</v>
          </cell>
          <cell r="B1259" t="str">
            <v>Excel Industries</v>
          </cell>
        </row>
        <row r="1260">
          <cell r="A1260" t="str">
            <v>HAL</v>
          </cell>
          <cell r="B1260" t="str">
            <v>Hallmaker AS</v>
          </cell>
        </row>
        <row r="1261">
          <cell r="A1261" t="str">
            <v>HAM</v>
          </cell>
          <cell r="B1261" t="str">
            <v>Hamad Medical Corporation</v>
          </cell>
        </row>
        <row r="1262">
          <cell r="A1262" t="str">
            <v>HAN</v>
          </cell>
          <cell r="B1262" t="str">
            <v>Handango Inc</v>
          </cell>
        </row>
        <row r="1263">
          <cell r="A1263" t="str">
            <v>HAO</v>
          </cell>
          <cell r="B1263" t="str">
            <v xml:space="preserve">Hannover Rück SE </v>
          </cell>
        </row>
        <row r="1264">
          <cell r="A1264" t="str">
            <v>HAP</v>
          </cell>
          <cell r="B1264" t="str">
            <v>Het Apostolisch Genootschap</v>
          </cell>
        </row>
        <row r="1265">
          <cell r="A1265" t="str">
            <v>HAR</v>
          </cell>
          <cell r="B1265" t="str">
            <v>Harris Corporation</v>
          </cell>
        </row>
        <row r="1266">
          <cell r="A1266" t="str">
            <v>HAS</v>
          </cell>
          <cell r="B1266" t="str">
            <v>Hasbro, Inc.</v>
          </cell>
        </row>
        <row r="1267">
          <cell r="A1267" t="str">
            <v>HAU</v>
          </cell>
          <cell r="B1267" t="str">
            <v>Hauni LNI Electronics S.A.</v>
          </cell>
        </row>
        <row r="1268">
          <cell r="A1268" t="str">
            <v>HAV</v>
          </cell>
          <cell r="B1268" t="str">
            <v>Havas</v>
          </cell>
        </row>
        <row r="1269">
          <cell r="A1269" t="str">
            <v>HAW</v>
          </cell>
          <cell r="B1269" t="str">
            <v>Hansa Metallwerke AG</v>
          </cell>
        </row>
        <row r="1270">
          <cell r="A1270" t="str">
            <v>HAY</v>
          </cell>
          <cell r="B1270" t="str">
            <v>Hays plc</v>
          </cell>
        </row>
        <row r="1271">
          <cell r="A1271" t="str">
            <v>HBA</v>
          </cell>
          <cell r="B1271" t="str">
            <v>Horiba, Ltd</v>
          </cell>
        </row>
        <row r="1272">
          <cell r="A1272" t="str">
            <v>HBC</v>
          </cell>
          <cell r="B1272" t="str">
            <v>Hudson's Bay Company</v>
          </cell>
        </row>
        <row r="1273">
          <cell r="A1273" t="str">
            <v>HBE</v>
          </cell>
          <cell r="B1273" t="str">
            <v>HBE SOLUTIONS, LLC</v>
          </cell>
        </row>
        <row r="1274">
          <cell r="A1274" t="str">
            <v>HBI</v>
          </cell>
          <cell r="B1274" t="str">
            <v>Hebco, Inc.</v>
          </cell>
        </row>
        <row r="1275">
          <cell r="A1275" t="str">
            <v>HBM</v>
          </cell>
          <cell r="B1275" t="str">
            <v>Home Buyers Marketing Inc</v>
          </cell>
        </row>
        <row r="1276">
          <cell r="A1276" t="str">
            <v>HBO</v>
          </cell>
          <cell r="B1276" t="str">
            <v>HBOS plc</v>
          </cell>
        </row>
        <row r="1277">
          <cell r="A1277" t="str">
            <v>HBT</v>
          </cell>
          <cell r="B1277" t="str">
            <v>HOLDAG Beteiligungsgesellschaft m.b.H.</v>
          </cell>
        </row>
        <row r="1278">
          <cell r="A1278" t="str">
            <v>HBU</v>
          </cell>
          <cell r="B1278" t="str">
            <v>HB Uitgevers</v>
          </cell>
        </row>
        <row r="1279">
          <cell r="A1279" t="str">
            <v>HBW</v>
          </cell>
          <cell r="B1279" t="str">
            <v>Home Buyers Warranty Corporation</v>
          </cell>
        </row>
        <row r="1280">
          <cell r="A1280" t="str">
            <v>HCA</v>
          </cell>
          <cell r="B1280" t="str">
            <v>Hoteles Catalonia S A</v>
          </cell>
        </row>
        <row r="1281">
          <cell r="A1281" t="str">
            <v>HCC</v>
          </cell>
          <cell r="B1281" t="str">
            <v>Hc3 Communications</v>
          </cell>
        </row>
        <row r="1282">
          <cell r="A1282" t="str">
            <v>HCL</v>
          </cell>
          <cell r="B1282" t="str">
            <v>HCL Technologies Limited</v>
          </cell>
        </row>
        <row r="1283">
          <cell r="A1283" t="str">
            <v>HCT</v>
          </cell>
          <cell r="B1283" t="str">
            <v>Hutchison Telecom</v>
          </cell>
        </row>
        <row r="1284">
          <cell r="A1284" t="str">
            <v>HDA</v>
          </cell>
          <cell r="B1284" t="str">
            <v>Honda Motor Co. Ltd</v>
          </cell>
        </row>
        <row r="1285">
          <cell r="A1285" t="str">
            <v>HDE</v>
          </cell>
          <cell r="B1285" t="str">
            <v>Hotel.de AG</v>
          </cell>
        </row>
        <row r="1286">
          <cell r="A1286" t="str">
            <v>HDL</v>
          </cell>
          <cell r="B1286" t="str">
            <v>Headline.TV ApS</v>
          </cell>
        </row>
        <row r="1287">
          <cell r="A1287" t="str">
            <v>HDS</v>
          </cell>
          <cell r="B1287" t="str">
            <v>HD Supply Holdings Llc</v>
          </cell>
        </row>
        <row r="1288">
          <cell r="A1288" t="str">
            <v>HEA</v>
          </cell>
          <cell r="B1288" t="str">
            <v>Healy Hudson AG</v>
          </cell>
        </row>
        <row r="1289">
          <cell r="A1289" t="str">
            <v>HEF</v>
          </cell>
          <cell r="B1289" t="str">
            <v>Headfirst B.V.</v>
          </cell>
        </row>
        <row r="1290">
          <cell r="A1290" t="str">
            <v>HEG</v>
          </cell>
          <cell r="B1290" t="str">
            <v>Hegla Group Beverungen</v>
          </cell>
        </row>
        <row r="1291">
          <cell r="A1291" t="str">
            <v>HEH</v>
          </cell>
          <cell r="B1291" t="str">
            <v>Helly Hansen Group AS</v>
          </cell>
        </row>
        <row r="1292">
          <cell r="A1292" t="str">
            <v>HEI</v>
          </cell>
          <cell r="B1292" t="str">
            <v>Dr. Johannes Heidenhain GmbH</v>
          </cell>
        </row>
        <row r="1293">
          <cell r="A1293" t="str">
            <v>HEL</v>
          </cell>
          <cell r="B1293" t="str">
            <v>Healthwise Incorporated</v>
          </cell>
        </row>
        <row r="1294">
          <cell r="A1294" t="str">
            <v>HEM</v>
          </cell>
          <cell r="B1294" t="str">
            <v>Smiths Group plc</v>
          </cell>
        </row>
        <row r="1295">
          <cell r="A1295" t="str">
            <v>HEN</v>
          </cell>
          <cell r="B1295" t="str">
            <v>Henkel KGaA</v>
          </cell>
        </row>
        <row r="1296">
          <cell r="A1296" t="str">
            <v>HEP</v>
          </cell>
          <cell r="B1296" t="str">
            <v>Hewlett-Packard Company</v>
          </cell>
        </row>
        <row r="1297">
          <cell r="A1297" t="str">
            <v>HER</v>
          </cell>
          <cell r="B1297" t="str">
            <v>The Hearst Corporation</v>
          </cell>
        </row>
        <row r="1298">
          <cell r="A1298" t="str">
            <v>HES</v>
          </cell>
          <cell r="B1298" t="str">
            <v>Henry Schein, Inc.</v>
          </cell>
        </row>
        <row r="1299">
          <cell r="A1299" t="str">
            <v>HFC</v>
          </cell>
          <cell r="B1299" t="str">
            <v>House Foods Corporation</v>
          </cell>
        </row>
        <row r="1300">
          <cell r="A1300" t="str">
            <v>HFE</v>
          </cell>
          <cell r="B1300" t="str">
            <v>ALDI GmbH &amp; Co. KG Essen</v>
          </cell>
        </row>
        <row r="1301">
          <cell r="A1301" t="str">
            <v>HFG</v>
          </cell>
          <cell r="B1301" t="str">
            <v>Halfords Group plc.</v>
          </cell>
        </row>
        <row r="1302">
          <cell r="A1302" t="str">
            <v>HFH</v>
          </cell>
          <cell r="B1302" t="str">
            <v>Head for Heights Ltd</v>
          </cell>
        </row>
        <row r="1303">
          <cell r="A1303" t="str">
            <v>HFR</v>
          </cell>
          <cell r="B1303" t="str">
            <v>House of Fraser</v>
          </cell>
        </row>
        <row r="1304">
          <cell r="A1304" t="str">
            <v>HGI</v>
          </cell>
          <cell r="B1304" t="str">
            <v>Health Grades, Inc</v>
          </cell>
        </row>
        <row r="1305">
          <cell r="A1305" t="str">
            <v>HGR</v>
          </cell>
          <cell r="B1305" t="str">
            <v>Helgeland Reiseliv AS</v>
          </cell>
        </row>
        <row r="1306">
          <cell r="A1306" t="str">
            <v>HHE</v>
          </cell>
          <cell r="B1306" t="str">
            <v>Hoteles Hesperia, S.A.</v>
          </cell>
        </row>
        <row r="1307">
          <cell r="A1307" t="str">
            <v>HHI</v>
          </cell>
          <cell r="B1307" t="str">
            <v>Harte-Hanks, Inc.</v>
          </cell>
        </row>
        <row r="1308">
          <cell r="A1308" t="str">
            <v>HHL</v>
          </cell>
          <cell r="B1308" t="str">
            <v>Holidaybreak plc</v>
          </cell>
        </row>
        <row r="1309">
          <cell r="A1309" t="str">
            <v>HHO</v>
          </cell>
          <cell r="B1309" t="str">
            <v>Happy Home International B.V.</v>
          </cell>
        </row>
        <row r="1310">
          <cell r="A1310" t="str">
            <v>HIC</v>
          </cell>
          <cell r="B1310" t="str">
            <v>Hico Group</v>
          </cell>
        </row>
        <row r="1311">
          <cell r="A1311" t="str">
            <v>HID</v>
          </cell>
          <cell r="B1311" t="str">
            <v>HI CORPORATION</v>
          </cell>
        </row>
        <row r="1312">
          <cell r="A1312" t="str">
            <v>HIH</v>
          </cell>
          <cell r="B1312" t="str">
            <v>Stichting Hoger Onderwijs Nederland</v>
          </cell>
        </row>
        <row r="1313">
          <cell r="A1313" t="str">
            <v>HIL</v>
          </cell>
          <cell r="B1313" t="str">
            <v>Hilton Hotels Corporation</v>
          </cell>
        </row>
        <row r="1314">
          <cell r="A1314" t="str">
            <v>HIO</v>
          </cell>
          <cell r="B1314" t="str">
            <v>HIOKI E.E. CORPORATION</v>
          </cell>
        </row>
        <row r="1315">
          <cell r="A1315" t="str">
            <v>HIQ</v>
          </cell>
          <cell r="B1315" t="str">
            <v>H.I.S. Co., Ltd.</v>
          </cell>
        </row>
        <row r="1316">
          <cell r="A1316" t="str">
            <v>HIS</v>
          </cell>
          <cell r="B1316" t="str">
            <v>hiSoft Corporation.</v>
          </cell>
        </row>
        <row r="1317">
          <cell r="A1317" t="str">
            <v>HIT</v>
          </cell>
          <cell r="B1317" t="str">
            <v>Hitachi Ltd.</v>
          </cell>
        </row>
        <row r="1318">
          <cell r="A1318" t="str">
            <v>HKC</v>
          </cell>
          <cell r="B1318" t="str">
            <v>Hans Kemna Casting BV</v>
          </cell>
        </row>
        <row r="1319">
          <cell r="A1319" t="str">
            <v>HLC</v>
          </cell>
          <cell r="B1319" t="str">
            <v>Holcim Ltd</v>
          </cell>
        </row>
        <row r="1320">
          <cell r="A1320" t="str">
            <v>HLL</v>
          </cell>
          <cell r="B1320" t="str">
            <v>Henry Ling Limited</v>
          </cell>
        </row>
        <row r="1321">
          <cell r="A1321" t="str">
            <v>HLP</v>
          </cell>
          <cell r="B1321" t="str">
            <v>WPW Wirtschaftsprüfungsgesellschaft Holup KG</v>
          </cell>
        </row>
        <row r="1322">
          <cell r="A1322" t="str">
            <v>HLR</v>
          </cell>
          <cell r="B1322" t="str">
            <v>Heiler Software AG</v>
          </cell>
        </row>
        <row r="1323">
          <cell r="A1323" t="str">
            <v>HMB</v>
          </cell>
          <cell r="B1323" t="str">
            <v>Hummingbird Ltd.</v>
          </cell>
        </row>
        <row r="1324">
          <cell r="A1324" t="str">
            <v>HMC</v>
          </cell>
          <cell r="B1324" t="str">
            <v>Hyundai Corporation</v>
          </cell>
        </row>
        <row r="1325">
          <cell r="A1325" t="str">
            <v>HML</v>
          </cell>
          <cell r="B1325" t="str">
            <v>Horizon Milling G.P.</v>
          </cell>
        </row>
        <row r="1326">
          <cell r="A1326" t="str">
            <v>HMN</v>
          </cell>
          <cell r="B1326" t="str">
            <v>Hyundai Mnsoft, Inc.</v>
          </cell>
        </row>
        <row r="1327">
          <cell r="A1327" t="str">
            <v>HMP</v>
          </cell>
          <cell r="B1327" t="str">
            <v>Hempel Fonden</v>
          </cell>
        </row>
        <row r="1328">
          <cell r="A1328" t="str">
            <v>HMS</v>
          </cell>
          <cell r="B1328" t="str">
            <v>HANSA Marketing Services USA, Inc.</v>
          </cell>
        </row>
        <row r="1329">
          <cell r="A1329" t="str">
            <v>HMW</v>
          </cell>
          <cell r="B1329" t="str">
            <v>Hommelwerke GmbH</v>
          </cell>
        </row>
        <row r="1330">
          <cell r="A1330" t="str">
            <v>HNC</v>
          </cell>
          <cell r="B1330" t="str">
            <v>Headache Network Canada</v>
          </cell>
        </row>
        <row r="1331">
          <cell r="A1331" t="str">
            <v>HNI</v>
          </cell>
          <cell r="B1331" t="str">
            <v>HealthNotes Inc</v>
          </cell>
        </row>
        <row r="1332">
          <cell r="A1332" t="str">
            <v>HNK</v>
          </cell>
          <cell r="B1332" t="str">
            <v>Heineken Holding N.V.</v>
          </cell>
        </row>
        <row r="1333">
          <cell r="A1333" t="str">
            <v>HNS</v>
          </cell>
          <cell r="B1333" t="str">
            <v>Hughes Electronic Corporation</v>
          </cell>
        </row>
        <row r="1334">
          <cell r="A1334" t="str">
            <v>HOB</v>
          </cell>
          <cell r="B1334" t="str">
            <v>Homebase Ltd</v>
          </cell>
        </row>
        <row r="1335">
          <cell r="A1335" t="str">
            <v>HOF</v>
          </cell>
          <cell r="B1335" t="str">
            <v>Hoffmann Group</v>
          </cell>
        </row>
        <row r="1336">
          <cell r="A1336" t="str">
            <v>HOH</v>
          </cell>
          <cell r="B1336" t="str">
            <v>Holec Holland N.V.</v>
          </cell>
        </row>
        <row r="1337">
          <cell r="A1337" t="str">
            <v>HOM</v>
          </cell>
          <cell r="B1337" t="str">
            <v>Homag Holzbearbeitungssysteme AG</v>
          </cell>
        </row>
        <row r="1338">
          <cell r="A1338" t="str">
            <v>HON</v>
          </cell>
          <cell r="B1338" t="str">
            <v>Honeywell International Inc.</v>
          </cell>
        </row>
        <row r="1339">
          <cell r="A1339" t="str">
            <v>HOR</v>
          </cell>
          <cell r="B1339" t="str">
            <v>Hoerbiger Holding  AG</v>
          </cell>
        </row>
        <row r="1340">
          <cell r="A1340" t="str">
            <v>HOS</v>
          </cell>
          <cell r="B1340" t="str">
            <v>Hospira Inc</v>
          </cell>
        </row>
        <row r="1341">
          <cell r="A1341" t="str">
            <v>HPE</v>
          </cell>
          <cell r="B1341" t="str">
            <v>Hidden Path Entertainment Llc</v>
          </cell>
        </row>
        <row r="1342">
          <cell r="A1342" t="str">
            <v>HPT</v>
          </cell>
          <cell r="B1342" t="str">
            <v>Grupo Hispatec Informática Empresarial, S.A.</v>
          </cell>
        </row>
        <row r="1343">
          <cell r="A1343" t="str">
            <v>HRD</v>
          </cell>
          <cell r="B1343" t="str">
            <v>HOTEL RESERVATION SERVICE Robert Ragge GmbH</v>
          </cell>
        </row>
        <row r="1344">
          <cell r="A1344" t="str">
            <v>HRE</v>
          </cell>
          <cell r="B1344" t="str">
            <v>Hotel Room eXchange</v>
          </cell>
        </row>
        <row r="1345">
          <cell r="A1345" t="str">
            <v>HRG</v>
          </cell>
          <cell r="B1345" t="str">
            <v>Home Retail Group plc</v>
          </cell>
        </row>
        <row r="1346">
          <cell r="A1346" t="str">
            <v>HRH</v>
          </cell>
          <cell r="B1346" t="str">
            <v>Heinrich Heine GmbH</v>
          </cell>
        </row>
        <row r="1347">
          <cell r="A1347" t="str">
            <v>HRM</v>
          </cell>
          <cell r="B1347" t="str">
            <v>Harman International Industries, Inc.</v>
          </cell>
        </row>
        <row r="1348">
          <cell r="A1348" t="str">
            <v>HRO</v>
          </cell>
          <cell r="B1348" t="str">
            <v>Hill-Rom Holdings, Inc.</v>
          </cell>
        </row>
        <row r="1349">
          <cell r="A1349" t="str">
            <v>HRS</v>
          </cell>
          <cell r="B1349" t="str">
            <v>HEARIS</v>
          </cell>
        </row>
        <row r="1350">
          <cell r="A1350" t="str">
            <v>HRT</v>
          </cell>
          <cell r="B1350" t="str">
            <v>Heartsome Holdings Pte. Ltd</v>
          </cell>
        </row>
        <row r="1351">
          <cell r="A1351" t="str">
            <v>HSB</v>
          </cell>
          <cell r="B1351" t="str">
            <v>HSBC Holdings plc</v>
          </cell>
        </row>
        <row r="1352">
          <cell r="A1352" t="str">
            <v>HSC</v>
          </cell>
          <cell r="B1352" t="str">
            <v>K.K. Human Science</v>
          </cell>
        </row>
        <row r="1353">
          <cell r="A1353" t="str">
            <v>HSF</v>
          </cell>
          <cell r="B1353" t="str">
            <v>Heart &amp; Stroke Foundation of Canada</v>
          </cell>
        </row>
        <row r="1354">
          <cell r="A1354" t="str">
            <v>HSI</v>
          </cell>
          <cell r="B1354" t="str">
            <v xml:space="preserve">Hosteling International </v>
          </cell>
        </row>
        <row r="1355">
          <cell r="A1355" t="str">
            <v>HSK</v>
          </cell>
          <cell r="B1355" t="str">
            <v>Husky Injection Molding Systems Ltd.</v>
          </cell>
        </row>
        <row r="1356">
          <cell r="A1356" t="str">
            <v>HSL</v>
          </cell>
          <cell r="B1356" t="str">
            <v>Hunter Straker Limited</v>
          </cell>
        </row>
        <row r="1357">
          <cell r="A1357" t="str">
            <v>HST</v>
          </cell>
          <cell r="B1357" t="str">
            <v>Haansoft, Inc</v>
          </cell>
        </row>
        <row r="1358">
          <cell r="A1358" t="str">
            <v>HTC</v>
          </cell>
          <cell r="B1358" t="str">
            <v>High Tech Computer Corp</v>
          </cell>
        </row>
        <row r="1359">
          <cell r="A1359" t="str">
            <v>HTI</v>
          </cell>
          <cell r="B1359" t="str">
            <v>Hughes Telematics, Inc</v>
          </cell>
        </row>
        <row r="1360">
          <cell r="A1360" t="str">
            <v>HTK</v>
          </cell>
          <cell r="B1360" t="str">
            <v>Huhtamaki Oyj</v>
          </cell>
        </row>
        <row r="1361">
          <cell r="A1361" t="str">
            <v>HTT</v>
          </cell>
          <cell r="B1361" t="str">
            <v>Hinttech B.V.</v>
          </cell>
        </row>
        <row r="1362">
          <cell r="A1362" t="str">
            <v>HU0</v>
          </cell>
          <cell r="B1362" t="str">
            <v>Huneed Technologies</v>
          </cell>
        </row>
        <row r="1363">
          <cell r="A1363" t="str">
            <v>HUA</v>
          </cell>
          <cell r="B1363" t="str">
            <v>Huawei Technologies Co., Ltd</v>
          </cell>
        </row>
        <row r="1364">
          <cell r="A1364" t="str">
            <v>HUC</v>
          </cell>
          <cell r="B1364" t="str">
            <v>Humco Compounding</v>
          </cell>
        </row>
        <row r="1365">
          <cell r="A1365" t="str">
            <v>HUL</v>
          </cell>
          <cell r="B1365" t="str">
            <v>Hulskamp Beheer B.V.</v>
          </cell>
        </row>
        <row r="1366">
          <cell r="A1366" t="str">
            <v>HUM</v>
          </cell>
          <cell r="B1366" t="str">
            <v>Humax Corporation</v>
          </cell>
        </row>
        <row r="1367">
          <cell r="A1367" t="str">
            <v>HUN</v>
          </cell>
          <cell r="B1367" t="str">
            <v>Hunter Engineering Company</v>
          </cell>
        </row>
        <row r="1368">
          <cell r="A1368" t="str">
            <v>HUR</v>
          </cell>
          <cell r="B1368" t="str">
            <v>Hurtigruten AS</v>
          </cell>
        </row>
        <row r="1369">
          <cell r="A1369" t="str">
            <v>HUS</v>
          </cell>
          <cell r="B1369" t="str">
            <v>Husqvarna AB</v>
          </cell>
        </row>
        <row r="1370">
          <cell r="A1370" t="str">
            <v>HUT</v>
          </cell>
          <cell r="B1370" t="str">
            <v>Hutchinson Leek</v>
          </cell>
        </row>
        <row r="1371">
          <cell r="A1371" t="str">
            <v>HVM</v>
          </cell>
          <cell r="B1371" t="str">
            <v>University of Washington</v>
          </cell>
        </row>
        <row r="1372">
          <cell r="A1372" t="str">
            <v>HVY</v>
          </cell>
          <cell r="B1372" t="str">
            <v>Harvey's - Cara Operations</v>
          </cell>
        </row>
        <row r="1373">
          <cell r="A1373" t="str">
            <v>HWA</v>
          </cell>
          <cell r="B1373" t="str">
            <v>HomeAway, Inc</v>
          </cell>
        </row>
        <row r="1374">
          <cell r="A1374" t="str">
            <v>HWO</v>
          </cell>
          <cell r="B1374" t="str">
            <v>Hanley Wood, LLC</v>
          </cell>
        </row>
        <row r="1375">
          <cell r="A1375" t="str">
            <v>HWT</v>
          </cell>
          <cell r="B1375" t="str">
            <v>Handwriting without Tears</v>
          </cell>
        </row>
        <row r="1376">
          <cell r="A1376" t="str">
            <v>HWY</v>
          </cell>
          <cell r="B1376" t="str">
            <v>Hawkeye</v>
          </cell>
        </row>
        <row r="1377">
          <cell r="A1377" t="str">
            <v>HYA</v>
          </cell>
          <cell r="B1377" t="str">
            <v>Global Hyatt Corporation</v>
          </cell>
        </row>
        <row r="1378">
          <cell r="A1378" t="str">
            <v>HYL</v>
          </cell>
          <cell r="B1378" t="str">
            <v>Hyland Software Inc.</v>
          </cell>
        </row>
        <row r="1379">
          <cell r="A1379" t="str">
            <v>HYP</v>
          </cell>
          <cell r="B1379" t="str">
            <v>Hyperion Solutions Corporation</v>
          </cell>
        </row>
        <row r="1380">
          <cell r="A1380" t="str">
            <v>HYS</v>
          </cell>
          <cell r="B1380" t="str">
            <v>Hays AG</v>
          </cell>
        </row>
        <row r="1381">
          <cell r="A1381" t="str">
            <v>HYU</v>
          </cell>
          <cell r="B1381" t="str">
            <v>Hyundai Motor Company</v>
          </cell>
        </row>
        <row r="1382">
          <cell r="A1382" t="str">
            <v>HYW</v>
          </cell>
          <cell r="B1382" t="str">
            <v>Hyperwave AG</v>
          </cell>
        </row>
        <row r="1383">
          <cell r="A1383" t="str">
            <v>I2T</v>
          </cell>
          <cell r="B1383" t="str">
            <v>I2 Technologies Inc</v>
          </cell>
        </row>
        <row r="1384">
          <cell r="A1384" t="str">
            <v>IAC</v>
          </cell>
          <cell r="B1384" t="str">
            <v>IAC/InterActiveCorp</v>
          </cell>
        </row>
        <row r="1385">
          <cell r="A1385" t="str">
            <v>IAG</v>
          </cell>
          <cell r="B1385" t="str">
            <v>Gestion Iamgold</v>
          </cell>
        </row>
        <row r="1386">
          <cell r="A1386" t="str">
            <v>IAI</v>
          </cell>
          <cell r="B1386" t="str">
            <v>Intrinsic Assets, Inc.</v>
          </cell>
        </row>
        <row r="1387">
          <cell r="A1387" t="str">
            <v>IAP</v>
          </cell>
          <cell r="B1387" t="str">
            <v>Intrawelt di Alessandro Potalivo &amp; C.Sas</v>
          </cell>
        </row>
        <row r="1388">
          <cell r="A1388" t="str">
            <v>IAS</v>
          </cell>
          <cell r="B1388" t="str">
            <v>International Accounting Stds Committee Foundation</v>
          </cell>
        </row>
        <row r="1389">
          <cell r="A1389" t="str">
            <v>IAT</v>
          </cell>
          <cell r="B1389" t="str">
            <v>Inter@ctive</v>
          </cell>
        </row>
        <row r="1390">
          <cell r="A1390" t="str">
            <v>IAU</v>
          </cell>
          <cell r="B1390" t="str">
            <v>IP Australia</v>
          </cell>
        </row>
        <row r="1391">
          <cell r="A1391" t="str">
            <v>IB1</v>
          </cell>
          <cell r="B1391" t="str">
            <v>Ion Beam Applications S.A.</v>
          </cell>
        </row>
        <row r="1392">
          <cell r="A1392" t="str">
            <v>IBA</v>
          </cell>
          <cell r="B1392" t="str">
            <v>Haver &amp; Boeker</v>
          </cell>
        </row>
        <row r="1393">
          <cell r="A1393" t="str">
            <v>IBD</v>
          </cell>
          <cell r="B1393" t="str">
            <v>Iberdrola Group</v>
          </cell>
        </row>
        <row r="1394">
          <cell r="A1394" t="str">
            <v>IBG</v>
          </cell>
          <cell r="B1394" t="str">
            <v>Informatie Beheer Groep</v>
          </cell>
        </row>
        <row r="1395">
          <cell r="A1395" t="str">
            <v>IBM</v>
          </cell>
          <cell r="B1395" t="str">
            <v>IBM Corporation</v>
          </cell>
        </row>
        <row r="1396">
          <cell r="A1396" t="str">
            <v>IBO</v>
          </cell>
          <cell r="B1396" t="str">
            <v>Isabella Oliver Ltd</v>
          </cell>
        </row>
        <row r="1397">
          <cell r="A1397" t="str">
            <v>IBR</v>
          </cell>
          <cell r="B1397" t="str">
            <v>IBR Computertechnik GmbH</v>
          </cell>
        </row>
        <row r="1398">
          <cell r="A1398" t="str">
            <v>IBS</v>
          </cell>
          <cell r="B1398" t="str">
            <v>International Business Systems AB</v>
          </cell>
        </row>
        <row r="1399">
          <cell r="A1399" t="str">
            <v>IBU</v>
          </cell>
          <cell r="B1399" t="str">
            <v>Industrial Building Supplies &amp; Services N.V</v>
          </cell>
        </row>
        <row r="1400">
          <cell r="A1400" t="str">
            <v>IBX</v>
          </cell>
          <cell r="B1400" t="str">
            <v>IBX Integrated Business Exchange AB</v>
          </cell>
        </row>
        <row r="1401">
          <cell r="A1401" t="str">
            <v>ICA</v>
          </cell>
          <cell r="B1401" t="str">
            <v>The International Civil Aviation Organization</v>
          </cell>
        </row>
        <row r="1402">
          <cell r="A1402" t="str">
            <v>ICG</v>
          </cell>
          <cell r="B1402" t="str">
            <v>IC Group</v>
          </cell>
        </row>
        <row r="1403">
          <cell r="A1403" t="str">
            <v>ICI</v>
          </cell>
          <cell r="B1403" t="str">
            <v>Institut canadien d'information sur la santé</v>
          </cell>
        </row>
        <row r="1404">
          <cell r="A1404" t="str">
            <v>ICL</v>
          </cell>
          <cell r="B1404" t="str">
            <v>International Customer Loyalty Programmes Pte Ltd</v>
          </cell>
        </row>
        <row r="1405">
          <cell r="A1405" t="str">
            <v>ICO</v>
          </cell>
          <cell r="B1405" t="str">
            <v>IconNicholson NY LLC</v>
          </cell>
        </row>
        <row r="1406">
          <cell r="A1406" t="str">
            <v>ICR</v>
          </cell>
          <cell r="B1406" t="str">
            <v>iCtrl</v>
          </cell>
        </row>
        <row r="1407">
          <cell r="A1407" t="str">
            <v>ICS</v>
          </cell>
          <cell r="B1407" t="str">
            <v>icon Systemhaus GmbH</v>
          </cell>
        </row>
        <row r="1408">
          <cell r="A1408" t="str">
            <v>ICT</v>
          </cell>
          <cell r="B1408" t="str">
            <v>ICTI</v>
          </cell>
        </row>
        <row r="1409">
          <cell r="A1409" t="str">
            <v>ICX</v>
          </cell>
          <cell r="B1409" t="str">
            <v xml:space="preserve">IC Axon </v>
          </cell>
        </row>
        <row r="1410">
          <cell r="A1410" t="str">
            <v>IDA</v>
          </cell>
          <cell r="B1410" t="str">
            <v>ID Group SA</v>
          </cell>
        </row>
        <row r="1411">
          <cell r="A1411" t="str">
            <v>IDE</v>
          </cell>
          <cell r="B1411" t="str">
            <v>Intelligent Decision Systems, Inc</v>
          </cell>
        </row>
        <row r="1412">
          <cell r="A1412" t="str">
            <v>IDG</v>
          </cell>
          <cell r="B1412" t="str">
            <v>International Data Group (IDG)</v>
          </cell>
        </row>
        <row r="1413">
          <cell r="A1413" t="str">
            <v>IDI</v>
          </cell>
          <cell r="B1413" t="str">
            <v>Idion Technology Holdings</v>
          </cell>
        </row>
        <row r="1414">
          <cell r="A1414" t="str">
            <v>IDS</v>
          </cell>
          <cell r="B1414" t="str">
            <v>IDS Scheer AG</v>
          </cell>
        </row>
        <row r="1415">
          <cell r="A1415" t="str">
            <v>IDX</v>
          </cell>
          <cell r="B1415" t="str">
            <v>Idex Corporation</v>
          </cell>
        </row>
        <row r="1416">
          <cell r="A1416" t="str">
            <v>IES</v>
          </cell>
          <cell r="B1416" t="str">
            <v>IESE Business School - University of Navarra</v>
          </cell>
        </row>
        <row r="1417">
          <cell r="A1417" t="str">
            <v>IF0</v>
          </cell>
          <cell r="B1417" t="str">
            <v>Info.com Ltd</v>
          </cell>
        </row>
        <row r="1418">
          <cell r="A1418" t="str">
            <v>IFA</v>
          </cell>
          <cell r="B1418" t="str">
            <v>Icelandic Ministry for Foreign Affairs</v>
          </cell>
        </row>
        <row r="1419">
          <cell r="A1419" t="str">
            <v>IFB</v>
          </cell>
          <cell r="B1419" t="str">
            <v>Information Builders Inc.</v>
          </cell>
        </row>
        <row r="1420">
          <cell r="A1420" t="str">
            <v>IFL</v>
          </cell>
          <cell r="B1420" t="str">
            <v>Infopro Learning, Inc.</v>
          </cell>
        </row>
        <row r="1421">
          <cell r="A1421" t="str">
            <v>IFN</v>
          </cell>
          <cell r="B1421" t="str">
            <v>IFN Financial Press Limited</v>
          </cell>
        </row>
        <row r="1422">
          <cell r="A1422" t="str">
            <v>IFO</v>
          </cell>
          <cell r="B1422" t="str">
            <v>Infosys Technologies Ltd</v>
          </cell>
        </row>
        <row r="1423">
          <cell r="A1423" t="str">
            <v>IFR</v>
          </cell>
          <cell r="B1423" t="str">
            <v>Infraware Inc.</v>
          </cell>
        </row>
        <row r="1424">
          <cell r="A1424" t="str">
            <v>IFS</v>
          </cell>
          <cell r="B1424" t="str">
            <v>IFS AB</v>
          </cell>
        </row>
        <row r="1425">
          <cell r="A1425" t="str">
            <v>IGC</v>
          </cell>
          <cell r="B1425" t="str">
            <v>Inter Group Corporation</v>
          </cell>
        </row>
        <row r="1426">
          <cell r="A1426" t="str">
            <v>IGG</v>
          </cell>
          <cell r="B1426" t="str">
            <v>ING Groep N.V.</v>
          </cell>
        </row>
        <row r="1427">
          <cell r="A1427" t="str">
            <v>IGI</v>
          </cell>
          <cell r="B1427" t="str">
            <v>Intel-GE Care Innovations LLC</v>
          </cell>
        </row>
        <row r="1428">
          <cell r="A1428" t="str">
            <v>IGM</v>
          </cell>
          <cell r="B1428" t="str">
            <v>Intergamma B.V.</v>
          </cell>
        </row>
        <row r="1429">
          <cell r="A1429" t="str">
            <v>IGN</v>
          </cell>
          <cell r="B1429" t="str">
            <v>Ignis Asset Management Limited Group</v>
          </cell>
        </row>
        <row r="1430">
          <cell r="A1430" t="str">
            <v>IGO</v>
          </cell>
          <cell r="B1430" t="str">
            <v>Indigo Books and Music Inc.</v>
          </cell>
        </row>
        <row r="1431">
          <cell r="A1431" t="str">
            <v>IGR</v>
          </cell>
          <cell r="B1431" t="str">
            <v>ID Group</v>
          </cell>
        </row>
        <row r="1432">
          <cell r="A1432" t="str">
            <v>IGS</v>
          </cell>
          <cell r="B1432" t="str">
            <v>Infor Global Solutions</v>
          </cell>
        </row>
        <row r="1433">
          <cell r="A1433" t="str">
            <v>IGV</v>
          </cell>
          <cell r="B1433" t="str">
            <v>Indigo Vision</v>
          </cell>
        </row>
        <row r="1434">
          <cell r="A1434" t="str">
            <v>IHC</v>
          </cell>
          <cell r="B1434" t="str">
            <v>IHC Caland N.V.</v>
          </cell>
        </row>
        <row r="1435">
          <cell r="A1435" t="str">
            <v>IHG</v>
          </cell>
          <cell r="B1435" t="str">
            <v>InterContinental Hotels Group PLC</v>
          </cell>
        </row>
        <row r="1436">
          <cell r="A1436" t="str">
            <v>IHI</v>
          </cell>
          <cell r="B1436" t="str">
            <v>EQT Partners AB</v>
          </cell>
        </row>
        <row r="1437">
          <cell r="A1437" t="str">
            <v>IHO</v>
          </cell>
          <cell r="B1437" t="str">
            <v>Information Holdings Inc.</v>
          </cell>
        </row>
        <row r="1438">
          <cell r="A1438" t="str">
            <v>IHS</v>
          </cell>
          <cell r="B1438" t="str">
            <v>IHS Inc.</v>
          </cell>
        </row>
        <row r="1439">
          <cell r="A1439" t="str">
            <v>IKB</v>
          </cell>
          <cell r="B1439" t="str">
            <v>IKB Deutsche Industriebank AG</v>
          </cell>
        </row>
        <row r="1440">
          <cell r="A1440" t="str">
            <v>IKE</v>
          </cell>
          <cell r="B1440" t="str">
            <v>Stichting INGKA Foundation</v>
          </cell>
        </row>
        <row r="1441">
          <cell r="A1441" t="str">
            <v>ILG</v>
          </cell>
          <cell r="B1441" t="str">
            <v>Interlingua Language Services GmbH</v>
          </cell>
        </row>
        <row r="1442">
          <cell r="A1442" t="str">
            <v>ILO</v>
          </cell>
          <cell r="B1442" t="str">
            <v>International Logistic Group, LLC</v>
          </cell>
        </row>
        <row r="1443">
          <cell r="A1443" t="str">
            <v>ILS</v>
          </cell>
          <cell r="B1443" t="str">
            <v>iLenSys Technologies Pvt Ltd.</v>
          </cell>
        </row>
        <row r="1444">
          <cell r="A1444" t="str">
            <v>ILT</v>
          </cell>
          <cell r="B1444" t="str">
            <v>ILTE</v>
          </cell>
        </row>
        <row r="1445">
          <cell r="A1445" t="str">
            <v>ILX</v>
          </cell>
          <cell r="B1445" t="str">
            <v>ILEX Computing Ltd</v>
          </cell>
        </row>
        <row r="1446">
          <cell r="A1446" t="str">
            <v>IM0</v>
          </cell>
          <cell r="B1446" t="str">
            <v>Ingram Micro Inc</v>
          </cell>
        </row>
        <row r="1447">
          <cell r="A1447" t="str">
            <v>IMA</v>
          </cell>
          <cell r="B1447" t="str">
            <v>Imation Corp</v>
          </cell>
        </row>
        <row r="1448">
          <cell r="A1448" t="str">
            <v>IMC</v>
          </cell>
          <cell r="B1448" t="str">
            <v>International Multifoods Corporation</v>
          </cell>
        </row>
        <row r="1449">
          <cell r="A1449" t="str">
            <v>IME</v>
          </cell>
          <cell r="B1449" t="str">
            <v>Image Metrology A/S</v>
          </cell>
        </row>
        <row r="1450">
          <cell r="A1450" t="str">
            <v>IMI</v>
          </cell>
          <cell r="B1450" t="str">
            <v>Industri-Matematik International Corp</v>
          </cell>
        </row>
        <row r="1451">
          <cell r="A1451" t="str">
            <v>IMM</v>
          </cell>
          <cell r="B1451" t="str">
            <v>Immunicon Corporation</v>
          </cell>
        </row>
        <row r="1452">
          <cell r="A1452" t="str">
            <v>IMN</v>
          </cell>
          <cell r="B1452" t="str">
            <v>E-Lane Systems Inc</v>
          </cell>
        </row>
        <row r="1453">
          <cell r="A1453" t="str">
            <v>IMP</v>
          </cell>
          <cell r="B1453" t="str">
            <v>Ideal Medical Products SA</v>
          </cell>
        </row>
        <row r="1454">
          <cell r="A1454" t="str">
            <v>IMS</v>
          </cell>
          <cell r="B1454" t="str">
            <v>International Microcomputer Software Inc</v>
          </cell>
        </row>
        <row r="1455">
          <cell r="A1455" t="str">
            <v>IMT</v>
          </cell>
          <cell r="B1455" t="str">
            <v>Imtech N.V.</v>
          </cell>
        </row>
        <row r="1456">
          <cell r="A1456" t="str">
            <v>IN0</v>
          </cell>
          <cell r="B1456" t="str">
            <v>Ingång Reklambyrå AB</v>
          </cell>
        </row>
        <row r="1457">
          <cell r="A1457" t="str">
            <v>IN1</v>
          </cell>
          <cell r="B1457" t="str">
            <v>Infineon Technologies AG</v>
          </cell>
        </row>
        <row r="1458">
          <cell r="A1458" t="str">
            <v>IN2</v>
          </cell>
          <cell r="B1458" t="str">
            <v>Intact Insurance Company</v>
          </cell>
        </row>
        <row r="1459">
          <cell r="A1459" t="str">
            <v>IN3</v>
          </cell>
          <cell r="B1459" t="str">
            <v>INDICIA LLC</v>
          </cell>
        </row>
        <row r="1460">
          <cell r="A1460" t="str">
            <v>IN4</v>
          </cell>
          <cell r="B1460" t="str">
            <v>Indicio S/A</v>
          </cell>
        </row>
        <row r="1461">
          <cell r="A1461" t="str">
            <v>IN7</v>
          </cell>
          <cell r="B1461" t="str">
            <v>Iris Nation Worldwide Ltd.</v>
          </cell>
        </row>
        <row r="1462">
          <cell r="A1462" t="str">
            <v>INA</v>
          </cell>
          <cell r="B1462" t="str">
            <v>Informatica Corporation</v>
          </cell>
        </row>
        <row r="1463">
          <cell r="A1463" t="str">
            <v>INB</v>
          </cell>
          <cell r="B1463" t="str">
            <v>Indivirtual B.V</v>
          </cell>
        </row>
        <row r="1464">
          <cell r="A1464" t="str">
            <v>INC</v>
          </cell>
          <cell r="B1464" t="str">
            <v>Invacare Corporation</v>
          </cell>
        </row>
        <row r="1465">
          <cell r="A1465" t="str">
            <v>IND</v>
          </cell>
          <cell r="B1465" t="str">
            <v>Indus International Inc</v>
          </cell>
        </row>
        <row r="1466">
          <cell r="A1466" t="str">
            <v>INE</v>
          </cell>
          <cell r="B1466" t="str">
            <v>Infogroup Inc.</v>
          </cell>
        </row>
        <row r="1467">
          <cell r="A1467" t="str">
            <v>INF</v>
          </cell>
          <cell r="B1467" t="str">
            <v>InfiniT e.V.</v>
          </cell>
        </row>
        <row r="1468">
          <cell r="A1468" t="str">
            <v>ING</v>
          </cell>
          <cell r="B1468" t="str">
            <v>Intergraph Corporation</v>
          </cell>
        </row>
        <row r="1469">
          <cell r="A1469" t="str">
            <v>INH</v>
          </cell>
          <cell r="B1469" t="str">
            <v>INTRALOT S.A.</v>
          </cell>
        </row>
        <row r="1470">
          <cell r="A1470" t="str">
            <v>INI</v>
          </cell>
          <cell r="B1470" t="str">
            <v>Insight Investments</v>
          </cell>
        </row>
        <row r="1471">
          <cell r="A1471" t="str">
            <v>INL</v>
          </cell>
          <cell r="B1471" t="str">
            <v>Investis Ltd</v>
          </cell>
        </row>
        <row r="1472">
          <cell r="A1472" t="str">
            <v>INM</v>
          </cell>
          <cell r="B1472" t="str">
            <v>Inverness Medical Innovations, Inc.</v>
          </cell>
        </row>
        <row r="1473">
          <cell r="A1473" t="str">
            <v>INN</v>
          </cell>
          <cell r="B1473" t="str">
            <v>Insightone Nordic AB</v>
          </cell>
        </row>
        <row r="1474">
          <cell r="A1474" t="str">
            <v>INO</v>
          </cell>
          <cell r="B1474" t="str">
            <v>Incentro</v>
          </cell>
        </row>
        <row r="1475">
          <cell r="A1475" t="str">
            <v>INP</v>
          </cell>
          <cell r="B1475" t="str">
            <v>International Paper Co.</v>
          </cell>
        </row>
        <row r="1476">
          <cell r="A1476" t="str">
            <v>INQ</v>
          </cell>
          <cell r="B1476" t="str">
            <v>Internal - Gateway</v>
          </cell>
        </row>
        <row r="1477">
          <cell r="A1477" t="str">
            <v>INR</v>
          </cell>
          <cell r="B1477" t="str">
            <v>Indra Sistemas S.A.</v>
          </cell>
        </row>
        <row r="1478">
          <cell r="A1478" t="str">
            <v>INS</v>
          </cell>
          <cell r="B1478" t="str">
            <v>Info-Satz Stuttgart GmbH</v>
          </cell>
        </row>
        <row r="1479">
          <cell r="A1479" t="str">
            <v>INT</v>
          </cell>
          <cell r="B1479" t="str">
            <v>Intentia R&amp;D AB</v>
          </cell>
        </row>
        <row r="1480">
          <cell r="A1480" t="str">
            <v>INV</v>
          </cell>
          <cell r="B1480" t="str">
            <v>Invivo Corporation</v>
          </cell>
        </row>
        <row r="1481">
          <cell r="A1481" t="str">
            <v>INW</v>
          </cell>
          <cell r="B1481" t="str">
            <v>iWin</v>
          </cell>
        </row>
        <row r="1482">
          <cell r="A1482" t="str">
            <v>INX</v>
          </cell>
          <cell r="B1482" t="str">
            <v>All Interpreting Services Projects - 2011</v>
          </cell>
        </row>
        <row r="1483">
          <cell r="A1483" t="str">
            <v>IOM</v>
          </cell>
          <cell r="B1483" t="str">
            <v>Iomega Corporation</v>
          </cell>
        </row>
        <row r="1484">
          <cell r="A1484" t="str">
            <v>ION</v>
          </cell>
          <cell r="B1484" t="str">
            <v>I-ON Communications Inc.</v>
          </cell>
        </row>
        <row r="1485">
          <cell r="A1485" t="str">
            <v>IP1</v>
          </cell>
          <cell r="B1485" t="str">
            <v>IPC Systems Inc</v>
          </cell>
        </row>
        <row r="1486">
          <cell r="A1486" t="str">
            <v>IPA</v>
          </cell>
          <cell r="B1486" t="str">
            <v>iPass Inc</v>
          </cell>
        </row>
        <row r="1487">
          <cell r="A1487" t="str">
            <v>IPC</v>
          </cell>
          <cell r="B1487" t="str">
            <v>Infopro Corporation</v>
          </cell>
        </row>
        <row r="1488">
          <cell r="A1488" t="str">
            <v>IPD</v>
          </cell>
          <cell r="B1488" t="str">
            <v>iParadigms, LLC</v>
          </cell>
        </row>
        <row r="1489">
          <cell r="A1489" t="str">
            <v>IPG</v>
          </cell>
          <cell r="B1489" t="str">
            <v>Interpublic Group of Companies Inc</v>
          </cell>
        </row>
        <row r="1490">
          <cell r="A1490" t="str">
            <v>IPJ</v>
          </cell>
          <cell r="B1490" t="str">
            <v>IT Preneurs Japan/Asia Pacific Inc</v>
          </cell>
        </row>
        <row r="1491">
          <cell r="A1491" t="str">
            <v>IPK</v>
          </cell>
          <cell r="B1491" t="str">
            <v>Interparcs B.V.</v>
          </cell>
        </row>
        <row r="1492">
          <cell r="A1492" t="str">
            <v>IPL</v>
          </cell>
          <cell r="B1492" t="str">
            <v>iPlanet E-Commerce Solutions- A Sun | Netscape All</v>
          </cell>
        </row>
        <row r="1493">
          <cell r="A1493" t="str">
            <v>IPN</v>
          </cell>
          <cell r="B1493" t="str">
            <v>Intelliplan  AB</v>
          </cell>
        </row>
        <row r="1494">
          <cell r="A1494" t="str">
            <v>IPO</v>
          </cell>
          <cell r="B1494" t="str">
            <v>IPL Group Ltd</v>
          </cell>
        </row>
        <row r="1495">
          <cell r="A1495" t="str">
            <v>IPS</v>
          </cell>
          <cell r="B1495" t="str">
            <v>Impetus UK Ltd</v>
          </cell>
        </row>
        <row r="1496">
          <cell r="A1496" t="str">
            <v>IRN</v>
          </cell>
          <cell r="B1496" t="str">
            <v>Iron Mountain Incorporated</v>
          </cell>
        </row>
        <row r="1497">
          <cell r="A1497" t="str">
            <v>IRP</v>
          </cell>
          <cell r="B1497" t="str">
            <v>Institut de Radioprotection et de Sûreté Nucléaire</v>
          </cell>
        </row>
        <row r="1498">
          <cell r="A1498" t="str">
            <v>IS0</v>
          </cell>
          <cell r="B1498" t="str">
            <v>ISI China</v>
          </cell>
        </row>
        <row r="1499">
          <cell r="A1499" t="str">
            <v>ISA</v>
          </cell>
          <cell r="B1499" t="str">
            <v>ISABEL</v>
          </cell>
        </row>
        <row r="1500">
          <cell r="A1500" t="str">
            <v>ISC</v>
          </cell>
          <cell r="B1500" t="str">
            <v>Inforoute Santé du Canada Inc</v>
          </cell>
        </row>
        <row r="1501">
          <cell r="A1501" t="str">
            <v>ISF</v>
          </cell>
          <cell r="B1501" t="str">
            <v>ISS Management AS</v>
          </cell>
        </row>
        <row r="1502">
          <cell r="A1502" t="str">
            <v>ISH</v>
          </cell>
          <cell r="B1502" t="str">
            <v>Ishida Co.,Ltd</v>
          </cell>
        </row>
        <row r="1503">
          <cell r="A1503" t="str">
            <v>ISI</v>
          </cell>
          <cell r="B1503" t="str">
            <v>Imprimerie Solisco Inc</v>
          </cell>
        </row>
        <row r="1504">
          <cell r="A1504" t="str">
            <v>ISO</v>
          </cell>
          <cell r="B1504" t="str">
            <v>Ipsos S.A.</v>
          </cell>
        </row>
        <row r="1505">
          <cell r="A1505" t="str">
            <v>ISP</v>
          </cell>
          <cell r="B1505" t="str">
            <v>ISC Politie</v>
          </cell>
        </row>
        <row r="1506">
          <cell r="A1506" t="str">
            <v>ISR</v>
          </cell>
          <cell r="B1506" t="str">
            <v>Towers Watson</v>
          </cell>
        </row>
        <row r="1507">
          <cell r="A1507" t="str">
            <v>ISS</v>
          </cell>
          <cell r="B1507" t="str">
            <v>iSoftStone Holdings ltd</v>
          </cell>
        </row>
        <row r="1508">
          <cell r="A1508" t="str">
            <v>ITA</v>
          </cell>
          <cell r="B1508" t="str">
            <v>IT.expert Sp.z.o.o.</v>
          </cell>
        </row>
        <row r="1509">
          <cell r="A1509" t="str">
            <v>ITB</v>
          </cell>
          <cell r="B1509" t="str">
            <v>Interbrew n.v.</v>
          </cell>
        </row>
        <row r="1510">
          <cell r="A1510" t="str">
            <v>ITC</v>
          </cell>
          <cell r="B1510" t="str">
            <v>Interfacing Technologies Corp</v>
          </cell>
        </row>
        <row r="1511">
          <cell r="A1511" t="str">
            <v>ITE</v>
          </cell>
          <cell r="B1511" t="str">
            <v>Itedo Software GmbH</v>
          </cell>
        </row>
        <row r="1512">
          <cell r="A1512" t="str">
            <v>ITH</v>
          </cell>
          <cell r="B1512" t="str">
            <v>IT Holdings Corporation</v>
          </cell>
        </row>
        <row r="1513">
          <cell r="A1513" t="str">
            <v>ITL</v>
          </cell>
          <cell r="B1513" t="str">
            <v>Intel Corporation</v>
          </cell>
        </row>
        <row r="1514">
          <cell r="A1514" t="str">
            <v>ITM</v>
          </cell>
          <cell r="B1514" t="str">
            <v>Internorm International GmbH</v>
          </cell>
        </row>
        <row r="1515">
          <cell r="A1515" t="str">
            <v>ITN</v>
          </cell>
          <cell r="B1515" t="str">
            <v>Interactions Corporation</v>
          </cell>
        </row>
        <row r="1516">
          <cell r="A1516" t="str">
            <v>ITP</v>
          </cell>
          <cell r="B1516" t="str">
            <v>Asseco Denmark A/S</v>
          </cell>
        </row>
        <row r="1517">
          <cell r="A1517" t="str">
            <v>ITR</v>
          </cell>
          <cell r="B1517" t="str">
            <v>Interactive Ltd</v>
          </cell>
        </row>
        <row r="1518">
          <cell r="A1518" t="str">
            <v>ITS</v>
          </cell>
          <cell r="B1518" t="str">
            <v>Industrial Tools Supplies (London) Ltd</v>
          </cell>
        </row>
        <row r="1519">
          <cell r="A1519" t="str">
            <v>ITT</v>
          </cell>
          <cell r="B1519" t="str">
            <v>ITT Corporation</v>
          </cell>
        </row>
        <row r="1520">
          <cell r="A1520" t="str">
            <v>ITU</v>
          </cell>
          <cell r="B1520" t="str">
            <v>Intuit Inc.</v>
          </cell>
        </row>
        <row r="1521">
          <cell r="A1521" t="str">
            <v>IVB</v>
          </cell>
          <cell r="B1521" t="str">
            <v>Interverbum Holdings AB</v>
          </cell>
        </row>
        <row r="1522">
          <cell r="A1522" t="str">
            <v>IVH</v>
          </cell>
          <cell r="B1522" t="str">
            <v>inVentiv Health Inc.</v>
          </cell>
        </row>
        <row r="1523">
          <cell r="A1523" t="str">
            <v>IVN</v>
          </cell>
          <cell r="B1523" t="str">
            <v>IVS NV/SA</v>
          </cell>
        </row>
        <row r="1524">
          <cell r="A1524" t="str">
            <v>IVS</v>
          </cell>
          <cell r="B1524" t="str">
            <v>Invensys Plc</v>
          </cell>
        </row>
        <row r="1525">
          <cell r="A1525" t="str">
            <v>IXA</v>
          </cell>
          <cell r="B1525" t="str">
            <v>Ixia</v>
          </cell>
        </row>
        <row r="1526">
          <cell r="A1526" t="str">
            <v>IZO</v>
          </cell>
          <cell r="B1526" t="str">
            <v>Izodia plc</v>
          </cell>
        </row>
        <row r="1527">
          <cell r="A1527" t="str">
            <v>J2I</v>
          </cell>
          <cell r="B1527" t="str">
            <v>J2 Interactive</v>
          </cell>
        </row>
        <row r="1528">
          <cell r="A1528" t="str">
            <v>JAK</v>
          </cell>
          <cell r="B1528" t="str">
            <v>Jakob Hatteland Holdings AS</v>
          </cell>
        </row>
        <row r="1529">
          <cell r="A1529" t="str">
            <v>JAL</v>
          </cell>
          <cell r="B1529" t="str">
            <v>Japan Airlines Co., Ltd.</v>
          </cell>
        </row>
        <row r="1530">
          <cell r="A1530" t="str">
            <v>JAM</v>
          </cell>
          <cell r="B1530" t="str">
            <v>JAMCO CORPORATION</v>
          </cell>
        </row>
        <row r="1531">
          <cell r="A1531" t="str">
            <v>JAV</v>
          </cell>
          <cell r="B1531" t="str">
            <v>Javelin Group</v>
          </cell>
        </row>
        <row r="1532">
          <cell r="A1532" t="str">
            <v>JBA</v>
          </cell>
          <cell r="B1532" t="str">
            <v>Jyske Bank</v>
          </cell>
        </row>
        <row r="1533">
          <cell r="A1533" t="str">
            <v>JCB</v>
          </cell>
          <cell r="B1533" t="str">
            <v>J C Bamford Excavators Ltd.</v>
          </cell>
        </row>
        <row r="1534">
          <cell r="A1534" t="str">
            <v>JCC</v>
          </cell>
          <cell r="B1534" t="str">
            <v>Jovian Capital Corporation</v>
          </cell>
        </row>
        <row r="1535">
          <cell r="A1535" t="str">
            <v>JCI</v>
          </cell>
          <cell r="B1535" t="str">
            <v>JACOBS &amp; CLEVENGER, INC.</v>
          </cell>
        </row>
        <row r="1536">
          <cell r="A1536" t="str">
            <v>JEN</v>
          </cell>
          <cell r="B1536" t="str">
            <v>Jensen Group</v>
          </cell>
        </row>
        <row r="1537">
          <cell r="A1537" t="str">
            <v>JGB</v>
          </cell>
          <cell r="B1537" t="str">
            <v>Joy Global Inc</v>
          </cell>
        </row>
        <row r="1538">
          <cell r="A1538" t="str">
            <v>JJK</v>
          </cell>
          <cell r="B1538" t="str">
            <v>J.J. Keller &amp; Associates, Inc</v>
          </cell>
        </row>
        <row r="1539">
          <cell r="A1539" t="str">
            <v>JLP</v>
          </cell>
          <cell r="B1539" t="str">
            <v>John Lewis plc</v>
          </cell>
        </row>
        <row r="1540">
          <cell r="A1540" t="str">
            <v>JLR</v>
          </cell>
          <cell r="B1540" t="str">
            <v>Tata Motors Limited</v>
          </cell>
        </row>
        <row r="1541">
          <cell r="A1541" t="str">
            <v>JMC</v>
          </cell>
          <cell r="B1541" t="str">
            <v>Jones McClure Publishing, Inc</v>
          </cell>
        </row>
        <row r="1542">
          <cell r="A1542" t="str">
            <v>JMG</v>
          </cell>
          <cell r="B1542" t="str">
            <v>John McGivney Children's Centre</v>
          </cell>
        </row>
        <row r="1543">
          <cell r="A1543" t="str">
            <v>JMS</v>
          </cell>
          <cell r="B1543" t="str">
            <v>The J. M. Smucker Company</v>
          </cell>
        </row>
        <row r="1544">
          <cell r="A1544" t="str">
            <v>JNJ</v>
          </cell>
          <cell r="B1544" t="str">
            <v>Johnson &amp; Johnson</v>
          </cell>
        </row>
        <row r="1545">
          <cell r="A1545" t="str">
            <v>JOH</v>
          </cell>
          <cell r="B1545" t="str">
            <v>Johnson Controls Inc</v>
          </cell>
        </row>
        <row r="1546">
          <cell r="A1546" t="str">
            <v>JOT</v>
          </cell>
          <cell r="B1546" t="str">
            <v>Jotun A/S</v>
          </cell>
        </row>
        <row r="1547">
          <cell r="A1547" t="str">
            <v>JOU</v>
          </cell>
          <cell r="B1547" t="str">
            <v>Jouve</v>
          </cell>
        </row>
        <row r="1548">
          <cell r="A1548" t="str">
            <v>JPM</v>
          </cell>
          <cell r="B1548" t="str">
            <v>JP Morgan Chase &amp; Co</v>
          </cell>
        </row>
        <row r="1549">
          <cell r="A1549" t="str">
            <v>JRT</v>
          </cell>
          <cell r="B1549" t="str">
            <v>J.R. Thompson Company</v>
          </cell>
        </row>
        <row r="1550">
          <cell r="A1550" t="str">
            <v>JTB</v>
          </cell>
          <cell r="B1550" t="str">
            <v>Jordan Tourism Board</v>
          </cell>
        </row>
        <row r="1551">
          <cell r="A1551" t="str">
            <v>JTC</v>
          </cell>
          <cell r="B1551" t="str">
            <v>Juta and Company</v>
          </cell>
        </row>
        <row r="1552">
          <cell r="A1552" t="str">
            <v>JTD</v>
          </cell>
          <cell r="B1552" t="str">
            <v>JTB Corporation</v>
          </cell>
        </row>
        <row r="1553">
          <cell r="A1553" t="str">
            <v>JUL</v>
          </cell>
          <cell r="B1553" t="str">
            <v>Julianus Kft.</v>
          </cell>
        </row>
        <row r="1554">
          <cell r="A1554" t="str">
            <v>JUN</v>
          </cell>
          <cell r="B1554" t="str">
            <v>Juniper Networks Inc.</v>
          </cell>
        </row>
        <row r="1555">
          <cell r="A1555" t="str">
            <v>JUS</v>
          </cell>
          <cell r="B1555" t="str">
            <v>Justsystems Inc.</v>
          </cell>
        </row>
        <row r="1556">
          <cell r="A1556" t="str">
            <v>JUW</v>
          </cell>
          <cell r="B1556" t="str">
            <v>Juwi MacMillan Group GmbH</v>
          </cell>
        </row>
        <row r="1557">
          <cell r="A1557" t="str">
            <v>JYN</v>
          </cell>
          <cell r="B1557" t="str">
            <v>Joyn - It Informationstechnologie Gmbh</v>
          </cell>
        </row>
        <row r="1558">
          <cell r="A1558" t="str">
            <v>KAA</v>
          </cell>
          <cell r="B1558" t="str">
            <v>Kaak Group</v>
          </cell>
        </row>
        <row r="1559">
          <cell r="A1559" t="str">
            <v>KAE</v>
          </cell>
          <cell r="B1559" t="str">
            <v>KAESER Kompressoren SE</v>
          </cell>
        </row>
        <row r="1560">
          <cell r="A1560" t="str">
            <v>KAI</v>
          </cell>
          <cell r="B1560" t="str">
            <v>Kaiser GmbH &amp; Co. KG</v>
          </cell>
        </row>
        <row r="1561">
          <cell r="A1561" t="str">
            <v>KAK</v>
          </cell>
          <cell r="B1561" t="str">
            <v>Kenyon &amp; Kenyon LLP</v>
          </cell>
        </row>
        <row r="1562">
          <cell r="A1562" t="str">
            <v>KAL</v>
          </cell>
          <cell r="B1562" t="str">
            <v>Kaleidoscope Communications Solutions GmbH</v>
          </cell>
        </row>
        <row r="1563">
          <cell r="A1563" t="str">
            <v>KAN</v>
          </cell>
          <cell r="B1563" t="str">
            <v>K&amp;L Inc</v>
          </cell>
        </row>
        <row r="1564">
          <cell r="A1564" t="str">
            <v>KAP</v>
          </cell>
          <cell r="B1564" t="str">
            <v>Kaplan, Inc</v>
          </cell>
        </row>
        <row r="1565">
          <cell r="A1565" t="str">
            <v>KAR</v>
          </cell>
          <cell r="B1565" t="str">
            <v>Edelman</v>
          </cell>
        </row>
        <row r="1566">
          <cell r="A1566" t="str">
            <v>KAS</v>
          </cell>
          <cell r="B1566" t="str">
            <v>Kawaju Akashi Service K.K.</v>
          </cell>
        </row>
        <row r="1567">
          <cell r="A1567" t="str">
            <v>KAU</v>
          </cell>
          <cell r="B1567" t="str">
            <v>Kaupthing Bank</v>
          </cell>
        </row>
        <row r="1568">
          <cell r="A1568" t="str">
            <v>KAW</v>
          </cell>
          <cell r="B1568" t="str">
            <v>Kawasaki Motors Corporation</v>
          </cell>
        </row>
        <row r="1569">
          <cell r="A1569" t="str">
            <v>KBA</v>
          </cell>
          <cell r="B1569" t="str">
            <v>Knorr-Bremse AG</v>
          </cell>
        </row>
        <row r="1570">
          <cell r="A1570" t="str">
            <v>KBC</v>
          </cell>
          <cell r="B1570" t="str">
            <v>KBC Bank and Insurance Holding Company nv</v>
          </cell>
        </row>
        <row r="1571">
          <cell r="A1571" t="str">
            <v>KBG</v>
          </cell>
          <cell r="B1571" t="str">
            <v>KBC Group NV</v>
          </cell>
        </row>
        <row r="1572">
          <cell r="A1572" t="str">
            <v>KBP</v>
          </cell>
          <cell r="B1572" t="str">
            <v>KBS+P Canada Inc</v>
          </cell>
        </row>
        <row r="1573">
          <cell r="A1573" t="str">
            <v>KBT</v>
          </cell>
          <cell r="B1573" t="str">
            <v>KBA Training Centre Pte Ltd</v>
          </cell>
        </row>
        <row r="1574">
          <cell r="A1574" t="str">
            <v>KBU</v>
          </cell>
          <cell r="B1574" t="str">
            <v>KircherBurkhardt GMBH</v>
          </cell>
        </row>
        <row r="1575">
          <cell r="A1575" t="str">
            <v>KCC</v>
          </cell>
          <cell r="B1575" t="str">
            <v>Kimberly-Clark Corporation</v>
          </cell>
        </row>
        <row r="1576">
          <cell r="A1576" t="str">
            <v>KCI</v>
          </cell>
          <cell r="B1576" t="str">
            <v>Kinetic Concepts, Inc.</v>
          </cell>
        </row>
        <row r="1577">
          <cell r="A1577" t="str">
            <v>KCL</v>
          </cell>
          <cell r="B1577" t="str">
            <v>Kosan Crisplant</v>
          </cell>
        </row>
        <row r="1578">
          <cell r="A1578" t="str">
            <v>KCP</v>
          </cell>
          <cell r="B1578" t="str">
            <v>KC Lux SARL</v>
          </cell>
        </row>
        <row r="1579">
          <cell r="A1579" t="str">
            <v>KDA</v>
          </cell>
          <cell r="B1579" t="str">
            <v>Kodak Alaris</v>
          </cell>
        </row>
        <row r="1580">
          <cell r="A1580" t="str">
            <v>KDK</v>
          </cell>
          <cell r="B1580" t="str">
            <v>Eastman Kodak Company</v>
          </cell>
        </row>
        <row r="1581">
          <cell r="A1581" t="str">
            <v>KE0</v>
          </cell>
          <cell r="B1581" t="str">
            <v>Keyence Corporation.</v>
          </cell>
        </row>
        <row r="1582">
          <cell r="A1582" t="str">
            <v>KEF</v>
          </cell>
          <cell r="B1582" t="str">
            <v>Kerry Group plc</v>
          </cell>
        </row>
        <row r="1583">
          <cell r="A1583" t="str">
            <v>KEG</v>
          </cell>
          <cell r="B1583" t="str">
            <v>Kind en Gezin</v>
          </cell>
        </row>
        <row r="1584">
          <cell r="A1584" t="str">
            <v>KEL</v>
          </cell>
          <cell r="B1584" t="str">
            <v>Kent Lyons Ltd</v>
          </cell>
        </row>
        <row r="1585">
          <cell r="A1585" t="str">
            <v>KEM</v>
          </cell>
          <cell r="B1585" t="str">
            <v>KEMA</v>
          </cell>
        </row>
        <row r="1586">
          <cell r="A1586" t="str">
            <v>KEN</v>
          </cell>
          <cell r="B1586" t="str">
            <v>Blanchard Training &amp; Development, Inc</v>
          </cell>
        </row>
        <row r="1587">
          <cell r="A1587" t="str">
            <v>KER</v>
          </cell>
          <cell r="B1587" t="str">
            <v>Kern AG</v>
          </cell>
        </row>
        <row r="1588">
          <cell r="A1588" t="str">
            <v>KEX</v>
          </cell>
          <cell r="B1588" t="str">
            <v>Kenexa Corporation</v>
          </cell>
        </row>
        <row r="1589">
          <cell r="A1589" t="str">
            <v>KEY</v>
          </cell>
          <cell r="B1589" t="str">
            <v>KeyCorp</v>
          </cell>
        </row>
        <row r="1590">
          <cell r="A1590" t="str">
            <v>KFC</v>
          </cell>
          <cell r="B1590" t="str">
            <v>Kofax plc</v>
          </cell>
        </row>
        <row r="1591">
          <cell r="A1591" t="str">
            <v>KGF</v>
          </cell>
          <cell r="B1591" t="str">
            <v>Kingfisher plc</v>
          </cell>
        </row>
        <row r="1592">
          <cell r="A1592" t="str">
            <v>KHY</v>
          </cell>
          <cell r="B1592" t="str">
            <v>Khayal Consultants</v>
          </cell>
        </row>
        <row r="1593">
          <cell r="A1593" t="str">
            <v>KIA</v>
          </cell>
          <cell r="B1593" t="str">
            <v>Kia Canada</v>
          </cell>
        </row>
        <row r="1594">
          <cell r="A1594" t="str">
            <v>KIC</v>
          </cell>
          <cell r="B1594" t="str">
            <v>Kogei Intec Corporation</v>
          </cell>
        </row>
        <row r="1595">
          <cell r="A1595" t="str">
            <v>KIN</v>
          </cell>
          <cell r="B1595" t="str">
            <v>Kinko's Inc</v>
          </cell>
        </row>
        <row r="1596">
          <cell r="A1596" t="str">
            <v>KIO</v>
          </cell>
          <cell r="B1596" t="str">
            <v>Kion Group GmbH</v>
          </cell>
        </row>
        <row r="1597">
          <cell r="A1597" t="str">
            <v>KIS</v>
          </cell>
          <cell r="B1597" t="str">
            <v>Kinnser Software</v>
          </cell>
        </row>
        <row r="1598">
          <cell r="A1598" t="str">
            <v>KIZ</v>
          </cell>
          <cell r="B1598" t="str">
            <v>Kioritz Corporation</v>
          </cell>
        </row>
        <row r="1599">
          <cell r="A1599" t="str">
            <v>KLA</v>
          </cell>
          <cell r="B1599" t="str">
            <v>Koninklijke Landmacht</v>
          </cell>
        </row>
        <row r="1600">
          <cell r="A1600" t="str">
            <v>KLC</v>
          </cell>
          <cell r="B1600" t="str">
            <v>Klöckner-Werke AG</v>
          </cell>
        </row>
        <row r="1601">
          <cell r="A1601" t="str">
            <v>KLE</v>
          </cell>
          <cell r="B1601" t="str">
            <v>Kleertjes.com B.V.</v>
          </cell>
        </row>
        <row r="1602">
          <cell r="A1602" t="str">
            <v>KLG</v>
          </cell>
          <cell r="B1602" t="str">
            <v>Kellogg Company</v>
          </cell>
        </row>
        <row r="1603">
          <cell r="A1603" t="str">
            <v>KLI</v>
          </cell>
          <cell r="B1603" t="str">
            <v>Klingelnberg AG</v>
          </cell>
        </row>
        <row r="1604">
          <cell r="A1604" t="str">
            <v>KLR</v>
          </cell>
          <cell r="B1604" t="str">
            <v>Klarna AB</v>
          </cell>
        </row>
        <row r="1605">
          <cell r="A1605" t="str">
            <v>KLS</v>
          </cell>
          <cell r="B1605" t="str">
            <v>KLS Nederland BV</v>
          </cell>
        </row>
        <row r="1606">
          <cell r="A1606" t="str">
            <v>KMI</v>
          </cell>
          <cell r="B1606" t="str">
            <v>Konica Minolta, Inc</v>
          </cell>
        </row>
        <row r="1607">
          <cell r="A1607" t="str">
            <v>KMU</v>
          </cell>
          <cell r="B1607" t="str">
            <v>Komatsu Ltd</v>
          </cell>
        </row>
        <row r="1608">
          <cell r="A1608" t="str">
            <v>KNF</v>
          </cell>
          <cell r="B1608" t="str">
            <v>Komisja Nadzoru Finansowego</v>
          </cell>
        </row>
        <row r="1609">
          <cell r="A1609" t="str">
            <v>KNI</v>
          </cell>
          <cell r="B1609" t="str">
            <v>KNI A/S</v>
          </cell>
        </row>
        <row r="1610">
          <cell r="A1610" t="str">
            <v>KNT</v>
          </cell>
          <cell r="B1610" t="str">
            <v>Koninklijke Nooteboom Trailers BV</v>
          </cell>
        </row>
        <row r="1611">
          <cell r="A1611" t="str">
            <v>KOB</v>
          </cell>
          <cell r="B1611" t="str">
            <v>Kobe Steel, Ltd.</v>
          </cell>
        </row>
        <row r="1612">
          <cell r="A1612" t="str">
            <v>KOC</v>
          </cell>
          <cell r="B1612" t="str">
            <v>Kone Corporation</v>
          </cell>
        </row>
        <row r="1613">
          <cell r="A1613" t="str">
            <v>KOG</v>
          </cell>
          <cell r="B1613" t="str">
            <v>Kongsberg Gruppen ASA</v>
          </cell>
        </row>
        <row r="1614">
          <cell r="A1614" t="str">
            <v>KOH</v>
          </cell>
          <cell r="B1614" t="str">
            <v>Kohler Co</v>
          </cell>
        </row>
        <row r="1615">
          <cell r="A1615" t="str">
            <v>KOK</v>
          </cell>
          <cell r="B1615" t="str">
            <v>Dansk Landbrugs Grovvareselskab A.M.B.A</v>
          </cell>
        </row>
        <row r="1616">
          <cell r="A1616" t="str">
            <v>KOM</v>
          </cell>
          <cell r="B1616" t="str">
            <v>Komercni Banka AS</v>
          </cell>
        </row>
        <row r="1617">
          <cell r="A1617" t="str">
            <v>KON</v>
          </cell>
          <cell r="B1617" t="str">
            <v>Konami</v>
          </cell>
        </row>
        <row r="1618">
          <cell r="A1618" t="str">
            <v>KOO</v>
          </cell>
          <cell r="B1618" t="str">
            <v>GOLDEN EGG COMMUNICATION PTY. LTD.</v>
          </cell>
        </row>
        <row r="1619">
          <cell r="A1619" t="str">
            <v>KPC</v>
          </cell>
          <cell r="B1619" t="str">
            <v>Kuwait Petroleum Corporation</v>
          </cell>
        </row>
        <row r="1620">
          <cell r="A1620" t="str">
            <v>KPM</v>
          </cell>
          <cell r="B1620" t="str">
            <v>Kaiser Permanente</v>
          </cell>
        </row>
        <row r="1621">
          <cell r="A1621" t="str">
            <v>KPN</v>
          </cell>
          <cell r="B1621" t="str">
            <v>Koninklijke KPN N.V</v>
          </cell>
        </row>
        <row r="1622">
          <cell r="A1622" t="str">
            <v>KRA</v>
          </cell>
          <cell r="B1622" t="str">
            <v>Kramp Groep B.V.</v>
          </cell>
        </row>
        <row r="1623">
          <cell r="A1623" t="str">
            <v>KRC</v>
          </cell>
          <cell r="B1623" t="str">
            <v>Kairos Commodities A/S</v>
          </cell>
        </row>
        <row r="1624">
          <cell r="A1624" t="str">
            <v>KRE</v>
          </cell>
          <cell r="B1624" t="str">
            <v>Koninklijke Reesink N.V.</v>
          </cell>
        </row>
        <row r="1625">
          <cell r="A1625" t="str">
            <v>KRI</v>
          </cell>
          <cell r="B1625" t="str">
            <v>KRIVET</v>
          </cell>
        </row>
        <row r="1626">
          <cell r="A1626" t="str">
            <v>KRO</v>
          </cell>
          <cell r="B1626" t="str">
            <v>Krones AG</v>
          </cell>
        </row>
        <row r="1627">
          <cell r="A1627" t="str">
            <v>KRY</v>
          </cell>
          <cell r="B1627" t="str">
            <v>Kroymans Corporation B.V.</v>
          </cell>
        </row>
        <row r="1628">
          <cell r="A1628" t="str">
            <v>KSB</v>
          </cell>
          <cell r="B1628" t="str">
            <v>KSB AG</v>
          </cell>
        </row>
        <row r="1629">
          <cell r="A1629" t="str">
            <v>KSC</v>
          </cell>
          <cell r="B1629" t="str">
            <v>keller-sports.com GmbH</v>
          </cell>
        </row>
        <row r="1630">
          <cell r="A1630" t="str">
            <v>KSP</v>
          </cell>
          <cell r="B1630" t="str">
            <v>Kaspersky Lab</v>
          </cell>
        </row>
        <row r="1631">
          <cell r="A1631" t="str">
            <v>KST</v>
          </cell>
          <cell r="B1631" t="str">
            <v>Karl Storz GmbH</v>
          </cell>
        </row>
        <row r="1632">
          <cell r="A1632" t="str">
            <v>KSW</v>
          </cell>
          <cell r="B1632" t="str">
            <v>Kawasaki Heavy Industries, Ltd.</v>
          </cell>
        </row>
        <row r="1633">
          <cell r="A1633" t="str">
            <v>KTG</v>
          </cell>
          <cell r="B1633" t="str">
            <v>Kensington Technology Group</v>
          </cell>
        </row>
        <row r="1634">
          <cell r="A1634" t="str">
            <v>KTM</v>
          </cell>
          <cell r="B1634" t="str">
            <v>KTM-Sportmotorcycle AG</v>
          </cell>
        </row>
        <row r="1635">
          <cell r="A1635" t="str">
            <v>KUB</v>
          </cell>
          <cell r="B1635" t="str">
            <v>Kubota Corporation</v>
          </cell>
        </row>
        <row r="1636">
          <cell r="A1636" t="str">
            <v>KUK</v>
          </cell>
          <cell r="B1636" t="str">
            <v>KUKA AG</v>
          </cell>
        </row>
        <row r="1637">
          <cell r="A1637" t="str">
            <v>KUS</v>
          </cell>
          <cell r="B1637" t="str">
            <v>Khalifa University of Science, Techn. &amp; Research</v>
          </cell>
        </row>
        <row r="1638">
          <cell r="A1638" t="str">
            <v>KVH</v>
          </cell>
          <cell r="B1638" t="str">
            <v>KVH Co., Ltd</v>
          </cell>
        </row>
        <row r="1639">
          <cell r="A1639" t="str">
            <v>KYO</v>
          </cell>
          <cell r="B1639" t="str">
            <v>Kyocera Corporation</v>
          </cell>
        </row>
        <row r="1640">
          <cell r="A1640" t="str">
            <v>LAB</v>
          </cell>
          <cell r="B1640" t="str">
            <v xml:space="preserve">Lord, Abbett &amp; Co. LLC </v>
          </cell>
        </row>
        <row r="1641">
          <cell r="A1641" t="str">
            <v>LAC</v>
          </cell>
          <cell r="B1641" t="str">
            <v>LA Care</v>
          </cell>
        </row>
        <row r="1642">
          <cell r="A1642" t="str">
            <v>LAD</v>
          </cell>
          <cell r="B1642" t="str">
            <v>Ladbrokes Plc</v>
          </cell>
        </row>
        <row r="1643">
          <cell r="A1643" t="str">
            <v>LAE</v>
          </cell>
          <cell r="B1643" t="str">
            <v>Laerdal Medical AS</v>
          </cell>
        </row>
        <row r="1644">
          <cell r="A1644" t="str">
            <v>LAG</v>
          </cell>
          <cell r="B1644" t="str">
            <v>Linde AG</v>
          </cell>
        </row>
        <row r="1645">
          <cell r="A1645" t="str">
            <v>LAI</v>
          </cell>
          <cell r="B1645" t="str">
            <v>Laitram Corporation</v>
          </cell>
        </row>
        <row r="1646">
          <cell r="A1646" t="str">
            <v>LAL</v>
          </cell>
          <cell r="B1646" t="str">
            <v>L&amp;L BV</v>
          </cell>
        </row>
        <row r="1647">
          <cell r="A1647" t="str">
            <v>LAM</v>
          </cell>
          <cell r="B1647" t="str">
            <v>Lam Research Corporation</v>
          </cell>
        </row>
        <row r="1648">
          <cell r="A1648" t="str">
            <v>LAN</v>
          </cell>
          <cell r="B1648" t="str">
            <v>LANDWIND INTERNATIONAL MEDICAL SCIENCE PTE. LTD.</v>
          </cell>
        </row>
        <row r="1649">
          <cell r="A1649" t="str">
            <v>LAP</v>
          </cell>
          <cell r="B1649" t="str">
            <v>Lapp Holding AG</v>
          </cell>
        </row>
        <row r="1650">
          <cell r="A1650" t="str">
            <v>LAS</v>
          </cell>
          <cell r="B1650" t="str">
            <v>Lason, Inc.</v>
          </cell>
        </row>
        <row r="1651">
          <cell r="A1651" t="str">
            <v>LAW</v>
          </cell>
          <cell r="B1651" t="str">
            <v>Lawson Software Inc</v>
          </cell>
        </row>
        <row r="1652">
          <cell r="A1652" t="str">
            <v>LAZ</v>
          </cell>
          <cell r="B1652" t="str">
            <v>Lazard Ltd</v>
          </cell>
        </row>
        <row r="1653">
          <cell r="A1653" t="str">
            <v>LBI</v>
          </cell>
          <cell r="B1653" t="str">
            <v>LBI International AB</v>
          </cell>
        </row>
        <row r="1654">
          <cell r="A1654" t="str">
            <v>LBP</v>
          </cell>
          <cell r="B1654" t="str">
            <v>Law Bulletin Publishing Co Inc</v>
          </cell>
        </row>
        <row r="1655">
          <cell r="A1655" t="str">
            <v>LCG</v>
          </cell>
          <cell r="B1655" t="str">
            <v>Loders Croklaan Group B V</v>
          </cell>
        </row>
        <row r="1656">
          <cell r="A1656" t="str">
            <v>LCH</v>
          </cell>
          <cell r="B1656" t="str">
            <v>Los Angeles County Department of Health Services</v>
          </cell>
        </row>
        <row r="1657">
          <cell r="A1657" t="str">
            <v>LCM</v>
          </cell>
          <cell r="B1657" t="str">
            <v>Landsbond der Christelijke Mutualiteiten</v>
          </cell>
        </row>
        <row r="1658">
          <cell r="A1658" t="str">
            <v>LCP</v>
          </cell>
          <cell r="B1658" t="str">
            <v>Loblaw Companies Limited</v>
          </cell>
        </row>
        <row r="1659">
          <cell r="A1659" t="str">
            <v>LCS</v>
          </cell>
          <cell r="B1659" t="str">
            <v>LocaSoft GmbH</v>
          </cell>
        </row>
        <row r="1660">
          <cell r="A1660" t="str">
            <v>LDN</v>
          </cell>
          <cell r="B1660" t="str">
            <v>LINKdotNET</v>
          </cell>
        </row>
        <row r="1661">
          <cell r="A1661" t="str">
            <v>LDS</v>
          </cell>
          <cell r="B1661" t="str">
            <v>LDS Church</v>
          </cell>
        </row>
        <row r="1662">
          <cell r="A1662" t="str">
            <v>LEA</v>
          </cell>
          <cell r="B1662" t="str">
            <v>Hexagon AB</v>
          </cell>
        </row>
        <row r="1663">
          <cell r="A1663" t="str">
            <v>LEB</v>
          </cell>
          <cell r="B1663" t="str">
            <v>Lebhar-Friedman, Inc.</v>
          </cell>
        </row>
        <row r="1664">
          <cell r="A1664" t="str">
            <v>LEC</v>
          </cell>
          <cell r="B1664" t="str">
            <v>Leica Camera AG</v>
          </cell>
        </row>
        <row r="1665">
          <cell r="A1665" t="str">
            <v>LEG</v>
          </cell>
          <cell r="B1665" t="str">
            <v>Lego Group (The)</v>
          </cell>
        </row>
        <row r="1666">
          <cell r="A1666" t="str">
            <v>LEI</v>
          </cell>
          <cell r="B1666" t="str">
            <v>Leica Vectronix AG</v>
          </cell>
        </row>
        <row r="1667">
          <cell r="A1667" t="str">
            <v>LEN</v>
          </cell>
          <cell r="B1667" t="str">
            <v>Lenhardt Maschinenbau GmbH</v>
          </cell>
        </row>
        <row r="1668">
          <cell r="A1668" t="str">
            <v>LEO</v>
          </cell>
          <cell r="B1668" t="str">
            <v>Ledermann GmbH</v>
          </cell>
        </row>
        <row r="1669">
          <cell r="A1669" t="str">
            <v>LEP</v>
          </cell>
          <cell r="B1669" t="str">
            <v>Letterpart Ltd</v>
          </cell>
        </row>
        <row r="1670">
          <cell r="A1670" t="str">
            <v>LES</v>
          </cell>
          <cell r="B1670" t="str">
            <v>@Leisure-NH B.V.</v>
          </cell>
        </row>
        <row r="1671">
          <cell r="A1671" t="str">
            <v>LET</v>
          </cell>
          <cell r="B1671" t="str">
            <v>Leitner AG</v>
          </cell>
        </row>
        <row r="1672">
          <cell r="A1672" t="str">
            <v>LEV</v>
          </cell>
          <cell r="B1672" t="str">
            <v>Level 3 Communications Inc</v>
          </cell>
        </row>
        <row r="1673">
          <cell r="A1673" t="str">
            <v>LEX</v>
          </cell>
          <cell r="B1673" t="str">
            <v>Lexmark International Inc.</v>
          </cell>
        </row>
        <row r="1674">
          <cell r="A1674" t="str">
            <v>LFG</v>
          </cell>
          <cell r="B1674" t="str">
            <v>Les Frogs</v>
          </cell>
        </row>
        <row r="1675">
          <cell r="A1675" t="str">
            <v>LFW</v>
          </cell>
          <cell r="B1675" t="str">
            <v>Loftwork Inc</v>
          </cell>
        </row>
        <row r="1676">
          <cell r="A1676" t="str">
            <v>LGA</v>
          </cell>
          <cell r="B1676" t="str">
            <v>Les Gemmologistes associés OCYM Inc.</v>
          </cell>
        </row>
        <row r="1677">
          <cell r="A1677" t="str">
            <v>LGE</v>
          </cell>
          <cell r="B1677" t="str">
            <v>LG Group</v>
          </cell>
        </row>
        <row r="1678">
          <cell r="A1678" t="str">
            <v>LGN</v>
          </cell>
          <cell r="B1678" t="str">
            <v>Lexign Inc</v>
          </cell>
        </row>
        <row r="1679">
          <cell r="A1679" t="str">
            <v>LGS</v>
          </cell>
          <cell r="B1679" t="str">
            <v>Logrus International Corp.</v>
          </cell>
        </row>
        <row r="1680">
          <cell r="A1680" t="str">
            <v>LGT</v>
          </cell>
          <cell r="B1680" t="str">
            <v>LG-Nortel Co. Ltd.</v>
          </cell>
        </row>
        <row r="1681">
          <cell r="A1681" t="str">
            <v>LHN</v>
          </cell>
          <cell r="B1681" t="str">
            <v>LeftHand Networks Inc</v>
          </cell>
        </row>
        <row r="1682">
          <cell r="A1682" t="str">
            <v>LHO</v>
          </cell>
          <cell r="B1682" t="str">
            <v>Louvre Hotels</v>
          </cell>
        </row>
        <row r="1683">
          <cell r="A1683" t="str">
            <v>LIB</v>
          </cell>
          <cell r="B1683" t="str">
            <v>Liberate</v>
          </cell>
        </row>
        <row r="1684">
          <cell r="A1684" t="str">
            <v>LID</v>
          </cell>
          <cell r="B1684" t="str">
            <v>SBG Lidl GmbH &amp; Co. KG</v>
          </cell>
        </row>
        <row r="1685">
          <cell r="A1685" t="str">
            <v>LIE</v>
          </cell>
          <cell r="B1685" t="str">
            <v>Lorien plc</v>
          </cell>
        </row>
        <row r="1686">
          <cell r="A1686" t="str">
            <v>LIF</v>
          </cell>
          <cell r="B1686" t="str">
            <v>Life Technologies Corp</v>
          </cell>
        </row>
        <row r="1687">
          <cell r="A1687" t="str">
            <v>LIM</v>
          </cell>
          <cell r="B1687" t="str">
            <v>Linamar Corporation Inc.</v>
          </cell>
        </row>
        <row r="1688">
          <cell r="A1688" t="str">
            <v>LIQ</v>
          </cell>
          <cell r="B1688" t="str">
            <v>Liquent Inc.</v>
          </cell>
        </row>
        <row r="1689">
          <cell r="A1689" t="str">
            <v>LIT</v>
          </cell>
          <cell r="B1689" t="str">
            <v>LUSCHER ITALIA SRL</v>
          </cell>
        </row>
        <row r="1690">
          <cell r="A1690" t="str">
            <v>LIV</v>
          </cell>
          <cell r="B1690" t="str">
            <v>Livongo Health</v>
          </cell>
        </row>
        <row r="1691">
          <cell r="A1691" t="str">
            <v>LIX</v>
          </cell>
          <cell r="B1691" t="str">
            <v>L-3 Communications Holdings, Inc.</v>
          </cell>
        </row>
        <row r="1692">
          <cell r="A1692" t="str">
            <v>LKD</v>
          </cell>
          <cell r="B1692" t="str">
            <v>Logo GmbH &amp; Co. KG, a GretagMacBeth Group Company</v>
          </cell>
        </row>
        <row r="1693">
          <cell r="A1693" t="str">
            <v>LKE</v>
          </cell>
          <cell r="B1693" t="str">
            <v>Luckie &amp; Company</v>
          </cell>
        </row>
        <row r="1694">
          <cell r="A1694" t="str">
            <v>LL1</v>
          </cell>
          <cell r="B1694" t="str">
            <v>The Leukemia &amp; Lymphoma Society</v>
          </cell>
        </row>
        <row r="1695">
          <cell r="A1695" t="str">
            <v>LLD</v>
          </cell>
          <cell r="B1695" t="str">
            <v>LIDL Stiftung &amp; Co. KG</v>
          </cell>
        </row>
        <row r="1696">
          <cell r="A1696" t="str">
            <v>LLI</v>
          </cell>
          <cell r="B1696" t="str">
            <v>Lunar Logic, Inc.</v>
          </cell>
        </row>
        <row r="1697">
          <cell r="A1697" t="str">
            <v>LLO</v>
          </cell>
          <cell r="B1697" t="str">
            <v>Lloyd International Ltd.</v>
          </cell>
        </row>
        <row r="1698">
          <cell r="A1698" t="str">
            <v>LLS</v>
          </cell>
          <cell r="B1698" t="str">
            <v>LinguaLinx Language Solutions, Inc.</v>
          </cell>
        </row>
        <row r="1699">
          <cell r="A1699" t="str">
            <v>LMC</v>
          </cell>
          <cell r="B1699" t="str">
            <v>Lockheed Martin Corporation</v>
          </cell>
        </row>
        <row r="1700">
          <cell r="A1700" t="str">
            <v>LMI</v>
          </cell>
          <cell r="B1700" t="str">
            <v>Liberty Mutual Insurance Company</v>
          </cell>
        </row>
        <row r="1701">
          <cell r="A1701" t="str">
            <v>LMX</v>
          </cell>
          <cell r="B1701" t="str">
            <v>Luminex Corporation</v>
          </cell>
        </row>
        <row r="1702">
          <cell r="A1702" t="str">
            <v>LNC</v>
          </cell>
          <cell r="B1702" t="str">
            <v>Lincoln National Corporation</v>
          </cell>
        </row>
        <row r="1703">
          <cell r="A1703" t="str">
            <v>LNG</v>
          </cell>
          <cell r="B1703" t="str">
            <v>Linguanet Inc</v>
          </cell>
        </row>
        <row r="1704">
          <cell r="A1704" t="str">
            <v>LNK</v>
          </cell>
          <cell r="B1704" t="str">
            <v>LinkedIn Corporation</v>
          </cell>
        </row>
        <row r="1705">
          <cell r="A1705" t="str">
            <v>LNS</v>
          </cell>
          <cell r="B1705" t="str">
            <v>Lions Club International Inc</v>
          </cell>
        </row>
        <row r="1706">
          <cell r="A1706" t="str">
            <v>LOC</v>
          </cell>
          <cell r="B1706" t="str">
            <v>Local Matters, Inc.</v>
          </cell>
        </row>
        <row r="1707">
          <cell r="A1707" t="str">
            <v>LOG</v>
          </cell>
          <cell r="B1707" t="str">
            <v>LogicaCMG plc</v>
          </cell>
        </row>
        <row r="1708">
          <cell r="A1708" t="str">
            <v>LOI</v>
          </cell>
          <cell r="B1708" t="str">
            <v>Lomac, Inc.</v>
          </cell>
        </row>
        <row r="1709">
          <cell r="A1709" t="str">
            <v>LOR</v>
          </cell>
          <cell r="B1709" t="str">
            <v>L'Oréal SA</v>
          </cell>
        </row>
        <row r="1710">
          <cell r="A1710" t="str">
            <v>LOT</v>
          </cell>
          <cell r="B1710" t="str">
            <v>Logitrade SAS</v>
          </cell>
        </row>
        <row r="1711">
          <cell r="A1711" t="str">
            <v>LOW</v>
          </cell>
          <cell r="B1711" t="str">
            <v>Lowrance Electronics, Inc</v>
          </cell>
        </row>
        <row r="1712">
          <cell r="A1712" t="str">
            <v>LPG</v>
          </cell>
          <cell r="B1712" t="str">
            <v>La Poste Group</v>
          </cell>
        </row>
        <row r="1713">
          <cell r="A1713" t="str">
            <v>LPH</v>
          </cell>
          <cell r="B1713" t="str">
            <v>LEO Pharma Denmark</v>
          </cell>
        </row>
        <row r="1714">
          <cell r="A1714" t="str">
            <v>LPL</v>
          </cell>
          <cell r="B1714" t="str">
            <v>Little Planet Learning, Inc</v>
          </cell>
        </row>
        <row r="1715">
          <cell r="A1715" t="str">
            <v>LRG</v>
          </cell>
          <cell r="B1715" t="str">
            <v>Lloyd's Register Group</v>
          </cell>
        </row>
        <row r="1716">
          <cell r="A1716" t="str">
            <v>LRN</v>
          </cell>
          <cell r="B1716" t="str">
            <v>LRN Corporation</v>
          </cell>
        </row>
        <row r="1717">
          <cell r="A1717" t="str">
            <v>LSA</v>
          </cell>
          <cell r="B1717" t="str">
            <v>Language Service Associates</v>
          </cell>
        </row>
        <row r="1718">
          <cell r="A1718" t="str">
            <v>LSC</v>
          </cell>
          <cell r="B1718" t="str">
            <v>Learning and Teaching Scotland</v>
          </cell>
        </row>
        <row r="1719">
          <cell r="A1719" t="str">
            <v>LSG</v>
          </cell>
          <cell r="B1719" t="str">
            <v>Leder &amp; Schuh Group</v>
          </cell>
        </row>
        <row r="1720">
          <cell r="A1720" t="str">
            <v>LSI</v>
          </cell>
          <cell r="B1720" t="str">
            <v>LION'S SHARE COMMUNICATION INC</v>
          </cell>
        </row>
        <row r="1721">
          <cell r="A1721" t="str">
            <v>LSZ</v>
          </cell>
          <cell r="B1721" t="str">
            <v>Limited Brands, Inc.</v>
          </cell>
        </row>
        <row r="1722">
          <cell r="A1722" t="str">
            <v>LTA</v>
          </cell>
          <cell r="B1722" t="str">
            <v>Lectra S.A.</v>
          </cell>
        </row>
        <row r="1723">
          <cell r="A1723" t="str">
            <v>LTC</v>
          </cell>
          <cell r="B1723" t="str">
            <v>Logitech International S.A.</v>
          </cell>
        </row>
        <row r="1724">
          <cell r="A1724" t="str">
            <v>LTV</v>
          </cell>
          <cell r="B1724" t="str">
            <v>Living Earth Television</v>
          </cell>
        </row>
        <row r="1725">
          <cell r="A1725" t="str">
            <v>LUC</v>
          </cell>
          <cell r="B1725" t="str">
            <v>Alcatel-Lucent</v>
          </cell>
        </row>
        <row r="1726">
          <cell r="A1726" t="str">
            <v>LUK</v>
          </cell>
          <cell r="B1726" t="str">
            <v>Luk Group</v>
          </cell>
        </row>
        <row r="1727">
          <cell r="A1727" t="str">
            <v>LUL</v>
          </cell>
          <cell r="B1727" t="str">
            <v>Lulu Enterprises, Inc.</v>
          </cell>
        </row>
        <row r="1728">
          <cell r="A1728" t="str">
            <v>LUM</v>
          </cell>
          <cell r="B1728" t="str">
            <v>Leids Universitair Medisch Centrum</v>
          </cell>
        </row>
        <row r="1729">
          <cell r="A1729" t="str">
            <v>LUS</v>
          </cell>
          <cell r="B1729" t="str">
            <v>Lust Antriebstechnik GmbH</v>
          </cell>
        </row>
        <row r="1730">
          <cell r="A1730" t="str">
            <v>LUT</v>
          </cell>
          <cell r="B1730" t="str">
            <v>LUTO Research Ltd.</v>
          </cell>
        </row>
        <row r="1731">
          <cell r="A1731" t="str">
            <v>LUX</v>
          </cell>
          <cell r="B1731" t="str">
            <v>Luxus Advertising</v>
          </cell>
        </row>
        <row r="1732">
          <cell r="A1732" t="str">
            <v>LUZ</v>
          </cell>
          <cell r="B1732" t="str">
            <v>LUZ Inc.</v>
          </cell>
        </row>
        <row r="1733">
          <cell r="A1733" t="str">
            <v>LVM</v>
          </cell>
          <cell r="B1733" t="str">
            <v>LVMH Moët Hennessy Louis Vuitton S.A.</v>
          </cell>
        </row>
        <row r="1734">
          <cell r="A1734" t="str">
            <v>LVO</v>
          </cell>
          <cell r="B1734" t="str">
            <v>Lenovo Group Limited</v>
          </cell>
        </row>
        <row r="1735">
          <cell r="A1735" t="str">
            <v>LWB</v>
          </cell>
          <cell r="B1735" t="str">
            <v>Learning Well, AB</v>
          </cell>
        </row>
        <row r="1736">
          <cell r="A1736" t="str">
            <v>LWR</v>
          </cell>
          <cell r="B1736" t="str">
            <v>Language Weaver Inc.</v>
          </cell>
        </row>
        <row r="1737">
          <cell r="A1737" t="str">
            <v>LXM</v>
          </cell>
          <cell r="B1737" t="str">
            <v>Lexar Media, Inc.</v>
          </cell>
        </row>
        <row r="1738">
          <cell r="A1738" t="str">
            <v>LYC</v>
          </cell>
          <cell r="B1738" t="str">
            <v>Loyalist College</v>
          </cell>
        </row>
        <row r="1739">
          <cell r="A1739" t="str">
            <v>LYN</v>
          </cell>
          <cell r="B1739" t="str">
            <v>Lynx Group plc</v>
          </cell>
        </row>
        <row r="1740">
          <cell r="A1740" t="str">
            <v>M&amp;C</v>
          </cell>
          <cell r="B1740" t="str">
            <v>Martel et Compagnie</v>
          </cell>
        </row>
        <row r="1741">
          <cell r="A1741" t="str">
            <v>M8S</v>
          </cell>
          <cell r="B1741" t="str">
            <v>Marks &amp; Spencer plc</v>
          </cell>
        </row>
        <row r="1742">
          <cell r="A1742" t="str">
            <v>MA0</v>
          </cell>
          <cell r="B1742" t="str">
            <v>Marosel B.V.</v>
          </cell>
        </row>
        <row r="1743">
          <cell r="A1743" t="str">
            <v>MAA</v>
          </cell>
          <cell r="B1743" t="str">
            <v>General Assembly, Maryland</v>
          </cell>
        </row>
        <row r="1744">
          <cell r="A1744" t="str">
            <v>MAB</v>
          </cell>
          <cell r="B1744" t="str">
            <v>MCB Bank Ltd</v>
          </cell>
        </row>
        <row r="1745">
          <cell r="A1745" t="str">
            <v>MAC</v>
          </cell>
          <cell r="B1745" t="str">
            <v>McDonald's Corporation</v>
          </cell>
        </row>
        <row r="1746">
          <cell r="A1746" t="str">
            <v>MÆL</v>
          </cell>
          <cell r="B1746" t="str">
            <v xml:space="preserve">A.P. Møller - Mærsk A/S </v>
          </cell>
        </row>
        <row r="1747">
          <cell r="A1747" t="str">
            <v>MAG</v>
          </cell>
          <cell r="B1747" t="str">
            <v>Magneti Marelli GmbH</v>
          </cell>
        </row>
        <row r="1748">
          <cell r="A1748" t="str">
            <v>MAH</v>
          </cell>
          <cell r="B1748" t="str">
            <v>Mashreqbank PSC</v>
          </cell>
        </row>
        <row r="1749">
          <cell r="A1749" t="str">
            <v>MAI</v>
          </cell>
          <cell r="B1749" t="str">
            <v>Manutan International</v>
          </cell>
        </row>
        <row r="1750">
          <cell r="A1750" t="str">
            <v>MAJ</v>
          </cell>
          <cell r="B1750" t="str">
            <v>Majestic Wine PLC</v>
          </cell>
        </row>
        <row r="1751">
          <cell r="A1751" t="str">
            <v>MAK</v>
          </cell>
          <cell r="B1751" t="str">
            <v>Maximuscle Ltd</v>
          </cell>
        </row>
        <row r="1752">
          <cell r="A1752" t="str">
            <v>MAL</v>
          </cell>
          <cell r="B1752" t="str">
            <v>Maple Leaf Foods</v>
          </cell>
        </row>
        <row r="1753">
          <cell r="A1753" t="str">
            <v>MAM</v>
          </cell>
          <cell r="B1753" t="str">
            <v>Mammoet Holding B.V.</v>
          </cell>
        </row>
        <row r="1754">
          <cell r="A1754" t="str">
            <v>MAN</v>
          </cell>
          <cell r="B1754" t="str">
            <v>Manipulation A/S</v>
          </cell>
        </row>
        <row r="1755">
          <cell r="A1755" t="str">
            <v>MAP</v>
          </cell>
          <cell r="B1755" t="str">
            <v>MAPA</v>
          </cell>
        </row>
        <row r="1756">
          <cell r="A1756" t="str">
            <v>MAR</v>
          </cell>
          <cell r="B1756" t="str">
            <v>Maritz Inc.</v>
          </cell>
        </row>
        <row r="1757">
          <cell r="A1757" t="str">
            <v>MAS</v>
          </cell>
          <cell r="B1757" t="str">
            <v>MasterCard Inc.</v>
          </cell>
        </row>
        <row r="1758">
          <cell r="A1758" t="str">
            <v>MAT</v>
          </cell>
          <cell r="B1758" t="str">
            <v>MathSoft Engineering &amp; Education Inc</v>
          </cell>
        </row>
        <row r="1759">
          <cell r="A1759" t="str">
            <v>MAU</v>
          </cell>
          <cell r="B1759" t="str">
            <v>Maury Imprimeur Sa</v>
          </cell>
        </row>
        <row r="1760">
          <cell r="A1760" t="str">
            <v>MAW</v>
          </cell>
          <cell r="B1760" t="str">
            <v>Make-A-Wish Foundation UK</v>
          </cell>
        </row>
        <row r="1761">
          <cell r="A1761" t="str">
            <v>MAX</v>
          </cell>
          <cell r="B1761" t="str">
            <v>Maxager Technology Inc</v>
          </cell>
        </row>
        <row r="1762">
          <cell r="A1762" t="str">
            <v>MAZ</v>
          </cell>
          <cell r="B1762" t="str">
            <v>Mazda Motor Corporation</v>
          </cell>
        </row>
        <row r="1763">
          <cell r="A1763" t="str">
            <v>MBA</v>
          </cell>
          <cell r="B1763" t="str">
            <v>Martin-Baker Aircraft Company Ltd</v>
          </cell>
        </row>
        <row r="1764">
          <cell r="A1764" t="str">
            <v>MBI</v>
          </cell>
          <cell r="B1764" t="str">
            <v>MEGA Brands Inc</v>
          </cell>
        </row>
        <row r="1765">
          <cell r="A1765" t="str">
            <v>MBS</v>
          </cell>
          <cell r="B1765" t="str">
            <v>Mobius Management Systems Inc</v>
          </cell>
        </row>
        <row r="1766">
          <cell r="A1766" t="str">
            <v>MBZ</v>
          </cell>
          <cell r="B1766" t="str">
            <v>Members Co.,Ltd.</v>
          </cell>
        </row>
        <row r="1767">
          <cell r="A1767" t="str">
            <v>MC0</v>
          </cell>
          <cell r="B1767" t="str">
            <v>Municipal Code Corporation</v>
          </cell>
        </row>
        <row r="1768">
          <cell r="A1768" t="str">
            <v>MC1</v>
          </cell>
          <cell r="B1768" t="str">
            <v>Macmillan Cancer Support</v>
          </cell>
        </row>
        <row r="1769">
          <cell r="A1769" t="str">
            <v>MC2</v>
          </cell>
          <cell r="B1769" t="str">
            <v>McMurry/Tmg LLC</v>
          </cell>
        </row>
        <row r="1770">
          <cell r="A1770" t="str">
            <v>MCA</v>
          </cell>
          <cell r="B1770" t="str">
            <v>McAfee Inc</v>
          </cell>
        </row>
        <row r="1771">
          <cell r="A1771" t="str">
            <v>MCB</v>
          </cell>
          <cell r="B1771" t="str">
            <v>Morgan Crucible Company plc</v>
          </cell>
        </row>
        <row r="1772">
          <cell r="A1772" t="str">
            <v>MCC</v>
          </cell>
          <cell r="B1772" t="str">
            <v>McCann-Erikson Worldwide inc</v>
          </cell>
        </row>
        <row r="1773">
          <cell r="A1773" t="str">
            <v>MCE</v>
          </cell>
          <cell r="B1773" t="str">
            <v>MICE Group plc</v>
          </cell>
        </row>
        <row r="1774">
          <cell r="A1774" t="str">
            <v>MCH</v>
          </cell>
          <cell r="B1774" t="str">
            <v>March Networks Corporation</v>
          </cell>
        </row>
        <row r="1775">
          <cell r="A1775" t="str">
            <v>MCI</v>
          </cell>
          <cell r="B1775" t="str">
            <v>MSC  Crociere S.A.</v>
          </cell>
        </row>
        <row r="1776">
          <cell r="A1776" t="str">
            <v>MCK</v>
          </cell>
          <cell r="B1776" t="str">
            <v>McKinsey &amp; Company</v>
          </cell>
        </row>
        <row r="1777">
          <cell r="A1777" t="str">
            <v>MCL</v>
          </cell>
          <cell r="B1777" t="str">
            <v>Mincom Limited</v>
          </cell>
        </row>
        <row r="1778">
          <cell r="A1778" t="str">
            <v>MCM</v>
          </cell>
          <cell r="B1778" t="str">
            <v>Macromedia Inc</v>
          </cell>
        </row>
        <row r="1779">
          <cell r="A1779" t="str">
            <v>MCN</v>
          </cell>
          <cell r="B1779" t="str">
            <v>MusicNet, Inc.</v>
          </cell>
        </row>
        <row r="1780">
          <cell r="A1780" t="str">
            <v>MCO</v>
          </cell>
          <cell r="B1780" t="str">
            <v>Emco Specialty Products Inc</v>
          </cell>
        </row>
        <row r="1781">
          <cell r="A1781" t="str">
            <v>MCP</v>
          </cell>
          <cell r="B1781" t="str">
            <v>Cargotec Oyj</v>
          </cell>
        </row>
        <row r="1782">
          <cell r="A1782" t="str">
            <v>MCR</v>
          </cell>
          <cell r="B1782" t="str">
            <v>Macrovision Corporation</v>
          </cell>
        </row>
        <row r="1783">
          <cell r="A1783" t="str">
            <v>MCS</v>
          </cell>
          <cell r="B1783" t="str">
            <v>Marcom Service Klein</v>
          </cell>
        </row>
        <row r="1784">
          <cell r="A1784" t="str">
            <v>MCU</v>
          </cell>
          <cell r="B1784" t="str">
            <v>Marie Curie Cancer Care</v>
          </cell>
        </row>
        <row r="1785">
          <cell r="A1785" t="str">
            <v>MCW</v>
          </cell>
          <cell r="B1785" t="str">
            <v>Macaw Technologies B.V.</v>
          </cell>
        </row>
        <row r="1786">
          <cell r="A1786" t="str">
            <v>MDA</v>
          </cell>
          <cell r="B1786" t="str">
            <v>Miami Dade College</v>
          </cell>
        </row>
        <row r="1787">
          <cell r="A1787" t="str">
            <v>MDC</v>
          </cell>
          <cell r="B1787" t="str">
            <v>M.D.C. Holdings, Inc.</v>
          </cell>
        </row>
        <row r="1788">
          <cell r="A1788" t="str">
            <v>MDL</v>
          </cell>
          <cell r="B1788" t="str">
            <v>Medline</v>
          </cell>
        </row>
        <row r="1789">
          <cell r="A1789" t="str">
            <v>MDN</v>
          </cell>
          <cell r="B1789" t="str">
            <v>Made in Design SAS</v>
          </cell>
        </row>
        <row r="1790">
          <cell r="A1790" t="str">
            <v>MDS</v>
          </cell>
          <cell r="B1790" t="str">
            <v xml:space="preserve">Mindways Software, Inc. </v>
          </cell>
        </row>
        <row r="1791">
          <cell r="A1791" t="str">
            <v>MDT</v>
          </cell>
          <cell r="B1791" t="str">
            <v>McDATA Corporation</v>
          </cell>
        </row>
        <row r="1792">
          <cell r="A1792" t="str">
            <v>MEA</v>
          </cell>
          <cell r="B1792" t="str">
            <v>Meadwell Ltd</v>
          </cell>
        </row>
        <row r="1793">
          <cell r="A1793" t="str">
            <v>MED</v>
          </cell>
          <cell r="B1793" t="str">
            <v>Medtronic Inc.</v>
          </cell>
        </row>
        <row r="1794">
          <cell r="A1794" t="str">
            <v>MEG</v>
          </cell>
          <cell r="B1794" t="str">
            <v>Makheia Group</v>
          </cell>
        </row>
        <row r="1795">
          <cell r="A1795" t="str">
            <v>MEK</v>
          </cell>
          <cell r="B1795" t="str">
            <v>Mekon Ltd.</v>
          </cell>
        </row>
        <row r="1796">
          <cell r="A1796" t="str">
            <v>MEL</v>
          </cell>
          <cell r="B1796" t="str">
            <v>Melco Holdings Inc</v>
          </cell>
        </row>
        <row r="1797">
          <cell r="A1797" t="str">
            <v>MEM</v>
          </cell>
          <cell r="B1797" t="str">
            <v>Medi Ambient</v>
          </cell>
        </row>
        <row r="1798">
          <cell r="A1798" t="str">
            <v>MEN</v>
          </cell>
          <cell r="B1798" t="str">
            <v>Mensante Corporation</v>
          </cell>
        </row>
        <row r="1799">
          <cell r="A1799" t="str">
            <v>MEO</v>
          </cell>
          <cell r="B1799" t="str">
            <v>Medinor A/S</v>
          </cell>
        </row>
        <row r="1800">
          <cell r="A1800" t="str">
            <v>MEP</v>
          </cell>
          <cell r="B1800" t="str">
            <v>ALM Media Properties, LLC</v>
          </cell>
        </row>
        <row r="1801">
          <cell r="A1801" t="str">
            <v>MEQ</v>
          </cell>
          <cell r="B1801" t="str">
            <v>Merkle Group Inc.</v>
          </cell>
        </row>
        <row r="1802">
          <cell r="A1802" t="str">
            <v>MER</v>
          </cell>
          <cell r="B1802" t="str">
            <v>Mercury Interactive Corporation</v>
          </cell>
        </row>
        <row r="1803">
          <cell r="A1803" t="str">
            <v>MES</v>
          </cell>
          <cell r="B1803" t="str">
            <v>MESA</v>
          </cell>
        </row>
        <row r="1804">
          <cell r="A1804" t="str">
            <v>MET</v>
          </cell>
          <cell r="B1804" t="str">
            <v>Mettler - Toledo International Inc.</v>
          </cell>
        </row>
        <row r="1805">
          <cell r="A1805" t="str">
            <v>MFC</v>
          </cell>
          <cell r="B1805" t="str">
            <v>Micro Focus International plc</v>
          </cell>
        </row>
        <row r="1806">
          <cell r="A1806" t="str">
            <v>MFG</v>
          </cell>
          <cell r="B1806" t="str">
            <v>MFG.com, Inc</v>
          </cell>
        </row>
        <row r="1807">
          <cell r="A1807" t="str">
            <v>MFI</v>
          </cell>
          <cell r="B1807" t="str">
            <v>MINEFI</v>
          </cell>
        </row>
        <row r="1808">
          <cell r="A1808" t="str">
            <v>MFR</v>
          </cell>
          <cell r="B1808" t="str">
            <v>Maus Frères S.A.</v>
          </cell>
        </row>
        <row r="1809">
          <cell r="A1809" t="str">
            <v>MFS</v>
          </cell>
          <cell r="B1809" t="str">
            <v>Manifest LLC</v>
          </cell>
        </row>
        <row r="1810">
          <cell r="A1810" t="str">
            <v>MG2</v>
          </cell>
          <cell r="B1810" t="str">
            <v>Marketing G2, LLC</v>
          </cell>
        </row>
        <row r="1811">
          <cell r="A1811" t="str">
            <v>MGA</v>
          </cell>
          <cell r="B1811" t="str">
            <v>MGM</v>
          </cell>
        </row>
        <row r="1812">
          <cell r="A1812" t="str">
            <v>MGB</v>
          </cell>
          <cell r="B1812" t="str">
            <v>Motion Global Ltd</v>
          </cell>
        </row>
        <row r="1813">
          <cell r="A1813" t="str">
            <v>MGL</v>
          </cell>
          <cell r="B1813" t="str">
            <v>McLaren Group Ltd.</v>
          </cell>
        </row>
        <row r="1814">
          <cell r="A1814" t="str">
            <v>MGM</v>
          </cell>
          <cell r="B1814" t="str">
            <v>MGM Mirage Inc</v>
          </cell>
        </row>
        <row r="1815">
          <cell r="A1815" t="str">
            <v>MHC</v>
          </cell>
          <cell r="B1815" t="str">
            <v>Mitsubishi Chemical Holdings Corporation</v>
          </cell>
        </row>
        <row r="1816">
          <cell r="A1816" t="str">
            <v>MHE</v>
          </cell>
          <cell r="B1816" t="str">
            <v>Jebsen &amp; Jessen (SEA)</v>
          </cell>
        </row>
        <row r="1817">
          <cell r="A1817" t="str">
            <v>MHR</v>
          </cell>
          <cell r="B1817" t="str">
            <v>Le Meridien Hotels &amp; Resorts Limited</v>
          </cell>
        </row>
        <row r="1818">
          <cell r="A1818" t="str">
            <v>MIA</v>
          </cell>
          <cell r="B1818" t="str">
            <v>Moving Interactive LLC</v>
          </cell>
        </row>
        <row r="1819">
          <cell r="A1819" t="str">
            <v>MIB</v>
          </cell>
          <cell r="B1819" t="str">
            <v>Mirabeau B.V.</v>
          </cell>
        </row>
        <row r="1820">
          <cell r="A1820" t="str">
            <v>MIC</v>
          </cell>
          <cell r="B1820" t="str">
            <v>Microsoft Corporation</v>
          </cell>
        </row>
        <row r="1821">
          <cell r="A1821" t="str">
            <v>MID</v>
          </cell>
          <cell r="B1821" t="str">
            <v>Midasplayer.com Ltd</v>
          </cell>
        </row>
        <row r="1822">
          <cell r="A1822" t="str">
            <v>MIE</v>
          </cell>
          <cell r="B1822" t="str">
            <v>Miele &amp; Cie KG</v>
          </cell>
        </row>
        <row r="1823">
          <cell r="A1823" t="str">
            <v>MIF</v>
          </cell>
          <cell r="B1823" t="str">
            <v>Mitsubishi UFJ Financial Group, Inc.</v>
          </cell>
        </row>
        <row r="1824">
          <cell r="A1824" t="str">
            <v>MIG</v>
          </cell>
          <cell r="B1824" t="str">
            <v>Migros Group</v>
          </cell>
        </row>
        <row r="1825">
          <cell r="A1825" t="str">
            <v>MII</v>
          </cell>
          <cell r="B1825" t="str">
            <v>Mib, Inc</v>
          </cell>
        </row>
        <row r="1826">
          <cell r="A1826" t="str">
            <v>MIL</v>
          </cell>
          <cell r="B1826" t="str">
            <v>Compagnie Générale des Établissements Michelin</v>
          </cell>
        </row>
        <row r="1827">
          <cell r="A1827" t="str">
            <v>MIN</v>
          </cell>
          <cell r="B1827" t="str">
            <v>Mindscape</v>
          </cell>
        </row>
        <row r="1828">
          <cell r="A1828" t="str">
            <v>MIO</v>
          </cell>
          <cell r="B1828" t="str">
            <v>MapInfo Corporation</v>
          </cell>
        </row>
        <row r="1829">
          <cell r="A1829" t="str">
            <v>MIR</v>
          </cell>
          <cell r="B1829" t="str">
            <v>Mirapoint, Inc.</v>
          </cell>
        </row>
        <row r="1830">
          <cell r="A1830" t="str">
            <v>MIS</v>
          </cell>
          <cell r="B1830" t="str">
            <v>MISE Corporation</v>
          </cell>
        </row>
        <row r="1831">
          <cell r="A1831" t="str">
            <v>MIT</v>
          </cell>
          <cell r="B1831" t="str">
            <v>Mitsubishi Electric Corporation</v>
          </cell>
        </row>
        <row r="1832">
          <cell r="A1832" t="str">
            <v>MIU</v>
          </cell>
          <cell r="B1832" t="str">
            <v>Middlesex University</v>
          </cell>
        </row>
        <row r="1833">
          <cell r="A1833" t="str">
            <v>MIV</v>
          </cell>
          <cell r="B1833" t="str">
            <v>Ministeriet for Forskning, Innovation og Videregående Uddannelser</v>
          </cell>
        </row>
        <row r="1834">
          <cell r="A1834" t="str">
            <v>MIX</v>
          </cell>
          <cell r="B1834" t="str">
            <v>Mix Logistik GmbH</v>
          </cell>
        </row>
        <row r="1835">
          <cell r="A1835" t="str">
            <v>MJI</v>
          </cell>
          <cell r="B1835" t="str">
            <v>MARC JACOBS INTERNATIONAL LLC</v>
          </cell>
        </row>
        <row r="1836">
          <cell r="A1836" t="str">
            <v>MKC</v>
          </cell>
          <cell r="B1836" t="str">
            <v>McKing Consulting Corporation</v>
          </cell>
        </row>
        <row r="1837">
          <cell r="A1837" t="str">
            <v>MKD</v>
          </cell>
          <cell r="B1837" t="str">
            <v>Marketdata Solutions Brasil Ltda.</v>
          </cell>
        </row>
        <row r="1838">
          <cell r="A1838" t="str">
            <v>MKH</v>
          </cell>
          <cell r="B1838" t="str">
            <v>Marrakech Ltd</v>
          </cell>
        </row>
        <row r="1839">
          <cell r="A1839" t="str">
            <v>MKJ</v>
          </cell>
          <cell r="B1839" t="str">
            <v>Makita Corporation</v>
          </cell>
        </row>
        <row r="1840">
          <cell r="A1840" t="str">
            <v>MKL</v>
          </cell>
          <cell r="B1840" t="str">
            <v>Marklogic Corporation</v>
          </cell>
        </row>
        <row r="1841">
          <cell r="A1841" t="str">
            <v>MKN</v>
          </cell>
          <cell r="B1841" t="str">
            <v>McKesson Corporation</v>
          </cell>
        </row>
        <row r="1842">
          <cell r="A1842" t="str">
            <v>MKT</v>
          </cell>
          <cell r="B1842" t="str">
            <v>MarketTools, Inc.</v>
          </cell>
        </row>
        <row r="1843">
          <cell r="A1843" t="str">
            <v>MKV</v>
          </cell>
          <cell r="B1843" t="str">
            <v>Marking Services, Inc.</v>
          </cell>
        </row>
        <row r="1844">
          <cell r="A1844" t="str">
            <v>MLC</v>
          </cell>
          <cell r="B1844" t="str">
            <v>China MLS</v>
          </cell>
        </row>
        <row r="1845">
          <cell r="A1845" t="str">
            <v>MLF</v>
          </cell>
          <cell r="B1845" t="str">
            <v>MetLife, Inc.</v>
          </cell>
        </row>
        <row r="1846">
          <cell r="A1846" t="str">
            <v>MLG</v>
          </cell>
          <cell r="B1846" t="str">
            <v>Mogloo Games Inc.</v>
          </cell>
        </row>
        <row r="1847">
          <cell r="A1847" t="str">
            <v>MLL</v>
          </cell>
          <cell r="B1847" t="str">
            <v>Merrill Corporation</v>
          </cell>
        </row>
        <row r="1848">
          <cell r="A1848" t="str">
            <v>MLN</v>
          </cell>
          <cell r="B1848" t="str">
            <v>Milliken &amp; Company</v>
          </cell>
        </row>
        <row r="1849">
          <cell r="A1849" t="str">
            <v>MLS</v>
          </cell>
          <cell r="B1849" t="str">
            <v>Milestone Systems A/S</v>
          </cell>
        </row>
        <row r="1850">
          <cell r="A1850" t="str">
            <v>MMA</v>
          </cell>
          <cell r="B1850" t="str">
            <v>Müller Martini AG</v>
          </cell>
        </row>
        <row r="1851">
          <cell r="A1851" t="str">
            <v>MMC</v>
          </cell>
          <cell r="B1851" t="str">
            <v>Marsh &amp; McLennan Companies, Inc.</v>
          </cell>
        </row>
        <row r="1852">
          <cell r="A1852" t="str">
            <v>MMI</v>
          </cell>
          <cell r="B1852" t="str">
            <v>Master International A/S</v>
          </cell>
        </row>
        <row r="1853">
          <cell r="A1853" t="str">
            <v>MMK</v>
          </cell>
          <cell r="B1853" t="str">
            <v>Makino Milling Machine Co., Ltd.</v>
          </cell>
        </row>
        <row r="1854">
          <cell r="A1854" t="str">
            <v>MML</v>
          </cell>
          <cell r="B1854" t="str">
            <v>Momail AB</v>
          </cell>
        </row>
        <row r="1855">
          <cell r="A1855" t="str">
            <v>MMM</v>
          </cell>
          <cell r="B1855" t="str">
            <v>McMaster-Carr Supply Company</v>
          </cell>
        </row>
        <row r="1856">
          <cell r="A1856" t="str">
            <v>MMO</v>
          </cell>
          <cell r="B1856" t="str">
            <v>Masimo Corporation</v>
          </cell>
        </row>
        <row r="1857">
          <cell r="A1857" t="str">
            <v>MMU</v>
          </cell>
          <cell r="B1857" t="str">
            <v>The Metropolitan Museum of Art</v>
          </cell>
        </row>
        <row r="1858">
          <cell r="A1858" t="str">
            <v>MNA</v>
          </cell>
          <cell r="B1858" t="str">
            <v>Province of Manitoba</v>
          </cell>
        </row>
        <row r="1859">
          <cell r="A1859" t="str">
            <v>MNB</v>
          </cell>
          <cell r="B1859" t="str">
            <v>Minube.Com</v>
          </cell>
        </row>
        <row r="1860">
          <cell r="A1860" t="str">
            <v>MNC</v>
          </cell>
          <cell r="B1860" t="str">
            <v>Mitel Networks Corporation</v>
          </cell>
        </row>
        <row r="1861">
          <cell r="A1861" t="str">
            <v>MND</v>
          </cell>
          <cell r="B1861" t="str">
            <v>Mindware Co Ltd</v>
          </cell>
        </row>
        <row r="1862">
          <cell r="A1862" t="str">
            <v>MNF</v>
          </cell>
          <cell r="B1862" t="str">
            <v>MAN AG</v>
          </cell>
        </row>
        <row r="1863">
          <cell r="A1863" t="str">
            <v>MNM</v>
          </cell>
          <cell r="B1863" t="str">
            <v>Mitchell &amp; McCue</v>
          </cell>
        </row>
        <row r="1864">
          <cell r="A1864" t="str">
            <v>MNS</v>
          </cell>
          <cell r="B1864" t="str">
            <v>Mn Services N.V.</v>
          </cell>
        </row>
        <row r="1865">
          <cell r="A1865" t="str">
            <v>MNT</v>
          </cell>
          <cell r="B1865" t="str">
            <v>Mentor Graphics Corporation</v>
          </cell>
        </row>
        <row r="1866">
          <cell r="A1866" t="str">
            <v>MOB</v>
          </cell>
          <cell r="B1866" t="str">
            <v>Mobivia Groupe</v>
          </cell>
        </row>
        <row r="1867">
          <cell r="A1867" t="str">
            <v>MOG</v>
          </cell>
          <cell r="B1867" t="str">
            <v xml:space="preserve">Mandarin Oriental International Limited </v>
          </cell>
        </row>
        <row r="1868">
          <cell r="A1868" t="str">
            <v>MOH</v>
          </cell>
          <cell r="B1868" t="str">
            <v>Mohawk Industries, Inc.</v>
          </cell>
        </row>
        <row r="1869">
          <cell r="A1869" t="str">
            <v>MOL</v>
          </cell>
          <cell r="B1869" t="str">
            <v>Molson Coors Brewing Company</v>
          </cell>
        </row>
        <row r="1870">
          <cell r="A1870" t="str">
            <v>MON</v>
          </cell>
          <cell r="B1870" t="str">
            <v>Montréal International</v>
          </cell>
        </row>
        <row r="1871">
          <cell r="A1871" t="str">
            <v>MOR</v>
          </cell>
          <cell r="B1871" t="str">
            <v>Morgan Stanley</v>
          </cell>
        </row>
        <row r="1872">
          <cell r="A1872" t="str">
            <v>MOS</v>
          </cell>
          <cell r="B1872" t="str">
            <v>Hyundai Mobis</v>
          </cell>
        </row>
        <row r="1873">
          <cell r="A1873" t="str">
            <v>MOT</v>
          </cell>
          <cell r="B1873" t="str">
            <v>Motive Communication Inc.</v>
          </cell>
        </row>
        <row r="1874">
          <cell r="A1874" t="str">
            <v>MOU</v>
          </cell>
          <cell r="B1874" t="str">
            <v>Mouchel Group plc</v>
          </cell>
        </row>
        <row r="1875">
          <cell r="A1875" t="str">
            <v>MOV</v>
          </cell>
          <cell r="B1875" t="str">
            <v>Move, Inc</v>
          </cell>
        </row>
        <row r="1876">
          <cell r="A1876" t="str">
            <v>MP3</v>
          </cell>
          <cell r="B1876" t="str">
            <v>MP3.com Inc</v>
          </cell>
        </row>
        <row r="1877">
          <cell r="A1877" t="str">
            <v>MPC</v>
          </cell>
          <cell r="B1877" t="str">
            <v>Mitsumura Printing Company Ltd</v>
          </cell>
        </row>
        <row r="1878">
          <cell r="A1878" t="str">
            <v>MPI</v>
          </cell>
          <cell r="B1878" t="str">
            <v>MAPI Research Institute</v>
          </cell>
        </row>
        <row r="1879">
          <cell r="A1879" t="str">
            <v>MPO</v>
          </cell>
          <cell r="B1879" t="str">
            <v>Manpower Inc.</v>
          </cell>
        </row>
        <row r="1880">
          <cell r="A1880" t="str">
            <v>MPR</v>
          </cell>
          <cell r="B1880" t="str">
            <v>Millipore Corporation</v>
          </cell>
        </row>
        <row r="1881">
          <cell r="A1881" t="str">
            <v>MPS</v>
          </cell>
          <cell r="B1881" t="str">
            <v>Montgomery Public Schools</v>
          </cell>
        </row>
        <row r="1882">
          <cell r="A1882" t="str">
            <v>MRA</v>
          </cell>
          <cell r="B1882" t="str">
            <v>Matra</v>
          </cell>
        </row>
        <row r="1883">
          <cell r="A1883" t="str">
            <v>MRB</v>
          </cell>
          <cell r="B1883" t="str">
            <v>Maruboshi Co., Ltd</v>
          </cell>
        </row>
        <row r="1884">
          <cell r="A1884" t="str">
            <v>MRC</v>
          </cell>
          <cell r="B1884" t="str">
            <v>Merck &amp; Co, Inc.</v>
          </cell>
        </row>
        <row r="1885">
          <cell r="A1885" t="str">
            <v>MRD</v>
          </cell>
          <cell r="B1885" t="str">
            <v>Marshad Enterprises Inc</v>
          </cell>
        </row>
        <row r="1886">
          <cell r="A1886" t="str">
            <v>MRE</v>
          </cell>
          <cell r="B1886" t="str">
            <v>Macintosh Retail Group N.V.</v>
          </cell>
        </row>
        <row r="1887">
          <cell r="A1887" t="str">
            <v>MRG</v>
          </cell>
          <cell r="B1887" t="str">
            <v>Münchener Rückversicherungs-Gesellschaft AG</v>
          </cell>
        </row>
        <row r="1888">
          <cell r="A1888" t="str">
            <v>MRK</v>
          </cell>
          <cell r="B1888" t="str">
            <v>Merck KGaA</v>
          </cell>
        </row>
        <row r="1889">
          <cell r="A1889" t="str">
            <v>MRL</v>
          </cell>
          <cell r="B1889" t="str">
            <v>Motorola Inc.</v>
          </cell>
        </row>
        <row r="1890">
          <cell r="A1890" t="str">
            <v>MRM</v>
          </cell>
          <cell r="B1890" t="str">
            <v>Mindray Medical International Limited</v>
          </cell>
        </row>
        <row r="1891">
          <cell r="A1891" t="str">
            <v>MRN</v>
          </cell>
          <cell r="B1891" t="str">
            <v>Merten GmbH &amp; Co.</v>
          </cell>
        </row>
        <row r="1892">
          <cell r="A1892" t="str">
            <v>MRO</v>
          </cell>
          <cell r="B1892" t="str">
            <v>Morneau Shepell Inc.</v>
          </cell>
        </row>
        <row r="1893">
          <cell r="A1893" t="str">
            <v>MRS</v>
          </cell>
          <cell r="B1893" t="str">
            <v>MicroStrategy Inc</v>
          </cell>
        </row>
        <row r="1894">
          <cell r="A1894" t="str">
            <v>MRT</v>
          </cell>
          <cell r="B1894" t="str">
            <v>Marriott International, Inc</v>
          </cell>
        </row>
        <row r="1895">
          <cell r="A1895" t="str">
            <v>MSB</v>
          </cell>
          <cell r="B1895" t="str">
            <v>Mid and South Bedfordshire District Councils</v>
          </cell>
        </row>
        <row r="1896">
          <cell r="A1896" t="str">
            <v>MSD</v>
          </cell>
          <cell r="B1896" t="str">
            <v>marketing solutions direkt</v>
          </cell>
        </row>
        <row r="1897">
          <cell r="A1897" t="str">
            <v>MSF</v>
          </cell>
          <cell r="B1897" t="str">
            <v>Medecins Sans Frontieres</v>
          </cell>
        </row>
        <row r="1898">
          <cell r="A1898" t="str">
            <v>MSG</v>
          </cell>
          <cell r="B1898" t="str">
            <v>Music Sales Group Ltd</v>
          </cell>
        </row>
        <row r="1899">
          <cell r="A1899" t="str">
            <v>MSI</v>
          </cell>
          <cell r="B1899" t="str">
            <v>MSI Informatique</v>
          </cell>
        </row>
        <row r="1900">
          <cell r="A1900" t="str">
            <v>MSL</v>
          </cell>
          <cell r="B1900" t="str">
            <v>Médisolution Ltée</v>
          </cell>
        </row>
        <row r="1901">
          <cell r="A1901" t="str">
            <v>MSM</v>
          </cell>
          <cell r="B1901" t="str">
            <v>Misumi Group Inc</v>
          </cell>
        </row>
        <row r="1902">
          <cell r="A1902" t="str">
            <v>MSS</v>
          </cell>
          <cell r="B1902" t="str">
            <v>Message Systems, Inc.</v>
          </cell>
        </row>
        <row r="1903">
          <cell r="A1903" t="str">
            <v>MSY</v>
          </cell>
          <cell r="B1903" t="str">
            <v>Misys plc</v>
          </cell>
        </row>
        <row r="1904">
          <cell r="A1904" t="str">
            <v>MTA</v>
          </cell>
          <cell r="B1904" t="str">
            <v>MetaSolv Software Inc</v>
          </cell>
        </row>
        <row r="1905">
          <cell r="A1905" t="str">
            <v>MTC</v>
          </cell>
          <cell r="B1905" t="str">
            <v>Metso Corporation</v>
          </cell>
        </row>
        <row r="1906">
          <cell r="A1906" t="str">
            <v>MTD</v>
          </cell>
          <cell r="B1906" t="str">
            <v>Mindtree Limited</v>
          </cell>
        </row>
        <row r="1907">
          <cell r="A1907" t="str">
            <v>MTG</v>
          </cell>
          <cell r="B1907" t="str">
            <v>Metro AG</v>
          </cell>
        </row>
        <row r="1908">
          <cell r="A1908" t="str">
            <v>MTK</v>
          </cell>
          <cell r="B1908" t="str">
            <v>Mediatek Inc.</v>
          </cell>
        </row>
        <row r="1909">
          <cell r="A1909" t="str">
            <v>MTL</v>
          </cell>
          <cell r="B1909" t="str">
            <v>Mattel Inc</v>
          </cell>
        </row>
        <row r="1910">
          <cell r="A1910" t="str">
            <v>MTN</v>
          </cell>
          <cell r="B1910" t="str">
            <v>Martin GmbH</v>
          </cell>
        </row>
        <row r="1911">
          <cell r="A1911" t="str">
            <v>MTO</v>
          </cell>
          <cell r="B1911" t="str">
            <v>N.V. Mettler-Toledo S.A.</v>
          </cell>
        </row>
        <row r="1912">
          <cell r="A1912" t="str">
            <v>MTR</v>
          </cell>
          <cell r="B1912" t="str">
            <v>Matrisen AB</v>
          </cell>
        </row>
        <row r="1913">
          <cell r="A1913" t="str">
            <v>MTS</v>
          </cell>
          <cell r="B1913" t="str">
            <v>Mitsubishi Motors Corporation</v>
          </cell>
        </row>
        <row r="1914">
          <cell r="A1914" t="str">
            <v>MTV</v>
          </cell>
          <cell r="B1914" t="str">
            <v>Viacom Inc.</v>
          </cell>
        </row>
        <row r="1915">
          <cell r="A1915" t="str">
            <v>MUC</v>
          </cell>
          <cell r="B1915" t="str">
            <v>Musgrave Group plc</v>
          </cell>
        </row>
        <row r="1916">
          <cell r="A1916" t="str">
            <v>MVL</v>
          </cell>
          <cell r="B1916" t="str">
            <v>Marvellous Entertainment Inc</v>
          </cell>
        </row>
        <row r="1917">
          <cell r="A1917" t="str">
            <v>MVP</v>
          </cell>
          <cell r="B1917" t="str">
            <v>MVP Collaborative, Inc</v>
          </cell>
        </row>
        <row r="1918">
          <cell r="A1918" t="str">
            <v>MVV</v>
          </cell>
          <cell r="B1918" t="str">
            <v>Ministerie van Verkeer en Waterstaat</v>
          </cell>
        </row>
        <row r="1919">
          <cell r="A1919" t="str">
            <v>MVW</v>
          </cell>
          <cell r="B1919" t="str">
            <v>Marriott Vacations Worldwide Corporation</v>
          </cell>
        </row>
        <row r="1920">
          <cell r="A1920" t="str">
            <v>MWE</v>
          </cell>
          <cell r="B1920" t="str">
            <v>Maplin Electronics Ltd.</v>
          </cell>
        </row>
        <row r="1921">
          <cell r="A1921" t="str">
            <v>MXC</v>
          </cell>
          <cell r="B1921" t="str">
            <v>Matrix Communications AG</v>
          </cell>
        </row>
        <row r="1922">
          <cell r="A1922" t="str">
            <v>MXD</v>
          </cell>
          <cell r="B1922" t="str">
            <v>Maxeda B.V.</v>
          </cell>
        </row>
        <row r="1923">
          <cell r="A1923" t="str">
            <v>MYM</v>
          </cell>
          <cell r="B1923" t="str">
            <v>MY Marketing</v>
          </cell>
        </row>
        <row r="1924">
          <cell r="A1924" t="str">
            <v>MYN</v>
          </cell>
          <cell r="B1924" t="str">
            <v>CTB Inc.</v>
          </cell>
        </row>
        <row r="1925">
          <cell r="A1925" t="str">
            <v>MZW</v>
          </cell>
          <cell r="B1925" t="str">
            <v>Markzware Inc</v>
          </cell>
        </row>
        <row r="1926">
          <cell r="A1926" t="str">
            <v>NAC</v>
          </cell>
          <cell r="B1926" t="str">
            <v>Nacco Industries Inc</v>
          </cell>
        </row>
        <row r="1927">
          <cell r="A1927" t="str">
            <v>NAE</v>
          </cell>
          <cell r="B1927" t="str">
            <v>Nikko Asset Management Co., Ltd.</v>
          </cell>
        </row>
        <row r="1928">
          <cell r="A1928" t="str">
            <v>NAI</v>
          </cell>
          <cell r="B1928" t="str">
            <v>Network AssociatesTecnology, Inc</v>
          </cell>
        </row>
        <row r="1929">
          <cell r="A1929" t="str">
            <v>NAM</v>
          </cell>
          <cell r="B1929" t="str">
            <v>National Amusements Inc.</v>
          </cell>
        </row>
        <row r="1930">
          <cell r="A1930" t="str">
            <v>NAP</v>
          </cell>
          <cell r="B1930" t="str">
            <v>Network Appliance, Inc.</v>
          </cell>
        </row>
        <row r="1931">
          <cell r="A1931" t="str">
            <v>NAQ</v>
          </cell>
          <cell r="B1931" t="str">
            <v>NASDAQ OMX</v>
          </cell>
        </row>
        <row r="1932">
          <cell r="A1932" t="str">
            <v>NAR</v>
          </cell>
          <cell r="B1932" t="str">
            <v>Nationaal Archief</v>
          </cell>
        </row>
        <row r="1933">
          <cell r="A1933" t="str">
            <v>NAS</v>
          </cell>
          <cell r="B1933" t="str">
            <v>Naval Air Systems Command</v>
          </cell>
        </row>
        <row r="1934">
          <cell r="A1934" t="str">
            <v>NAT</v>
          </cell>
          <cell r="B1934" t="str">
            <v>NATO</v>
          </cell>
        </row>
        <row r="1935">
          <cell r="A1935" t="str">
            <v>NAU</v>
          </cell>
          <cell r="B1935" t="str">
            <v>Nautilus, Inc</v>
          </cell>
        </row>
        <row r="1936">
          <cell r="A1936" t="str">
            <v>NAV</v>
          </cell>
          <cell r="B1936" t="str">
            <v xml:space="preserve">Navico Holding A.S. </v>
          </cell>
        </row>
        <row r="1937">
          <cell r="A1937" t="str">
            <v>NAX</v>
          </cell>
          <cell r="B1937" t="str">
            <v>Nataxis</v>
          </cell>
        </row>
        <row r="1938">
          <cell r="A1938" t="str">
            <v>NBC</v>
          </cell>
          <cell r="B1938" t="str">
            <v>NBC Universal, Inc.</v>
          </cell>
        </row>
        <row r="1939">
          <cell r="A1939" t="str">
            <v>NBG</v>
          </cell>
          <cell r="B1939" t="str">
            <v>NBSP GMBH</v>
          </cell>
        </row>
        <row r="1940">
          <cell r="A1940" t="str">
            <v>NBH</v>
          </cell>
          <cell r="B1940" t="str">
            <v>Nobel Biocare Holding AG</v>
          </cell>
        </row>
        <row r="1941">
          <cell r="A1941" t="str">
            <v>NBP</v>
          </cell>
          <cell r="B1941" t="str">
            <v>NBP National Bank of Poland</v>
          </cell>
        </row>
        <row r="1942">
          <cell r="A1942" t="str">
            <v>NBR</v>
          </cell>
          <cell r="B1942" t="str">
            <v>National Bank Of Ras Al Khaima</v>
          </cell>
        </row>
        <row r="1943">
          <cell r="A1943" t="str">
            <v>NBS</v>
          </cell>
          <cell r="B1943" t="str">
            <v>Nisbets Plc</v>
          </cell>
        </row>
        <row r="1944">
          <cell r="A1944" t="str">
            <v>NBT</v>
          </cell>
          <cell r="B1944" t="str">
            <v>NBTC</v>
          </cell>
        </row>
        <row r="1945">
          <cell r="A1945" t="str">
            <v>NCC</v>
          </cell>
          <cell r="B1945" t="str">
            <v>The Nature Conservancy of Canada</v>
          </cell>
        </row>
        <row r="1946">
          <cell r="A1946" t="str">
            <v>NCR</v>
          </cell>
          <cell r="B1946" t="str">
            <v>NCR Corporation</v>
          </cell>
        </row>
        <row r="1947">
          <cell r="A1947" t="str">
            <v>NCS</v>
          </cell>
          <cell r="B1947" t="str">
            <v>Midtronics Inc.</v>
          </cell>
        </row>
        <row r="1948">
          <cell r="A1948" t="str">
            <v>NDB</v>
          </cell>
          <cell r="B1948" t="str">
            <v>Nederlandse Boek Onderneming B.V.</v>
          </cell>
        </row>
        <row r="1949">
          <cell r="A1949" t="str">
            <v>NDC</v>
          </cell>
          <cell r="B1949" t="str">
            <v>Ndc International Holding B V</v>
          </cell>
        </row>
        <row r="1950">
          <cell r="A1950" t="str">
            <v>NDN</v>
          </cell>
          <cell r="B1950" t="str">
            <v>Nitto Denko Corporation</v>
          </cell>
        </row>
        <row r="1951">
          <cell r="A1951" t="str">
            <v>NE0</v>
          </cell>
          <cell r="B1951" t="str">
            <v>NEC Corporation</v>
          </cell>
        </row>
        <row r="1952">
          <cell r="A1952" t="str">
            <v>NEC</v>
          </cell>
          <cell r="B1952" t="str">
            <v>neckermann.de GmbH</v>
          </cell>
        </row>
        <row r="1953">
          <cell r="A1953" t="str">
            <v>NEF</v>
          </cell>
          <cell r="B1953" t="str">
            <v>Net Effect Holding BV</v>
          </cell>
        </row>
        <row r="1954">
          <cell r="A1954" t="str">
            <v>NEG</v>
          </cell>
          <cell r="B1954" t="str">
            <v>Natural England</v>
          </cell>
        </row>
        <row r="1955">
          <cell r="A1955" t="str">
            <v>NEL</v>
          </cell>
          <cell r="B1955" t="str">
            <v>Nelnet, Inc.</v>
          </cell>
        </row>
        <row r="1956">
          <cell r="A1956" t="str">
            <v>NEM</v>
          </cell>
          <cell r="B1956" t="str">
            <v>Nuclear Engineering Services Ltd</v>
          </cell>
        </row>
        <row r="1957">
          <cell r="A1957" t="str">
            <v>NEN</v>
          </cell>
          <cell r="B1957" t="str">
            <v>Neschen AG</v>
          </cell>
        </row>
        <row r="1958">
          <cell r="A1958" t="str">
            <v>NER</v>
          </cell>
          <cell r="B1958" t="str">
            <v>Natural Environment Research Council</v>
          </cell>
        </row>
        <row r="1959">
          <cell r="A1959" t="str">
            <v>NES</v>
          </cell>
          <cell r="B1959" t="str">
            <v>Nestle S.A.</v>
          </cell>
        </row>
        <row r="1960">
          <cell r="A1960" t="str">
            <v>NET</v>
          </cell>
          <cell r="B1960" t="str">
            <v>Netegrity, Inc</v>
          </cell>
        </row>
        <row r="1961">
          <cell r="A1961" t="str">
            <v>NEV</v>
          </cell>
          <cell r="B1961" t="str">
            <v>Netviewer AG</v>
          </cell>
        </row>
        <row r="1962">
          <cell r="A1962" t="str">
            <v>NEW</v>
          </cell>
          <cell r="B1962" t="str">
            <v>NewsGator Technologies, Inc.</v>
          </cell>
        </row>
        <row r="1963">
          <cell r="A1963" t="str">
            <v>NEX</v>
          </cell>
          <cell r="B1963" t="str">
            <v>Nexway Co. LTD</v>
          </cell>
        </row>
        <row r="1964">
          <cell r="A1964" t="str">
            <v>NFC</v>
          </cell>
          <cell r="B1964" t="str">
            <v>VF Corporation</v>
          </cell>
        </row>
        <row r="1965">
          <cell r="A1965" t="str">
            <v>NFP</v>
          </cell>
          <cell r="B1965" t="str">
            <v>National Fire Protection Association</v>
          </cell>
        </row>
        <row r="1966">
          <cell r="A1966" t="str">
            <v>NGA</v>
          </cell>
          <cell r="B1966" t="str">
            <v>NorthgateArinso</v>
          </cell>
        </row>
        <row r="1967">
          <cell r="A1967" t="str">
            <v>NGM</v>
          </cell>
          <cell r="B1967" t="str">
            <v>ngmoco, LLC</v>
          </cell>
        </row>
        <row r="1968">
          <cell r="A1968" t="str">
            <v>NGR</v>
          </cell>
          <cell r="B1968" t="str">
            <v>NETGEAR, Inc.</v>
          </cell>
        </row>
        <row r="1969">
          <cell r="A1969" t="str">
            <v>NHA</v>
          </cell>
          <cell r="B1969" t="str">
            <v>Nederlandse Hartstichting</v>
          </cell>
        </row>
        <row r="1970">
          <cell r="A1970" t="str">
            <v>NHE</v>
          </cell>
          <cell r="B1970" t="str">
            <v>NHN Entertainment Corp.</v>
          </cell>
        </row>
        <row r="1971">
          <cell r="A1971" t="str">
            <v>NHO</v>
          </cell>
          <cell r="B1971" t="str">
            <v>NHO</v>
          </cell>
        </row>
        <row r="1972">
          <cell r="A1972" t="str">
            <v>NHP</v>
          </cell>
          <cell r="B1972" t="str">
            <v>NH Hotels</v>
          </cell>
        </row>
        <row r="1973">
          <cell r="A1973" t="str">
            <v>NHS</v>
          </cell>
          <cell r="B1973" t="str">
            <v>National Health Service</v>
          </cell>
        </row>
        <row r="1974">
          <cell r="A1974" t="str">
            <v>NIC</v>
          </cell>
          <cell r="B1974" t="str">
            <v>Nice Systems Limited</v>
          </cell>
        </row>
        <row r="1975">
          <cell r="A1975" t="str">
            <v>NIG</v>
          </cell>
          <cell r="B1975" t="str">
            <v>Noor Investement Group LLC</v>
          </cell>
        </row>
        <row r="1976">
          <cell r="A1976" t="str">
            <v>NIH</v>
          </cell>
          <cell r="B1976" t="str">
            <v>National Instruments Corporation</v>
          </cell>
        </row>
        <row r="1977">
          <cell r="A1977" t="str">
            <v>NIJ</v>
          </cell>
          <cell r="B1977" t="str">
            <v>Nijmegen</v>
          </cell>
        </row>
        <row r="1978">
          <cell r="A1978" t="str">
            <v>NIK</v>
          </cell>
          <cell r="B1978" t="str">
            <v>Nike, Inc.</v>
          </cell>
        </row>
        <row r="1979">
          <cell r="A1979" t="str">
            <v>NIM</v>
          </cell>
          <cell r="B1979" t="str">
            <v>Networks In Motion, Inc</v>
          </cell>
        </row>
        <row r="1980">
          <cell r="A1980" t="str">
            <v>NIN</v>
          </cell>
          <cell r="B1980" t="str">
            <v>Net-Inspect LLC</v>
          </cell>
        </row>
        <row r="1981">
          <cell r="A1981" t="str">
            <v>NIO</v>
          </cell>
          <cell r="B1981" t="str">
            <v>Nionex GmbH</v>
          </cell>
        </row>
        <row r="1982">
          <cell r="A1982" t="str">
            <v>NIP</v>
          </cell>
          <cell r="B1982" t="str">
            <v>Nippon Telegraph &amp; Telephone Corporation</v>
          </cell>
        </row>
        <row r="1983">
          <cell r="A1983" t="str">
            <v>NIS</v>
          </cell>
          <cell r="B1983" t="str">
            <v>Northgate Information Solutions plc</v>
          </cell>
        </row>
        <row r="1984">
          <cell r="A1984" t="str">
            <v>NIT</v>
          </cell>
          <cell r="B1984" t="str">
            <v>NIIT</v>
          </cell>
        </row>
        <row r="1985">
          <cell r="A1985" t="str">
            <v>NKA</v>
          </cell>
          <cell r="B1985" t="str">
            <v>Advista SA</v>
          </cell>
        </row>
        <row r="1986">
          <cell r="A1986" t="str">
            <v>NKL</v>
          </cell>
          <cell r="B1986" t="str">
            <v>Lee Enterprises, Inc.</v>
          </cell>
        </row>
        <row r="1987">
          <cell r="A1987" t="str">
            <v>NKM</v>
          </cell>
          <cell r="B1987" t="str">
            <v>Norkom Technologies Ltd.</v>
          </cell>
        </row>
        <row r="1988">
          <cell r="A1988" t="str">
            <v>NKN</v>
          </cell>
          <cell r="B1988" t="str">
            <v>Nikon Corporation</v>
          </cell>
        </row>
        <row r="1989">
          <cell r="A1989" t="str">
            <v>NKS</v>
          </cell>
          <cell r="B1989" t="str">
            <v>Nakisa Inc.</v>
          </cell>
        </row>
        <row r="1990">
          <cell r="A1990" t="str">
            <v>NLI</v>
          </cell>
          <cell r="B1990" t="str">
            <v>National Life Insurance Company</v>
          </cell>
        </row>
        <row r="1991">
          <cell r="A1991" t="str">
            <v>NLJ</v>
          </cell>
          <cell r="B1991" t="str">
            <v>Nationale Loterij</v>
          </cell>
        </row>
        <row r="1992">
          <cell r="A1992" t="str">
            <v>NLK</v>
          </cell>
          <cell r="B1992" t="str">
            <v>New Look Retailers Limited</v>
          </cell>
        </row>
        <row r="1993">
          <cell r="A1993" t="str">
            <v>NLY</v>
          </cell>
          <cell r="B1993" t="str">
            <v>Nlyte Software Ltd</v>
          </cell>
        </row>
        <row r="1994">
          <cell r="A1994" t="str">
            <v>NMA</v>
          </cell>
          <cell r="B1994" t="str">
            <v>NMA - Dutch Competition Authority</v>
          </cell>
        </row>
        <row r="1995">
          <cell r="A1995" t="str">
            <v>NMC</v>
          </cell>
          <cell r="B1995" t="str">
            <v>Nissan Motor Co., Ltd.</v>
          </cell>
        </row>
        <row r="1996">
          <cell r="A1996" t="str">
            <v>NME</v>
          </cell>
          <cell r="B1996" t="str">
            <v>NewsMax Media, Inc.</v>
          </cell>
        </row>
        <row r="1997">
          <cell r="A1997" t="str">
            <v>NMG</v>
          </cell>
          <cell r="B1997" t="str">
            <v>NetManage Inc</v>
          </cell>
        </row>
        <row r="1998">
          <cell r="A1998" t="str">
            <v>NMN</v>
          </cell>
          <cell r="B1998" t="str">
            <v>New Moon Systems</v>
          </cell>
        </row>
        <row r="1999">
          <cell r="A1999" t="str">
            <v>NMT</v>
          </cell>
          <cell r="B1999" t="str">
            <v>New Market Translations</v>
          </cell>
        </row>
        <row r="2000">
          <cell r="A2000" t="str">
            <v>NNR</v>
          </cell>
          <cell r="B2000" t="str">
            <v>Nordnorsk Reiseliv AS</v>
          </cell>
        </row>
        <row r="2001">
          <cell r="A2001" t="str">
            <v>NOA</v>
          </cell>
          <cell r="B2001" t="str">
            <v>Norrøna AS</v>
          </cell>
        </row>
        <row r="2002">
          <cell r="A2002" t="str">
            <v>NOC</v>
          </cell>
          <cell r="B2002" t="str">
            <v>Novocure, Inc.</v>
          </cell>
        </row>
        <row r="2003">
          <cell r="A2003" t="str">
            <v>NOD</v>
          </cell>
          <cell r="B2003" t="str">
            <v>Nordic Odds Ltd.</v>
          </cell>
        </row>
        <row r="2004">
          <cell r="A2004" t="str">
            <v>NOG</v>
          </cell>
          <cell r="B2004" t="str">
            <v>NogginLabs Inc</v>
          </cell>
        </row>
        <row r="2005">
          <cell r="A2005" t="str">
            <v>NOK</v>
          </cell>
          <cell r="B2005" t="str">
            <v>Nokia Corporation</v>
          </cell>
        </row>
        <row r="2006">
          <cell r="A2006" t="str">
            <v>NOL</v>
          </cell>
          <cell r="B2006" t="str">
            <v>Ted Baker PLC</v>
          </cell>
        </row>
        <row r="2007">
          <cell r="A2007" t="str">
            <v>NOM</v>
          </cell>
          <cell r="B2007" t="str">
            <v>New Orleans Tourism Marketing Corporation</v>
          </cell>
        </row>
        <row r="2008">
          <cell r="A2008" t="str">
            <v>NOR</v>
          </cell>
          <cell r="B2008" t="str">
            <v>IMI plc</v>
          </cell>
        </row>
        <row r="2009">
          <cell r="A2009" t="str">
            <v>NOS</v>
          </cell>
          <cell r="B2009" t="str">
            <v>Nederlandse Omroep Stichting</v>
          </cell>
        </row>
        <row r="2010">
          <cell r="A2010" t="str">
            <v>NOT</v>
          </cell>
          <cell r="B2010" t="str">
            <v>Notarius Inc</v>
          </cell>
        </row>
        <row r="2011">
          <cell r="A2011" t="str">
            <v>NOU</v>
          </cell>
          <cell r="B2011" t="str">
            <v>Noordhoff Uitgevers B V</v>
          </cell>
        </row>
        <row r="2012">
          <cell r="A2012" t="str">
            <v>NOV</v>
          </cell>
          <cell r="B2012" t="str">
            <v>Novellus Systems Inc</v>
          </cell>
        </row>
        <row r="2013">
          <cell r="A2013" t="str">
            <v>NOW</v>
          </cell>
          <cell r="B2013" t="str">
            <v>National Oilwell Varco, Inc.</v>
          </cell>
        </row>
        <row r="2014">
          <cell r="A2014" t="str">
            <v>NOX</v>
          </cell>
          <cell r="B2014" t="str">
            <v>Novitex Enterprise Solutions, Inc.</v>
          </cell>
        </row>
        <row r="2015">
          <cell r="A2015" t="str">
            <v>NP1</v>
          </cell>
          <cell r="B2015" t="str">
            <v>Npc International Holdings, Inc.</v>
          </cell>
        </row>
        <row r="2016">
          <cell r="A2016" t="str">
            <v>NPO</v>
          </cell>
          <cell r="B2016" t="str">
            <v>INPOST Co. Ltd</v>
          </cell>
        </row>
        <row r="2017">
          <cell r="A2017" t="str">
            <v>NRA</v>
          </cell>
          <cell r="B2017" t="str">
            <v>National Restaurant Association</v>
          </cell>
        </row>
        <row r="2018">
          <cell r="A2018" t="str">
            <v>NRB</v>
          </cell>
          <cell r="B2018" t="str">
            <v>Nordea Bank AB</v>
          </cell>
        </row>
        <row r="2019">
          <cell r="A2019" t="str">
            <v>NRD</v>
          </cell>
          <cell r="B2019" t="str">
            <v>Nordstrom, Inc.</v>
          </cell>
        </row>
        <row r="2020">
          <cell r="A2020" t="str">
            <v>NRG</v>
          </cell>
          <cell r="B2020" t="str">
            <v>NRG Group</v>
          </cell>
        </row>
        <row r="2021">
          <cell r="A2021" t="str">
            <v>NRL</v>
          </cell>
          <cell r="B2021" t="str">
            <v>NorLense AS</v>
          </cell>
        </row>
        <row r="2022">
          <cell r="A2022" t="str">
            <v>NRR</v>
          </cell>
          <cell r="B2022" t="str">
            <v>NRG Energy Inc</v>
          </cell>
        </row>
        <row r="2023">
          <cell r="A2023" t="str">
            <v>NRS</v>
          </cell>
          <cell r="B2023" t="str">
            <v>New Revenue Solutions</v>
          </cell>
        </row>
        <row r="2024">
          <cell r="A2024" t="str">
            <v>NRW</v>
          </cell>
          <cell r="B2024" t="str">
            <v>Norwegian Air Shuttle ASA</v>
          </cell>
        </row>
        <row r="2025">
          <cell r="A2025" t="str">
            <v>NSA</v>
          </cell>
          <cell r="B2025" t="str">
            <v>National Standards Authority of Ireland</v>
          </cell>
        </row>
        <row r="2026">
          <cell r="A2026" t="str">
            <v>NSB</v>
          </cell>
          <cell r="B2026" t="str">
            <v>Norges Statsbaner AS</v>
          </cell>
        </row>
        <row r="2027">
          <cell r="A2027" t="str">
            <v>NSD</v>
          </cell>
          <cell r="B2027" t="str">
            <v>NSD CO., LTD.</v>
          </cell>
        </row>
        <row r="2028">
          <cell r="A2028" t="str">
            <v>NSF</v>
          </cell>
          <cell r="B2028" t="str">
            <v>Norsafe AS</v>
          </cell>
        </row>
        <row r="2029">
          <cell r="A2029" t="str">
            <v>NSG</v>
          </cell>
          <cell r="B2029" t="str">
            <v>Neusoft Group Ltd.</v>
          </cell>
        </row>
        <row r="2030">
          <cell r="A2030" t="str">
            <v>NSI</v>
          </cell>
          <cell r="B2030" t="str">
            <v>Notable Solutions Inc</v>
          </cell>
        </row>
        <row r="2031">
          <cell r="A2031" t="str">
            <v>NST</v>
          </cell>
          <cell r="B2031" t="str">
            <v>Newgen Software Technologies Limited</v>
          </cell>
        </row>
        <row r="2032">
          <cell r="A2032" t="str">
            <v>NSW</v>
          </cell>
          <cell r="B2032" t="str">
            <v>Naval Surface Warfare Center</v>
          </cell>
        </row>
        <row r="2033">
          <cell r="A2033" t="str">
            <v>NSY</v>
          </cell>
          <cell r="B2033" t="str">
            <v>Norsys SAS</v>
          </cell>
        </row>
        <row r="2034">
          <cell r="A2034" t="str">
            <v>NT1</v>
          </cell>
          <cell r="B2034" t="str">
            <v>NETWORTH</v>
          </cell>
        </row>
        <row r="2035">
          <cell r="A2035" t="str">
            <v>NTC</v>
          </cell>
          <cell r="B2035" t="str">
            <v>Next IT Corporation</v>
          </cell>
        </row>
        <row r="2036">
          <cell r="A2036" t="str">
            <v>NTD</v>
          </cell>
          <cell r="B2036" t="str">
            <v>Nintendo Co., Ltd</v>
          </cell>
        </row>
        <row r="2037">
          <cell r="A2037" t="str">
            <v>NTG</v>
          </cell>
          <cell r="B2037" t="str">
            <v>Northrop Grumman Corporation</v>
          </cell>
        </row>
        <row r="2038">
          <cell r="A2038" t="str">
            <v>NTL</v>
          </cell>
          <cell r="B2038" t="str">
            <v>Nortel Networks Corporation</v>
          </cell>
        </row>
        <row r="2039">
          <cell r="A2039" t="str">
            <v>NTS</v>
          </cell>
          <cell r="B2039" t="str">
            <v>NTS Group</v>
          </cell>
        </row>
        <row r="2040">
          <cell r="A2040" t="str">
            <v>NTT</v>
          </cell>
          <cell r="B2040" t="str">
            <v>Net Translators Ltd</v>
          </cell>
        </row>
        <row r="2041">
          <cell r="A2041" t="str">
            <v>NTX</v>
          </cell>
          <cell r="B2041" t="str">
            <v>Nintex Group Pty Ltd</v>
          </cell>
        </row>
        <row r="2042">
          <cell r="A2042" t="str">
            <v>NUA</v>
          </cell>
          <cell r="B2042" t="str">
            <v>Nualight</v>
          </cell>
        </row>
        <row r="2043">
          <cell r="A2043" t="str">
            <v>NUC</v>
          </cell>
          <cell r="B2043" t="str">
            <v>Naval Underwater Warfare Center</v>
          </cell>
        </row>
        <row r="2044">
          <cell r="A2044" t="str">
            <v>NUH</v>
          </cell>
          <cell r="B2044" t="str">
            <v xml:space="preserve">International Medical Press </v>
          </cell>
        </row>
        <row r="2045">
          <cell r="A2045" t="str">
            <v>NUK</v>
          </cell>
          <cell r="B2045" t="str">
            <v>Hutchinson S.A.</v>
          </cell>
        </row>
        <row r="2046">
          <cell r="A2046" t="str">
            <v>NUN</v>
          </cell>
          <cell r="B2046" t="str">
            <v>Northumbria University</v>
          </cell>
        </row>
        <row r="2047">
          <cell r="A2047" t="str">
            <v>NUO</v>
          </cell>
          <cell r="B2047" t="str">
            <v>n.v. Nuon</v>
          </cell>
        </row>
        <row r="2048">
          <cell r="A2048" t="str">
            <v>NUR</v>
          </cell>
          <cell r="B2048" t="str">
            <v xml:space="preserve">Quebecor Media Inc. </v>
          </cell>
        </row>
        <row r="2049">
          <cell r="A2049" t="str">
            <v>NUX</v>
          </cell>
          <cell r="B2049" t="str">
            <v>NumeriX LLC</v>
          </cell>
        </row>
        <row r="2050">
          <cell r="A2050" t="str">
            <v>NVA</v>
          </cell>
          <cell r="B2050" t="str">
            <v>Novartis AG</v>
          </cell>
        </row>
        <row r="2051">
          <cell r="A2051" t="str">
            <v>NVC</v>
          </cell>
          <cell r="B2051" t="str">
            <v>Navistar International Corporation</v>
          </cell>
        </row>
        <row r="2052">
          <cell r="A2052" t="str">
            <v>NVE</v>
          </cell>
          <cell r="B2052" t="str">
            <v>nVentive</v>
          </cell>
        </row>
        <row r="2053">
          <cell r="A2053" t="str">
            <v>NVI</v>
          </cell>
          <cell r="B2053" t="str">
            <v>nVidia Corporation</v>
          </cell>
        </row>
        <row r="2054">
          <cell r="A2054" t="str">
            <v>NVL</v>
          </cell>
          <cell r="B2054" t="str">
            <v>Novell Inc</v>
          </cell>
        </row>
        <row r="2055">
          <cell r="A2055" t="str">
            <v>NVO</v>
          </cell>
          <cell r="B2055" t="str">
            <v xml:space="preserve">Novo Nordisk A/S </v>
          </cell>
        </row>
        <row r="2056">
          <cell r="A2056" t="str">
            <v>NVV</v>
          </cell>
          <cell r="B2056" t="str">
            <v>Novio NV</v>
          </cell>
        </row>
        <row r="2057">
          <cell r="A2057" t="str">
            <v>NWF</v>
          </cell>
          <cell r="B2057" t="str">
            <v>Newforma Inc</v>
          </cell>
        </row>
        <row r="2058">
          <cell r="A2058" t="str">
            <v>NWI</v>
          </cell>
          <cell r="B2058" t="str">
            <v>Nationwide Mutual Insurance Company</v>
          </cell>
        </row>
        <row r="2059">
          <cell r="A2059" t="str">
            <v>NWX</v>
          </cell>
          <cell r="B2059" t="str">
            <v>Nurseryworks</v>
          </cell>
        </row>
        <row r="2060">
          <cell r="A2060" t="str">
            <v>NXA</v>
          </cell>
          <cell r="B2060" t="str">
            <v>Nexon America Inc.</v>
          </cell>
        </row>
        <row r="2061">
          <cell r="A2061" t="str">
            <v>NXP</v>
          </cell>
          <cell r="B2061" t="str">
            <v>NXP Semiconductors Netherlands B.V.</v>
          </cell>
        </row>
        <row r="2062">
          <cell r="A2062" t="str">
            <v>NXS</v>
          </cell>
          <cell r="B2062" t="str">
            <v>Nexenta Systems, Inc.</v>
          </cell>
        </row>
        <row r="2063">
          <cell r="A2063" t="str">
            <v>NXT</v>
          </cell>
          <cell r="B2063" t="str">
            <v>Next plc</v>
          </cell>
        </row>
        <row r="2064">
          <cell r="A2064" t="str">
            <v>NYG</v>
          </cell>
          <cell r="B2064" t="str">
            <v>Netyear Group Corporation</v>
          </cell>
        </row>
        <row r="2065">
          <cell r="A2065" t="str">
            <v>OAC</v>
          </cell>
          <cell r="B2065" t="str">
            <v>Oxford &amp; Cambridge International Assessment Svces</v>
          </cell>
        </row>
        <row r="2066">
          <cell r="A2066" t="str">
            <v>OAG</v>
          </cell>
          <cell r="B2066" t="str">
            <v>OAG Holdings</v>
          </cell>
        </row>
        <row r="2067">
          <cell r="A2067" t="str">
            <v>OAS</v>
          </cell>
          <cell r="B2067" t="str">
            <v>Organization of American States</v>
          </cell>
        </row>
        <row r="2068">
          <cell r="A2068" t="str">
            <v>OBJ</v>
          </cell>
          <cell r="B2068" t="str">
            <v>Itera Consulting Group</v>
          </cell>
        </row>
        <row r="2069">
          <cell r="A2069" t="str">
            <v>OBL</v>
          </cell>
          <cell r="B2069" t="str">
            <v>Objectif Lune Inc</v>
          </cell>
        </row>
        <row r="2070">
          <cell r="A2070" t="str">
            <v>OBM</v>
          </cell>
          <cell r="B2070" t="str">
            <v>Oberon Media, Inc.</v>
          </cell>
        </row>
        <row r="2071">
          <cell r="A2071" t="str">
            <v>OBV</v>
          </cell>
          <cell r="B2071" t="str">
            <v>4orange B.V.</v>
          </cell>
        </row>
        <row r="2072">
          <cell r="A2072" t="str">
            <v>OCC</v>
          </cell>
          <cell r="B2072" t="str">
            <v>OCCAM DM LTD</v>
          </cell>
        </row>
        <row r="2073">
          <cell r="A2073" t="str">
            <v>OCE</v>
          </cell>
          <cell r="B2073" t="str">
            <v>Oce NV</v>
          </cell>
        </row>
        <row r="2074">
          <cell r="A2074" t="str">
            <v>ODO</v>
          </cell>
          <cell r="B2074" t="str">
            <v>Oettinger Davidoff AG</v>
          </cell>
        </row>
        <row r="2075">
          <cell r="A2075" t="str">
            <v>ODP</v>
          </cell>
          <cell r="B2075" t="str">
            <v xml:space="preserve">Office Depot, Inc. </v>
          </cell>
        </row>
        <row r="2076">
          <cell r="A2076" t="str">
            <v>OED</v>
          </cell>
          <cell r="B2076" t="str">
            <v>Oregon Employment Department</v>
          </cell>
        </row>
        <row r="2077">
          <cell r="A2077" t="str">
            <v>OEH</v>
          </cell>
          <cell r="B2077" t="str">
            <v>Orient-Express Hotels Ltd</v>
          </cell>
        </row>
        <row r="2078">
          <cell r="A2078" t="str">
            <v>OFC</v>
          </cell>
          <cell r="B2078" t="str">
            <v>Ofcom</v>
          </cell>
        </row>
        <row r="2079">
          <cell r="A2079" t="str">
            <v>OGI</v>
          </cell>
          <cell r="B2079" t="str">
            <v>Omnicom Group Inc.</v>
          </cell>
        </row>
        <row r="2080">
          <cell r="A2080" t="str">
            <v>OGT</v>
          </cell>
          <cell r="B2080" t="str">
            <v>Oger Telecom</v>
          </cell>
        </row>
        <row r="2081">
          <cell r="A2081" t="str">
            <v>OHI</v>
          </cell>
          <cell r="B2081" t="str">
            <v>Office for Harmonization in the Internal Market (OHIM)</v>
          </cell>
        </row>
        <row r="2082">
          <cell r="A2082" t="str">
            <v>OHM</v>
          </cell>
          <cell r="B2082" t="str">
            <v>Schmidt-Ohm + Partner Werbeagentur GmbH</v>
          </cell>
        </row>
        <row r="2083">
          <cell r="A2083" t="str">
            <v>OIL</v>
          </cell>
          <cell r="B2083" t="str">
            <v>Oilon Oy</v>
          </cell>
        </row>
        <row r="2084">
          <cell r="A2084" t="str">
            <v>OKC</v>
          </cell>
          <cell r="B2084" t="str">
            <v>State of Oklahoma</v>
          </cell>
        </row>
        <row r="2085">
          <cell r="A2085" t="str">
            <v>OKI</v>
          </cell>
          <cell r="B2085" t="str">
            <v>Oki Electric Industry Company, Limited</v>
          </cell>
        </row>
        <row r="2086">
          <cell r="A2086" t="str">
            <v>OLS</v>
          </cell>
          <cell r="B2086" t="str">
            <v>Ols AS</v>
          </cell>
        </row>
        <row r="2087">
          <cell r="A2087" t="str">
            <v>OLY</v>
          </cell>
          <cell r="B2087" t="str">
            <v>Olympus Corporation</v>
          </cell>
        </row>
        <row r="2088">
          <cell r="A2088" t="str">
            <v>OM1</v>
          </cell>
          <cell r="B2088" t="str">
            <v>Omnia S.r.l</v>
          </cell>
        </row>
        <row r="2089">
          <cell r="A2089" t="str">
            <v>OMA</v>
          </cell>
          <cell r="B2089" t="str">
            <v>Modena</v>
          </cell>
        </row>
        <row r="2090">
          <cell r="A2090" t="str">
            <v>OME</v>
          </cell>
          <cell r="B2090" t="str">
            <v>OMEGA PERFORMANCE CORPORATION</v>
          </cell>
        </row>
        <row r="2091">
          <cell r="A2091" t="str">
            <v>OMG</v>
          </cell>
          <cell r="B2091" t="str">
            <v>OMG plc</v>
          </cell>
        </row>
        <row r="2092">
          <cell r="A2092" t="str">
            <v>OMI</v>
          </cell>
          <cell r="B2092" t="str">
            <v>OMICRON Electronics</v>
          </cell>
        </row>
        <row r="2093">
          <cell r="A2093" t="str">
            <v>OML</v>
          </cell>
          <cell r="B2093" t="str">
            <v>Old Mills Interiors LLC</v>
          </cell>
        </row>
        <row r="2094">
          <cell r="A2094" t="str">
            <v>OMN</v>
          </cell>
          <cell r="B2094" t="str">
            <v>Omnicell Inc</v>
          </cell>
        </row>
        <row r="2095">
          <cell r="A2095" t="str">
            <v>OMR</v>
          </cell>
          <cell r="B2095" t="str">
            <v>Omron Corporation</v>
          </cell>
        </row>
        <row r="2096">
          <cell r="A2096" t="str">
            <v>OMU</v>
          </cell>
          <cell r="B2096" t="str">
            <v>Old Mutual plc</v>
          </cell>
        </row>
        <row r="2097">
          <cell r="A2097" t="str">
            <v>OMX</v>
          </cell>
          <cell r="B2097" t="str">
            <v>OfficeMax Inc</v>
          </cell>
        </row>
        <row r="2098">
          <cell r="A2098" t="str">
            <v>ONC</v>
          </cell>
          <cell r="B2098" t="str">
            <v>Onex Corporation</v>
          </cell>
        </row>
        <row r="2099">
          <cell r="A2099" t="str">
            <v>OND</v>
          </cell>
          <cell r="B2099" t="str">
            <v>OnDemand Software</v>
          </cell>
        </row>
        <row r="2100">
          <cell r="A2100" t="str">
            <v>ONL</v>
          </cell>
          <cell r="B2100" t="str">
            <v>Online Development Inc</v>
          </cell>
        </row>
        <row r="2101">
          <cell r="A2101" t="str">
            <v>ONN</v>
          </cell>
          <cell r="B2101" t="str">
            <v>Onvest Oy</v>
          </cell>
        </row>
        <row r="2102">
          <cell r="A2102" t="str">
            <v>OPA</v>
          </cell>
          <cell r="B2102" t="str">
            <v>OPO Oeschger Holding AG</v>
          </cell>
        </row>
        <row r="2103">
          <cell r="A2103" t="str">
            <v>OPD</v>
          </cell>
          <cell r="B2103" t="str">
            <v>Open Doors</v>
          </cell>
        </row>
        <row r="2104">
          <cell r="A2104" t="str">
            <v>OPE</v>
          </cell>
          <cell r="B2104" t="str">
            <v>Opera Software ASA</v>
          </cell>
        </row>
        <row r="2105">
          <cell r="A2105" t="str">
            <v>OPI</v>
          </cell>
          <cell r="B2105" t="str">
            <v>Marketing Improvements Optimi Limited</v>
          </cell>
        </row>
        <row r="2106">
          <cell r="A2106" t="str">
            <v>OPO</v>
          </cell>
          <cell r="B2106" t="str">
            <v>OP-Pohjola Group</v>
          </cell>
        </row>
        <row r="2107">
          <cell r="A2107" t="str">
            <v>OPP</v>
          </cell>
          <cell r="B2107" t="str">
            <v>Optimer Pharmaceuticals, Inc</v>
          </cell>
        </row>
        <row r="2108">
          <cell r="A2108" t="str">
            <v>OPR</v>
          </cell>
          <cell r="B2108" t="str">
            <v>Opera21 Holding S.p.A</v>
          </cell>
        </row>
        <row r="2109">
          <cell r="A2109" t="str">
            <v>OPT</v>
          </cell>
          <cell r="B2109" t="str">
            <v>OpenText Corporation</v>
          </cell>
        </row>
        <row r="2110">
          <cell r="A2110" t="str">
            <v>OPW</v>
          </cell>
          <cell r="B2110" t="str">
            <v>Openwave Systems Inc</v>
          </cell>
        </row>
        <row r="2111">
          <cell r="A2111" t="str">
            <v>ORA</v>
          </cell>
          <cell r="B2111" t="str">
            <v>Oracle Corporation</v>
          </cell>
        </row>
        <row r="2112">
          <cell r="A2112" t="str">
            <v>ORD</v>
          </cell>
          <cell r="B2112" t="str">
            <v>Ordina Nederland B.V.</v>
          </cell>
        </row>
        <row r="2113">
          <cell r="A2113" t="str">
            <v>ORT</v>
          </cell>
          <cell r="B2113" t="str">
            <v>O/R/T Studios GmbH</v>
          </cell>
        </row>
        <row r="2114">
          <cell r="A2114" t="str">
            <v>ORN</v>
          </cell>
          <cell r="B2114" t="str">
            <v>Simbec-Orion Group Limited</v>
          </cell>
        </row>
        <row r="2115">
          <cell r="A2115" t="str">
            <v>OSC</v>
          </cell>
          <cell r="B2115" t="str">
            <v>OSCE</v>
          </cell>
        </row>
        <row r="2116">
          <cell r="A2116" t="str">
            <v>OSI</v>
          </cell>
          <cell r="B2116" t="str">
            <v>Osiris Trading (Pty) Ltd</v>
          </cell>
        </row>
        <row r="2117">
          <cell r="A2117" t="str">
            <v>OSS</v>
          </cell>
          <cell r="B2117" t="str">
            <v>OSIsoft, LLC</v>
          </cell>
        </row>
        <row r="2118">
          <cell r="A2118" t="str">
            <v>OTB</v>
          </cell>
          <cell r="B2118" t="str">
            <v>Otterbine Barebo Inc</v>
          </cell>
        </row>
        <row r="2119">
          <cell r="A2119" t="str">
            <v>OTC</v>
          </cell>
          <cell r="B2119" t="str">
            <v>CITY OF OTTAWA</v>
          </cell>
        </row>
        <row r="2120">
          <cell r="A2120" t="str">
            <v>OTH</v>
          </cell>
          <cell r="B2120" t="str">
            <v>Others</v>
          </cell>
        </row>
        <row r="2121">
          <cell r="A2121" t="str">
            <v>OTO</v>
          </cell>
          <cell r="B2121" t="str">
            <v>Otologics, LLC</v>
          </cell>
        </row>
        <row r="2122">
          <cell r="A2122" t="str">
            <v>OTS</v>
          </cell>
          <cell r="B2122" t="str">
            <v>One Touch Systems Inc</v>
          </cell>
        </row>
        <row r="2123">
          <cell r="A2123" t="str">
            <v>OTT</v>
          </cell>
          <cell r="B2123" t="str">
            <v>Otto GmbH &amp; Co KG</v>
          </cell>
        </row>
        <row r="2124">
          <cell r="A2124" t="str">
            <v>OUL</v>
          </cell>
          <cell r="B2124" t="str">
            <v>Outsell LLC</v>
          </cell>
        </row>
        <row r="2125">
          <cell r="A2125" t="str">
            <v>OUT</v>
          </cell>
          <cell r="B2125" t="str">
            <v>Outback Power Systems, Inc.</v>
          </cell>
        </row>
        <row r="2126">
          <cell r="A2126" t="str">
            <v>OVS</v>
          </cell>
          <cell r="B2126" t="str">
            <v>Overland Storage, Inc.</v>
          </cell>
        </row>
        <row r="2127">
          <cell r="A2127" t="str">
            <v>OWL</v>
          </cell>
          <cell r="B2127" t="str">
            <v>Open World Limited</v>
          </cell>
        </row>
        <row r="2128">
          <cell r="A2128" t="str">
            <v>OXF</v>
          </cell>
          <cell r="B2128" t="str">
            <v>Oxford University Press</v>
          </cell>
        </row>
        <row r="2129">
          <cell r="A2129" t="str">
            <v>OZI</v>
          </cell>
          <cell r="B2129" t="str">
            <v>OZ Communications, Inc.</v>
          </cell>
        </row>
        <row r="2130">
          <cell r="A2130" t="str">
            <v>OZS</v>
          </cell>
          <cell r="B2130" t="str">
            <v>OZSALE PTY. LIMITED</v>
          </cell>
        </row>
        <row r="2131">
          <cell r="A2131" t="str">
            <v>PA0</v>
          </cell>
          <cell r="B2131" t="str">
            <v>Beate Uhse AG</v>
          </cell>
        </row>
        <row r="2132">
          <cell r="A2132" t="str">
            <v>PA1</v>
          </cell>
          <cell r="B2132" t="str">
            <v>PATAC</v>
          </cell>
        </row>
        <row r="2133">
          <cell r="A2133" t="str">
            <v>PAA</v>
          </cell>
          <cell r="B2133" t="str">
            <v>Parmalat Spa</v>
          </cell>
        </row>
        <row r="2134">
          <cell r="A2134" t="str">
            <v>PAB</v>
          </cell>
          <cell r="B2134" t="str">
            <v>Pallas Athena Solutions BV</v>
          </cell>
        </row>
        <row r="2135">
          <cell r="A2135" t="str">
            <v>PAC</v>
          </cell>
          <cell r="B2135" t="str">
            <v>Paccar Inc</v>
          </cell>
        </row>
        <row r="2136">
          <cell r="A2136" t="str">
            <v>PAF</v>
          </cell>
          <cell r="B2136" t="str">
            <v>The Paf Group</v>
          </cell>
        </row>
        <row r="2137">
          <cell r="A2137" t="str">
            <v>PAG</v>
          </cell>
          <cell r="B2137" t="str">
            <v>Procter &amp; Gamble Company (The)</v>
          </cell>
        </row>
        <row r="2138">
          <cell r="A2138" t="str">
            <v>PAH</v>
          </cell>
          <cell r="B2138" t="str">
            <v>Pfister Arco Holding A.G.</v>
          </cell>
        </row>
        <row r="2139">
          <cell r="A2139" t="str">
            <v>PAI</v>
          </cell>
          <cell r="B2139" t="str">
            <v>P.A.R.T.s Inc</v>
          </cell>
        </row>
        <row r="2140">
          <cell r="A2140" t="str">
            <v>PAK</v>
          </cell>
          <cell r="B2140" t="str">
            <v>Palo Alto Networks Inc.</v>
          </cell>
        </row>
        <row r="2141">
          <cell r="A2141" t="str">
            <v>PAL</v>
          </cell>
          <cell r="B2141" t="str">
            <v>Palm, Inc.</v>
          </cell>
        </row>
        <row r="2142">
          <cell r="A2142" t="str">
            <v>PAM</v>
          </cell>
          <cell r="B2142" t="str">
            <v>Parametric Technology Corporation</v>
          </cell>
        </row>
        <row r="2143">
          <cell r="A2143" t="str">
            <v>PAN</v>
          </cell>
          <cell r="B2143" t="str">
            <v>Panduit Corporation</v>
          </cell>
        </row>
        <row r="2144">
          <cell r="A2144" t="str">
            <v>PAO</v>
          </cell>
          <cell r="B2144" t="str">
            <v>Panoptic NV</v>
          </cell>
        </row>
        <row r="2145">
          <cell r="A2145" t="str">
            <v>PAR</v>
          </cell>
          <cell r="B2145" t="str">
            <v>PARI GmbH</v>
          </cell>
        </row>
        <row r="2146">
          <cell r="A2146" t="str">
            <v>PAS</v>
          </cell>
          <cell r="B2146" t="str">
            <v>Panasonic Corporation</v>
          </cell>
        </row>
        <row r="2147">
          <cell r="A2147" t="str">
            <v>PAT</v>
          </cell>
          <cell r="B2147" t="str">
            <v>Pathtrace PLC</v>
          </cell>
        </row>
        <row r="2148">
          <cell r="A2148" t="str">
            <v>PCA</v>
          </cell>
          <cell r="B2148" t="str">
            <v>iPCS, Inc.</v>
          </cell>
        </row>
        <row r="2149">
          <cell r="A2149" t="str">
            <v>PCB</v>
          </cell>
          <cell r="B2149" t="str">
            <v>Persis Consulting Co.</v>
          </cell>
        </row>
        <row r="2150">
          <cell r="A2150" t="str">
            <v>PCC</v>
          </cell>
          <cell r="B2150" t="str">
            <v>PCCW Japan Co. Ltd</v>
          </cell>
        </row>
        <row r="2151">
          <cell r="A2151" t="str">
            <v>PCI</v>
          </cell>
          <cell r="B2151" t="str">
            <v>Pictet et Cie</v>
          </cell>
        </row>
        <row r="2152">
          <cell r="A2152" t="str">
            <v>PCK</v>
          </cell>
          <cell r="B2152" t="str">
            <v>Pocket Communications Corp.</v>
          </cell>
        </row>
        <row r="2153">
          <cell r="A2153" t="str">
            <v>PCL</v>
          </cell>
          <cell r="B2153" t="str">
            <v>PCUBED (PTY) LTD</v>
          </cell>
        </row>
        <row r="2154">
          <cell r="A2154" t="str">
            <v>PCO</v>
          </cell>
          <cell r="B2154" t="str">
            <v>PepsiCo. Inc.</v>
          </cell>
        </row>
        <row r="2155">
          <cell r="A2155" t="str">
            <v>PCR</v>
          </cell>
          <cell r="B2155" t="str">
            <v>Precor</v>
          </cell>
        </row>
        <row r="2156">
          <cell r="A2156" t="str">
            <v>PCS</v>
          </cell>
          <cell r="B2156" t="str">
            <v>PMC-Sierra Inc</v>
          </cell>
        </row>
        <row r="2157">
          <cell r="A2157" t="str">
            <v>PCU</v>
          </cell>
          <cell r="B2157" t="str">
            <v>Prostate Cancer UK</v>
          </cell>
        </row>
        <row r="2158">
          <cell r="A2158" t="str">
            <v>PD1</v>
          </cell>
          <cell r="B2158" t="str">
            <v>Pendragon PLC</v>
          </cell>
        </row>
        <row r="2159">
          <cell r="A2159" t="str">
            <v>PDA</v>
          </cell>
          <cell r="B2159" t="str">
            <v>Phildar S.A.</v>
          </cell>
        </row>
        <row r="2160">
          <cell r="A2160" t="str">
            <v>PDI</v>
          </cell>
          <cell r="B2160" t="str">
            <v>Packet Design, Inc.</v>
          </cell>
        </row>
        <row r="2161">
          <cell r="A2161" t="str">
            <v>PDT</v>
          </cell>
          <cell r="B2161" t="str">
            <v>Place des tendances</v>
          </cell>
        </row>
        <row r="2162">
          <cell r="A2162" t="str">
            <v>PDW</v>
          </cell>
          <cell r="B2162" t="str">
            <v>Publicis Groupe S.A.</v>
          </cell>
        </row>
        <row r="2163">
          <cell r="A2163" t="str">
            <v>PEA</v>
          </cell>
          <cell r="B2163" t="str">
            <v>Peacock Group plc</v>
          </cell>
        </row>
        <row r="2164">
          <cell r="A2164" t="str">
            <v>PEI</v>
          </cell>
          <cell r="B2164" t="str">
            <v>Pasternack Enterprises, Inc.</v>
          </cell>
        </row>
        <row r="2165">
          <cell r="A2165" t="str">
            <v>PEJ</v>
          </cell>
          <cell r="B2165" t="str">
            <v>Joachim Petersen</v>
          </cell>
        </row>
        <row r="2166">
          <cell r="A2166" t="str">
            <v>PEN</v>
          </cell>
          <cell r="B2166" t="str">
            <v>Penguin Books Ltd</v>
          </cell>
        </row>
        <row r="2167">
          <cell r="A2167" t="str">
            <v>PEO</v>
          </cell>
          <cell r="B2167" t="str">
            <v>Peopleclick Inc</v>
          </cell>
        </row>
        <row r="2168">
          <cell r="A2168" t="str">
            <v>PEP</v>
          </cell>
          <cell r="B2168" t="str">
            <v>The Pepper Corporation Limited</v>
          </cell>
        </row>
        <row r="2169">
          <cell r="A2169" t="str">
            <v>PER</v>
          </cell>
          <cell r="B2169" t="str">
            <v>Peregrine Systems Inc</v>
          </cell>
        </row>
        <row r="2170">
          <cell r="A2170" t="str">
            <v>PET</v>
          </cell>
          <cell r="B2170" t="str">
            <v>Petrotechnics Limited</v>
          </cell>
        </row>
        <row r="2171">
          <cell r="A2171" t="str">
            <v>PFG</v>
          </cell>
          <cell r="B2171" t="str">
            <v>Premier Farnell plc</v>
          </cell>
        </row>
        <row r="2172">
          <cell r="A2172" t="str">
            <v>PFI</v>
          </cell>
          <cell r="B2172" t="str">
            <v>Pfizer Inc</v>
          </cell>
        </row>
        <row r="2173">
          <cell r="A2173" t="str">
            <v>PGE</v>
          </cell>
          <cell r="B2173" t="str">
            <v>Perigee</v>
          </cell>
        </row>
        <row r="2174">
          <cell r="A2174" t="str">
            <v>PGG</v>
          </cell>
          <cell r="B2174" t="str">
            <v>PGGM</v>
          </cell>
        </row>
        <row r="2175">
          <cell r="A2175" t="str">
            <v>PGP</v>
          </cell>
          <cell r="B2175" t="str">
            <v>PartyGaming Plc</v>
          </cell>
        </row>
        <row r="2176">
          <cell r="A2176" t="str">
            <v>PH0</v>
          </cell>
          <cell r="B2176" t="str">
            <v>Photon Infotech Private Limited</v>
          </cell>
        </row>
        <row r="2177">
          <cell r="A2177" t="str">
            <v>PHH</v>
          </cell>
          <cell r="B2177" t="str">
            <v>PHH Corporation</v>
          </cell>
        </row>
        <row r="2178">
          <cell r="A2178" t="str">
            <v>PHI</v>
          </cell>
          <cell r="B2178" t="str">
            <v>Koninklijke Philips N.V</v>
          </cell>
        </row>
        <row r="2179">
          <cell r="A2179" t="str">
            <v>PHM</v>
          </cell>
          <cell r="B2179" t="str">
            <v>P&amp;H Mining Equipment Inc.</v>
          </cell>
        </row>
        <row r="2180">
          <cell r="A2180" t="str">
            <v>PHN</v>
          </cell>
          <cell r="B2180" t="str">
            <v>Parker Hannifin Corporation</v>
          </cell>
        </row>
        <row r="2181">
          <cell r="A2181" t="str">
            <v>PHO</v>
          </cell>
          <cell r="B2181" t="str">
            <v>Phonzo AS</v>
          </cell>
        </row>
        <row r="2182">
          <cell r="A2182" t="str">
            <v>PHR</v>
          </cell>
          <cell r="B2182" t="str">
            <v>George Weston Limited</v>
          </cell>
        </row>
        <row r="2183">
          <cell r="A2183" t="str">
            <v>PHS</v>
          </cell>
          <cell r="B2183" t="str">
            <v>Parliamentary and Health Service Ombudsman</v>
          </cell>
        </row>
        <row r="2184">
          <cell r="A2184" t="str">
            <v>PI1</v>
          </cell>
          <cell r="B2184" t="str">
            <v>Plan International</v>
          </cell>
        </row>
        <row r="2185">
          <cell r="A2185" t="str">
            <v>PIA</v>
          </cell>
          <cell r="B2185" t="str">
            <v>Philippine Airlines, Inc</v>
          </cell>
        </row>
        <row r="2186">
          <cell r="A2186" t="str">
            <v>PIC</v>
          </cell>
          <cell r="B2186" t="str">
            <v>Picanol Group</v>
          </cell>
        </row>
        <row r="2187">
          <cell r="A2187" t="str">
            <v>PIG</v>
          </cell>
          <cell r="B2187" t="str">
            <v>Panatek Investment Group SRL</v>
          </cell>
        </row>
        <row r="2188">
          <cell r="A2188" t="str">
            <v>PIL</v>
          </cell>
          <cell r="B2188" t="str">
            <v>Pilatus Aircraft Limited</v>
          </cell>
        </row>
        <row r="2189">
          <cell r="A2189" t="str">
            <v>PIM</v>
          </cell>
          <cell r="B2189" t="str">
            <v>Peak Image, Inc</v>
          </cell>
        </row>
        <row r="2190">
          <cell r="A2190" t="str">
            <v>PIN</v>
          </cell>
          <cell r="B2190" t="str">
            <v>PineLake Communications Inc</v>
          </cell>
        </row>
        <row r="2191">
          <cell r="A2191" t="str">
            <v>PIO</v>
          </cell>
          <cell r="B2191" t="str">
            <v>Pioneer Investments</v>
          </cell>
        </row>
        <row r="2192">
          <cell r="A2192" t="str">
            <v>PIS</v>
          </cell>
          <cell r="B2192" t="str">
            <v>IS InterNed Services B.V.</v>
          </cell>
        </row>
        <row r="2193">
          <cell r="A2193" t="str">
            <v>PIT</v>
          </cell>
          <cell r="B2193" t="str">
            <v>Pitney Bowes Inc</v>
          </cell>
        </row>
        <row r="2194">
          <cell r="A2194" t="str">
            <v>PKE</v>
          </cell>
          <cell r="B2194" t="str">
            <v>PerkinElmer Inc.</v>
          </cell>
        </row>
        <row r="2195">
          <cell r="A2195" t="str">
            <v>PKR</v>
          </cell>
          <cell r="B2195" t="str">
            <v>PKR Technologies</v>
          </cell>
        </row>
        <row r="2196">
          <cell r="A2196" t="str">
            <v>PKS</v>
          </cell>
          <cell r="B2196" t="str">
            <v>Packsys Global India Pvt. Ltd.</v>
          </cell>
        </row>
        <row r="2197">
          <cell r="A2197" t="str">
            <v>PKZ</v>
          </cell>
          <cell r="B2197" t="str">
            <v>PKZ Group</v>
          </cell>
        </row>
        <row r="2198">
          <cell r="A2198" t="str">
            <v>PLA</v>
          </cell>
          <cell r="B2198" t="str">
            <v>Plantronics Inc</v>
          </cell>
        </row>
        <row r="2199">
          <cell r="A2199" t="str">
            <v>PLB</v>
          </cell>
          <cell r="B2199" t="str">
            <v>PLB International Inc.</v>
          </cell>
        </row>
        <row r="2200">
          <cell r="A2200" t="str">
            <v>PLE</v>
          </cell>
          <cell r="B2200" t="str">
            <v>Plextor N.V./S.A.</v>
          </cell>
        </row>
        <row r="2201">
          <cell r="A2201" t="str">
            <v>PLI</v>
          </cell>
          <cell r="B2201" t="str">
            <v>The Principal Financial Group</v>
          </cell>
        </row>
        <row r="2202">
          <cell r="A2202" t="str">
            <v>PLL</v>
          </cell>
          <cell r="B2202" t="str">
            <v>Pall Corporation</v>
          </cell>
        </row>
        <row r="2203">
          <cell r="A2203" t="str">
            <v>PLN</v>
          </cell>
          <cell r="B2203" t="str">
            <v>Planon B.V.</v>
          </cell>
        </row>
        <row r="2204">
          <cell r="A2204" t="str">
            <v>PLO</v>
          </cell>
          <cell r="B2204" t="str">
            <v>ParetoLogic Inc.</v>
          </cell>
        </row>
        <row r="2205">
          <cell r="A2205" t="str">
            <v>PLR</v>
          </cell>
          <cell r="B2205" t="str">
            <v>Pillar Data Systems, Inc.</v>
          </cell>
        </row>
        <row r="2206">
          <cell r="A2206" t="str">
            <v>PLS</v>
          </cell>
          <cell r="B2206" t="str">
            <v>Payless Shoesource Inc.</v>
          </cell>
        </row>
        <row r="2207">
          <cell r="A2207" t="str">
            <v>PLT</v>
          </cell>
          <cell r="B2207" t="str">
            <v>Plasser &amp; Theurer, Export von Bahnbaumaschinen, Gesellschaft m.b.H.</v>
          </cell>
        </row>
        <row r="2208">
          <cell r="A2208" t="str">
            <v>PLU</v>
          </cell>
          <cell r="B2208" t="str">
            <v>Plumtree Software Inc</v>
          </cell>
        </row>
        <row r="2209">
          <cell r="A2209" t="str">
            <v>PLW</v>
          </cell>
          <cell r="B2209" t="str">
            <v>Pillow Talk Pty Ltd</v>
          </cell>
        </row>
        <row r="2210">
          <cell r="A2210" t="str">
            <v>PLX</v>
          </cell>
          <cell r="B2210" t="str">
            <v>Plexus Scientific Corporation</v>
          </cell>
        </row>
        <row r="2211">
          <cell r="A2211" t="str">
            <v>PLY</v>
          </cell>
          <cell r="B2211" t="str">
            <v>Polycom Inc</v>
          </cell>
        </row>
        <row r="2212">
          <cell r="A2212" t="str">
            <v>PLZ</v>
          </cell>
          <cell r="B2212" t="str">
            <v>Pilz GmbH &amp; Co. KG</v>
          </cell>
        </row>
        <row r="2213">
          <cell r="A2213" t="str">
            <v>PMA</v>
          </cell>
          <cell r="B2213" t="str">
            <v>PRIMAX ELECTRONICS LTD.</v>
          </cell>
        </row>
        <row r="2214">
          <cell r="A2214" t="str">
            <v>PMC</v>
          </cell>
          <cell r="B2214" t="str">
            <v>Altria Group, Inc.</v>
          </cell>
        </row>
        <row r="2215">
          <cell r="A2215" t="str">
            <v>PMD</v>
          </cell>
          <cell r="B2215" t="str">
            <v>Promind GmbH</v>
          </cell>
        </row>
        <row r="2216">
          <cell r="A2216" t="str">
            <v>PMM</v>
          </cell>
          <cell r="B2216" t="str">
            <v>P&amp;MM Group plc</v>
          </cell>
        </row>
        <row r="2217">
          <cell r="A2217" t="str">
            <v>PMT</v>
          </cell>
          <cell r="B2217" t="str">
            <v>Pace Micro Technology plc</v>
          </cell>
        </row>
        <row r="2218">
          <cell r="A2218" t="str">
            <v>PMX</v>
          </cell>
          <cell r="B2218" t="str">
            <v>Pelmorex Media Inc.</v>
          </cell>
        </row>
        <row r="2219">
          <cell r="A2219" t="str">
            <v>PNH</v>
          </cell>
          <cell r="B2219" t="str">
            <v>Provincie Noord-Holland</v>
          </cell>
        </row>
        <row r="2220">
          <cell r="A2220" t="str">
            <v>PNL</v>
          </cell>
          <cell r="B2220" t="str">
            <v>PostNL N.V.</v>
          </cell>
        </row>
        <row r="2221">
          <cell r="A2221" t="str">
            <v>PNN</v>
          </cell>
          <cell r="B2221" t="str">
            <v>Pennant International Group plc</v>
          </cell>
        </row>
        <row r="2222">
          <cell r="A2222" t="str">
            <v>PNT</v>
          </cell>
          <cell r="B2222" t="str">
            <v>Pentair Ltd.</v>
          </cell>
        </row>
        <row r="2223">
          <cell r="A2223" t="str">
            <v>POC</v>
          </cell>
          <cell r="B2223" t="str">
            <v>PocketThis, Inc.</v>
          </cell>
        </row>
        <row r="2224">
          <cell r="A2224" t="str">
            <v>POG</v>
          </cell>
          <cell r="B2224" t="str">
            <v>Popover Games Inc</v>
          </cell>
        </row>
        <row r="2225">
          <cell r="A2225" t="str">
            <v>POI</v>
          </cell>
          <cell r="B2225" t="str">
            <v>Port Infolink BV</v>
          </cell>
        </row>
        <row r="2226">
          <cell r="A2226" t="str">
            <v>POL</v>
          </cell>
          <cell r="B2226" t="str">
            <v>Polar Mohr  GmbH &amp; Co. KG</v>
          </cell>
        </row>
        <row r="2227">
          <cell r="A2227" t="str">
            <v>PON</v>
          </cell>
          <cell r="B2227" t="str">
            <v>Ponsse Oyj</v>
          </cell>
        </row>
        <row r="2228">
          <cell r="A2228" t="str">
            <v>POP</v>
          </cell>
          <cell r="B2228" t="str">
            <v>Popken Classics GmbH &amp; Co. KG</v>
          </cell>
        </row>
        <row r="2229">
          <cell r="A2229" t="str">
            <v>POR</v>
          </cell>
          <cell r="B2229" t="str">
            <v>Dr. Ing. H.c.F Porsche AG</v>
          </cell>
        </row>
        <row r="2230">
          <cell r="A2230" t="str">
            <v>POS</v>
          </cell>
          <cell r="B2230" t="str">
            <v>Postkantoren B.V.</v>
          </cell>
        </row>
        <row r="2231">
          <cell r="A2231" t="str">
            <v>POT</v>
          </cell>
          <cell r="B2231" t="str">
            <v>Posten AB</v>
          </cell>
        </row>
        <row r="2232">
          <cell r="A2232" t="str">
            <v>POU</v>
          </cell>
          <cell r="B2232" t="str">
            <v>Private Outlet</v>
          </cell>
        </row>
        <row r="2233">
          <cell r="A2233" t="str">
            <v>POW</v>
          </cell>
          <cell r="B2233" t="str">
            <v>Powered  Inc.</v>
          </cell>
        </row>
        <row r="2234">
          <cell r="A2234" t="str">
            <v>POX</v>
          </cell>
          <cell r="B2234" t="str">
            <v>Portalyx B V</v>
          </cell>
        </row>
        <row r="2235">
          <cell r="A2235" t="str">
            <v>PPE</v>
          </cell>
          <cell r="B2235" t="str">
            <v>People &amp; Performance A/S</v>
          </cell>
        </row>
        <row r="2236">
          <cell r="A2236" t="str">
            <v>PPF</v>
          </cell>
          <cell r="B2236" t="str">
            <v>Pepperl+Fuchs GmbH</v>
          </cell>
        </row>
        <row r="2237">
          <cell r="A2237" t="str">
            <v>PPG</v>
          </cell>
          <cell r="B2237" t="str">
            <v>PPG Industries, Inc</v>
          </cell>
        </row>
        <row r="2238">
          <cell r="A2238" t="str">
            <v>PPS</v>
          </cell>
          <cell r="B2238" t="str">
            <v>PeopleSoft Inc</v>
          </cell>
        </row>
        <row r="2239">
          <cell r="A2239" t="str">
            <v>PPT</v>
          </cell>
          <cell r="B2239" t="str">
            <v>Publicatios Perfect</v>
          </cell>
        </row>
        <row r="2240">
          <cell r="A2240" t="str">
            <v>PQS</v>
          </cell>
          <cell r="B2240" t="str">
            <v>Cambridge Information Group, Inc.</v>
          </cell>
        </row>
        <row r="2241">
          <cell r="A2241" t="str">
            <v>PRA</v>
          </cell>
          <cell r="B2241" t="str">
            <v>Provincie Antwerpen</v>
          </cell>
        </row>
        <row r="2242">
          <cell r="A2242" t="str">
            <v>PRC</v>
          </cell>
          <cell r="B2242" t="str">
            <v>ProClarity Corporation</v>
          </cell>
        </row>
        <row r="2243">
          <cell r="A2243" t="str">
            <v>PRD</v>
          </cell>
          <cell r="B2243" t="str">
            <v>Precision Design</v>
          </cell>
        </row>
        <row r="2244">
          <cell r="A2244" t="str">
            <v>PRE</v>
          </cell>
          <cell r="B2244" t="str">
            <v>PERENNIAL INC.</v>
          </cell>
        </row>
        <row r="2245">
          <cell r="A2245" t="str">
            <v>PRG</v>
          </cell>
          <cell r="B2245" t="str">
            <v>PEARL GmbH</v>
          </cell>
        </row>
        <row r="2246">
          <cell r="A2246" t="str">
            <v>PRI</v>
          </cell>
          <cell r="B2246" t="str">
            <v>Priva Holding ubv</v>
          </cell>
        </row>
        <row r="2247">
          <cell r="A2247" t="str">
            <v>PRL</v>
          </cell>
          <cell r="B2247" t="str">
            <v>Prologic plc</v>
          </cell>
        </row>
        <row r="2248">
          <cell r="A2248" t="str">
            <v>PRM</v>
          </cell>
          <cell r="B2248" t="str">
            <v>Primavera Systems Inc</v>
          </cell>
        </row>
        <row r="2249">
          <cell r="A2249" t="str">
            <v>PRN</v>
          </cell>
          <cell r="B2249" t="str">
            <v>PREVENT vzw</v>
          </cell>
        </row>
        <row r="2250">
          <cell r="A2250" t="str">
            <v>PRO</v>
          </cell>
          <cell r="B2250" t="str">
            <v>Producers</v>
          </cell>
        </row>
        <row r="2251">
          <cell r="A2251" t="str">
            <v>PRR</v>
          </cell>
          <cell r="B2251" t="str">
            <v>Prime Restaurants</v>
          </cell>
        </row>
        <row r="2252">
          <cell r="A2252" t="str">
            <v>PRS</v>
          </cell>
          <cell r="B2252" t="str">
            <v>Pearson plc</v>
          </cell>
        </row>
        <row r="2253">
          <cell r="A2253" t="str">
            <v>PRT</v>
          </cell>
          <cell r="B2253" t="str">
            <v>Hengelo Printshop</v>
          </cell>
        </row>
        <row r="2254">
          <cell r="A2254" t="str">
            <v>PRU</v>
          </cell>
          <cell r="B2254" t="str">
            <v>Prudential plc</v>
          </cell>
        </row>
        <row r="2255">
          <cell r="A2255" t="str">
            <v>PRV</v>
          </cell>
          <cell r="B2255" t="str">
            <v>Previsor Inc</v>
          </cell>
        </row>
        <row r="2256">
          <cell r="A2256" t="str">
            <v>PRW</v>
          </cell>
          <cell r="B2256" t="str">
            <v>ProwebCE.</v>
          </cell>
        </row>
        <row r="2257">
          <cell r="A2257" t="str">
            <v>PS1</v>
          </cell>
          <cell r="B2257" t="str">
            <v>PURESTONE TFM LTD</v>
          </cell>
        </row>
        <row r="2258">
          <cell r="A2258" t="str">
            <v>PSA</v>
          </cell>
          <cell r="B2258" t="str">
            <v>PSA Peugeot Citroen SA</v>
          </cell>
        </row>
        <row r="2259">
          <cell r="A2259" t="str">
            <v>PSC</v>
          </cell>
          <cell r="B2259" t="str">
            <v>Pacific Sunwear of California, Inc.</v>
          </cell>
        </row>
        <row r="2260">
          <cell r="A2260" t="str">
            <v>PSG</v>
          </cell>
          <cell r="B2260" t="str">
            <v>Personalhuset Staffing Group AS</v>
          </cell>
        </row>
        <row r="2261">
          <cell r="A2261" t="str">
            <v>PSK</v>
          </cell>
          <cell r="B2261" t="str">
            <v>Pearson Kirihara K.K.</v>
          </cell>
        </row>
        <row r="2262">
          <cell r="A2262" t="str">
            <v>PSO</v>
          </cell>
          <cell r="B2262" t="str">
            <v>Preo Software Inc.</v>
          </cell>
        </row>
        <row r="2263">
          <cell r="A2263" t="str">
            <v>PSS</v>
          </cell>
          <cell r="B2263" t="str">
            <v>ProSiebenSat.1 Group</v>
          </cell>
        </row>
        <row r="2264">
          <cell r="A2264" t="str">
            <v>PST</v>
          </cell>
          <cell r="B2264" t="str">
            <v>Positec Inc</v>
          </cell>
        </row>
        <row r="2265">
          <cell r="A2265" t="str">
            <v>PSW</v>
          </cell>
          <cell r="B2265" t="str">
            <v>Progress Software</v>
          </cell>
        </row>
        <row r="2266">
          <cell r="A2266" t="str">
            <v>PSZ</v>
          </cell>
          <cell r="B2266" t="str">
            <v>Perceptive Software, Inc.</v>
          </cell>
        </row>
        <row r="2267">
          <cell r="A2267" t="str">
            <v>PTA</v>
          </cell>
          <cell r="B2267" t="str">
            <v>PSI AG</v>
          </cell>
        </row>
        <row r="2268">
          <cell r="A2268" t="str">
            <v>PTC</v>
          </cell>
          <cell r="B2268" t="str">
            <v>Petro-Canada</v>
          </cell>
        </row>
        <row r="2269">
          <cell r="A2269" t="str">
            <v>PTE</v>
          </cell>
          <cell r="B2269" t="str">
            <v>Provance Technologies, Inc</v>
          </cell>
        </row>
        <row r="2270">
          <cell r="A2270" t="str">
            <v>PTG</v>
          </cell>
          <cell r="B2270" t="str">
            <v>Pentland Group plc</v>
          </cell>
        </row>
        <row r="2271">
          <cell r="A2271" t="str">
            <v>PTL</v>
          </cell>
          <cell r="B2271" t="str">
            <v xml:space="preserve">Positive Technology Ltd </v>
          </cell>
        </row>
        <row r="2272">
          <cell r="A2272" t="str">
            <v>PTM</v>
          </cell>
          <cell r="B2272" t="str">
            <v>Pictime S.A.S.</v>
          </cell>
        </row>
        <row r="2273">
          <cell r="A2273" t="str">
            <v>PTR</v>
          </cell>
          <cell r="B2273" t="str">
            <v>People Tree Group</v>
          </cell>
        </row>
        <row r="2274">
          <cell r="A2274" t="str">
            <v>PTS</v>
          </cell>
          <cell r="B2274" t="str">
            <v>Pentasys AG</v>
          </cell>
        </row>
        <row r="2275">
          <cell r="A2275" t="str">
            <v>PUA</v>
          </cell>
          <cell r="B2275" t="str">
            <v>Puratos Group N.V.</v>
          </cell>
        </row>
        <row r="2276">
          <cell r="A2276" t="str">
            <v>PUL</v>
          </cell>
          <cell r="B2276" t="str">
            <v>Pulsus Group Inc.</v>
          </cell>
        </row>
        <row r="2277">
          <cell r="A2277" t="str">
            <v>PUP</v>
          </cell>
          <cell r="B2277" t="str">
            <v>Purdue Pharma L.P.</v>
          </cell>
        </row>
        <row r="2278">
          <cell r="A2278" t="str">
            <v>PUR</v>
          </cell>
          <cell r="B2278" t="str">
            <v xml:space="preserve">Purup-Eskofot A/S </v>
          </cell>
        </row>
        <row r="2279">
          <cell r="A2279" t="str">
            <v>PUX</v>
          </cell>
          <cell r="B2279" t="str">
            <v>Pulse Secure, LLC</v>
          </cell>
        </row>
        <row r="2280">
          <cell r="A2280" t="str">
            <v>PVB</v>
          </cell>
          <cell r="B2280" t="str">
            <v>Provincie Vlaams Brabant</v>
          </cell>
        </row>
        <row r="2281">
          <cell r="A2281" t="str">
            <v>PVD</v>
          </cell>
          <cell r="B2281" t="str">
            <v>Packet Video</v>
          </cell>
        </row>
        <row r="2282">
          <cell r="A2282" t="str">
            <v>PVS</v>
          </cell>
          <cell r="B2282" t="str">
            <v>Page Visions</v>
          </cell>
        </row>
        <row r="2283">
          <cell r="A2283" t="str">
            <v>PWA</v>
          </cell>
          <cell r="B2283" t="str">
            <v>Polan &amp; Waski LLC</v>
          </cell>
        </row>
        <row r="2284">
          <cell r="A2284" t="str">
            <v>PWC</v>
          </cell>
          <cell r="B2284" t="str">
            <v>PricewaterhouseCoopers International Ltd</v>
          </cell>
        </row>
        <row r="2285">
          <cell r="A2285" t="str">
            <v>PXL</v>
          </cell>
          <cell r="B2285" t="str">
            <v>PAREXEL International Corporation</v>
          </cell>
        </row>
        <row r="2286">
          <cell r="A2286" t="str">
            <v>PZM</v>
          </cell>
          <cell r="B2286" t="str">
            <v>Prism Public Affairs</v>
          </cell>
        </row>
        <row r="2287">
          <cell r="A2287" t="str">
            <v>Q42</v>
          </cell>
          <cell r="B2287" t="str">
            <v>Q42 Internet BV</v>
          </cell>
        </row>
        <row r="2288">
          <cell r="A2288" t="str">
            <v>QAD</v>
          </cell>
          <cell r="B2288" t="str">
            <v>Quadralay Corporation</v>
          </cell>
        </row>
        <row r="2289">
          <cell r="A2289" t="str">
            <v>QAN</v>
          </cell>
          <cell r="B2289" t="str">
            <v>Qantas Airways Limited</v>
          </cell>
        </row>
        <row r="2290">
          <cell r="A2290" t="str">
            <v>QCM</v>
          </cell>
          <cell r="B2290" t="str">
            <v>Qualcomm Incorporated</v>
          </cell>
        </row>
        <row r="2291">
          <cell r="A2291" t="str">
            <v>QDI</v>
          </cell>
          <cell r="B2291" t="str">
            <v>QAD Inc.</v>
          </cell>
        </row>
        <row r="2292">
          <cell r="A2292" t="str">
            <v>QDR</v>
          </cell>
          <cell r="B2292" t="str">
            <v>Quadratus AB</v>
          </cell>
        </row>
        <row r="2293">
          <cell r="A2293" t="str">
            <v>QED</v>
          </cell>
          <cell r="B2293" t="str">
            <v>Q.E.D. Systems Inc</v>
          </cell>
        </row>
        <row r="2294">
          <cell r="A2294" t="str">
            <v>QFO</v>
          </cell>
          <cell r="B2294" t="str">
            <v>Qatar Foundation For Education, Science &amp; Community Development</v>
          </cell>
        </row>
        <row r="2295">
          <cell r="A2295" t="str">
            <v>QFR</v>
          </cell>
          <cell r="B2295" t="str">
            <v>Q-Free ASA</v>
          </cell>
        </row>
        <row r="2296">
          <cell r="A2296" t="str">
            <v>QGO</v>
          </cell>
          <cell r="B2296" t="str">
            <v>Q-go b.v.</v>
          </cell>
        </row>
        <row r="2297">
          <cell r="A2297" t="str">
            <v>QLE</v>
          </cell>
          <cell r="B2297" t="str">
            <v>QUELLE GmbH</v>
          </cell>
        </row>
        <row r="2298">
          <cell r="A2298" t="str">
            <v>QRL</v>
          </cell>
          <cell r="B2298" t="str">
            <v>QR Ltd</v>
          </cell>
        </row>
        <row r="2299">
          <cell r="A2299" t="str">
            <v>QSD</v>
          </cell>
          <cell r="B2299" t="str">
            <v>Qisda Corporation</v>
          </cell>
        </row>
        <row r="2300">
          <cell r="A2300" t="str">
            <v>QSR</v>
          </cell>
          <cell r="B2300" t="str">
            <v>QSR International Pty Ltd</v>
          </cell>
        </row>
        <row r="2301">
          <cell r="A2301" t="str">
            <v>QTM</v>
          </cell>
          <cell r="B2301" t="str">
            <v>Quantum Corporation</v>
          </cell>
        </row>
        <row r="2302">
          <cell r="A2302" t="str">
            <v>QUA</v>
          </cell>
          <cell r="B2302" t="str">
            <v>Quadrem International (Holdings) Inc</v>
          </cell>
        </row>
        <row r="2303">
          <cell r="A2303" t="str">
            <v>QUD</v>
          </cell>
          <cell r="B2303" t="str">
            <v>Quidnunc Group Ltd</v>
          </cell>
        </row>
        <row r="2304">
          <cell r="A2304" t="str">
            <v>QUE</v>
          </cell>
          <cell r="B2304" t="str">
            <v>Quebecor, Inc.</v>
          </cell>
        </row>
        <row r="2305">
          <cell r="A2305" t="str">
            <v>QUI</v>
          </cell>
          <cell r="B2305" t="str">
            <v>Quixote Corporation</v>
          </cell>
        </row>
        <row r="2306">
          <cell r="A2306" t="str">
            <v>QUO</v>
          </cell>
          <cell r="B2306" t="str">
            <v>Quorum Review</v>
          </cell>
        </row>
        <row r="2307">
          <cell r="A2307" t="str">
            <v>QUS</v>
          </cell>
          <cell r="B2307" t="str">
            <v>Quest  Software Inc.</v>
          </cell>
        </row>
        <row r="2308">
          <cell r="A2308" t="str">
            <v>QYP</v>
          </cell>
          <cell r="B2308" t="str">
            <v>Qype Gmbh</v>
          </cell>
        </row>
        <row r="2309">
          <cell r="A2309" t="str">
            <v>RAB</v>
          </cell>
          <cell r="B2309" t="str">
            <v>Rabobank Group</v>
          </cell>
        </row>
        <row r="2310">
          <cell r="A2310" t="str">
            <v>RAM</v>
          </cell>
          <cell r="B2310" t="str">
            <v>Rambus Inc.</v>
          </cell>
        </row>
        <row r="2311">
          <cell r="A2311" t="str">
            <v>RAT</v>
          </cell>
          <cell r="B2311" t="str">
            <v>Rational Software Corporation</v>
          </cell>
        </row>
        <row r="2312">
          <cell r="A2312" t="str">
            <v>RAV</v>
          </cell>
          <cell r="B2312" t="str">
            <v>Raven Industries, Inc</v>
          </cell>
        </row>
        <row r="2313">
          <cell r="A2313" t="str">
            <v>RAY</v>
          </cell>
          <cell r="B2313" t="str">
            <v>Raytheon Company</v>
          </cell>
        </row>
        <row r="2314">
          <cell r="A2314" t="str">
            <v>RBA</v>
          </cell>
          <cell r="B2314" t="str">
            <v>Ritchie Bros. Auctioneers</v>
          </cell>
        </row>
        <row r="2315">
          <cell r="A2315" t="str">
            <v>RBG</v>
          </cell>
          <cell r="B2315" t="str">
            <v>The Royal Bank of Scotland Group plc</v>
          </cell>
        </row>
        <row r="2316">
          <cell r="A2316" t="str">
            <v>RBH</v>
          </cell>
          <cell r="B2316" t="str">
            <v>Rochdale Boroughwide Housing Limited</v>
          </cell>
        </row>
        <row r="2317">
          <cell r="A2317" t="str">
            <v>RBL</v>
          </cell>
          <cell r="B2317" t="str">
            <v>Rebel Sports</v>
          </cell>
        </row>
        <row r="2318">
          <cell r="A2318" t="str">
            <v>RBZ</v>
          </cell>
          <cell r="B2318" t="str">
            <v>Naked Sky Entertainment, Inc.</v>
          </cell>
        </row>
        <row r="2319">
          <cell r="A2319" t="str">
            <v>RCH</v>
          </cell>
          <cell r="B2319" t="str">
            <v>Roche Holding AG</v>
          </cell>
        </row>
        <row r="2320">
          <cell r="A2320" t="str">
            <v>RCL</v>
          </cell>
          <cell r="B2320" t="str">
            <v>Royal Caribbean Cruises Ltd</v>
          </cell>
        </row>
        <row r="2321">
          <cell r="A2321" t="str">
            <v>RCM</v>
          </cell>
          <cell r="B2321" t="str">
            <v>Compagnie Financière Richemont SA</v>
          </cell>
        </row>
        <row r="2322">
          <cell r="A2322" t="str">
            <v>RCS</v>
          </cell>
          <cell r="B2322" t="str">
            <v>RECRUITSOFT INC.</v>
          </cell>
        </row>
        <row r="2323">
          <cell r="A2323" t="str">
            <v>RCT</v>
          </cell>
          <cell r="B2323" t="str">
            <v>RCM Technologies, Inc.</v>
          </cell>
        </row>
        <row r="2324">
          <cell r="A2324" t="str">
            <v>RCU</v>
          </cell>
          <cell r="B2324" t="str">
            <v>Research Councils UK (RCUK)</v>
          </cell>
        </row>
        <row r="2325">
          <cell r="A2325" t="str">
            <v>RDR</v>
          </cell>
          <cell r="B2325" t="str">
            <v>Reading Room Ltd</v>
          </cell>
        </row>
        <row r="2326">
          <cell r="A2326" t="str">
            <v>RDT</v>
          </cell>
          <cell r="B2326" t="str">
            <v>Advance Publications, Inc.</v>
          </cell>
        </row>
        <row r="2327">
          <cell r="A2327" t="str">
            <v>RE0</v>
          </cell>
          <cell r="B2327" t="str">
            <v>Really Strategies Inc</v>
          </cell>
        </row>
        <row r="2328">
          <cell r="A2328" t="str">
            <v>RE1</v>
          </cell>
          <cell r="B2328" t="str">
            <v>REpower Systems Canada Inc.</v>
          </cell>
        </row>
        <row r="2329">
          <cell r="A2329" t="str">
            <v>REA</v>
          </cell>
          <cell r="B2329" t="str">
            <v>RealNetworks Inc</v>
          </cell>
        </row>
        <row r="2330">
          <cell r="A2330" t="str">
            <v>REB</v>
          </cell>
          <cell r="B2330" t="str">
            <v>Reckitt Benckiser Group plc</v>
          </cell>
        </row>
        <row r="2331">
          <cell r="A2331" t="str">
            <v>REC</v>
          </cell>
          <cell r="B2331" t="str">
            <v>Recaro GmbH &amp; Co.</v>
          </cell>
        </row>
        <row r="2332">
          <cell r="A2332" t="str">
            <v>REE</v>
          </cell>
          <cell r="B2332" t="str">
            <v>Reed Elsevier plc</v>
          </cell>
        </row>
        <row r="2333">
          <cell r="A2333" t="str">
            <v>REG</v>
          </cell>
          <cell r="B2333" t="str">
            <v>Regus Group Plc</v>
          </cell>
        </row>
        <row r="2334">
          <cell r="A2334" t="str">
            <v>REI</v>
          </cell>
          <cell r="B2334" t="str">
            <v>Reinisch AG</v>
          </cell>
        </row>
        <row r="2335">
          <cell r="A2335" t="str">
            <v>REJ</v>
          </cell>
          <cell r="B2335" t="str">
            <v>Reliance Industries Limited</v>
          </cell>
        </row>
        <row r="2336">
          <cell r="A2336" t="str">
            <v>REK</v>
          </cell>
          <cell r="B2336" t="str">
            <v>Rentokil Initial plc</v>
          </cell>
        </row>
        <row r="2337">
          <cell r="A2337" t="str">
            <v>REL</v>
          </cell>
          <cell r="B2337" t="str">
            <v>Relate4u B.V.</v>
          </cell>
        </row>
        <row r="2338">
          <cell r="A2338" t="str">
            <v>REN</v>
          </cell>
          <cell r="B2338" t="str">
            <v>Renault SA</v>
          </cell>
        </row>
        <row r="2339">
          <cell r="A2339" t="str">
            <v>REP</v>
          </cell>
          <cell r="B2339" t="str">
            <v>Repsol YPF</v>
          </cell>
        </row>
        <row r="2340">
          <cell r="A2340" t="str">
            <v>RES</v>
          </cell>
          <cell r="B2340" t="str">
            <v>Ajuntament de Reus</v>
          </cell>
        </row>
        <row r="2341">
          <cell r="A2341" t="str">
            <v>REU</v>
          </cell>
          <cell r="B2341" t="str">
            <v>Reuters Group plc</v>
          </cell>
        </row>
        <row r="2342">
          <cell r="A2342" t="str">
            <v>REW</v>
          </cell>
          <cell r="B2342" t="str">
            <v>REWE Group</v>
          </cell>
        </row>
        <row r="2343">
          <cell r="A2343" t="str">
            <v>REX</v>
          </cell>
          <cell r="B2343" t="str">
            <v>Katz Group Canada Ltd.</v>
          </cell>
        </row>
        <row r="2344">
          <cell r="A2344" t="str">
            <v>REY</v>
          </cell>
          <cell r="B2344" t="str">
            <v>THE REYNOLDS &amp; REYNOLDS COMPANY</v>
          </cell>
        </row>
        <row r="2345">
          <cell r="A2345" t="str">
            <v>RFL</v>
          </cell>
          <cell r="B2345" t="str">
            <v>Robeez Footwear Ltd.</v>
          </cell>
        </row>
        <row r="2346">
          <cell r="A2346" t="str">
            <v>RFX</v>
          </cell>
          <cell r="B2346" t="str">
            <v>Reflexive Entertainment Inc</v>
          </cell>
        </row>
        <row r="2347">
          <cell r="A2347" t="str">
            <v>RGA</v>
          </cell>
          <cell r="B2347" t="str">
            <v>R/GA Media Group, Inc.</v>
          </cell>
        </row>
        <row r="2348">
          <cell r="A2348" t="str">
            <v>RGI</v>
          </cell>
          <cell r="B2348" t="str">
            <v>RGIS, LLC</v>
          </cell>
        </row>
        <row r="2349">
          <cell r="A2349" t="str">
            <v>RHA</v>
          </cell>
          <cell r="B2349" t="str">
            <v>Red Hat Inc.</v>
          </cell>
        </row>
        <row r="2350">
          <cell r="A2350" t="str">
            <v>RHI</v>
          </cell>
          <cell r="B2350" t="str">
            <v>Robert Half International Inc.</v>
          </cell>
        </row>
        <row r="2351">
          <cell r="A2351" t="str">
            <v>RHM</v>
          </cell>
          <cell r="B2351" t="str">
            <v>Rheinmetall Group</v>
          </cell>
        </row>
        <row r="2352">
          <cell r="A2352" t="str">
            <v>RHO</v>
          </cell>
          <cell r="B2352" t="str">
            <v>Rhodia</v>
          </cell>
        </row>
        <row r="2353">
          <cell r="A2353" t="str">
            <v>RIB</v>
          </cell>
          <cell r="B2353" t="str">
            <v>Rijksgebouwendienst</v>
          </cell>
        </row>
        <row r="2354">
          <cell r="A2354" t="str">
            <v>RIC</v>
          </cell>
          <cell r="B2354" t="str">
            <v>Ricoh Company, Ltd</v>
          </cell>
        </row>
        <row r="2355">
          <cell r="A2355" t="str">
            <v>RIE</v>
          </cell>
          <cell r="B2355" t="str">
            <v>Rieter Holding AG</v>
          </cell>
        </row>
        <row r="2356">
          <cell r="A2356" t="str">
            <v>RIF</v>
          </cell>
          <cell r="B2356" t="str">
            <v>Trinity Mirror Ltd</v>
          </cell>
        </row>
        <row r="2357">
          <cell r="A2357" t="str">
            <v>RIJ</v>
          </cell>
          <cell r="B2357" t="str">
            <v>Rijkswaterstaat</v>
          </cell>
        </row>
        <row r="2358">
          <cell r="A2358" t="str">
            <v>RIK</v>
          </cell>
          <cell r="B2358" t="str">
            <v>Rikshospitalet HF</v>
          </cell>
        </row>
        <row r="2359">
          <cell r="A2359" t="str">
            <v>RIM</v>
          </cell>
          <cell r="B2359" t="str">
            <v>Research in Motion Limited</v>
          </cell>
        </row>
        <row r="2360">
          <cell r="A2360" t="str">
            <v>RIT</v>
          </cell>
          <cell r="B2360" t="str">
            <v>Friedhelm Loh-Group</v>
          </cell>
        </row>
        <row r="2361">
          <cell r="A2361" t="str">
            <v>RIV</v>
          </cell>
          <cell r="B2361" t="str">
            <v>Stichting Rivas Zorggroep</v>
          </cell>
        </row>
        <row r="2362">
          <cell r="A2362" t="str">
            <v>RIY</v>
          </cell>
          <cell r="B2362" t="str">
            <v xml:space="preserve">Riyad Bank </v>
          </cell>
        </row>
        <row r="2363">
          <cell r="A2363" t="str">
            <v>RKT</v>
          </cell>
          <cell r="B2363" t="str">
            <v>Rakuten Inc</v>
          </cell>
        </row>
        <row r="2364">
          <cell r="A2364" t="str">
            <v>RKU</v>
          </cell>
          <cell r="B2364" t="str">
            <v>Rikkyo University</v>
          </cell>
        </row>
        <row r="2365">
          <cell r="A2365" t="str">
            <v>RLI</v>
          </cell>
          <cell r="B2365" t="str">
            <v>Renaissance Learning Inc</v>
          </cell>
        </row>
        <row r="2366">
          <cell r="A2366" t="str">
            <v>RMC</v>
          </cell>
          <cell r="B2366" t="str">
            <v>Rand McNally &amp; Company</v>
          </cell>
        </row>
        <row r="2367">
          <cell r="A2367" t="str">
            <v>RMT</v>
          </cell>
          <cell r="B2367" t="str">
            <v>Responsible Media Technologies, LLC</v>
          </cell>
        </row>
        <row r="2368">
          <cell r="A2368" t="str">
            <v>RND</v>
          </cell>
          <cell r="B2368" t="str">
            <v>Raindance Communications Inc</v>
          </cell>
        </row>
        <row r="2369">
          <cell r="A2369" t="str">
            <v>RNS</v>
          </cell>
          <cell r="B2369" t="str">
            <v>Renesas Technology Corp</v>
          </cell>
        </row>
        <row r="2370">
          <cell r="A2370" t="str">
            <v>RNT</v>
          </cell>
          <cell r="B2370" t="str">
            <v>RightNow Technologies, Inc.</v>
          </cell>
        </row>
        <row r="2371">
          <cell r="A2371" t="str">
            <v>ROC</v>
          </cell>
          <cell r="B2371" t="str">
            <v>Rockwell Automation Inc</v>
          </cell>
        </row>
        <row r="2372">
          <cell r="A2372" t="str">
            <v>ROD</v>
          </cell>
          <cell r="B2372" t="str">
            <v>Rodapro B.V.</v>
          </cell>
        </row>
        <row r="2373">
          <cell r="A2373" t="str">
            <v>ROE</v>
          </cell>
          <cell r="B2373" t="str">
            <v>Roevin Management Services Ltd</v>
          </cell>
        </row>
        <row r="2374">
          <cell r="A2374" t="str">
            <v>ROG</v>
          </cell>
          <cell r="B2374" t="str">
            <v>Rogers Communications Inc.</v>
          </cell>
        </row>
        <row r="2375">
          <cell r="A2375" t="str">
            <v>RON</v>
          </cell>
          <cell r="B2375" t="str">
            <v>RONA INC.</v>
          </cell>
        </row>
        <row r="2376">
          <cell r="A2376" t="str">
            <v>ROO</v>
          </cell>
          <cell r="B2376" t="str">
            <v>Roompot Recreatie Beheer B.V.</v>
          </cell>
        </row>
        <row r="2377">
          <cell r="A2377" t="str">
            <v>ROR</v>
          </cell>
          <cell r="B2377" t="str">
            <v>RoundArch, Inc.</v>
          </cell>
        </row>
        <row r="2378">
          <cell r="A2378" t="str">
            <v>ROS</v>
          </cell>
          <cell r="B2378" t="str">
            <v>Rosetta LLC</v>
          </cell>
        </row>
        <row r="2379">
          <cell r="A2379" t="str">
            <v>ROY</v>
          </cell>
          <cell r="B2379" t="str">
            <v>Rolls-Royce Group plc</v>
          </cell>
        </row>
        <row r="2380">
          <cell r="A2380" t="str">
            <v>RPD</v>
          </cell>
          <cell r="B2380" t="str">
            <v>Rapid7 LLC</v>
          </cell>
        </row>
        <row r="2381">
          <cell r="A2381" t="str">
            <v>RPL</v>
          </cell>
          <cell r="B2381" t="str">
            <v>REPLY SPA</v>
          </cell>
        </row>
        <row r="2382">
          <cell r="A2382" t="str">
            <v>RRB</v>
          </cell>
          <cell r="B2382" t="str">
            <v>R.R. Bowker LLc</v>
          </cell>
        </row>
        <row r="2383">
          <cell r="A2383" t="str">
            <v>RRD</v>
          </cell>
          <cell r="B2383" t="str">
            <v>R.R. Donnelley &amp; Sons Company</v>
          </cell>
        </row>
        <row r="2384">
          <cell r="A2384" t="str">
            <v>RRE</v>
          </cell>
          <cell r="B2384" t="str">
            <v>Raymond Reed Executive Services Ltd</v>
          </cell>
        </row>
        <row r="2385">
          <cell r="A2385" t="str">
            <v>RSA</v>
          </cell>
          <cell r="B2385" t="str">
            <v>Royal &amp; SunAlliance Group</v>
          </cell>
        </row>
        <row r="2386">
          <cell r="A2386" t="str">
            <v>RSB</v>
          </cell>
          <cell r="B2386" t="str">
            <v>The Royal Society for the Protection of Birds</v>
          </cell>
        </row>
        <row r="2387">
          <cell r="A2387" t="str">
            <v>RSC</v>
          </cell>
          <cell r="B2387" t="str">
            <v>Royal Society of Chemistry</v>
          </cell>
        </row>
        <row r="2388">
          <cell r="A2388" t="str">
            <v>RSI</v>
          </cell>
          <cell r="B2388" t="str">
            <v>RSI Group</v>
          </cell>
        </row>
        <row r="2389">
          <cell r="A2389" t="str">
            <v>RSM</v>
          </cell>
          <cell r="B2389" t="str">
            <v>Reverso-Softissimo</v>
          </cell>
        </row>
        <row r="2390">
          <cell r="A2390" t="str">
            <v>RSO</v>
          </cell>
          <cell r="B2390" t="str">
            <v>Ray Sono AG</v>
          </cell>
        </row>
        <row r="2391">
          <cell r="A2391" t="str">
            <v>RSQ</v>
          </cell>
          <cell r="B2391" t="str">
            <v>RS Components A/S</v>
          </cell>
        </row>
        <row r="2392">
          <cell r="A2392" t="str">
            <v>RST</v>
          </cell>
          <cell r="B2392" t="str">
            <v>Groupe St-Hubert Inc</v>
          </cell>
        </row>
        <row r="2393">
          <cell r="A2393" t="str">
            <v>RTE</v>
          </cell>
          <cell r="B2393" t="str">
            <v>Rational Entertainment Enterprises Ltd</v>
          </cell>
        </row>
        <row r="2394">
          <cell r="A2394" t="str">
            <v>RTF</v>
          </cell>
          <cell r="B2394" t="str">
            <v>Groupe RETIF Développement</v>
          </cell>
        </row>
        <row r="2395">
          <cell r="A2395" t="str">
            <v>RTG</v>
          </cell>
          <cell r="B2395" t="str">
            <v>Rio Tinto Group</v>
          </cell>
        </row>
        <row r="2396">
          <cell r="A2396" t="str">
            <v>RTL</v>
          </cell>
          <cell r="B2396" t="str">
            <v>RTL Nederland</v>
          </cell>
        </row>
        <row r="2397">
          <cell r="A2397" t="str">
            <v>RTS</v>
          </cell>
          <cell r="B2397" t="str">
            <v>Real Tech Systems Integration Pty. Limited</v>
          </cell>
        </row>
        <row r="2398">
          <cell r="A2398" t="str">
            <v>RUA</v>
          </cell>
          <cell r="B2398" t="str">
            <v>Ruag Aerospace Austria Gmbh</v>
          </cell>
        </row>
        <row r="2399">
          <cell r="A2399" t="str">
            <v>RUB</v>
          </cell>
          <cell r="B2399" t="str">
            <v>Rubric Consulting Limited</v>
          </cell>
        </row>
        <row r="2400">
          <cell r="A2400" t="str">
            <v>RUS</v>
          </cell>
          <cell r="B2400" t="str">
            <v>Russell Corporation</v>
          </cell>
        </row>
        <row r="2401">
          <cell r="A2401" t="str">
            <v>RVD</v>
          </cell>
          <cell r="B2401" t="str">
            <v>Riverdeep Interactive Learning Ltd</v>
          </cell>
        </row>
        <row r="2402">
          <cell r="A2402" t="str">
            <v>RVS</v>
          </cell>
          <cell r="B2402" t="str">
            <v>Raad van State</v>
          </cell>
        </row>
        <row r="2403">
          <cell r="A2403" t="str">
            <v>RXO</v>
          </cell>
          <cell r="B2403" t="str">
            <v>Roxio Inc</v>
          </cell>
        </row>
        <row r="2404">
          <cell r="A2404" t="str">
            <v>RYA</v>
          </cell>
          <cell r="B2404" t="str">
            <v>Ryohin Keikaku Co., Ltd.</v>
          </cell>
        </row>
        <row r="2405">
          <cell r="A2405" t="str">
            <v>RYN</v>
          </cell>
          <cell r="B2405" t="str">
            <v>Ryanair Ltd.</v>
          </cell>
        </row>
        <row r="2406">
          <cell r="A2406" t="str">
            <v>RYO</v>
          </cell>
          <cell r="B2406" t="str">
            <v>Mitsubishi Heavy Industries, Ltd.</v>
          </cell>
        </row>
        <row r="2407">
          <cell r="A2407" t="str">
            <v>RZF</v>
          </cell>
          <cell r="B2407" t="str">
            <v>Razorfish LLC</v>
          </cell>
        </row>
        <row r="2408">
          <cell r="A2408" t="str">
            <v>S0P</v>
          </cell>
          <cell r="B2408" t="str">
            <v>Suprema Inc.</v>
          </cell>
        </row>
        <row r="2409">
          <cell r="A2409" t="str">
            <v>S1M</v>
          </cell>
          <cell r="B2409" t="str">
            <v>SimulTrans</v>
          </cell>
        </row>
        <row r="2410">
          <cell r="A2410" t="str">
            <v>S44</v>
          </cell>
          <cell r="B2410" t="str">
            <v>Spark 44</v>
          </cell>
        </row>
        <row r="2411">
          <cell r="A2411" t="str">
            <v>SA0</v>
          </cell>
          <cell r="B2411" t="str">
            <v>Sanoma Corporation</v>
          </cell>
        </row>
        <row r="2412">
          <cell r="A2412" t="str">
            <v>SA1</v>
          </cell>
          <cell r="B2412" t="str">
            <v>SAE International</v>
          </cell>
        </row>
        <row r="2413">
          <cell r="A2413" t="str">
            <v>SA2</v>
          </cell>
          <cell r="B2413" t="str">
            <v>Strauss Group Ltd</v>
          </cell>
        </row>
        <row r="2414">
          <cell r="A2414" t="str">
            <v>SAA</v>
          </cell>
          <cell r="B2414" t="str">
            <v>Saba Software Inc</v>
          </cell>
        </row>
        <row r="2415">
          <cell r="A2415" t="str">
            <v>SAB</v>
          </cell>
          <cell r="B2415" t="str">
            <v>Sabre Holdings Corporation</v>
          </cell>
        </row>
        <row r="2416">
          <cell r="A2416" t="str">
            <v>SAC</v>
          </cell>
          <cell r="B2416" t="str">
            <v>Sales Channel Europe SARL</v>
          </cell>
        </row>
        <row r="2417">
          <cell r="A2417" t="str">
            <v>SAD</v>
          </cell>
          <cell r="B2417" t="str">
            <v>St Albans District Council</v>
          </cell>
        </row>
        <row r="2418">
          <cell r="A2418" t="str">
            <v>SAE</v>
          </cell>
          <cell r="B2418" t="str">
            <v>Sage Group plc</v>
          </cell>
        </row>
        <row r="2419">
          <cell r="A2419" t="str">
            <v>SAF</v>
          </cell>
          <cell r="B2419" t="str">
            <v>Santillana Formacion S L</v>
          </cell>
        </row>
        <row r="2420">
          <cell r="A2420" t="str">
            <v>SAG</v>
          </cell>
          <cell r="B2420" t="str">
            <v>SAGEM SA</v>
          </cell>
        </row>
        <row r="2421">
          <cell r="A2421" t="str">
            <v>SAH</v>
          </cell>
          <cell r="B2421" t="str">
            <v>Safaba Translation Solutions</v>
          </cell>
        </row>
        <row r="2422">
          <cell r="A2422" t="str">
            <v>SAI</v>
          </cell>
          <cell r="B2422" t="str">
            <v xml:space="preserve">SAIL </v>
          </cell>
        </row>
        <row r="2423">
          <cell r="A2423" t="str">
            <v>SAK</v>
          </cell>
          <cell r="B2423" t="str">
            <v>Sakson &amp; Taylor Inc</v>
          </cell>
        </row>
        <row r="2424">
          <cell r="A2424" t="str">
            <v>SAL</v>
          </cell>
          <cell r="B2424" t="str">
            <v>Salland De Lange B.V.</v>
          </cell>
        </row>
        <row r="2425">
          <cell r="A2425" t="str">
            <v>SAM</v>
          </cell>
          <cell r="B2425" t="str">
            <v>Samsung Group</v>
          </cell>
        </row>
        <row r="2426">
          <cell r="A2426" t="str">
            <v>SAN</v>
          </cell>
          <cell r="B2426" t="str">
            <v>SanDisk Corporation</v>
          </cell>
        </row>
        <row r="2427">
          <cell r="A2427" t="str">
            <v>SAP</v>
          </cell>
          <cell r="B2427" t="str">
            <v>SAP AG</v>
          </cell>
        </row>
        <row r="2428">
          <cell r="A2428" t="str">
            <v>SAR</v>
          </cell>
          <cell r="B2428" t="str">
            <v>Sarenza</v>
          </cell>
        </row>
        <row r="2429">
          <cell r="A2429" t="str">
            <v>SAS</v>
          </cell>
          <cell r="B2429" t="str">
            <v>SAS Institute Inc</v>
          </cell>
        </row>
        <row r="2430">
          <cell r="A2430" t="str">
            <v>SAT</v>
          </cell>
          <cell r="B2430" t="str">
            <v>Satmetrix Systems Inc</v>
          </cell>
        </row>
        <row r="2431">
          <cell r="A2431" t="str">
            <v>SAV</v>
          </cell>
          <cell r="B2431" t="str">
            <v>Sacyr Vallehermoso SA</v>
          </cell>
        </row>
        <row r="2432">
          <cell r="A2432" t="str">
            <v>SAX</v>
          </cell>
          <cell r="B2432" t="str">
            <v>Sandvik AB</v>
          </cell>
        </row>
        <row r="2433">
          <cell r="A2433" t="str">
            <v>SAY</v>
          </cell>
          <cell r="B2433" t="str">
            <v>Savi Technology Inc</v>
          </cell>
        </row>
        <row r="2434">
          <cell r="A2434" t="str">
            <v>SBC</v>
          </cell>
          <cell r="B2434" t="str">
            <v>SBC Communications Inc</v>
          </cell>
        </row>
        <row r="2435">
          <cell r="A2435" t="str">
            <v>SBH</v>
          </cell>
          <cell r="B2435" t="str">
            <v>Standaard Boekhandel N.V.</v>
          </cell>
        </row>
        <row r="2436">
          <cell r="A2436" t="str">
            <v>SBI</v>
          </cell>
          <cell r="B2436" t="str">
            <v>Saudi Basic Industries Corporation</v>
          </cell>
        </row>
        <row r="2437">
          <cell r="A2437" t="str">
            <v>SBM</v>
          </cell>
          <cell r="B2437" t="str">
            <v>Saab AB</v>
          </cell>
        </row>
        <row r="2438">
          <cell r="A2438" t="str">
            <v>SBP</v>
          </cell>
          <cell r="B2438" t="str">
            <v>Sportingbet plc</v>
          </cell>
        </row>
        <row r="2439">
          <cell r="A2439" t="str">
            <v>SBT</v>
          </cell>
          <cell r="B2439" t="str">
            <v>Symbol Technologies, Inc.</v>
          </cell>
        </row>
        <row r="2440">
          <cell r="A2440" t="str">
            <v>SCA</v>
          </cell>
          <cell r="B2440" t="str">
            <v>Scan Laser B.V.</v>
          </cell>
        </row>
        <row r="2441">
          <cell r="A2441" t="str">
            <v>SCB</v>
          </cell>
          <cell r="B2441" t="str">
            <v>Schlumberger Ltd</v>
          </cell>
        </row>
        <row r="2442">
          <cell r="A2442" t="str">
            <v>SCC</v>
          </cell>
          <cell r="B2442" t="str">
            <v>SCC</v>
          </cell>
        </row>
        <row r="2443">
          <cell r="A2443" t="str">
            <v>SCD</v>
          </cell>
          <cell r="B2443" t="str">
            <v>Svenska Cellulosa Aktiebolaget SCA</v>
          </cell>
        </row>
        <row r="2444">
          <cell r="A2444" t="str">
            <v>SCE</v>
          </cell>
          <cell r="B2444" t="str">
            <v>Scene7, Inc.</v>
          </cell>
        </row>
        <row r="2445">
          <cell r="A2445" t="str">
            <v>SCF</v>
          </cell>
          <cell r="B2445" t="str">
            <v>Schaeffler KG</v>
          </cell>
        </row>
        <row r="2446">
          <cell r="A2446" t="str">
            <v>SCH</v>
          </cell>
          <cell r="B2446" t="str">
            <v>Schneider Electric SA</v>
          </cell>
        </row>
        <row r="2447">
          <cell r="A2447" t="str">
            <v>SCI</v>
          </cell>
          <cell r="B2447" t="str">
            <v>Scholastic Corporation</v>
          </cell>
        </row>
        <row r="2448">
          <cell r="A2448" t="str">
            <v>SCJ</v>
          </cell>
          <cell r="B2448" t="str">
            <v>Schoonenberg Hoorcomfort B.V.</v>
          </cell>
        </row>
        <row r="2449">
          <cell r="A2449" t="str">
            <v>SCL</v>
          </cell>
          <cell r="B2449" t="str">
            <v>Schindler Holding Ltd.</v>
          </cell>
        </row>
        <row r="2450">
          <cell r="A2450" t="str">
            <v>SCM</v>
          </cell>
          <cell r="B2450" t="str">
            <v>Schmidt Holding GmbH</v>
          </cell>
        </row>
        <row r="2451">
          <cell r="A2451" t="str">
            <v>SCN</v>
          </cell>
          <cell r="B2451" t="str">
            <v>Scania AB</v>
          </cell>
        </row>
        <row r="2452">
          <cell r="A2452" t="str">
            <v>SCO</v>
          </cell>
          <cell r="B2452" t="str">
            <v>Saber Communications, Inc</v>
          </cell>
        </row>
        <row r="2453">
          <cell r="A2453" t="str">
            <v>SCP</v>
          </cell>
          <cell r="B2453" t="str">
            <v>Standard Chartered PLC</v>
          </cell>
        </row>
        <row r="2454">
          <cell r="A2454" t="str">
            <v>SCR</v>
          </cell>
          <cell r="B2454" t="str">
            <v>Schering AG</v>
          </cell>
        </row>
        <row r="2455">
          <cell r="A2455" t="str">
            <v>SCS</v>
          </cell>
          <cell r="B2455" t="str">
            <v>Satyam Computer Services Ltd</v>
          </cell>
        </row>
        <row r="2456">
          <cell r="A2456" t="str">
            <v>SCT</v>
          </cell>
          <cell r="B2456" t="str">
            <v>Socratic Technologies</v>
          </cell>
        </row>
        <row r="2457">
          <cell r="A2457" t="str">
            <v>SCU</v>
          </cell>
          <cell r="B2457" t="str">
            <v>Schuler AG</v>
          </cell>
        </row>
        <row r="2458">
          <cell r="A2458" t="str">
            <v>SCX</v>
          </cell>
          <cell r="B2458" t="str">
            <v>Swissport Cargo Services Deutschland Gmbh</v>
          </cell>
        </row>
        <row r="2459">
          <cell r="A2459" t="str">
            <v>SCY</v>
          </cell>
          <cell r="B2459" t="str">
            <v>Scyron Ltd</v>
          </cell>
        </row>
        <row r="2460">
          <cell r="A2460" t="str">
            <v>SDC</v>
          </cell>
          <cell r="B2460" t="str">
            <v>Spanishdict.Com</v>
          </cell>
        </row>
        <row r="2461">
          <cell r="A2461" t="str">
            <v>SDE</v>
          </cell>
          <cell r="B2461" t="str">
            <v>Saunier Duval Eau Chaude Chauffage S.A.</v>
          </cell>
        </row>
        <row r="2462">
          <cell r="A2462" t="str">
            <v>SDL</v>
          </cell>
          <cell r="B2462" t="str">
            <v>SDL International</v>
          </cell>
        </row>
        <row r="2463">
          <cell r="A2463" t="str">
            <v>SDO</v>
          </cell>
          <cell r="B2463" t="str">
            <v>Sedco</v>
          </cell>
        </row>
        <row r="2464">
          <cell r="A2464" t="str">
            <v>SDT</v>
          </cell>
          <cell r="B2464" t="str">
            <v>Snowboard Dachstein Tauern GmbH</v>
          </cell>
        </row>
        <row r="2465">
          <cell r="A2465" t="str">
            <v>SDU</v>
          </cell>
          <cell r="B2465" t="str">
            <v>Sdu Uitgevers B V</v>
          </cell>
        </row>
        <row r="2466">
          <cell r="A2466" t="str">
            <v>SE2</v>
          </cell>
          <cell r="B2466" t="str">
            <v>The Second Cup Ltd.</v>
          </cell>
        </row>
        <row r="2467">
          <cell r="A2467" t="str">
            <v>SEA</v>
          </cell>
          <cell r="B2467" t="str">
            <v>Search Engineering and Consultancy</v>
          </cell>
        </row>
        <row r="2468">
          <cell r="A2468" t="str">
            <v>SEC</v>
          </cell>
          <cell r="B2468" t="str">
            <v>Seca Group</v>
          </cell>
        </row>
        <row r="2469">
          <cell r="A2469" t="str">
            <v>SEE</v>
          </cell>
          <cell r="B2469" t="str">
            <v>Seacorp Inc</v>
          </cell>
        </row>
        <row r="2470">
          <cell r="A2470" t="str">
            <v>SEG</v>
          </cell>
          <cell r="B2470" t="str">
            <v>Seagate Technology LLC</v>
          </cell>
        </row>
        <row r="2471">
          <cell r="A2471" t="str">
            <v>SEH</v>
          </cell>
          <cell r="B2471" t="str">
            <v>Sennheiser electronic GmbH &amp; Co. KG</v>
          </cell>
        </row>
        <row r="2472">
          <cell r="A2472" t="str">
            <v>SEL</v>
          </cell>
          <cell r="B2472" t="str">
            <v>Selfridges Group Ltd</v>
          </cell>
        </row>
        <row r="2473">
          <cell r="A2473" t="str">
            <v>SEM</v>
          </cell>
          <cell r="B2473" t="str">
            <v>Semitool, Inc.</v>
          </cell>
        </row>
        <row r="2474">
          <cell r="A2474" t="str">
            <v>SEN</v>
          </cell>
          <cell r="B2474" t="str">
            <v>Sennebogen Maschinenfabrik GmbH</v>
          </cell>
        </row>
        <row r="2475">
          <cell r="A2475" t="str">
            <v>SEP</v>
          </cell>
          <cell r="B2475" t="str">
            <v>SEIKO EPSON CORPORATION</v>
          </cell>
        </row>
        <row r="2476">
          <cell r="A2476" t="str">
            <v>SEQ</v>
          </cell>
          <cell r="B2476" t="str">
            <v>Snap Equity Ltd</v>
          </cell>
        </row>
        <row r="2477">
          <cell r="A2477" t="str">
            <v>SER</v>
          </cell>
          <cell r="B2477" t="str">
            <v>Servigistics Inc.</v>
          </cell>
        </row>
        <row r="2478">
          <cell r="A2478" t="str">
            <v>SES</v>
          </cell>
          <cell r="B2478" t="str">
            <v>Stichting Exploitatie Nederlandse Staatsloterij</v>
          </cell>
        </row>
        <row r="2479">
          <cell r="A2479" t="str">
            <v>SET</v>
          </cell>
          <cell r="B2479" t="str">
            <v>Serco Group PLC</v>
          </cell>
        </row>
        <row r="2480">
          <cell r="A2480" t="str">
            <v>SEV</v>
          </cell>
          <cell r="B2480" t="str">
            <v>ServiceNow</v>
          </cell>
        </row>
        <row r="2481">
          <cell r="A2481" t="str">
            <v>SEZ</v>
          </cell>
          <cell r="B2481" t="str">
            <v>Sezax Corporation</v>
          </cell>
        </row>
        <row r="2482">
          <cell r="A2482" t="str">
            <v>SFD</v>
          </cell>
          <cell r="B2482" t="str">
            <v>Salesforce.com, inc.</v>
          </cell>
        </row>
        <row r="2483">
          <cell r="A2483" t="str">
            <v>SFH</v>
          </cell>
          <cell r="B2483" t="str">
            <v>SFHEFC</v>
          </cell>
        </row>
        <row r="2484">
          <cell r="A2484" t="str">
            <v>SFI</v>
          </cell>
          <cell r="B2484" t="str">
            <v>Sanofi-Aventis</v>
          </cell>
        </row>
        <row r="2485">
          <cell r="A2485" t="str">
            <v>SFL</v>
          </cell>
          <cell r="B2485" t="str">
            <v>SunFlare Co. Ltd.</v>
          </cell>
        </row>
        <row r="2486">
          <cell r="A2486" t="str">
            <v>SFP</v>
          </cell>
          <cell r="B2486" t="str">
            <v>Staffordshire Police</v>
          </cell>
        </row>
        <row r="2487">
          <cell r="A2487" t="str">
            <v>SFT</v>
          </cell>
          <cell r="B2487" t="str">
            <v>Soft-ex Communications Ltd</v>
          </cell>
        </row>
        <row r="2488">
          <cell r="A2488" t="str">
            <v>SGB</v>
          </cell>
          <cell r="B2488" t="str">
            <v>Harsco Corporation</v>
          </cell>
        </row>
        <row r="2489">
          <cell r="A2489" t="str">
            <v>SGC</v>
          </cell>
          <cell r="B2489" t="str">
            <v>SANY Group Co Ltd</v>
          </cell>
        </row>
        <row r="2490">
          <cell r="A2490" t="str">
            <v>SGD</v>
          </cell>
          <cell r="B2490" t="str">
            <v>SunGard Data Systems Inc</v>
          </cell>
        </row>
        <row r="2491">
          <cell r="A2491" t="str">
            <v>SGH</v>
          </cell>
          <cell r="B2491" t="str">
            <v>Schuberg Philis Group B V</v>
          </cell>
        </row>
        <row r="2492">
          <cell r="A2492" t="str">
            <v>SGL</v>
          </cell>
          <cell r="B2492" t="str">
            <v>Sigma-Aldrich Corporation</v>
          </cell>
        </row>
        <row r="2493">
          <cell r="A2493" t="str">
            <v>SGO</v>
          </cell>
          <cell r="B2493" t="str">
            <v>Scottish Government</v>
          </cell>
        </row>
        <row r="2494">
          <cell r="A2494" t="str">
            <v>SGY</v>
          </cell>
          <cell r="B2494" t="str">
            <v>Synergy Services EURL</v>
          </cell>
        </row>
        <row r="2495">
          <cell r="A2495" t="str">
            <v>SH0</v>
          </cell>
          <cell r="B2495" t="str">
            <v>The Sheridan Group Inc</v>
          </cell>
        </row>
        <row r="2496">
          <cell r="A2496" t="str">
            <v>SHA</v>
          </cell>
          <cell r="B2496" t="str">
            <v>Sharp Corporation</v>
          </cell>
        </row>
        <row r="2497">
          <cell r="A2497" t="str">
            <v>SHC</v>
          </cell>
          <cell r="B2497" t="str">
            <v>Sears Holdings Corporation</v>
          </cell>
        </row>
        <row r="2498">
          <cell r="A2498" t="str">
            <v>SHD</v>
          </cell>
          <cell r="B2498" t="str">
            <v>Speedy Hire Plc</v>
          </cell>
        </row>
        <row r="2499">
          <cell r="A2499" t="str">
            <v>SHE</v>
          </cell>
          <cell r="B2499" t="str">
            <v>Royal Dutch Shell plc</v>
          </cell>
        </row>
        <row r="2500">
          <cell r="A2500" t="str">
            <v>SHG</v>
          </cell>
          <cell r="B2500" t="str">
            <v>Shanghai Aircraft Design &amp; Research Institute</v>
          </cell>
        </row>
        <row r="2501">
          <cell r="A2501" t="str">
            <v>SHH</v>
          </cell>
          <cell r="B2501" t="str">
            <v>Software Hot-house Ltd</v>
          </cell>
        </row>
        <row r="2502">
          <cell r="A2502" t="str">
            <v>SHI</v>
          </cell>
          <cell r="B2502" t="str">
            <v>SHIN Corporation</v>
          </cell>
        </row>
        <row r="2503">
          <cell r="A2503" t="str">
            <v>SHL</v>
          </cell>
          <cell r="B2503" t="str">
            <v>SHL Group Limited</v>
          </cell>
        </row>
        <row r="2504">
          <cell r="A2504" t="str">
            <v>SHN</v>
          </cell>
          <cell r="B2504" t="str">
            <v>Shandiz Trading Inc</v>
          </cell>
        </row>
        <row r="2505">
          <cell r="A2505" t="str">
            <v>SHO</v>
          </cell>
          <cell r="B2505" t="str">
            <v>Softhouse Nordic AB</v>
          </cell>
        </row>
        <row r="2506">
          <cell r="A2506" t="str">
            <v>SHP</v>
          </cell>
          <cell r="B2506" t="str">
            <v>Software House International Inc.</v>
          </cell>
        </row>
        <row r="2507">
          <cell r="A2507" t="str">
            <v>SHR</v>
          </cell>
          <cell r="B2507" t="str">
            <v>Shire plc</v>
          </cell>
        </row>
        <row r="2508">
          <cell r="A2508" t="str">
            <v>SHS</v>
          </cell>
          <cell r="B2508" t="str">
            <v>SHS VIVEON AG</v>
          </cell>
        </row>
        <row r="2509">
          <cell r="A2509" t="str">
            <v>SHW</v>
          </cell>
          <cell r="B2509" t="str">
            <v>The Sherwin-Williams Company</v>
          </cell>
        </row>
        <row r="2510">
          <cell r="A2510" t="str">
            <v>SHZ</v>
          </cell>
          <cell r="B2510" t="str">
            <v>'S Heeren Loo Zorggroep</v>
          </cell>
        </row>
        <row r="2511">
          <cell r="A2511" t="str">
            <v>SI0</v>
          </cell>
          <cell r="B2511" t="str">
            <v>Silvermine Consulting Group</v>
          </cell>
        </row>
        <row r="2512">
          <cell r="A2512" t="str">
            <v>SI3</v>
          </cell>
          <cell r="B2512" t="str">
            <v>SMS GmbH</v>
          </cell>
        </row>
        <row r="2513">
          <cell r="A2513" t="str">
            <v>SIA</v>
          </cell>
          <cell r="B2513" t="str">
            <v>Simplyhealth Access</v>
          </cell>
        </row>
        <row r="2514">
          <cell r="A2514" t="str">
            <v>SIB</v>
          </cell>
          <cell r="B2514" t="str">
            <v>Silberline</v>
          </cell>
        </row>
        <row r="2515">
          <cell r="A2515" t="str">
            <v>SIC</v>
          </cell>
          <cell r="B2515" t="str">
            <v>Sick AG</v>
          </cell>
        </row>
        <row r="2516">
          <cell r="A2516" t="str">
            <v>SIE</v>
          </cell>
          <cell r="B2516" t="str">
            <v>Siebel Systems Inc</v>
          </cell>
        </row>
        <row r="2517">
          <cell r="A2517" t="str">
            <v>SIF</v>
          </cell>
          <cell r="B2517" t="str">
            <v xml:space="preserve">Sify Technologies Limited </v>
          </cell>
        </row>
        <row r="2518">
          <cell r="A2518" t="str">
            <v>SIG</v>
          </cell>
          <cell r="B2518" t="str">
            <v>Sigma AB</v>
          </cell>
        </row>
        <row r="2519">
          <cell r="A2519" t="str">
            <v>SIH</v>
          </cell>
          <cell r="B2519" t="str">
            <v>Steinhoff International Holdings Ltd.</v>
          </cell>
        </row>
        <row r="2520">
          <cell r="A2520" t="str">
            <v>SII</v>
          </cell>
          <cell r="B2520" t="str">
            <v>SHI INTERNATIONAL CORP</v>
          </cell>
        </row>
        <row r="2521">
          <cell r="A2521" t="str">
            <v>SIL</v>
          </cell>
          <cell r="B2521" t="str">
            <v>Silicon Media Group</v>
          </cell>
        </row>
        <row r="2522">
          <cell r="A2522" t="str">
            <v>SIM</v>
          </cell>
          <cell r="B2522" t="str">
            <v>Siemens AG</v>
          </cell>
        </row>
        <row r="2523">
          <cell r="A2523" t="str">
            <v>SIN</v>
          </cell>
          <cell r="B2523" t="str">
            <v>Singapour SA</v>
          </cell>
        </row>
        <row r="2524">
          <cell r="A2524" t="str">
            <v>SIP</v>
          </cell>
          <cell r="B2524" t="str">
            <v>Spar International B.V.</v>
          </cell>
        </row>
        <row r="2525">
          <cell r="A2525" t="str">
            <v>SIR</v>
          </cell>
          <cell r="B2525" t="str">
            <v>Sirsi Corporation</v>
          </cell>
        </row>
        <row r="2526">
          <cell r="A2526" t="str">
            <v>SIT</v>
          </cell>
          <cell r="B2526" t="str">
            <v>Siteworx Inc</v>
          </cell>
        </row>
        <row r="2527">
          <cell r="A2527" t="str">
            <v>SIV</v>
          </cell>
          <cell r="B2527" t="str">
            <v>SIV AG</v>
          </cell>
        </row>
        <row r="2528">
          <cell r="A2528" t="str">
            <v>SIX</v>
          </cell>
          <cell r="B2528" t="str">
            <v>Six Continents plc</v>
          </cell>
        </row>
        <row r="2529">
          <cell r="A2529" t="str">
            <v>SIY</v>
          </cell>
          <cell r="B2529" t="str">
            <v>SIYW</v>
          </cell>
        </row>
        <row r="2530">
          <cell r="A2530" t="str">
            <v>SJM</v>
          </cell>
          <cell r="B2530" t="str">
            <v>St. Jude Medical, Inc.</v>
          </cell>
        </row>
        <row r="2531">
          <cell r="A2531" t="str">
            <v>SKA</v>
          </cell>
          <cell r="B2531" t="str">
            <v>Sk E&amp;C America, Inc.</v>
          </cell>
        </row>
        <row r="2532">
          <cell r="A2532" t="str">
            <v>SKB</v>
          </cell>
          <cell r="B2532" t="str">
            <v>SKF AB</v>
          </cell>
        </row>
        <row r="2533">
          <cell r="A2533" t="str">
            <v>SKC</v>
          </cell>
          <cell r="B2533" t="str">
            <v>Starbucks Corporation</v>
          </cell>
        </row>
        <row r="2534">
          <cell r="A2534" t="str">
            <v>SKF</v>
          </cell>
          <cell r="B2534" t="str">
            <v xml:space="preserve">Aktiebolaget SKF </v>
          </cell>
        </row>
        <row r="2535">
          <cell r="A2535" t="str">
            <v>SKG</v>
          </cell>
          <cell r="B2535" t="str">
            <v>SK Group</v>
          </cell>
        </row>
        <row r="2536">
          <cell r="A2536" t="str">
            <v>SKN</v>
          </cell>
          <cell r="B2536" t="str">
            <v>Stockmann plc</v>
          </cell>
        </row>
        <row r="2537">
          <cell r="A2537" t="str">
            <v>SKT</v>
          </cell>
          <cell r="B2537" t="str">
            <v>Statkraft SF</v>
          </cell>
        </row>
        <row r="2538">
          <cell r="A2538" t="str">
            <v>SLA</v>
          </cell>
          <cell r="B2538" t="str">
            <v>SOURCELINK ACQUISITION, LLC</v>
          </cell>
        </row>
        <row r="2539">
          <cell r="A2539" t="str">
            <v>SLE</v>
          </cell>
          <cell r="B2539" t="str">
            <v>Steelcase Inc.</v>
          </cell>
        </row>
        <row r="2540">
          <cell r="A2540" t="str">
            <v>SLF</v>
          </cell>
          <cell r="B2540" t="str">
            <v>Sun Life Financial Inc.</v>
          </cell>
        </row>
        <row r="2541">
          <cell r="A2541" t="str">
            <v>SLG</v>
          </cell>
          <cell r="B2541" t="str">
            <v>Groupe Danone</v>
          </cell>
        </row>
        <row r="2542">
          <cell r="A2542" t="str">
            <v>SLI</v>
          </cell>
          <cell r="B2542" t="str">
            <v>Educate, Inc.</v>
          </cell>
        </row>
        <row r="2543">
          <cell r="A2543" t="str">
            <v>SLM</v>
          </cell>
          <cell r="B2543" t="str">
            <v>Société Alsacienne de Meubles</v>
          </cell>
        </row>
        <row r="2544">
          <cell r="A2544" t="str">
            <v>SLP</v>
          </cell>
          <cell r="B2544" t="str">
            <v>Silver Lake Partners</v>
          </cell>
        </row>
        <row r="2545">
          <cell r="A2545" t="str">
            <v>SLS</v>
          </cell>
          <cell r="B2545" t="str">
            <v>HC Slingsby Plc</v>
          </cell>
        </row>
        <row r="2546">
          <cell r="A2546" t="str">
            <v>SLT</v>
          </cell>
          <cell r="B2546" t="str">
            <v>SAIL LABS Technology AG</v>
          </cell>
        </row>
        <row r="2547">
          <cell r="A2547" t="str">
            <v>SLV</v>
          </cell>
          <cell r="B2547" t="str">
            <v>Solvay SA</v>
          </cell>
        </row>
        <row r="2548">
          <cell r="A2548" t="str">
            <v>SMA</v>
          </cell>
          <cell r="B2548" t="str">
            <v>SMART Technologies, Inc.</v>
          </cell>
        </row>
        <row r="2549">
          <cell r="A2549" t="str">
            <v>SMB</v>
          </cell>
          <cell r="B2549" t="str">
            <v>Schustermann &amp; Borenstein GmbH</v>
          </cell>
        </row>
        <row r="2550">
          <cell r="A2550" t="str">
            <v>SMC</v>
          </cell>
          <cell r="B2550" t="str">
            <v xml:space="preserve">SLM Corporation </v>
          </cell>
        </row>
        <row r="2551">
          <cell r="A2551" t="str">
            <v>SME</v>
          </cell>
          <cell r="B2551" t="str">
            <v>Senter mot etnisk diskriminering (SMED)</v>
          </cell>
        </row>
        <row r="2552">
          <cell r="A2552" t="str">
            <v>SMF</v>
          </cell>
          <cell r="B2552" t="str">
            <v>Summit Financial Printing LLC</v>
          </cell>
        </row>
        <row r="2553">
          <cell r="A2553" t="str">
            <v>SMG</v>
          </cell>
          <cell r="B2553" t="str">
            <v>SMG Strategic Management Group, Inc</v>
          </cell>
        </row>
        <row r="2554">
          <cell r="A2554" t="str">
            <v>SMH</v>
          </cell>
          <cell r="B2554" t="str">
            <v>Seat Me Holding B.V.</v>
          </cell>
        </row>
        <row r="2555">
          <cell r="A2555" t="str">
            <v>SML</v>
          </cell>
          <cell r="B2555" t="str">
            <v>Assemblee Nationale</v>
          </cell>
        </row>
        <row r="2556">
          <cell r="A2556" t="str">
            <v>SMN</v>
          </cell>
          <cell r="B2556" t="str">
            <v>Semantix (UK) Ltd.</v>
          </cell>
        </row>
        <row r="2557">
          <cell r="A2557" t="str">
            <v>SMP</v>
          </cell>
          <cell r="B2557" t="str">
            <v>Summit Projects Inc</v>
          </cell>
        </row>
        <row r="2558">
          <cell r="A2558" t="str">
            <v>SMT</v>
          </cell>
          <cell r="B2558" t="str">
            <v>Sint Maartenskliniek</v>
          </cell>
        </row>
        <row r="2559">
          <cell r="A2559" t="str">
            <v>SMX</v>
          </cell>
          <cell r="B2559" t="str">
            <v>Semcon AB</v>
          </cell>
        </row>
        <row r="2560">
          <cell r="A2560" t="str">
            <v>SN1</v>
          </cell>
          <cell r="B2560" t="str">
            <v>SNL Financial LC</v>
          </cell>
        </row>
        <row r="2561">
          <cell r="A2561" t="str">
            <v>SNA</v>
          </cell>
          <cell r="B2561" t="str">
            <v>Snapfish LLC</v>
          </cell>
        </row>
        <row r="2562">
          <cell r="A2562" t="str">
            <v>SNC</v>
          </cell>
          <cell r="B2562" t="str">
            <v>Société Nationale des Chemins de Fer Français</v>
          </cell>
        </row>
        <row r="2563">
          <cell r="A2563" t="str">
            <v>SNE</v>
          </cell>
          <cell r="B2563" t="str">
            <v>Sony Ericsson AB</v>
          </cell>
        </row>
        <row r="2564">
          <cell r="A2564" t="str">
            <v>SNF</v>
          </cell>
          <cell r="B2564" t="str">
            <v>Soc Nouvelle Firmin Didot</v>
          </cell>
        </row>
        <row r="2565">
          <cell r="A2565" t="str">
            <v>SNL</v>
          </cell>
          <cell r="B2565" t="str">
            <v>SNC-Lavalin Group Inc.</v>
          </cell>
        </row>
        <row r="2566">
          <cell r="A2566" t="str">
            <v>SNM</v>
          </cell>
          <cell r="B2566" t="str">
            <v>Sanmina-SCI Corporation</v>
          </cell>
        </row>
        <row r="2567">
          <cell r="A2567" t="str">
            <v>SNO</v>
          </cell>
          <cell r="B2567" t="str">
            <v>Snowmen Solutions AB</v>
          </cell>
        </row>
        <row r="2568">
          <cell r="A2568" t="str">
            <v>SNP</v>
          </cell>
          <cell r="B2568" t="str">
            <v>Smith &amp; Nephew plc</v>
          </cell>
        </row>
        <row r="2569">
          <cell r="A2569" t="str">
            <v>SNR</v>
          </cell>
          <cell r="B2569" t="str">
            <v>SNR Roulements SA</v>
          </cell>
        </row>
        <row r="2570">
          <cell r="A2570" t="str">
            <v>SNS</v>
          </cell>
          <cell r="B2570" t="str">
            <v>Sonoscape Co., Ltd.</v>
          </cell>
        </row>
        <row r="2571">
          <cell r="A2571" t="str">
            <v>SNT</v>
          </cell>
          <cell r="B2571" t="str">
            <v>Sento Corporation</v>
          </cell>
        </row>
        <row r="2572">
          <cell r="A2572" t="str">
            <v>SOB</v>
          </cell>
          <cell r="B2572" t="str">
            <v>Empire Company Limited</v>
          </cell>
        </row>
        <row r="2573">
          <cell r="A2573" t="str">
            <v>SOC</v>
          </cell>
          <cell r="B2573" t="str">
            <v>Sonic Solutions</v>
          </cell>
        </row>
        <row r="2574">
          <cell r="A2574" t="str">
            <v>SOD</v>
          </cell>
          <cell r="B2574" t="str">
            <v>Sodexo</v>
          </cell>
        </row>
        <row r="2575">
          <cell r="A2575" t="str">
            <v>SOE</v>
          </cell>
          <cell r="B2575" t="str">
            <v>Soei Inc</v>
          </cell>
        </row>
        <row r="2576">
          <cell r="A2576" t="str">
            <v>SOF</v>
          </cell>
          <cell r="B2576" t="str">
            <v>Sonic Foundry Inc</v>
          </cell>
        </row>
        <row r="2577">
          <cell r="A2577" t="str">
            <v>SOG</v>
          </cell>
          <cell r="B2577" t="str">
            <v>Software AG</v>
          </cell>
        </row>
        <row r="2578">
          <cell r="A2578" t="str">
            <v>SOH</v>
          </cell>
          <cell r="B2578" t="str">
            <v>Sophis</v>
          </cell>
        </row>
        <row r="2579">
          <cell r="A2579" t="str">
            <v>SOK</v>
          </cell>
          <cell r="B2579" t="str">
            <v>Suomen Osuuskauppojen Keskuskunta</v>
          </cell>
        </row>
        <row r="2580">
          <cell r="A2580" t="str">
            <v>SOL</v>
          </cell>
          <cell r="B2580" t="str">
            <v>Solectron Corporation</v>
          </cell>
        </row>
        <row r="2581">
          <cell r="A2581" t="str">
            <v>SOM</v>
          </cell>
          <cell r="B2581" t="str">
            <v>State of Minnesota</v>
          </cell>
        </row>
        <row r="2582">
          <cell r="A2582" t="str">
            <v>SON</v>
          </cell>
          <cell r="B2582" t="str">
            <v>Sony Corporation</v>
          </cell>
        </row>
        <row r="2583">
          <cell r="A2583" t="str">
            <v>SOP</v>
          </cell>
          <cell r="B2583" t="str">
            <v>Sophia Com BV</v>
          </cell>
        </row>
        <row r="2584">
          <cell r="A2584" t="str">
            <v>SOT</v>
          </cell>
          <cell r="B2584" t="str">
            <v>Seco Tools AB</v>
          </cell>
        </row>
        <row r="2585">
          <cell r="A2585" t="str">
            <v>SOU</v>
          </cell>
          <cell r="B2585" t="str">
            <v>K.K. Souei</v>
          </cell>
        </row>
        <row r="2586">
          <cell r="A2586" t="str">
            <v>SOV</v>
          </cell>
          <cell r="B2586" t="str">
            <v>Sobal Corporation</v>
          </cell>
        </row>
        <row r="2587">
          <cell r="A2587" t="str">
            <v>SOW</v>
          </cell>
          <cell r="B2587" t="str">
            <v>Solarwinds Inc.</v>
          </cell>
        </row>
        <row r="2588">
          <cell r="A2588" t="str">
            <v>SP1</v>
          </cell>
          <cell r="B2588" t="str">
            <v>Spanair S.A.</v>
          </cell>
        </row>
        <row r="2589">
          <cell r="A2589" t="str">
            <v>SPA</v>
          </cell>
          <cell r="B2589" t="str">
            <v>Spansion Inc.</v>
          </cell>
        </row>
        <row r="2590">
          <cell r="A2590" t="str">
            <v>SPB</v>
          </cell>
          <cell r="B2590" t="str">
            <v>Specsavers Optical Group Limited</v>
          </cell>
        </row>
        <row r="2591">
          <cell r="A2591" t="str">
            <v>SPC</v>
          </cell>
          <cell r="B2591" t="str">
            <v>Sasatoku Printing Co. Ltd.</v>
          </cell>
        </row>
        <row r="2592">
          <cell r="A2592" t="str">
            <v>SPE</v>
          </cell>
          <cell r="B2592" t="str">
            <v>Spectris plc</v>
          </cell>
        </row>
        <row r="2593">
          <cell r="A2593" t="str">
            <v>SPG</v>
          </cell>
          <cell r="B2593" t="str">
            <v>SpeechGear Inc</v>
          </cell>
        </row>
        <row r="2594">
          <cell r="A2594" t="str">
            <v>SPH</v>
          </cell>
          <cell r="B2594" t="str">
            <v>Stephens Inc</v>
          </cell>
        </row>
        <row r="2595">
          <cell r="A2595" t="str">
            <v>SPI</v>
          </cell>
          <cell r="B2595" t="str">
            <v>SPICER Corporation</v>
          </cell>
        </row>
        <row r="2596">
          <cell r="A2596" t="str">
            <v>SPK</v>
          </cell>
          <cell r="B2596" t="str">
            <v>Spar Kjop A.S.</v>
          </cell>
        </row>
        <row r="2597">
          <cell r="A2597" t="str">
            <v>SPL</v>
          </cell>
          <cell r="B2597" t="str">
            <v>Systems Plus Group</v>
          </cell>
        </row>
        <row r="2598">
          <cell r="A2598" t="str">
            <v>SPM</v>
          </cell>
          <cell r="B2598" t="str">
            <v>SPIKE MARKETING LTD</v>
          </cell>
        </row>
        <row r="2599">
          <cell r="A2599" t="str">
            <v>SPN</v>
          </cell>
          <cell r="B2599" t="str">
            <v>Spin Master Ltd</v>
          </cell>
        </row>
        <row r="2600">
          <cell r="A2600" t="str">
            <v>SPO</v>
          </cell>
          <cell r="B2600" t="str">
            <v>Spotify Technology SA</v>
          </cell>
        </row>
        <row r="2601">
          <cell r="A2601" t="str">
            <v>SPP</v>
          </cell>
          <cell r="B2601" t="str">
            <v>SPP Livförsäkring AB</v>
          </cell>
        </row>
        <row r="2602">
          <cell r="A2602" t="str">
            <v>SPQ</v>
          </cell>
          <cell r="B2602" t="str">
            <v>SPECIALTY FASHION GROUP LIMITED</v>
          </cell>
        </row>
        <row r="2603">
          <cell r="A2603" t="str">
            <v>SPR</v>
          </cell>
          <cell r="B2603" t="str">
            <v>Spirit Link GmbH</v>
          </cell>
        </row>
        <row r="2604">
          <cell r="A2604" t="str">
            <v>SPS</v>
          </cell>
          <cell r="B2604" t="str">
            <v>SPSS Inc</v>
          </cell>
        </row>
        <row r="2605">
          <cell r="A2605" t="str">
            <v>SPT</v>
          </cell>
          <cell r="B2605" t="str">
            <v>Sapient Corporation</v>
          </cell>
        </row>
        <row r="2606">
          <cell r="A2606" t="str">
            <v>SPU</v>
          </cell>
          <cell r="B2606" t="str">
            <v>Albert Bonnier AB</v>
          </cell>
        </row>
        <row r="2607">
          <cell r="A2607" t="str">
            <v>SPX</v>
          </cell>
          <cell r="B2607" t="str">
            <v>SPX Corporation</v>
          </cell>
        </row>
        <row r="2608">
          <cell r="A2608" t="str">
            <v>SPZ</v>
          </cell>
          <cell r="B2608" t="str">
            <v>Stichting Philadelphia Zorg</v>
          </cell>
        </row>
        <row r="2609">
          <cell r="A2609" t="str">
            <v>SQL</v>
          </cell>
          <cell r="B2609" t="str">
            <v>Groupe SQLI</v>
          </cell>
        </row>
        <row r="2610">
          <cell r="A2610" t="str">
            <v>SQU</v>
          </cell>
          <cell r="B2610" t="str">
            <v>Square Enix Co. Ltd</v>
          </cell>
        </row>
        <row r="2611">
          <cell r="A2611" t="str">
            <v>SRA</v>
          </cell>
          <cell r="B2611" t="str">
            <v>Stora Enso Oyj</v>
          </cell>
        </row>
        <row r="2612">
          <cell r="A2612" t="str">
            <v>SRC</v>
          </cell>
          <cell r="B2612" t="str">
            <v>Searchspace Limited</v>
          </cell>
        </row>
        <row r="2613">
          <cell r="A2613" t="str">
            <v>SRN</v>
          </cell>
          <cell r="B2613" t="str">
            <v>Sorona Information AB</v>
          </cell>
        </row>
        <row r="2614">
          <cell r="A2614" t="str">
            <v>SRS</v>
          </cell>
          <cell r="B2614" t="str">
            <v>Serena Software Inc</v>
          </cell>
        </row>
        <row r="2615">
          <cell r="A2615" t="str">
            <v>SRT</v>
          </cell>
          <cell r="B2615" t="str">
            <v>SR Technics Switzerland AG</v>
          </cell>
        </row>
        <row r="2616">
          <cell r="A2616" t="str">
            <v>SRY</v>
          </cell>
          <cell r="B2616" t="str">
            <v>Sensory, Inc.</v>
          </cell>
        </row>
        <row r="2617">
          <cell r="A2617" t="str">
            <v>SSA</v>
          </cell>
          <cell r="B2617" t="str">
            <v>SSA Global Technologies Inc</v>
          </cell>
        </row>
        <row r="2618">
          <cell r="A2618" t="str">
            <v>SSC</v>
          </cell>
          <cell r="B2618" t="str">
            <v>Schuhhaus SIEMES Einkaufs &amp; Beteiligungs GmbH</v>
          </cell>
        </row>
        <row r="2619">
          <cell r="A2619" t="str">
            <v>SSE</v>
          </cell>
          <cell r="B2619" t="str">
            <v>Solution Set, Llc</v>
          </cell>
        </row>
        <row r="2620">
          <cell r="A2620" t="str">
            <v>SSG</v>
          </cell>
          <cell r="B2620" t="str">
            <v>Shai Shaul</v>
          </cell>
        </row>
        <row r="2621">
          <cell r="A2621" t="str">
            <v>SSH</v>
          </cell>
          <cell r="B2621" t="str">
            <v>SKF</v>
          </cell>
        </row>
        <row r="2622">
          <cell r="A2622" t="str">
            <v>SSI</v>
          </cell>
          <cell r="B2622" t="str">
            <v>Insight Inc</v>
          </cell>
        </row>
        <row r="2623">
          <cell r="A2623" t="str">
            <v>SSK</v>
          </cell>
          <cell r="B2623" t="str">
            <v>Saishunkan Co.Ltd.</v>
          </cell>
        </row>
        <row r="2624">
          <cell r="A2624" t="str">
            <v>SSL</v>
          </cell>
          <cell r="B2624" t="str">
            <v>Serials Solutions, Inc.</v>
          </cell>
        </row>
        <row r="2625">
          <cell r="A2625" t="str">
            <v>SSN</v>
          </cell>
          <cell r="B2625" t="str">
            <v>Sprite Software</v>
          </cell>
        </row>
        <row r="2626">
          <cell r="A2626" t="str">
            <v>SSP</v>
          </cell>
          <cell r="B2626" t="str">
            <v>Syspro Ltd</v>
          </cell>
        </row>
        <row r="2627">
          <cell r="A2627" t="str">
            <v>SSS</v>
          </cell>
          <cell r="B2627" t="str">
            <v>STAR STORAGE SRL</v>
          </cell>
        </row>
        <row r="2628">
          <cell r="A2628" t="str">
            <v>SST</v>
          </cell>
          <cell r="B2628" t="str">
            <v>Suite Solutions</v>
          </cell>
        </row>
        <row r="2629">
          <cell r="A2629" t="str">
            <v>SSV</v>
          </cell>
          <cell r="B2629" t="str">
            <v>System Serve Ltd</v>
          </cell>
        </row>
        <row r="2630">
          <cell r="A2630" t="str">
            <v>SSY</v>
          </cell>
          <cell r="B2630" t="str">
            <v>Sunny Systems Computerhandels und Internet Dienstleistungs GmbH</v>
          </cell>
        </row>
        <row r="2631">
          <cell r="A2631" t="str">
            <v>ST0</v>
          </cell>
          <cell r="B2631" t="str">
            <v>StiPP</v>
          </cell>
        </row>
        <row r="2632">
          <cell r="A2632" t="str">
            <v>ST1</v>
          </cell>
          <cell r="B2632" t="str">
            <v>Studio One Networks Inc.</v>
          </cell>
        </row>
        <row r="2633">
          <cell r="A2633" t="str">
            <v>ST2</v>
          </cell>
          <cell r="B2633" t="str">
            <v>Star Microics Co., Ltd.</v>
          </cell>
        </row>
        <row r="2634">
          <cell r="A2634" t="str">
            <v>STA</v>
          </cell>
          <cell r="B2634" t="str">
            <v>Staffware plc</v>
          </cell>
        </row>
        <row r="2635">
          <cell r="A2635" t="str">
            <v>STC</v>
          </cell>
          <cell r="B2635" t="str">
            <v>M &amp; C Saatchi Ltd</v>
          </cell>
        </row>
        <row r="2636">
          <cell r="A2636" t="str">
            <v>STD</v>
          </cell>
          <cell r="B2636" t="str">
            <v>Dubai Aerospace Enterprise (DAE)</v>
          </cell>
        </row>
        <row r="2637">
          <cell r="A2637" t="str">
            <v>STE</v>
          </cell>
          <cell r="B2637" t="str">
            <v>Stender GmbH</v>
          </cell>
        </row>
        <row r="2638">
          <cell r="A2638" t="str">
            <v>STF</v>
          </cell>
          <cell r="B2638" t="str">
            <v>State Farm Mutual Automobile Insurance Co</v>
          </cell>
        </row>
        <row r="2639">
          <cell r="A2639" t="str">
            <v>STH</v>
          </cell>
          <cell r="B2639" t="str">
            <v>Stichting ICTU</v>
          </cell>
        </row>
        <row r="2640">
          <cell r="A2640" t="str">
            <v>STI</v>
          </cell>
          <cell r="B2640" t="str">
            <v>ANDREAS STIHL AG &amp; Co. KG</v>
          </cell>
        </row>
        <row r="2641">
          <cell r="A2641" t="str">
            <v>STK</v>
          </cell>
          <cell r="B2641" t="str">
            <v>StorageTechnology Corporation</v>
          </cell>
        </row>
        <row r="2642">
          <cell r="A2642" t="str">
            <v>STL</v>
          </cell>
          <cell r="B2642" t="str">
            <v>Stad Leuven</v>
          </cell>
        </row>
        <row r="2643">
          <cell r="A2643" t="str">
            <v>STM</v>
          </cell>
          <cell r="B2643" t="str">
            <v>Stichting Thuiszorg Midden-Gelderland</v>
          </cell>
        </row>
        <row r="2644">
          <cell r="A2644" t="str">
            <v>STN</v>
          </cell>
          <cell r="B2644" t="str">
            <v>Steorn</v>
          </cell>
        </row>
        <row r="2645">
          <cell r="A2645" t="str">
            <v>STO</v>
          </cell>
          <cell r="B2645" t="str">
            <v>Stork N.V.</v>
          </cell>
        </row>
        <row r="2646">
          <cell r="A2646" t="str">
            <v>STP</v>
          </cell>
          <cell r="B2646" t="str">
            <v>Staples Inc.</v>
          </cell>
        </row>
        <row r="2647">
          <cell r="A2647" t="str">
            <v>STR</v>
          </cell>
          <cell r="B2647" t="str">
            <v>Steris Corporation</v>
          </cell>
        </row>
        <row r="2648">
          <cell r="A2648" t="str">
            <v>STS</v>
          </cell>
          <cell r="B2648" t="str">
            <v>STMicroelectronics N.V</v>
          </cell>
        </row>
        <row r="2649">
          <cell r="A2649" t="str">
            <v>STT</v>
          </cell>
          <cell r="B2649" t="str">
            <v>Stanley Works, The</v>
          </cell>
        </row>
        <row r="2650">
          <cell r="A2650" t="str">
            <v>STU</v>
          </cell>
          <cell r="B2650" t="str">
            <v>Stulz GmbH</v>
          </cell>
        </row>
        <row r="2651">
          <cell r="A2651" t="str">
            <v>STV</v>
          </cell>
          <cell r="B2651" t="str">
            <v>Staffordshire University</v>
          </cell>
        </row>
        <row r="2652">
          <cell r="A2652" t="str">
            <v>STX</v>
          </cell>
          <cell r="B2652" t="str">
            <v>Stockholsm Fotosatteri AB</v>
          </cell>
        </row>
        <row r="2653">
          <cell r="A2653" t="str">
            <v>STY</v>
          </cell>
          <cell r="B2653" t="str">
            <v>StyleTread Pty Ltd</v>
          </cell>
        </row>
        <row r="2654">
          <cell r="A2654" t="str">
            <v>SUF</v>
          </cell>
          <cell r="B2654" t="str">
            <v>S &amp; F Personalpsychologie Management Beratung GmbH &amp; Co. KG</v>
          </cell>
        </row>
        <row r="2655">
          <cell r="A2655" t="str">
            <v>SUG</v>
          </cell>
          <cell r="B2655" t="str">
            <v>Supergiant Games LLC</v>
          </cell>
        </row>
        <row r="2656">
          <cell r="A2656" t="str">
            <v>SUH</v>
          </cell>
          <cell r="B2656" t="str">
            <v>Sumitomo Heavy Industries, Ltd.</v>
          </cell>
        </row>
        <row r="2657">
          <cell r="A2657" t="str">
            <v>SUI</v>
          </cell>
          <cell r="B2657" t="str">
            <v>Schuitema n.v.</v>
          </cell>
        </row>
        <row r="2658">
          <cell r="A2658" t="str">
            <v>SUM</v>
          </cell>
          <cell r="B2658" t="str">
            <v>Sumitomo Electric Industries, Ltd.</v>
          </cell>
        </row>
        <row r="2659">
          <cell r="A2659" t="str">
            <v>SUP</v>
          </cell>
          <cell r="B2659" t="str">
            <v>Supertrash</v>
          </cell>
        </row>
        <row r="2660">
          <cell r="A2660" t="str">
            <v>SUR</v>
          </cell>
          <cell r="B2660" t="str">
            <v>Surfware, Inc.</v>
          </cell>
        </row>
        <row r="2661">
          <cell r="A2661" t="str">
            <v>SUZ</v>
          </cell>
          <cell r="B2661" t="str">
            <v>Suzuki Motor Corporation</v>
          </cell>
        </row>
        <row r="2662">
          <cell r="A2662" t="str">
            <v>SVB</v>
          </cell>
          <cell r="B2662" t="str">
            <v>Sociale Verzekeringsbank</v>
          </cell>
        </row>
        <row r="2663">
          <cell r="A2663" t="str">
            <v>SVE</v>
          </cell>
          <cell r="B2663" t="str">
            <v>Svenningsen Holding A/S</v>
          </cell>
        </row>
        <row r="2664">
          <cell r="A2664" t="str">
            <v>SVH</v>
          </cell>
          <cell r="B2664" t="str">
            <v>Svenska Handelsbanken AB</v>
          </cell>
        </row>
        <row r="2665">
          <cell r="A2665" t="str">
            <v>SVR</v>
          </cell>
          <cell r="B2665" t="str">
            <v>Stichting Voor Regionale Zorgverlening</v>
          </cell>
        </row>
        <row r="2666">
          <cell r="A2666" t="str">
            <v>SWA</v>
          </cell>
          <cell r="B2666" t="str">
            <v>Swagelok Company</v>
          </cell>
        </row>
        <row r="2667">
          <cell r="A2667" t="str">
            <v>SWB</v>
          </cell>
          <cell r="B2667" t="str">
            <v>SWIFT Smart Solutions</v>
          </cell>
        </row>
        <row r="2668">
          <cell r="A2668" t="str">
            <v>SWC</v>
          </cell>
          <cell r="B2668" t="str">
            <v>Swiss Capital Equity Holdings AG</v>
          </cell>
        </row>
        <row r="2669">
          <cell r="A2669" t="str">
            <v>SWG</v>
          </cell>
          <cell r="B2669" t="str">
            <v>Swedish Government</v>
          </cell>
        </row>
        <row r="2670">
          <cell r="A2670" t="str">
            <v>SWH</v>
          </cell>
          <cell r="B2670" t="str">
            <v>Swiss Herbal Remedies Limited</v>
          </cell>
        </row>
        <row r="2671">
          <cell r="A2671" t="str">
            <v>SWI</v>
          </cell>
          <cell r="B2671" t="str">
            <v>Swiss Army</v>
          </cell>
        </row>
        <row r="2672">
          <cell r="A2672" t="str">
            <v>SWL</v>
          </cell>
          <cell r="B2672" t="str">
            <v>Swiss Life</v>
          </cell>
        </row>
        <row r="2673">
          <cell r="A2673" t="str">
            <v>SWM</v>
          </cell>
          <cell r="B2673" t="str">
            <v>Systagenix Wound Management</v>
          </cell>
        </row>
        <row r="2674">
          <cell r="A2674" t="str">
            <v>SWS</v>
          </cell>
          <cell r="B2674" t="str">
            <v>Swisslog Holding AG</v>
          </cell>
        </row>
        <row r="2675">
          <cell r="A2675" t="str">
            <v>SXI</v>
          </cell>
          <cell r="B2675" t="str">
            <v>Ab Sciex</v>
          </cell>
        </row>
        <row r="2676">
          <cell r="A2676" t="str">
            <v>SYB</v>
          </cell>
          <cell r="B2676" t="str">
            <v>Sybase Inc</v>
          </cell>
        </row>
        <row r="2677">
          <cell r="A2677" t="str">
            <v>SYC</v>
          </cell>
          <cell r="B2677" t="str">
            <v>Sycle.net</v>
          </cell>
        </row>
        <row r="2678">
          <cell r="A2678" t="str">
            <v>SYG</v>
          </cell>
          <cell r="B2678" t="str">
            <v>Synergi Solutions AS</v>
          </cell>
        </row>
        <row r="2679">
          <cell r="A2679" t="str">
            <v>SYK</v>
          </cell>
          <cell r="B2679" t="str">
            <v>Stryker Corporation</v>
          </cell>
        </row>
        <row r="2680">
          <cell r="A2680" t="str">
            <v>SYL</v>
          </cell>
          <cell r="B2680" t="str">
            <v>Synology Inc</v>
          </cell>
        </row>
        <row r="2681">
          <cell r="A2681" t="str">
            <v>SYM</v>
          </cell>
          <cell r="B2681" t="str">
            <v>Symantec Corporation</v>
          </cell>
        </row>
        <row r="2682">
          <cell r="A2682" t="str">
            <v>SYN</v>
          </cell>
          <cell r="B2682" t="str">
            <v>Synplicity Inc</v>
          </cell>
        </row>
        <row r="2683">
          <cell r="A2683" t="str">
            <v>SYP</v>
          </cell>
          <cell r="B2683" t="str">
            <v>Synaptics Incorporated</v>
          </cell>
        </row>
        <row r="2684">
          <cell r="A2684" t="str">
            <v>SYS</v>
          </cell>
          <cell r="B2684" t="str">
            <v>Systran SA</v>
          </cell>
        </row>
        <row r="2685">
          <cell r="A2685" t="str">
            <v>SYT</v>
          </cell>
          <cell r="B2685" t="str">
            <v>Synet Technologies</v>
          </cell>
        </row>
        <row r="2686">
          <cell r="A2686" t="str">
            <v>TAA</v>
          </cell>
          <cell r="B2686" t="str">
            <v>Tata Group of Companies</v>
          </cell>
        </row>
        <row r="2687">
          <cell r="A2687" t="str">
            <v>TAB</v>
          </cell>
          <cell r="B2687" t="str">
            <v>Textforum AB</v>
          </cell>
        </row>
        <row r="2688">
          <cell r="A2688" t="str">
            <v>TAC</v>
          </cell>
          <cell r="B2688" t="str">
            <v>TACTX Co.,Ltd..</v>
          </cell>
        </row>
        <row r="2689">
          <cell r="A2689" t="str">
            <v>TAD</v>
          </cell>
          <cell r="B2689" t="str">
            <v>Tabcorp Holdings Limited</v>
          </cell>
        </row>
        <row r="2690">
          <cell r="A2690" t="str">
            <v>TAE</v>
          </cell>
          <cell r="B2690" t="str">
            <v>Tarkett S.A.</v>
          </cell>
        </row>
        <row r="2691">
          <cell r="A2691" t="str">
            <v>TAF</v>
          </cell>
          <cell r="B2691" t="str">
            <v>Turkish Aerospace Industries</v>
          </cell>
        </row>
        <row r="2692">
          <cell r="A2692" t="str">
            <v>TAG</v>
          </cell>
          <cell r="B2692" t="str">
            <v>TecAlliance GmbH</v>
          </cell>
        </row>
        <row r="2693">
          <cell r="A2693" t="str">
            <v>TAI</v>
          </cell>
          <cell r="B2693" t="str">
            <v>TAP Air Portugal</v>
          </cell>
        </row>
        <row r="2694">
          <cell r="A2694" t="str">
            <v>TAK</v>
          </cell>
          <cell r="B2694" t="str">
            <v xml:space="preserve">Takeda Pharmaceutical Company Limited </v>
          </cell>
        </row>
        <row r="2695">
          <cell r="A2695" t="str">
            <v>TAL</v>
          </cell>
          <cell r="B2695" t="str">
            <v>Talisma Corporation</v>
          </cell>
        </row>
        <row r="2696">
          <cell r="A2696" t="str">
            <v>TAN</v>
          </cell>
          <cell r="B2696" t="str">
            <v>Tanner AG</v>
          </cell>
        </row>
        <row r="2697">
          <cell r="A2697" t="str">
            <v>TAO</v>
          </cell>
          <cell r="B2697" t="str">
            <v>Trium Analysis Online GmbH</v>
          </cell>
        </row>
        <row r="2698">
          <cell r="A2698" t="str">
            <v>TAP</v>
          </cell>
          <cell r="B2698" t="str">
            <v>Tapiola Group</v>
          </cell>
        </row>
        <row r="2699">
          <cell r="A2699" t="str">
            <v>TAR</v>
          </cell>
          <cell r="B2699" t="str">
            <v>Target Corporation</v>
          </cell>
        </row>
        <row r="2700">
          <cell r="A2700" t="str">
            <v>TAS</v>
          </cell>
          <cell r="B2700" t="str">
            <v>TA Associates, Inc.</v>
          </cell>
        </row>
        <row r="2701">
          <cell r="A2701" t="str">
            <v>TAT</v>
          </cell>
          <cell r="B2701" t="str">
            <v>TRANSAT A.T. Inc</v>
          </cell>
        </row>
        <row r="2702">
          <cell r="A2702" t="str">
            <v>TAX</v>
          </cell>
          <cell r="B2702" t="str">
            <v>Tax Analysts</v>
          </cell>
        </row>
        <row r="2703">
          <cell r="A2703" t="str">
            <v>TBC</v>
          </cell>
          <cell r="B2703" t="str">
            <v>American Tire Distributors</v>
          </cell>
        </row>
        <row r="2704">
          <cell r="A2704" t="str">
            <v>TBG</v>
          </cell>
          <cell r="B2704" t="str">
            <v>Tandberg ASA</v>
          </cell>
        </row>
        <row r="2705">
          <cell r="A2705" t="str">
            <v>TBL</v>
          </cell>
          <cell r="B2705" t="str">
            <v>La Tablée des Chefs</v>
          </cell>
        </row>
        <row r="2706">
          <cell r="A2706" t="str">
            <v>TBS</v>
          </cell>
          <cell r="B2706" t="str">
            <v>Tableau Software, Inc.</v>
          </cell>
        </row>
        <row r="2707">
          <cell r="A2707" t="str">
            <v>TBW</v>
          </cell>
          <cell r="B2707" t="str">
            <v>thebigwebsite Ltd</v>
          </cell>
        </row>
        <row r="2708">
          <cell r="A2708" t="str">
            <v>TC1</v>
          </cell>
          <cell r="B2708" t="str">
            <v>TwentyCi Limited</v>
          </cell>
        </row>
        <row r="2709">
          <cell r="A2709" t="str">
            <v>TCA</v>
          </cell>
          <cell r="B2709" t="str">
            <v>Tourism Calgary</v>
          </cell>
        </row>
        <row r="2710">
          <cell r="A2710" t="str">
            <v>TCG</v>
          </cell>
          <cell r="B2710" t="str">
            <v>The Content Group</v>
          </cell>
        </row>
        <row r="2711">
          <cell r="A2711" t="str">
            <v>TCH</v>
          </cell>
          <cell r="B2711" t="str">
            <v>S.R. NOVA PRIVATE LIMITED</v>
          </cell>
        </row>
        <row r="2712">
          <cell r="A2712" t="str">
            <v>TCI</v>
          </cell>
          <cell r="B2712" t="str">
            <v>Tata Consultancy Services</v>
          </cell>
        </row>
        <row r="2713">
          <cell r="A2713" t="str">
            <v>TCK</v>
          </cell>
          <cell r="B2713" t="str">
            <v>Thomas Cook Group plc</v>
          </cell>
        </row>
        <row r="2714">
          <cell r="A2714" t="str">
            <v>TCL</v>
          </cell>
          <cell r="B2714" t="str">
            <v>Technical Support A/S</v>
          </cell>
        </row>
        <row r="2715">
          <cell r="A2715" t="str">
            <v>TCM</v>
          </cell>
          <cell r="B2715" t="str">
            <v>Trident Contract Management Llc</v>
          </cell>
        </row>
        <row r="2716">
          <cell r="A2716" t="str">
            <v>TCN</v>
          </cell>
          <cell r="B2716" t="str">
            <v>Koninklijke Ten Cate N.V.</v>
          </cell>
        </row>
        <row r="2717">
          <cell r="A2717" t="str">
            <v>TCO</v>
          </cell>
          <cell r="B2717" t="str">
            <v>Timocom GmbH</v>
          </cell>
        </row>
        <row r="2718">
          <cell r="A2718" t="str">
            <v>TCQ</v>
          </cell>
          <cell r="B2718" t="str">
            <v>Technical Training, Inc.</v>
          </cell>
        </row>
        <row r="2719">
          <cell r="A2719" t="str">
            <v>TCS</v>
          </cell>
          <cell r="B2719" t="str">
            <v>TeleCommunication Systems, Inc.</v>
          </cell>
        </row>
        <row r="2720">
          <cell r="A2720" t="str">
            <v>TCT</v>
          </cell>
          <cell r="B2720" t="str">
            <v>Tencent Holdings Limited</v>
          </cell>
        </row>
        <row r="2721">
          <cell r="A2721" t="str">
            <v>TDB</v>
          </cell>
          <cell r="B2721" t="str">
            <v>TORONTO DOMINION BANK FINANCIAL GROUP</v>
          </cell>
        </row>
        <row r="2722">
          <cell r="A2722" t="str">
            <v>TDC</v>
          </cell>
          <cell r="B2722" t="str">
            <v>TDC AS</v>
          </cell>
        </row>
        <row r="2723">
          <cell r="A2723" t="str">
            <v>TDI</v>
          </cell>
          <cell r="B2723" t="str">
            <v>Tridion B.V.</v>
          </cell>
        </row>
        <row r="2724">
          <cell r="A2724" t="str">
            <v>TDL</v>
          </cell>
          <cell r="B2724" t="str">
            <v>3D Labs</v>
          </cell>
        </row>
        <row r="2725">
          <cell r="A2725" t="str">
            <v>TDN</v>
          </cell>
          <cell r="B2725" t="str">
            <v>Teledyne Technologies, Inc.</v>
          </cell>
        </row>
        <row r="2726">
          <cell r="A2726" t="str">
            <v>TEA</v>
          </cell>
          <cell r="B2726" t="str">
            <v>TEAC America Inc</v>
          </cell>
        </row>
        <row r="2727">
          <cell r="A2727" t="str">
            <v>TEC</v>
          </cell>
          <cell r="B2727" t="str">
            <v>Tecmo, Ltd.</v>
          </cell>
        </row>
        <row r="2728">
          <cell r="A2728" t="str">
            <v>TED</v>
          </cell>
          <cell r="B2728" t="str">
            <v>Tribal Group plc</v>
          </cell>
        </row>
        <row r="2729">
          <cell r="A2729" t="str">
            <v>TEE</v>
          </cell>
          <cell r="B2729" t="str">
            <v>Telenor ASA</v>
          </cell>
        </row>
        <row r="2730">
          <cell r="A2730" t="str">
            <v>TEF</v>
          </cell>
          <cell r="B2730" t="str">
            <v>Telefónica S.A.</v>
          </cell>
        </row>
        <row r="2731">
          <cell r="A2731" t="str">
            <v>TEG</v>
          </cell>
          <cell r="B2731" t="str">
            <v>Telenet Group Holding N.V.</v>
          </cell>
        </row>
        <row r="2732">
          <cell r="A2732" t="str">
            <v>TEK</v>
          </cell>
          <cell r="B2732" t="str">
            <v>Teknotrans AB</v>
          </cell>
        </row>
        <row r="2733">
          <cell r="A2733" t="str">
            <v>TEL</v>
          </cell>
          <cell r="B2733" t="str">
            <v>Telect Inc</v>
          </cell>
        </row>
        <row r="2734">
          <cell r="A2734" t="str">
            <v>TEM</v>
          </cell>
          <cell r="B2734" t="str">
            <v>Terumo Corporation</v>
          </cell>
        </row>
        <row r="2735">
          <cell r="A2735" t="str">
            <v>TEN</v>
          </cell>
          <cell r="B2735" t="str">
            <v>Tenneco Automotive Inc</v>
          </cell>
        </row>
        <row r="2736">
          <cell r="A2736" t="str">
            <v>TEO</v>
          </cell>
          <cell r="B2736" t="str">
            <v>Tertio Telecoms</v>
          </cell>
        </row>
        <row r="2737">
          <cell r="A2737" t="str">
            <v>TER</v>
          </cell>
          <cell r="B2737" t="str">
            <v>Teradyne Inc</v>
          </cell>
        </row>
        <row r="2738">
          <cell r="A2738" t="str">
            <v>TET</v>
          </cell>
          <cell r="B2738" t="str">
            <v>AB Tetra Pak</v>
          </cell>
        </row>
        <row r="2739">
          <cell r="A2739" t="str">
            <v>TEX</v>
          </cell>
          <cell r="B2739" t="str">
            <v>Texas Instruments Incorporated</v>
          </cell>
        </row>
        <row r="2740">
          <cell r="A2740" t="str">
            <v>TFE</v>
          </cell>
          <cell r="B2740" t="str">
            <v>SIMPSON AND COMPANY LIMITED</v>
          </cell>
        </row>
        <row r="2741">
          <cell r="A2741" t="str">
            <v>TGF</v>
          </cell>
          <cell r="B2741" t="str">
            <v xml:space="preserve">The Global Fund to Fight AIDS, Tuberculosis and Malaria </v>
          </cell>
        </row>
        <row r="2742">
          <cell r="A2742" t="str">
            <v>TGM</v>
          </cell>
          <cell r="B2742" t="str">
            <v>Tengelmann Group</v>
          </cell>
        </row>
        <row r="2743">
          <cell r="A2743" t="str">
            <v>TGP</v>
          </cell>
          <cell r="B2743" t="str">
            <v>The Gap Partnership</v>
          </cell>
        </row>
        <row r="2744">
          <cell r="A2744" t="str">
            <v>TGS</v>
          </cell>
          <cell r="B2744" t="str">
            <v>Tangelo Software B.V.</v>
          </cell>
        </row>
        <row r="2745">
          <cell r="A2745" t="str">
            <v>TH1</v>
          </cell>
          <cell r="B2745" t="str">
            <v>THK CO., LTD.</v>
          </cell>
        </row>
        <row r="2746">
          <cell r="A2746" t="str">
            <v>THA</v>
          </cell>
          <cell r="B2746" t="str">
            <v>Thales Group</v>
          </cell>
        </row>
        <row r="2747">
          <cell r="A2747" t="str">
            <v>THD</v>
          </cell>
          <cell r="B2747" t="str">
            <v>The Home Depot, Inc</v>
          </cell>
        </row>
        <row r="2748">
          <cell r="A2748" t="str">
            <v>THE</v>
          </cell>
          <cell r="B2748" t="str">
            <v>Thesus Talking Image BV</v>
          </cell>
        </row>
        <row r="2749">
          <cell r="A2749" t="str">
            <v>THF</v>
          </cell>
          <cell r="B2749" t="str">
            <v>Thomson Reuters Corporation</v>
          </cell>
        </row>
        <row r="2750">
          <cell r="A2750" t="str">
            <v>THG</v>
          </cell>
          <cell r="B2750" t="str">
            <v>Tommy Hilfiger Corporation</v>
          </cell>
        </row>
        <row r="2751">
          <cell r="A2751" t="str">
            <v>THI</v>
          </cell>
          <cell r="B2751" t="str">
            <v>Thieme GmbH &amp; Co KG</v>
          </cell>
        </row>
        <row r="2752">
          <cell r="A2752" t="str">
            <v>THK</v>
          </cell>
          <cell r="B2752" t="str">
            <v>Theakos Inc</v>
          </cell>
        </row>
        <row r="2753">
          <cell r="A2753" t="str">
            <v>THO</v>
          </cell>
          <cell r="B2753" t="str">
            <v>Thoughtworks Inc.</v>
          </cell>
        </row>
        <row r="2754">
          <cell r="A2754" t="str">
            <v>THP</v>
          </cell>
          <cell r="B2754" t="str">
            <v>Thomas Publishing Company, LLC</v>
          </cell>
        </row>
        <row r="2755">
          <cell r="A2755" t="str">
            <v>THQ</v>
          </cell>
          <cell r="B2755" t="str">
            <v>THQ Inc.</v>
          </cell>
        </row>
        <row r="2756">
          <cell r="A2756" t="str">
            <v>THS</v>
          </cell>
          <cell r="B2756" t="str">
            <v>Threesixty</v>
          </cell>
        </row>
        <row r="2757">
          <cell r="A2757" t="str">
            <v>THV</v>
          </cell>
          <cell r="B2757" t="str">
            <v>Ter Hoeven Group</v>
          </cell>
        </row>
        <row r="2758">
          <cell r="A2758" t="str">
            <v>THY</v>
          </cell>
          <cell r="B2758" t="str">
            <v>ThyssenKrupp AG</v>
          </cell>
        </row>
        <row r="2759">
          <cell r="A2759" t="str">
            <v>THZ</v>
          </cell>
          <cell r="B2759" t="str">
            <v>Tahzoo LLC</v>
          </cell>
        </row>
        <row r="2760">
          <cell r="A2760" t="str">
            <v>TIB</v>
          </cell>
          <cell r="B2760" t="str">
            <v>Tibco Software Inc</v>
          </cell>
        </row>
        <row r="2761">
          <cell r="A2761" t="str">
            <v>TIE</v>
          </cell>
          <cell r="B2761" t="str">
            <v>Tieto Oyj</v>
          </cell>
        </row>
        <row r="2762">
          <cell r="A2762" t="str">
            <v>TIL</v>
          </cell>
          <cell r="B2762" t="str">
            <v>Tourism Ireland Ltd</v>
          </cell>
        </row>
        <row r="2763">
          <cell r="A2763" t="str">
            <v>TIM</v>
          </cell>
          <cell r="B2763" t="str">
            <v>Timtrade International B.V.</v>
          </cell>
        </row>
        <row r="2764">
          <cell r="A2764" t="str">
            <v>TIN</v>
          </cell>
          <cell r="B2764" t="str">
            <v>Trespa International BV</v>
          </cell>
        </row>
        <row r="2765">
          <cell r="A2765" t="str">
            <v>TIT</v>
          </cell>
          <cell r="B2765" t="str">
            <v>Trans-IT Translation inc.</v>
          </cell>
        </row>
        <row r="2766">
          <cell r="A2766" t="str">
            <v>TJX</v>
          </cell>
          <cell r="B2766" t="str">
            <v>The TJX Companies, Inc.</v>
          </cell>
        </row>
        <row r="2767">
          <cell r="A2767" t="str">
            <v>TKA</v>
          </cell>
          <cell r="B2767" t="str">
            <v>TK Telekom</v>
          </cell>
        </row>
        <row r="2768">
          <cell r="A2768" t="str">
            <v>TKC</v>
          </cell>
          <cell r="B2768" t="str">
            <v>Taikisha Ltd.</v>
          </cell>
        </row>
        <row r="2769">
          <cell r="A2769" t="str">
            <v>TKG</v>
          </cell>
          <cell r="B2769" t="str">
            <v>The Karma Group</v>
          </cell>
        </row>
        <row r="2770">
          <cell r="A2770" t="str">
            <v>TKI</v>
          </cell>
          <cell r="B2770" t="str">
            <v>Thanks Ai Co., Ltd.</v>
          </cell>
        </row>
        <row r="2771">
          <cell r="A2771" t="str">
            <v>TKJ</v>
          </cell>
          <cell r="B2771" t="str">
            <v>TAKT Systems Inc</v>
          </cell>
        </row>
        <row r="2772">
          <cell r="A2772" t="str">
            <v>TKL</v>
          </cell>
          <cell r="B2772" t="str">
            <v>Tekelec</v>
          </cell>
        </row>
        <row r="2773">
          <cell r="A2773" t="str">
            <v>TKS</v>
          </cell>
          <cell r="B2773" t="str">
            <v>Tekes</v>
          </cell>
        </row>
        <row r="2774">
          <cell r="A2774" t="str">
            <v>TKT</v>
          </cell>
          <cell r="B2774" t="str">
            <v>Tektronix Inc.</v>
          </cell>
        </row>
        <row r="2775">
          <cell r="A2775" t="str">
            <v>TKY</v>
          </cell>
          <cell r="B2775" t="str">
            <v>Tokyo Electron America, Inc</v>
          </cell>
        </row>
        <row r="2776">
          <cell r="A2776" t="str">
            <v>TLA</v>
          </cell>
          <cell r="B2776" t="str">
            <v>Trimble Navigation Limited</v>
          </cell>
        </row>
        <row r="2777">
          <cell r="A2777" t="str">
            <v>TLE</v>
          </cell>
          <cell r="B2777" t="str">
            <v>Telenor Eiendom</v>
          </cell>
        </row>
        <row r="2778">
          <cell r="A2778" t="str">
            <v>TLI</v>
          </cell>
          <cell r="B2778" t="str">
            <v>Tetra Laval International S.A.</v>
          </cell>
        </row>
        <row r="2779">
          <cell r="A2779" t="str">
            <v>TLO</v>
          </cell>
          <cell r="B2779" t="str">
            <v>Taleo Corporation</v>
          </cell>
        </row>
        <row r="2780">
          <cell r="A2780" t="str">
            <v>TLP</v>
          </cell>
          <cell r="B2780" t="str">
            <v>Teleperformance S.A.</v>
          </cell>
        </row>
        <row r="2781">
          <cell r="A2781" t="str">
            <v>TLS</v>
          </cell>
          <cell r="B2781" t="str">
            <v>Telus Corp.</v>
          </cell>
        </row>
        <row r="2782">
          <cell r="A2782" t="str">
            <v>TLT</v>
          </cell>
          <cell r="B2782" t="str">
            <v>TLT Documents</v>
          </cell>
        </row>
        <row r="2783">
          <cell r="A2783" t="str">
            <v>TMA</v>
          </cell>
          <cell r="B2783" t="str">
            <v>TMA Marketing Group Ltd</v>
          </cell>
        </row>
        <row r="2784">
          <cell r="A2784" t="str">
            <v>TME</v>
          </cell>
          <cell r="B2784" t="str">
            <v>Translate4me Inc.</v>
          </cell>
        </row>
        <row r="2785">
          <cell r="A2785" t="str">
            <v>TMG</v>
          </cell>
          <cell r="B2785" t="str">
            <v>Tokio Marine Group</v>
          </cell>
        </row>
        <row r="2786">
          <cell r="A2786" t="str">
            <v>TMI</v>
          </cell>
          <cell r="B2786" t="str">
            <v>The Marketing Arm Inc</v>
          </cell>
        </row>
        <row r="2787">
          <cell r="A2787" t="str">
            <v>TMO</v>
          </cell>
          <cell r="B2787" t="str">
            <v>TicketMonster</v>
          </cell>
        </row>
        <row r="2788">
          <cell r="A2788" t="str">
            <v>TMX</v>
          </cell>
          <cell r="B2788" t="str">
            <v>ThoughtMatrix, Inc.</v>
          </cell>
        </row>
        <row r="2789">
          <cell r="A2789" t="str">
            <v>TMY</v>
          </cell>
          <cell r="B2789" t="str">
            <v>TOMY Company, Ltd.</v>
          </cell>
        </row>
        <row r="2790">
          <cell r="A2790" t="str">
            <v>TNB</v>
          </cell>
          <cell r="B2790" t="str">
            <v>Thomas &amp; Betts Corporation</v>
          </cell>
        </row>
        <row r="2791">
          <cell r="A2791" t="str">
            <v>TNC</v>
          </cell>
          <cell r="B2791" t="str">
            <v>Trilliant Networks (Canada) Inc.</v>
          </cell>
        </row>
        <row r="2792">
          <cell r="A2792" t="str">
            <v>TNT</v>
          </cell>
          <cell r="B2792" t="str">
            <v>TNT N.V.</v>
          </cell>
        </row>
        <row r="2793">
          <cell r="A2793" t="str">
            <v>TOE</v>
          </cell>
          <cell r="B2793" t="str">
            <v>Tape A L'Oeil</v>
          </cell>
        </row>
        <row r="2794">
          <cell r="A2794" t="str">
            <v>TOI</v>
          </cell>
          <cell r="B2794" t="str">
            <v>Totten Insurance Group Inc.</v>
          </cell>
        </row>
        <row r="2795">
          <cell r="A2795" t="str">
            <v>TOL</v>
          </cell>
          <cell r="B2795" t="str">
            <v>TOTAL S.A.</v>
          </cell>
        </row>
        <row r="2796">
          <cell r="A2796" t="str">
            <v>TOM</v>
          </cell>
          <cell r="B2796" t="str">
            <v>Tomra Systems ASA</v>
          </cell>
        </row>
        <row r="2797">
          <cell r="A2797" t="str">
            <v>TOP</v>
          </cell>
          <cell r="B2797" t="str">
            <v>Topcon Corporation</v>
          </cell>
        </row>
        <row r="2798">
          <cell r="A2798" t="str">
            <v>TOR</v>
          </cell>
          <cell r="B2798" t="str">
            <v>Toray Industries, Inc.</v>
          </cell>
        </row>
        <row r="2799">
          <cell r="A2799" t="str">
            <v>TOT</v>
          </cell>
          <cell r="B2799" t="str">
            <v>The Tote</v>
          </cell>
        </row>
        <row r="2800">
          <cell r="A2800" t="str">
            <v>TOU</v>
          </cell>
          <cell r="B2800" t="str">
            <v>Touring NV</v>
          </cell>
        </row>
        <row r="2801">
          <cell r="A2801" t="str">
            <v>TOY</v>
          </cell>
          <cell r="B2801" t="str">
            <v>Toys"R"Us, Inc.</v>
          </cell>
        </row>
        <row r="2802">
          <cell r="A2802" t="str">
            <v>TPC</v>
          </cell>
          <cell r="B2802" t="str">
            <v>TPI Corporation</v>
          </cell>
        </row>
        <row r="2803">
          <cell r="A2803" t="str">
            <v>TPG</v>
          </cell>
          <cell r="B2803" t="str">
            <v>Transperfect Global, Inc.</v>
          </cell>
        </row>
        <row r="2804">
          <cell r="A2804" t="str">
            <v>TPI</v>
          </cell>
          <cell r="B2804" t="str">
            <v>Transform People International LLP</v>
          </cell>
        </row>
        <row r="2805">
          <cell r="A2805" t="str">
            <v>TPK</v>
          </cell>
          <cell r="B2805" t="str">
            <v>Tetra Pak International S.A</v>
          </cell>
        </row>
        <row r="2806">
          <cell r="A2806" t="str">
            <v>TPO</v>
          </cell>
          <cell r="B2806" t="str">
            <v>Telepo AB</v>
          </cell>
        </row>
        <row r="2807">
          <cell r="A2807" t="str">
            <v>TPR</v>
          </cell>
          <cell r="B2807" t="str">
            <v>TripAdvisor, Inc.</v>
          </cell>
        </row>
        <row r="2808">
          <cell r="A2808" t="str">
            <v>TPS</v>
          </cell>
          <cell r="B2808" t="str">
            <v>K.K. T.P.S.</v>
          </cell>
        </row>
        <row r="2809">
          <cell r="A2809" t="str">
            <v>TPV</v>
          </cell>
          <cell r="B2809" t="str">
            <v>TPV Technology Limited</v>
          </cell>
        </row>
        <row r="2810">
          <cell r="A2810" t="str">
            <v>TR0</v>
          </cell>
          <cell r="B2810" t="str">
            <v>Transcosmos Inc.</v>
          </cell>
        </row>
        <row r="2811">
          <cell r="A2811" t="str">
            <v>TRA</v>
          </cell>
          <cell r="B2811" t="str">
            <v>Trados Inc</v>
          </cell>
        </row>
        <row r="2812">
          <cell r="A2812" t="str">
            <v>TRB</v>
          </cell>
          <cell r="B2812" t="str">
            <v>Treato LTD</v>
          </cell>
        </row>
        <row r="2813">
          <cell r="A2813" t="str">
            <v>TRC</v>
          </cell>
          <cell r="B2813" t="str">
            <v>Trinity Industries Inc</v>
          </cell>
        </row>
        <row r="2814">
          <cell r="A2814" t="str">
            <v>TRD</v>
          </cell>
          <cell r="B2814" t="str">
            <v>Trend Micro Incorporated</v>
          </cell>
        </row>
        <row r="2815">
          <cell r="A2815" t="str">
            <v>TRE</v>
          </cell>
          <cell r="B2815" t="str">
            <v>Treehouse Group Ltd</v>
          </cell>
        </row>
        <row r="2816">
          <cell r="A2816" t="str">
            <v>TRG</v>
          </cell>
          <cell r="B2816" t="str">
            <v>Tryg Vesta Group</v>
          </cell>
        </row>
        <row r="2817">
          <cell r="A2817" t="str">
            <v>TRI</v>
          </cell>
          <cell r="B2817" t="str">
            <v>Trisoft nv</v>
          </cell>
        </row>
        <row r="2818">
          <cell r="A2818" t="str">
            <v>TRJ</v>
          </cell>
          <cell r="B2818" t="str">
            <v>Trus Joist, A Weyerhaeuser business</v>
          </cell>
        </row>
        <row r="2819">
          <cell r="A2819" t="str">
            <v>TRK</v>
          </cell>
          <cell r="B2819" t="str">
            <v>Tracks Trade &amp; Publishing AB</v>
          </cell>
        </row>
        <row r="2820">
          <cell r="A2820" t="str">
            <v>TRL</v>
          </cell>
          <cell r="B2820" t="str">
            <v>Travel Alberta</v>
          </cell>
        </row>
        <row r="2821">
          <cell r="A2821" t="str">
            <v>TRM</v>
          </cell>
          <cell r="B2821" t="str">
            <v>TERMA A/S</v>
          </cell>
        </row>
        <row r="2822">
          <cell r="A2822" t="str">
            <v>TRN</v>
          </cell>
          <cell r="B2822" t="str">
            <v>Trangen Inc.</v>
          </cell>
        </row>
        <row r="2823">
          <cell r="A2823" t="str">
            <v>TRO</v>
          </cell>
          <cell r="B2823" t="str">
            <v>TransOrg Solutions &amp; Services Private Limited</v>
          </cell>
        </row>
        <row r="2824">
          <cell r="A2824" t="str">
            <v>TRP</v>
          </cell>
          <cell r="B2824" t="str">
            <v>T. Rowe Price Group, Inc</v>
          </cell>
        </row>
        <row r="2825">
          <cell r="A2825" t="str">
            <v>TRS</v>
          </cell>
          <cell r="B2825" t="str">
            <v>Plus Translations</v>
          </cell>
        </row>
        <row r="2826">
          <cell r="A2826" t="str">
            <v>TRT</v>
          </cell>
          <cell r="B2826" t="str">
            <v>Trilegant</v>
          </cell>
        </row>
        <row r="2827">
          <cell r="A2827" t="str">
            <v>TRV</v>
          </cell>
          <cell r="B2827" t="str">
            <v>Trivadis Ag</v>
          </cell>
        </row>
        <row r="2828">
          <cell r="A2828" t="str">
            <v>TRX</v>
          </cell>
          <cell r="B2828" t="str">
            <v>Trox GmbH</v>
          </cell>
        </row>
        <row r="2829">
          <cell r="A2829" t="str">
            <v>TRZ</v>
          </cell>
          <cell r="B2829" t="str">
            <v>TradeStation Group, Inc</v>
          </cell>
        </row>
        <row r="2830">
          <cell r="A2830" t="str">
            <v>TSA</v>
          </cell>
          <cell r="B2830" t="str">
            <v>Transaction Systems Architects, Inc.</v>
          </cell>
        </row>
        <row r="2831">
          <cell r="A2831" t="str">
            <v>TSB</v>
          </cell>
          <cell r="B2831" t="str">
            <v>Toshiba Corporation</v>
          </cell>
        </row>
        <row r="2832">
          <cell r="A2832" t="str">
            <v>TSC</v>
          </cell>
          <cell r="B2832" t="str">
            <v>Trados Scandinavia AG</v>
          </cell>
        </row>
        <row r="2833">
          <cell r="A2833" t="str">
            <v>TSD</v>
          </cell>
          <cell r="B2833" t="str">
            <v>Tessenderlo Chemie NV</v>
          </cell>
        </row>
        <row r="2834">
          <cell r="A2834" t="str">
            <v>TSE</v>
          </cell>
          <cell r="B2834" t="str">
            <v>The Sporting Exchange Ltd</v>
          </cell>
        </row>
        <row r="2835">
          <cell r="A2835" t="str">
            <v>TSG</v>
          </cell>
          <cell r="B2835" t="str">
            <v>T-Systems GEI GmbH</v>
          </cell>
        </row>
        <row r="2836">
          <cell r="A2836" t="str">
            <v>TSH</v>
          </cell>
          <cell r="B2836" t="str">
            <v>The Share Centre Limited</v>
          </cell>
        </row>
        <row r="2837">
          <cell r="A2837" t="str">
            <v>TSK</v>
          </cell>
          <cell r="B2837" t="str">
            <v>Time Space System Co., Ltd</v>
          </cell>
        </row>
        <row r="2838">
          <cell r="A2838" t="str">
            <v>TSL</v>
          </cell>
          <cell r="B2838" t="str">
            <v>Tesla Motors, Inc.</v>
          </cell>
        </row>
        <row r="2839">
          <cell r="A2839" t="str">
            <v>TSM</v>
          </cell>
          <cell r="B2839" t="str">
            <v>Trade Service Company, LLC</v>
          </cell>
        </row>
        <row r="2840">
          <cell r="A2840" t="str">
            <v>TSN</v>
          </cell>
          <cell r="B2840" t="str">
            <v>Traduction simultanee Nord-Sud</v>
          </cell>
        </row>
        <row r="2841">
          <cell r="A2841" t="str">
            <v>TSP</v>
          </cell>
          <cell r="B2841" t="str">
            <v>The Scottish Environment Protection Agency (SEPA)</v>
          </cell>
        </row>
        <row r="2842">
          <cell r="A2842" t="str">
            <v>TSR</v>
          </cell>
          <cell r="B2842" t="str">
            <v>Total System Services, Inc.</v>
          </cell>
        </row>
        <row r="2843">
          <cell r="A2843" t="str">
            <v>TSS</v>
          </cell>
          <cell r="B2843" t="str">
            <v>Transonic Systems Inc.</v>
          </cell>
        </row>
        <row r="2844">
          <cell r="A2844" t="str">
            <v>TST</v>
          </cell>
          <cell r="B2844" t="str">
            <v>Trestria Inc</v>
          </cell>
        </row>
        <row r="2845">
          <cell r="A2845" t="str">
            <v>TSX</v>
          </cell>
          <cell r="B2845" t="str">
            <v>TSX Group Inc.</v>
          </cell>
        </row>
        <row r="2846">
          <cell r="A2846" t="str">
            <v>TTC</v>
          </cell>
          <cell r="B2846" t="str">
            <v>Telcordia Technologies, Inc.</v>
          </cell>
        </row>
        <row r="2847">
          <cell r="A2847" t="str">
            <v>TTE</v>
          </cell>
          <cell r="B2847" t="str">
            <v xml:space="preserve">20-20 Technologies Inc. </v>
          </cell>
        </row>
        <row r="2848">
          <cell r="A2848" t="str">
            <v>TTG</v>
          </cell>
          <cell r="B2848" t="str">
            <v>TTI Global Resources, Inc.</v>
          </cell>
        </row>
        <row r="2849">
          <cell r="A2849" t="str">
            <v>TTH</v>
          </cell>
          <cell r="B2849" t="str">
            <v>TeleTech Holdings Inc.</v>
          </cell>
        </row>
        <row r="2850">
          <cell r="A2850" t="str">
            <v>TTI</v>
          </cell>
          <cell r="B2850" t="str">
            <v>TomTom N.V.</v>
          </cell>
        </row>
        <row r="2851">
          <cell r="A2851" t="str">
            <v>TTR</v>
          </cell>
          <cell r="B2851" t="str">
            <v>Techi-Trad Inc.</v>
          </cell>
        </row>
        <row r="2852">
          <cell r="A2852" t="str">
            <v>TTS</v>
          </cell>
          <cell r="B2852" t="str">
            <v>TenneT TSO B.V.</v>
          </cell>
        </row>
        <row r="2853">
          <cell r="A2853" t="str">
            <v>TTT</v>
          </cell>
          <cell r="B2853" t="str">
            <v>Tetra Tech, Inc.</v>
          </cell>
        </row>
        <row r="2854">
          <cell r="A2854" t="str">
            <v>TUA</v>
          </cell>
          <cell r="B2854" t="str">
            <v>Turkish Airlines Inc.</v>
          </cell>
        </row>
        <row r="2855">
          <cell r="A2855" t="str">
            <v>TUG</v>
          </cell>
          <cell r="B2855" t="str">
            <v>TU Group</v>
          </cell>
        </row>
        <row r="2856">
          <cell r="A2856" t="str">
            <v>TUH</v>
          </cell>
          <cell r="B2856" t="str">
            <v>Tungsten-Network</v>
          </cell>
        </row>
        <row r="2857">
          <cell r="A2857" t="str">
            <v>TUI</v>
          </cell>
          <cell r="B2857" t="str">
            <v>TUI AG</v>
          </cell>
        </row>
        <row r="2858">
          <cell r="A2858" t="str">
            <v>TUN</v>
          </cell>
          <cell r="B2858" t="str">
            <v>Accell Group N.V.</v>
          </cell>
        </row>
        <row r="2859">
          <cell r="A2859" t="str">
            <v>TUP</v>
          </cell>
          <cell r="B2859" t="str">
            <v>Tupperware Brands Corporation</v>
          </cell>
        </row>
        <row r="2860">
          <cell r="A2860" t="str">
            <v>TUV</v>
          </cell>
          <cell r="B2860" t="str">
            <v>TUV Süddeutschland Holding AG</v>
          </cell>
        </row>
        <row r="2861">
          <cell r="A2861" t="str">
            <v>TVA</v>
          </cell>
          <cell r="B2861" t="str">
            <v>Teva Pharmaceutical Industries Limited</v>
          </cell>
        </row>
        <row r="2862">
          <cell r="A2862" t="str">
            <v>TVC</v>
          </cell>
          <cell r="B2862" t="str">
            <v>True Value Company</v>
          </cell>
        </row>
        <row r="2863">
          <cell r="A2863" t="str">
            <v>TVN</v>
          </cell>
          <cell r="B2863" t="str">
            <v>TOPPAN VITE PTE. LTD.</v>
          </cell>
        </row>
        <row r="2864">
          <cell r="A2864" t="str">
            <v>TVR</v>
          </cell>
          <cell r="B2864" t="str">
            <v>TechVar</v>
          </cell>
        </row>
        <row r="2865">
          <cell r="A2865" t="str">
            <v>TVS</v>
          </cell>
          <cell r="B2865" t="str">
            <v>Tvar Solutions LLC</v>
          </cell>
        </row>
        <row r="2866">
          <cell r="A2866" t="str">
            <v>TWA</v>
          </cell>
          <cell r="B2866" t="str">
            <v>Tourism Western Australia</v>
          </cell>
        </row>
        <row r="2867">
          <cell r="A2867" t="str">
            <v>TWC</v>
          </cell>
          <cell r="B2867" t="str">
            <v>The White Company (UK) Ltd</v>
          </cell>
        </row>
        <row r="2868">
          <cell r="A2868" t="str">
            <v>TWD</v>
          </cell>
          <cell r="B2868" t="str">
            <v>Tweddle Litho Company</v>
          </cell>
        </row>
        <row r="2869">
          <cell r="A2869" t="str">
            <v>TWE</v>
          </cell>
          <cell r="B2869" t="str">
            <v>Telework Systems plc</v>
          </cell>
        </row>
        <row r="2870">
          <cell r="A2870" t="str">
            <v>TWG</v>
          </cell>
          <cell r="B2870" t="str">
            <v>Nuance Communications, Inc.</v>
          </cell>
        </row>
        <row r="2871">
          <cell r="A2871" t="str">
            <v>TWI</v>
          </cell>
          <cell r="B2871" t="str">
            <v>Twinmar Group Ltd</v>
          </cell>
        </row>
        <row r="2872">
          <cell r="A2872" t="str">
            <v>TWP</v>
          </cell>
          <cell r="B2872" t="str">
            <v>Thomas Weisel Partners Group, Inc.</v>
          </cell>
        </row>
        <row r="2873">
          <cell r="A2873" t="str">
            <v>TWS</v>
          </cell>
          <cell r="B2873" t="str">
            <v>The Wine Society</v>
          </cell>
        </row>
        <row r="2874">
          <cell r="A2874" t="str">
            <v>TYA</v>
          </cell>
          <cell r="B2874" t="str">
            <v>Toyota Motor Corporation</v>
          </cell>
        </row>
        <row r="2875">
          <cell r="A2875" t="str">
            <v>TYC</v>
          </cell>
          <cell r="B2875" t="str">
            <v>Tyco International Ltd</v>
          </cell>
        </row>
        <row r="2876">
          <cell r="A2876" t="str">
            <v>TYT</v>
          </cell>
          <cell r="B2876" t="str">
            <v>Toyota Motor Europe Sa</v>
          </cell>
        </row>
        <row r="2877">
          <cell r="A2877" t="str">
            <v>UAA</v>
          </cell>
          <cell r="B2877" t="str">
            <v xml:space="preserve">United Air Lines, Inc. </v>
          </cell>
        </row>
        <row r="2878">
          <cell r="A2878" t="str">
            <v>UAL</v>
          </cell>
          <cell r="B2878" t="str">
            <v>UAL Corporation</v>
          </cell>
        </row>
        <row r="2879">
          <cell r="A2879" t="str">
            <v>UBC</v>
          </cell>
          <cell r="B2879" t="str">
            <v>United Biosource Corporation</v>
          </cell>
        </row>
        <row r="2880">
          <cell r="A2880" t="str">
            <v>UBI</v>
          </cell>
          <cell r="B2880" t="str">
            <v>UBISOFT Entertainment SA</v>
          </cell>
        </row>
        <row r="2881">
          <cell r="A2881" t="str">
            <v>UBL</v>
          </cell>
          <cell r="B2881" t="str">
            <v>uniblue</v>
          </cell>
        </row>
        <row r="2882">
          <cell r="A2882" t="str">
            <v>UBS</v>
          </cell>
          <cell r="B2882" t="str">
            <v>UBS AG</v>
          </cell>
        </row>
        <row r="2883">
          <cell r="A2883" t="str">
            <v>UBV</v>
          </cell>
          <cell r="B2883" t="str">
            <v>Ubivelox Inc</v>
          </cell>
        </row>
        <row r="2884">
          <cell r="A2884" t="str">
            <v>UBZ</v>
          </cell>
          <cell r="B2884" t="str">
            <v>Cybertrust Inc</v>
          </cell>
        </row>
        <row r="2885">
          <cell r="A2885" t="str">
            <v>UCB</v>
          </cell>
          <cell r="B2885" t="str">
            <v>UCB S.A.</v>
          </cell>
        </row>
        <row r="2886">
          <cell r="A2886" t="str">
            <v>UCG</v>
          </cell>
          <cell r="B2886" t="str">
            <v>United Communications Group LP</v>
          </cell>
        </row>
        <row r="2887">
          <cell r="A2887" t="str">
            <v>UCL</v>
          </cell>
          <cell r="B2887" t="str">
            <v>Cambridge Assessment</v>
          </cell>
        </row>
        <row r="2888">
          <cell r="A2888" t="str">
            <v>UCO</v>
          </cell>
          <cell r="B2888" t="str">
            <v>Universidad de Córdoba</v>
          </cell>
        </row>
        <row r="2889">
          <cell r="A2889" t="str">
            <v>UDY</v>
          </cell>
          <cell r="B2889" t="str">
            <v>Udemy</v>
          </cell>
        </row>
        <row r="2890">
          <cell r="A2890" t="str">
            <v>UEI</v>
          </cell>
          <cell r="B2890" t="str">
            <v>Universal Electronics Inc.</v>
          </cell>
        </row>
        <row r="2891">
          <cell r="A2891" t="str">
            <v>UEX</v>
          </cell>
          <cell r="B2891" t="str">
            <v>United Experts GmbH</v>
          </cell>
        </row>
        <row r="2892">
          <cell r="A2892" t="str">
            <v>UFI</v>
          </cell>
          <cell r="B2892" t="str">
            <v>UFIDA Software Co., Ltd</v>
          </cell>
        </row>
        <row r="2893">
          <cell r="A2893" t="str">
            <v>UGP</v>
          </cell>
          <cell r="B2893" t="str">
            <v>Government of The United States</v>
          </cell>
        </row>
        <row r="2894">
          <cell r="A2894" t="str">
            <v>UGR</v>
          </cell>
          <cell r="B2894" t="str">
            <v>Universidad de Granada</v>
          </cell>
        </row>
        <row r="2895">
          <cell r="A2895" t="str">
            <v>UHD</v>
          </cell>
          <cell r="B2895" t="str">
            <v>Unic Holding A.G.</v>
          </cell>
        </row>
        <row r="2896">
          <cell r="A2896" t="str">
            <v>UHG</v>
          </cell>
          <cell r="B2896" t="str">
            <v>United Health Group Incorporated</v>
          </cell>
        </row>
        <row r="2897">
          <cell r="A2897" t="str">
            <v>UHH</v>
          </cell>
          <cell r="B2897" t="str">
            <v>US Department of Health and Human Services</v>
          </cell>
        </row>
        <row r="2898">
          <cell r="A2898" t="str">
            <v>UIT</v>
          </cell>
          <cell r="B2898" t="str">
            <v>Universidad Internacional para las Tecnologías y Artes Digitale</v>
          </cell>
        </row>
        <row r="2899">
          <cell r="A2899" t="str">
            <v>UJK</v>
          </cell>
          <cell r="B2899" t="str">
            <v>UjakUrlop.pl</v>
          </cell>
        </row>
        <row r="2900">
          <cell r="A2900" t="str">
            <v>UKE</v>
          </cell>
          <cell r="B2900" t="str">
            <v>Universitätsklinikum Hamburg-Eppendorf</v>
          </cell>
        </row>
        <row r="2901">
          <cell r="A2901" t="str">
            <v>UKG</v>
          </cell>
          <cell r="B2901" t="str">
            <v>United Kingdom Government</v>
          </cell>
        </row>
        <row r="2902">
          <cell r="A2902" t="str">
            <v>UKL</v>
          </cell>
          <cell r="B2902" t="str">
            <v>UK Local Councils</v>
          </cell>
        </row>
        <row r="2903">
          <cell r="A2903" t="str">
            <v>ULT</v>
          </cell>
          <cell r="B2903" t="str">
            <v>Ultra Computer Services</v>
          </cell>
        </row>
        <row r="2904">
          <cell r="A2904" t="str">
            <v>UMA</v>
          </cell>
          <cell r="B2904" t="str">
            <v xml:space="preserve">University of Massachusetts </v>
          </cell>
        </row>
        <row r="2905">
          <cell r="A2905" t="str">
            <v>UN1</v>
          </cell>
          <cell r="B2905" t="str">
            <v>Uni-Sélect Inc.</v>
          </cell>
        </row>
        <row r="2906">
          <cell r="A2906" t="str">
            <v>UNB</v>
          </cell>
          <cell r="B2906" t="str">
            <v>Underwriters Laboratories Inc.</v>
          </cell>
        </row>
        <row r="2907">
          <cell r="A2907" t="str">
            <v>UNC</v>
          </cell>
          <cell r="B2907" t="str">
            <v>Unicredit</v>
          </cell>
        </row>
        <row r="2908">
          <cell r="A2908" t="str">
            <v>UNI</v>
          </cell>
          <cell r="B2908" t="str">
            <v>Unitronics Communicaciones, S.A.</v>
          </cell>
        </row>
        <row r="2909">
          <cell r="A2909" t="str">
            <v>UNL</v>
          </cell>
          <cell r="B2909" t="str">
            <v>Unilever</v>
          </cell>
        </row>
        <row r="2910">
          <cell r="A2910" t="str">
            <v>UNQ</v>
          </cell>
          <cell r="B2910" t="str">
            <v>Uniqa Software-Service Gmbh</v>
          </cell>
        </row>
        <row r="2911">
          <cell r="A2911" t="str">
            <v>UNR</v>
          </cell>
          <cell r="B2911" t="str">
            <v>United Rentals, Inc.</v>
          </cell>
        </row>
        <row r="2912">
          <cell r="A2912" t="str">
            <v>UNS</v>
          </cell>
          <cell r="B2912" t="str">
            <v>United Nations</v>
          </cell>
        </row>
        <row r="2913">
          <cell r="A2913" t="str">
            <v>UNT</v>
          </cell>
          <cell r="B2913" t="str">
            <v>Unite the Union</v>
          </cell>
        </row>
        <row r="2914">
          <cell r="A2914" t="str">
            <v>UNV</v>
          </cell>
          <cell r="B2914" t="str">
            <v>Universal City Development Partners LTD</v>
          </cell>
        </row>
        <row r="2915">
          <cell r="A2915" t="str">
            <v>UNW</v>
          </cell>
          <cell r="B2915" t="str">
            <v>Uniway Sa</v>
          </cell>
        </row>
        <row r="2916">
          <cell r="A2916" t="str">
            <v>UOP</v>
          </cell>
          <cell r="B2916" t="str">
            <v>University of Pennsylvania</v>
          </cell>
        </row>
        <row r="2917">
          <cell r="A2917" t="str">
            <v>UPM</v>
          </cell>
          <cell r="B2917" t="str">
            <v>UPM</v>
          </cell>
        </row>
        <row r="2918">
          <cell r="A2918" t="str">
            <v>UPS</v>
          </cell>
          <cell r="B2918" t="str">
            <v>United Parcel Services Inc.</v>
          </cell>
        </row>
        <row r="2919">
          <cell r="A2919" t="str">
            <v>URB</v>
          </cell>
          <cell r="B2919" t="str">
            <v>Urban Outfitters Inc.</v>
          </cell>
        </row>
        <row r="2920">
          <cell r="A2920" t="str">
            <v>USA</v>
          </cell>
          <cell r="B2920" t="str">
            <v>USAA</v>
          </cell>
        </row>
        <row r="2921">
          <cell r="A2921" t="str">
            <v>USC</v>
          </cell>
          <cell r="B2921" t="str">
            <v>US City Councils</v>
          </cell>
        </row>
        <row r="2922">
          <cell r="A2922" t="str">
            <v>USG</v>
          </cell>
          <cell r="B2922" t="str">
            <v>United States Federal Government</v>
          </cell>
        </row>
        <row r="2923">
          <cell r="A2923" t="str">
            <v>USH</v>
          </cell>
          <cell r="B2923" t="str">
            <v>Université de Sherbrooke</v>
          </cell>
        </row>
        <row r="2924">
          <cell r="A2924" t="str">
            <v>USP</v>
          </cell>
          <cell r="B2924" t="str">
            <v>US Pharmacopeia</v>
          </cell>
        </row>
        <row r="2925">
          <cell r="A2925" t="str">
            <v>USR</v>
          </cell>
          <cell r="B2925" t="str">
            <v>US Robotics</v>
          </cell>
        </row>
        <row r="2926">
          <cell r="A2926" t="str">
            <v>USS</v>
          </cell>
          <cell r="B2926" t="str">
            <v>US State Governments</v>
          </cell>
        </row>
        <row r="2927">
          <cell r="A2927" t="str">
            <v>USY</v>
          </cell>
          <cell r="B2927" t="str">
            <v>Unisys Corporation</v>
          </cell>
        </row>
        <row r="2928">
          <cell r="A2928" t="str">
            <v>UTC</v>
          </cell>
          <cell r="B2928" t="str">
            <v>United Technologies Corporation</v>
          </cell>
        </row>
        <row r="2929">
          <cell r="A2929" t="str">
            <v>UTD</v>
          </cell>
          <cell r="B2929" t="str">
            <v>Utdanningsdirektoratet</v>
          </cell>
        </row>
        <row r="2930">
          <cell r="A2930" t="str">
            <v>UTW</v>
          </cell>
          <cell r="B2930" t="str">
            <v>Universiteit Twente</v>
          </cell>
        </row>
        <row r="2931">
          <cell r="A2931" t="str">
            <v>UVL</v>
          </cell>
          <cell r="B2931" t="str">
            <v>Universiteit Leiden</v>
          </cell>
        </row>
        <row r="2932">
          <cell r="A2932" t="str">
            <v>VA1</v>
          </cell>
          <cell r="B2932" t="str">
            <v>Vaisala Oyj</v>
          </cell>
        </row>
        <row r="2933">
          <cell r="A2933" t="str">
            <v>VAA</v>
          </cell>
          <cell r="B2933" t="str">
            <v>Van Aarsen International B.V</v>
          </cell>
        </row>
        <row r="2934">
          <cell r="A2934" t="str">
            <v>VAC</v>
          </cell>
          <cell r="B2934" t="str">
            <v>Valkyrie Enterprises, LLC</v>
          </cell>
        </row>
        <row r="2935">
          <cell r="A2935" t="str">
            <v>VAD</v>
          </cell>
          <cell r="B2935" t="str">
            <v>Divisie Vroom &amp; Dreesmann B.V.</v>
          </cell>
        </row>
        <row r="2936">
          <cell r="A2936" t="str">
            <v>VAG</v>
          </cell>
          <cell r="B2936" t="str">
            <v>Vansanta Group Ltd</v>
          </cell>
        </row>
        <row r="2937">
          <cell r="A2937" t="str">
            <v>VAI</v>
          </cell>
          <cell r="B2937" t="str">
            <v>Vaillant GmbH</v>
          </cell>
        </row>
        <row r="2938">
          <cell r="A2938" t="str">
            <v>VAK</v>
          </cell>
          <cell r="B2938" t="str">
            <v>Vakantie Makelaar B.V.</v>
          </cell>
        </row>
        <row r="2939">
          <cell r="A2939" t="str">
            <v>VAL</v>
          </cell>
          <cell r="B2939" t="str">
            <v>Valve Corporation</v>
          </cell>
        </row>
        <row r="2940">
          <cell r="A2940" t="str">
            <v>VAR</v>
          </cell>
          <cell r="B2940" t="str">
            <v>Varian Medical Systems Inc</v>
          </cell>
        </row>
        <row r="2941">
          <cell r="A2941" t="str">
            <v>VAS</v>
          </cell>
          <cell r="B2941" t="str">
            <v>VASCO Data Security International, Inc</v>
          </cell>
        </row>
        <row r="2942">
          <cell r="A2942" t="str">
            <v>VBK</v>
          </cell>
          <cell r="B2942" t="str">
            <v>Van Beek</v>
          </cell>
        </row>
        <row r="2943">
          <cell r="A2943" t="str">
            <v>VBR</v>
          </cell>
          <cell r="B2943" t="str">
            <v>VisitBritain</v>
          </cell>
        </row>
        <row r="2944">
          <cell r="A2944" t="str">
            <v>VCE</v>
          </cell>
          <cell r="B2944" t="str">
            <v>Vce Company, LLC</v>
          </cell>
        </row>
        <row r="2945">
          <cell r="A2945" t="str">
            <v>VCJ</v>
          </cell>
          <cell r="B2945" t="str">
            <v>Victor Company of Japan Ltd</v>
          </cell>
        </row>
        <row r="2946">
          <cell r="A2946" t="str">
            <v>VCL</v>
          </cell>
          <cell r="B2946" t="str">
            <v>Value Comparison Ltd</v>
          </cell>
        </row>
        <row r="2947">
          <cell r="A2947" t="str">
            <v>VCO</v>
          </cell>
          <cell r="B2947" t="str">
            <v>Vircom Inc.</v>
          </cell>
        </row>
        <row r="2948">
          <cell r="A2948" t="str">
            <v>VCS</v>
          </cell>
          <cell r="B2948" t="str">
            <v>VASS Consultoria de Sistemas</v>
          </cell>
        </row>
        <row r="2949">
          <cell r="A2949" t="str">
            <v>VCU</v>
          </cell>
          <cell r="B2949" t="str">
            <v>V-CUBE, Inc</v>
          </cell>
        </row>
        <row r="2950">
          <cell r="A2950" t="str">
            <v>VDE</v>
          </cell>
          <cell r="B2950" t="str">
            <v>Van Dijk Educatie B.V.</v>
          </cell>
        </row>
        <row r="2951">
          <cell r="A2951" t="str">
            <v>VDV</v>
          </cell>
          <cell r="B2951" t="str">
            <v>VDVX BV</v>
          </cell>
        </row>
        <row r="2952">
          <cell r="A2952" t="str">
            <v>VEA</v>
          </cell>
          <cell r="B2952" t="str">
            <v>Vemag Anlagenbau GmbH</v>
          </cell>
        </row>
        <row r="2953">
          <cell r="A2953" t="str">
            <v>VEC</v>
          </cell>
          <cell r="B2953" t="str">
            <v>Vector Group</v>
          </cell>
        </row>
        <row r="2954">
          <cell r="A2954" t="str">
            <v>VED</v>
          </cell>
          <cell r="B2954" t="str">
            <v>VEDA GROUP LIMITED</v>
          </cell>
        </row>
        <row r="2955">
          <cell r="A2955" t="str">
            <v>VEK</v>
          </cell>
          <cell r="B2955" t="str">
            <v>Vereniging van Kamers van Koophandel</v>
          </cell>
        </row>
        <row r="2956">
          <cell r="A2956" t="str">
            <v>VEL</v>
          </cell>
          <cell r="B2956" t="str">
            <v>Visa Europe Services Inc.</v>
          </cell>
        </row>
        <row r="2957">
          <cell r="A2957" t="str">
            <v>VEM</v>
          </cell>
          <cell r="B2957" t="str">
            <v>Vemag Group</v>
          </cell>
        </row>
        <row r="2958">
          <cell r="A2958" t="str">
            <v>VEN</v>
          </cell>
          <cell r="B2958" t="str">
            <v>Vendisys, Inc.</v>
          </cell>
        </row>
        <row r="2959">
          <cell r="A2959" t="str">
            <v>VER</v>
          </cell>
          <cell r="B2959" t="str">
            <v>Veritas Software Corporation</v>
          </cell>
        </row>
        <row r="2960">
          <cell r="A2960" t="str">
            <v>VES</v>
          </cell>
          <cell r="B2960" t="str">
            <v>Vestas Wind Systems A/S</v>
          </cell>
        </row>
        <row r="2961">
          <cell r="A2961" t="str">
            <v>VFA</v>
          </cell>
          <cell r="B2961" t="str">
            <v>Vanderweil Facilities Advisors, Inc.</v>
          </cell>
        </row>
        <row r="2962">
          <cell r="A2962" t="str">
            <v>VFS</v>
          </cell>
          <cell r="B2962" t="str">
            <v>Kuoni Group</v>
          </cell>
        </row>
        <row r="2963">
          <cell r="A2963" t="str">
            <v>VGN</v>
          </cell>
          <cell r="B2963" t="str">
            <v>Vigience Co., Ltd.</v>
          </cell>
        </row>
        <row r="2964">
          <cell r="A2964" t="str">
            <v>VGO</v>
          </cell>
          <cell r="B2964" t="str">
            <v>Victorian Auditor General's Office</v>
          </cell>
        </row>
        <row r="2965">
          <cell r="A2965" t="str">
            <v>VHD</v>
          </cell>
          <cell r="B2965" t="str">
            <v>Victoria Holding SARL</v>
          </cell>
        </row>
        <row r="2966">
          <cell r="A2966" t="str">
            <v>VIA</v>
          </cell>
          <cell r="B2966" t="str">
            <v>Vitria Technology Inc.</v>
          </cell>
        </row>
        <row r="2967">
          <cell r="A2967" t="str">
            <v>VIC</v>
          </cell>
          <cell r="B2967" t="str">
            <v>VINCI Group</v>
          </cell>
        </row>
        <row r="2968">
          <cell r="A2968" t="str">
            <v>VIE</v>
          </cell>
          <cell r="B2968" t="str">
            <v>VIME Hotels &amp; Resorts</v>
          </cell>
        </row>
        <row r="2969">
          <cell r="A2969" t="str">
            <v>VIF</v>
          </cell>
          <cell r="B2969" t="str">
            <v>Vintage Filings, LLC</v>
          </cell>
        </row>
        <row r="2970">
          <cell r="A2970" t="str">
            <v>VIG</v>
          </cell>
          <cell r="B2970" t="str">
            <v>Vignette Corporation</v>
          </cell>
        </row>
        <row r="2971">
          <cell r="A2971" t="str">
            <v>VII</v>
          </cell>
          <cell r="B2971" t="str">
            <v>Vital Images, Inc.</v>
          </cell>
        </row>
        <row r="2972">
          <cell r="A2972" t="str">
            <v>VIM</v>
          </cell>
          <cell r="B2972" t="str">
            <v>Visma Software AS</v>
          </cell>
        </row>
        <row r="2973">
          <cell r="A2973" t="str">
            <v>VIN</v>
          </cell>
          <cell r="B2973" t="str">
            <v>Vinghog AS</v>
          </cell>
        </row>
        <row r="2974">
          <cell r="A2974" t="str">
            <v>VIP</v>
          </cell>
          <cell r="B2974" t="str">
            <v>VIA PRESSE</v>
          </cell>
        </row>
        <row r="2975">
          <cell r="A2975" t="str">
            <v>VIR</v>
          </cell>
          <cell r="B2975" t="str">
            <v>Virgin Group</v>
          </cell>
        </row>
        <row r="2976">
          <cell r="A2976" t="str">
            <v>VIS</v>
          </cell>
          <cell r="B2976" t="str">
            <v>1Vision Software Inc</v>
          </cell>
        </row>
        <row r="2977">
          <cell r="A2977" t="str">
            <v>VIT</v>
          </cell>
          <cell r="B2977" t="str">
            <v>Vital Inc</v>
          </cell>
        </row>
        <row r="2978">
          <cell r="A2978" t="str">
            <v>VIV</v>
          </cell>
          <cell r="B2978" t="str">
            <v xml:space="preserve">Vivendi Universal </v>
          </cell>
        </row>
        <row r="2979">
          <cell r="A2979" t="str">
            <v>VLC</v>
          </cell>
          <cell r="B2979" t="str">
            <v>VLC</v>
          </cell>
        </row>
        <row r="2980">
          <cell r="A2980" t="str">
            <v>VLG</v>
          </cell>
          <cell r="B2980" t="str">
            <v>Viaselect Leisure Group B.V.</v>
          </cell>
        </row>
        <row r="2981">
          <cell r="A2981" t="str">
            <v>VLP</v>
          </cell>
          <cell r="B2981" t="str">
            <v>Value Line Publishing Inc.</v>
          </cell>
        </row>
        <row r="2982">
          <cell r="A2982" t="str">
            <v>VMW</v>
          </cell>
          <cell r="B2982" t="str">
            <v>VMware Inc.</v>
          </cell>
        </row>
        <row r="2983">
          <cell r="A2983" t="str">
            <v>VNC</v>
          </cell>
          <cell r="B2983" t="str">
            <v>Vincles</v>
          </cell>
        </row>
        <row r="2984">
          <cell r="A2984" t="str">
            <v>VNU</v>
          </cell>
          <cell r="B2984" t="str">
            <v>The Nielsen Company B.V.</v>
          </cell>
        </row>
        <row r="2985">
          <cell r="A2985" t="str">
            <v>VNW</v>
          </cell>
          <cell r="B2985" t="str">
            <v>Vereniging Nederlandse Woonbond</v>
          </cell>
        </row>
        <row r="2986">
          <cell r="A2986" t="str">
            <v>VOC</v>
          </cell>
          <cell r="B2986" t="str">
            <v>Vocera Communications, Inc.</v>
          </cell>
        </row>
        <row r="2987">
          <cell r="A2987" t="str">
            <v>VOG</v>
          </cell>
          <cell r="B2987" t="str">
            <v>Verlag Heinrich Vogel GmbH</v>
          </cell>
        </row>
        <row r="2988">
          <cell r="A2988" t="str">
            <v>VOI</v>
          </cell>
          <cell r="B2988" t="str">
            <v>Voith AG</v>
          </cell>
        </row>
        <row r="2989">
          <cell r="A2989" t="str">
            <v>VOL</v>
          </cell>
          <cell r="B2989" t="str">
            <v>AB Volvo</v>
          </cell>
        </row>
        <row r="2990">
          <cell r="A2990" t="str">
            <v>VON</v>
          </cell>
          <cell r="B2990" t="str">
            <v>Geely Sweden AB - Volvo Cars Canada</v>
          </cell>
        </row>
        <row r="2991">
          <cell r="A2991" t="str">
            <v>VOP</v>
          </cell>
          <cell r="B2991" t="str">
            <v>Vogel's Products B.V.</v>
          </cell>
        </row>
        <row r="2992">
          <cell r="A2992" t="str">
            <v>VOX</v>
          </cell>
          <cell r="B2992" t="str">
            <v>Vox Orbis</v>
          </cell>
        </row>
        <row r="2993">
          <cell r="A2993" t="str">
            <v>VPR</v>
          </cell>
          <cell r="B2993" t="str">
            <v>Vente Privee.Com</v>
          </cell>
        </row>
        <row r="2994">
          <cell r="A2994" t="str">
            <v>VRC</v>
          </cell>
          <cell r="B2994" t="str">
            <v>Viking River Cruises, Inc</v>
          </cell>
        </row>
        <row r="2995">
          <cell r="A2995" t="str">
            <v>VRN</v>
          </cell>
          <cell r="B2995" t="str">
            <v>Vernier Software &amp; Technology</v>
          </cell>
        </row>
        <row r="2996">
          <cell r="A2996" t="str">
            <v>VRS</v>
          </cell>
          <cell r="B2996" t="str">
            <v>VeriSign, Inc</v>
          </cell>
        </row>
        <row r="2997">
          <cell r="A2997" t="str">
            <v>VRT</v>
          </cell>
          <cell r="B2997" t="str">
            <v>Verity, Inc.</v>
          </cell>
        </row>
        <row r="2998">
          <cell r="A2998" t="str">
            <v>VSA</v>
          </cell>
          <cell r="B2998" t="str">
            <v>Visa Inc</v>
          </cell>
        </row>
        <row r="2999">
          <cell r="A2999" t="str">
            <v>VSB</v>
          </cell>
          <cell r="B2999" t="str">
            <v>VSO</v>
          </cell>
        </row>
        <row r="3000">
          <cell r="A3000" t="str">
            <v>VSC</v>
          </cell>
          <cell r="B3000" t="str">
            <v>Viewsonic Corporation</v>
          </cell>
        </row>
        <row r="3001">
          <cell r="A3001" t="str">
            <v>VSM</v>
          </cell>
          <cell r="B3001" t="str">
            <v>Visma AS</v>
          </cell>
        </row>
        <row r="3002">
          <cell r="A3002" t="str">
            <v>VSN</v>
          </cell>
          <cell r="B3002" t="str">
            <v>Visual Insights, Inc</v>
          </cell>
        </row>
        <row r="3003">
          <cell r="A3003" t="str">
            <v>VSO</v>
          </cell>
          <cell r="B3003" t="str">
            <v>Virtuoso Ltd</v>
          </cell>
        </row>
        <row r="3004">
          <cell r="A3004" t="str">
            <v>VSP</v>
          </cell>
          <cell r="B3004" t="str">
            <v>Visiprise Inc</v>
          </cell>
        </row>
        <row r="3005">
          <cell r="A3005" t="str">
            <v>VST</v>
          </cell>
          <cell r="B3005" t="str">
            <v>Visteon Corporation</v>
          </cell>
        </row>
        <row r="3006">
          <cell r="A3006" t="str">
            <v>VSU</v>
          </cell>
          <cell r="B3006" t="str">
            <v>Vostu</v>
          </cell>
        </row>
        <row r="3007">
          <cell r="A3007" t="str">
            <v>VTC</v>
          </cell>
          <cell r="B3007" t="str">
            <v>VistaTEC Holdings Ltd</v>
          </cell>
        </row>
        <row r="3008">
          <cell r="A3008" t="str">
            <v>VTG</v>
          </cell>
          <cell r="B3008" t="str">
            <v>Cisco Systems Voice Technology Group</v>
          </cell>
        </row>
        <row r="3009">
          <cell r="A3009" t="str">
            <v>VTH</v>
          </cell>
          <cell r="B3009" t="str">
            <v>Valtech H2O A.G.</v>
          </cell>
        </row>
        <row r="3010">
          <cell r="A3010" t="str">
            <v>VTO</v>
          </cell>
          <cell r="B3010" t="str">
            <v>Visto Corporation</v>
          </cell>
        </row>
        <row r="3011">
          <cell r="A3011" t="str">
            <v>VTR</v>
          </cell>
          <cell r="B3011" t="str">
            <v>Viator Inc.</v>
          </cell>
        </row>
        <row r="3012">
          <cell r="A3012" t="str">
            <v>VTX</v>
          </cell>
          <cell r="B3012" t="str">
            <v>Vistex, Inc.</v>
          </cell>
        </row>
        <row r="3013">
          <cell r="A3013" t="str">
            <v>VUA</v>
          </cell>
          <cell r="B3013" t="str">
            <v>Vrije Universiteit Amsterdam</v>
          </cell>
        </row>
        <row r="3014">
          <cell r="A3014" t="str">
            <v>VUC</v>
          </cell>
          <cell r="B3014" t="str">
            <v>Vanderbilt University Medical Center</v>
          </cell>
        </row>
        <row r="3015">
          <cell r="A3015" t="str">
            <v>VUM</v>
          </cell>
          <cell r="B3015" t="str">
            <v>VUMMedia</v>
          </cell>
        </row>
        <row r="3016">
          <cell r="A3016" t="str">
            <v>VVM</v>
          </cell>
          <cell r="B3016" t="str">
            <v>VVM De Lijn</v>
          </cell>
        </row>
        <row r="3017">
          <cell r="A3017" t="str">
            <v>VWA</v>
          </cell>
          <cell r="B3017" t="str">
            <v>Volkswagen AG</v>
          </cell>
        </row>
        <row r="3018">
          <cell r="A3018" t="str">
            <v>WAC</v>
          </cell>
          <cell r="B3018" t="str">
            <v>Wacom Technology Co</v>
          </cell>
        </row>
        <row r="3019">
          <cell r="A3019" t="str">
            <v>WAE</v>
          </cell>
          <cell r="B3019" t="str">
            <v>Words and Graphics Ltd</v>
          </cell>
        </row>
        <row r="3020">
          <cell r="A3020" t="str">
            <v>WAG</v>
          </cell>
          <cell r="B3020" t="str">
            <v>WatchGuard Technologies Inc</v>
          </cell>
        </row>
        <row r="3021">
          <cell r="A3021" t="str">
            <v>WAI</v>
          </cell>
          <cell r="B3021" t="str">
            <v>Walker Information, Inc.</v>
          </cell>
        </row>
        <row r="3022">
          <cell r="A3022" t="str">
            <v>WAK</v>
          </cell>
          <cell r="B3022" t="str">
            <v>Wacker Chemie AG</v>
          </cell>
        </row>
        <row r="3023">
          <cell r="A3023" t="str">
            <v>WAR</v>
          </cell>
          <cell r="B3023" t="str">
            <v>Wärtsilä Corporation</v>
          </cell>
        </row>
        <row r="3024">
          <cell r="A3024" t="str">
            <v>WAT</v>
          </cell>
          <cell r="B3024" t="str">
            <v>Wataniya Airways</v>
          </cell>
        </row>
        <row r="3025">
          <cell r="A3025" t="str">
            <v>WAV</v>
          </cell>
          <cell r="B3025" t="str">
            <v>Wavin N.V.</v>
          </cell>
        </row>
        <row r="3026">
          <cell r="A3026" t="str">
            <v>WAW</v>
          </cell>
          <cell r="B3026" t="str">
            <v>Watson Wyatt &amp; Company Holdings</v>
          </cell>
        </row>
        <row r="3027">
          <cell r="A3027" t="str">
            <v>WBA</v>
          </cell>
          <cell r="B3027" t="str">
            <v>Web Associates, Inc.</v>
          </cell>
        </row>
        <row r="3028">
          <cell r="A3028" t="str">
            <v>WBC</v>
          </cell>
          <cell r="B3028" t="str">
            <v>Westpac Banking Corporation</v>
          </cell>
        </row>
        <row r="3029">
          <cell r="A3029" t="str">
            <v>WCM</v>
          </cell>
          <cell r="B3029" t="str">
            <v>Wacom Co., Ltd.</v>
          </cell>
        </row>
        <row r="3030">
          <cell r="A3030" t="str">
            <v>WCR</v>
          </cell>
          <cell r="B3030" t="str">
            <v>WCRP</v>
          </cell>
        </row>
        <row r="3031">
          <cell r="A3031" t="str">
            <v>WDM</v>
          </cell>
          <cell r="B3031" t="str">
            <v>Weidmüller Interface GmbH &amp; Co. KG</v>
          </cell>
        </row>
        <row r="3032">
          <cell r="A3032" t="str">
            <v>WEB</v>
          </cell>
          <cell r="B3032" t="str">
            <v>webMethods</v>
          </cell>
        </row>
        <row r="3033">
          <cell r="A3033" t="str">
            <v>WEC</v>
          </cell>
          <cell r="B3033" t="str">
            <v>WellCare Health Plans Inc</v>
          </cell>
        </row>
        <row r="3034">
          <cell r="A3034" t="str">
            <v>WED</v>
          </cell>
          <cell r="B3034" t="str">
            <v>Waggener Edstrom, Inc</v>
          </cell>
        </row>
        <row r="3035">
          <cell r="A3035" t="str">
            <v>WEE</v>
          </cell>
          <cell r="B3035" t="str">
            <v>Welch Allyn Inc</v>
          </cell>
        </row>
        <row r="3036">
          <cell r="A3036" t="str">
            <v>WEH</v>
          </cell>
          <cell r="B3036" t="str">
            <v>Wehlmann Kommunikation</v>
          </cell>
        </row>
        <row r="3037">
          <cell r="A3037" t="str">
            <v>WEI</v>
          </cell>
          <cell r="B3037" t="str">
            <v>Michael Weinig AG</v>
          </cell>
        </row>
        <row r="3038">
          <cell r="A3038" t="str">
            <v>WEK</v>
          </cell>
          <cell r="B3038" t="str">
            <v>WEKA Services</v>
          </cell>
        </row>
        <row r="3039">
          <cell r="A3039" t="str">
            <v>WEL</v>
          </cell>
          <cell r="B3039" t="str">
            <v>WeLocalize Inc</v>
          </cell>
        </row>
        <row r="3040">
          <cell r="A3040" t="str">
            <v>WEN</v>
          </cell>
          <cell r="B3040" t="str">
            <v>Wendy's International Inc.</v>
          </cell>
        </row>
        <row r="3041">
          <cell r="A3041" t="str">
            <v>WES</v>
          </cell>
          <cell r="B3041" t="str">
            <v>Western Digital Corporation</v>
          </cell>
        </row>
        <row r="3042">
          <cell r="A3042" t="str">
            <v>WEU</v>
          </cell>
          <cell r="B3042" t="str">
            <v>The Western Union Company</v>
          </cell>
        </row>
        <row r="3043">
          <cell r="A3043" t="str">
            <v>WEZ</v>
          </cell>
          <cell r="B3043" t="str">
            <v>WebZen Inc.</v>
          </cell>
        </row>
        <row r="3044">
          <cell r="A3044" t="str">
            <v>WFC</v>
          </cell>
          <cell r="B3044" t="str">
            <v>Wells Fargo &amp; Company</v>
          </cell>
        </row>
        <row r="3045">
          <cell r="A3045" t="str">
            <v>WFD</v>
          </cell>
          <cell r="B3045" t="str">
            <v>Weatherford International Ltd.</v>
          </cell>
        </row>
        <row r="3046">
          <cell r="A3046" t="str">
            <v>WFS</v>
          </cell>
          <cell r="B3046" t="str">
            <v>Wayne Fueling Systems, LLC</v>
          </cell>
        </row>
        <row r="3047">
          <cell r="A3047" t="str">
            <v>WGN</v>
          </cell>
          <cell r="B3047" t="str">
            <v>WebGene, Inc.</v>
          </cell>
        </row>
        <row r="3048">
          <cell r="A3048" t="str">
            <v>WHC</v>
          </cell>
          <cell r="B3048" t="str">
            <v xml:space="preserve">White Label Designs, Inc. </v>
          </cell>
        </row>
        <row r="3049">
          <cell r="A3049" t="str">
            <v>WHE</v>
          </cell>
          <cell r="B3049" t="str">
            <v>Warehouse Express Ltd</v>
          </cell>
        </row>
        <row r="3050">
          <cell r="A3050" t="str">
            <v>WHI</v>
          </cell>
          <cell r="B3050" t="str">
            <v>Whirlpool Corporation</v>
          </cell>
        </row>
        <row r="3051">
          <cell r="A3051" t="str">
            <v>WHL</v>
          </cell>
          <cell r="B3051" t="str">
            <v>William Hill Organisation Ltd</v>
          </cell>
        </row>
        <row r="3052">
          <cell r="A3052" t="str">
            <v>WHO</v>
          </cell>
          <cell r="B3052" t="str">
            <v>Marquis Who's Who</v>
          </cell>
        </row>
        <row r="3053">
          <cell r="A3053" t="str">
            <v>WHP</v>
          </cell>
          <cell r="B3053" t="str">
            <v>WHP International SAS</v>
          </cell>
        </row>
        <row r="3054">
          <cell r="A3054" t="str">
            <v>WI1</v>
          </cell>
          <cell r="B3054" t="str">
            <v>Witron</v>
          </cell>
        </row>
        <row r="3055">
          <cell r="A3055" t="str">
            <v>WIE</v>
          </cell>
          <cell r="B3055" t="str">
            <v>Wiethe Group GmbH</v>
          </cell>
        </row>
        <row r="3056">
          <cell r="A3056" t="str">
            <v>WID</v>
          </cell>
          <cell r="B3056" t="str">
            <v>Widdcom Inc</v>
          </cell>
        </row>
        <row r="3057">
          <cell r="A3057" t="str">
            <v>WIK</v>
          </cell>
          <cell r="B3057" t="str">
            <v>Wikitude GmbH</v>
          </cell>
        </row>
        <row r="3058">
          <cell r="A3058" t="str">
            <v>WIL</v>
          </cell>
          <cell r="B3058" t="str">
            <v>WildPackets Inc</v>
          </cell>
        </row>
        <row r="3059">
          <cell r="A3059" t="str">
            <v>WIN</v>
          </cell>
          <cell r="B3059" t="str">
            <v>WinSoft Corporation</v>
          </cell>
        </row>
        <row r="3060">
          <cell r="A3060" t="str">
            <v>WIO</v>
          </cell>
          <cell r="B3060" t="str">
            <v>WIPO</v>
          </cell>
        </row>
        <row r="3061">
          <cell r="A3061" t="str">
            <v>WIS</v>
          </cell>
          <cell r="B3061" t="str">
            <v>Wistron Corporation</v>
          </cell>
        </row>
        <row r="3062">
          <cell r="A3062" t="str">
            <v>WIT</v>
          </cell>
          <cell r="B3062" t="str">
            <v>Witness Systems Inc</v>
          </cell>
        </row>
        <row r="3063">
          <cell r="A3063" t="str">
            <v>WKI</v>
          </cell>
          <cell r="B3063" t="str">
            <v>Wieden + Kennedy, Inc.</v>
          </cell>
        </row>
        <row r="3064">
          <cell r="A3064" t="str">
            <v>WLE</v>
          </cell>
          <cell r="B3064" t="str">
            <v>Working Links (Employment) Ltd.</v>
          </cell>
        </row>
        <row r="3065">
          <cell r="A3065" t="str">
            <v>WLG</v>
          </cell>
          <cell r="B3065" t="str">
            <v>Wells Landers Group, LLC</v>
          </cell>
        </row>
        <row r="3066">
          <cell r="A3066" t="str">
            <v>WLM</v>
          </cell>
          <cell r="B3066" t="str">
            <v>Wal-Mart Stores Inc.</v>
          </cell>
        </row>
        <row r="3067">
          <cell r="A3067" t="str">
            <v>WMD</v>
          </cell>
          <cell r="B3067" t="str">
            <v>WM-data AB</v>
          </cell>
        </row>
        <row r="3068">
          <cell r="A3068" t="str">
            <v>WME</v>
          </cell>
          <cell r="B3068" t="str">
            <v>WellMed Medical Management, Inc.</v>
          </cell>
        </row>
        <row r="3069">
          <cell r="A3069" t="str">
            <v>WOC</v>
          </cell>
          <cell r="B3069" t="str">
            <v>Wolf Oil Corporation NV</v>
          </cell>
        </row>
        <row r="3070">
          <cell r="A3070" t="str">
            <v>WOL</v>
          </cell>
          <cell r="B3070" t="str">
            <v>Wolters Kluwer N.V.</v>
          </cell>
        </row>
        <row r="3071">
          <cell r="A3071" t="str">
            <v>WOM</v>
          </cell>
          <cell r="B3071" t="str">
            <v>Wood Mackenzie</v>
          </cell>
        </row>
        <row r="3072">
          <cell r="A3072" t="str">
            <v>WOR</v>
          </cell>
          <cell r="B3072" t="str">
            <v>Workshare Technology</v>
          </cell>
        </row>
        <row r="3073">
          <cell r="A3073" t="str">
            <v>WOS</v>
          </cell>
          <cell r="B3073" t="str">
            <v>Worldspan LP</v>
          </cell>
        </row>
        <row r="3074">
          <cell r="A3074" t="str">
            <v>WPP</v>
          </cell>
          <cell r="B3074" t="str">
            <v>WPP plc</v>
          </cell>
        </row>
        <row r="3075">
          <cell r="A3075" t="str">
            <v>WPR</v>
          </cell>
          <cell r="B3075" t="str">
            <v>Wipro Limited</v>
          </cell>
        </row>
        <row r="3076">
          <cell r="A3076" t="str">
            <v>WRH</v>
          </cell>
          <cell r="B3076" t="str">
            <v>Warema Renkhoff Holding AG</v>
          </cell>
        </row>
        <row r="3077">
          <cell r="A3077" t="str">
            <v>WRR</v>
          </cell>
          <cell r="B3077" t="str">
            <v>White Rabbit Records Ltd</v>
          </cell>
        </row>
        <row r="3078">
          <cell r="A3078" t="str">
            <v>WRT</v>
          </cell>
          <cell r="B3078" t="str">
            <v>Wirtgen Group</v>
          </cell>
        </row>
        <row r="3079">
          <cell r="A3079" t="str">
            <v>WRX</v>
          </cell>
          <cell r="B3079" t="str">
            <v>Seligman Pharmacy Inc.</v>
          </cell>
        </row>
        <row r="3080">
          <cell r="A3080" t="str">
            <v>WSB</v>
          </cell>
          <cell r="B3080" t="str">
            <v>Wesleyan Bank Limited</v>
          </cell>
        </row>
        <row r="3081">
          <cell r="A3081" t="str">
            <v>WSC</v>
          </cell>
          <cell r="B3081" t="str">
            <v>Workstate Consulting</v>
          </cell>
        </row>
        <row r="3082">
          <cell r="A3082" t="str">
            <v>WSG</v>
          </cell>
          <cell r="B3082" t="str">
            <v>Warmteservice Groep B.V.</v>
          </cell>
        </row>
        <row r="3083">
          <cell r="A3083" t="str">
            <v>WSH</v>
          </cell>
          <cell r="B3083" t="str">
            <v>The Interpublic Group of Companies, Inc.</v>
          </cell>
        </row>
        <row r="3084">
          <cell r="A3084" t="str">
            <v>WSJ</v>
          </cell>
          <cell r="B3084" t="str">
            <v>WestJet Airlines Ltd.</v>
          </cell>
        </row>
        <row r="3085">
          <cell r="A3085" t="str">
            <v>WSK</v>
          </cell>
          <cell r="B3085" t="str">
            <v>10 WSK z Polikliniką</v>
          </cell>
        </row>
        <row r="3086">
          <cell r="A3086" t="str">
            <v>WSL</v>
          </cell>
          <cell r="B3086" t="str">
            <v>Worldstores Ltd.</v>
          </cell>
        </row>
        <row r="3087">
          <cell r="A3087" t="str">
            <v>WSM</v>
          </cell>
          <cell r="B3087" t="str">
            <v>WiseStep (m) SDN BHD</v>
          </cell>
        </row>
        <row r="3088">
          <cell r="A3088" t="str">
            <v>WSN</v>
          </cell>
          <cell r="B3088" t="str">
            <v>Wilson Learning Corporation</v>
          </cell>
        </row>
        <row r="3089">
          <cell r="A3089" t="str">
            <v>WSP</v>
          </cell>
          <cell r="B3089" t="str">
            <v>WSPA World Society for the Protection of Animals</v>
          </cell>
        </row>
        <row r="3090">
          <cell r="A3090" t="str">
            <v>WST</v>
          </cell>
          <cell r="B3090" t="str">
            <v>West Corporation</v>
          </cell>
        </row>
        <row r="3091">
          <cell r="A3091" t="str">
            <v>WSU</v>
          </cell>
          <cell r="B3091" t="str">
            <v xml:space="preserve">Wesleyan University </v>
          </cell>
        </row>
        <row r="3092">
          <cell r="A3092" t="str">
            <v>WSX</v>
          </cell>
          <cell r="B3092" t="str">
            <v>Wessex Translations Limited</v>
          </cell>
        </row>
        <row r="3093">
          <cell r="A3093" t="str">
            <v>WTB</v>
          </cell>
          <cell r="B3093" t="str">
            <v>WTB Group</v>
          </cell>
        </row>
        <row r="3094">
          <cell r="A3094" t="str">
            <v>WTC</v>
          </cell>
          <cell r="B3094" t="str">
            <v>Waters Technologies Corporation</v>
          </cell>
        </row>
        <row r="3095">
          <cell r="A3095" t="str">
            <v>WTG</v>
          </cell>
          <cell r="B3095" t="str">
            <v>WTG Technologies Ltd</v>
          </cell>
        </row>
        <row r="3096">
          <cell r="A3096" t="str">
            <v>WTO</v>
          </cell>
          <cell r="B3096" t="str">
            <v>World Trade Organization</v>
          </cell>
        </row>
        <row r="3097">
          <cell r="A3097" t="str">
            <v>WUR</v>
          </cell>
          <cell r="B3097" t="str">
            <v>Adolf Würth GmbH &amp; Co. KG</v>
          </cell>
        </row>
        <row r="3098">
          <cell r="A3098" t="str">
            <v>WWC</v>
          </cell>
          <cell r="B3098" t="str">
            <v>Wm. Wrigley Jr. Company</v>
          </cell>
        </row>
        <row r="3099">
          <cell r="A3099" t="str">
            <v>WWF</v>
          </cell>
          <cell r="B3099" t="str">
            <v>The Whitewave Foods Company</v>
          </cell>
        </row>
        <row r="3100">
          <cell r="A3100" t="str">
            <v>WWG</v>
          </cell>
          <cell r="B3100" t="str">
            <v>W.W. Grainger Inc</v>
          </cell>
        </row>
        <row r="3101">
          <cell r="A3101" t="str">
            <v>WWL</v>
          </cell>
          <cell r="B3101" t="str">
            <v>Woolworths Limited</v>
          </cell>
        </row>
        <row r="3102">
          <cell r="A3102" t="str">
            <v>WWR</v>
          </cell>
          <cell r="B3102" t="str">
            <v>TAG WORLDWIDE GROUP LIMITED</v>
          </cell>
        </row>
        <row r="3103">
          <cell r="A3103" t="str">
            <v>WYE</v>
          </cell>
          <cell r="B3103" t="str">
            <v>Wyeth</v>
          </cell>
        </row>
        <row r="3104">
          <cell r="A3104" t="str">
            <v>WYL</v>
          </cell>
          <cell r="B3104" t="str">
            <v>Wyle Laboratories, Inc.</v>
          </cell>
        </row>
        <row r="3105">
          <cell r="A3105" t="str">
            <v>WYN</v>
          </cell>
          <cell r="B3105" t="str">
            <v>Wyndham Worldwide Corporation</v>
          </cell>
        </row>
        <row r="3106">
          <cell r="A3106" t="str">
            <v>WZP</v>
          </cell>
          <cell r="B3106" t="str">
            <v>Winzip Computing, Inc.</v>
          </cell>
        </row>
        <row r="3107">
          <cell r="A3107" t="str">
            <v>XAN</v>
          </cell>
          <cell r="B3107" t="str">
            <v>Xandros</v>
          </cell>
        </row>
        <row r="3108">
          <cell r="A3108" t="str">
            <v>XAR</v>
          </cell>
          <cell r="B3108" t="str">
            <v>Xara Ltd</v>
          </cell>
        </row>
        <row r="3109">
          <cell r="A3109" t="str">
            <v>XEB</v>
          </cell>
          <cell r="B3109" t="str">
            <v>Xebec KK</v>
          </cell>
        </row>
        <row r="3110">
          <cell r="A3110" t="str">
            <v>XER</v>
          </cell>
          <cell r="B3110" t="str">
            <v>Xerox Corporation</v>
          </cell>
        </row>
        <row r="3111">
          <cell r="A3111" t="str">
            <v>XFO</v>
          </cell>
          <cell r="B3111" t="str">
            <v>EXFO Electro-Optical Engineering Inc.</v>
          </cell>
        </row>
        <row r="3112">
          <cell r="A3112" t="str">
            <v>XGS</v>
          </cell>
          <cell r="B3112" t="str">
            <v>Xinjiang Goldwind Science &amp; Technology Co., Ltd.</v>
          </cell>
        </row>
        <row r="3113">
          <cell r="A3113" t="str">
            <v>XIL</v>
          </cell>
          <cell r="B3113" t="str">
            <v>Xilinx Inc.</v>
          </cell>
        </row>
        <row r="3114">
          <cell r="A3114" t="str">
            <v>XP2</v>
          </cell>
          <cell r="B3114" t="str">
            <v>XP2</v>
          </cell>
        </row>
        <row r="3115">
          <cell r="A3115" t="str">
            <v>XPD</v>
          </cell>
          <cell r="B3115" t="str">
            <v>Xpand Corporation</v>
          </cell>
        </row>
        <row r="3116">
          <cell r="A3116" t="str">
            <v>XSB</v>
          </cell>
          <cell r="B3116" t="str">
            <v>XSB, Inc.</v>
          </cell>
        </row>
        <row r="3117">
          <cell r="A3117" t="str">
            <v>XST</v>
          </cell>
          <cell r="B3117" t="str">
            <v>Xstrata plc</v>
          </cell>
        </row>
        <row r="3118">
          <cell r="A3118" t="str">
            <v>XTR</v>
          </cell>
          <cell r="B3118" t="str">
            <v>Xtract nv</v>
          </cell>
        </row>
        <row r="3119">
          <cell r="A3119" t="str">
            <v>XXL</v>
          </cell>
          <cell r="B3119" t="str">
            <v>XXXLUTZ K.G.</v>
          </cell>
        </row>
        <row r="3120">
          <cell r="A3120" t="str">
            <v>XXX</v>
          </cell>
          <cell r="B3120" t="str">
            <v>Test Company - DO NOT USE</v>
          </cell>
        </row>
        <row r="3121">
          <cell r="A3121" t="str">
            <v>XYL</v>
          </cell>
          <cell r="B3121" t="str">
            <v>Xylem Inc</v>
          </cell>
        </row>
        <row r="3122">
          <cell r="A3122" t="str">
            <v>XYN</v>
          </cell>
          <cell r="B3122" t="str">
            <v>Xyntéo AS</v>
          </cell>
        </row>
        <row r="3123">
          <cell r="A3123" t="str">
            <v>YAC</v>
          </cell>
          <cell r="B3123" t="str">
            <v xml:space="preserve">Yamaha Corporation </v>
          </cell>
        </row>
        <row r="3124">
          <cell r="A3124" t="str">
            <v>YAH</v>
          </cell>
          <cell r="B3124" t="str">
            <v>Yahoo! Inc</v>
          </cell>
        </row>
        <row r="3125">
          <cell r="A3125" t="str">
            <v>YAM</v>
          </cell>
          <cell r="B3125" t="str">
            <v>Yamanouchi Pharmaceutical Co. Ltd</v>
          </cell>
        </row>
        <row r="3126">
          <cell r="A3126" t="str">
            <v>YAR</v>
          </cell>
          <cell r="B3126" t="str">
            <v>Yara International ASA</v>
          </cell>
        </row>
        <row r="3127">
          <cell r="A3127" t="str">
            <v>YAU</v>
          </cell>
          <cell r="B3127" t="str">
            <v>Yale University</v>
          </cell>
        </row>
        <row r="3128">
          <cell r="A3128" t="str">
            <v>YBS</v>
          </cell>
          <cell r="B3128" t="str">
            <v>Yorkshire Building Society</v>
          </cell>
        </row>
        <row r="3129">
          <cell r="A3129" t="str">
            <v>YCL</v>
          </cell>
          <cell r="B3129" t="str">
            <v>Yanmar Co., Ltd</v>
          </cell>
        </row>
        <row r="3130">
          <cell r="A3130" t="str">
            <v>YCO</v>
          </cell>
          <cell r="B3130" t="str">
            <v>Yamagata Printing Group</v>
          </cell>
        </row>
        <row r="3131">
          <cell r="A3131" t="str">
            <v>YES</v>
          </cell>
          <cell r="B3131" t="str">
            <v>E-Yes n.v.</v>
          </cell>
        </row>
        <row r="3132">
          <cell r="A3132" t="str">
            <v>YHA</v>
          </cell>
          <cell r="B3132" t="str">
            <v>Yha (England &amp; Wales) Ltd</v>
          </cell>
        </row>
        <row r="3133">
          <cell r="A3133" t="str">
            <v>YKG</v>
          </cell>
          <cell r="B3133" t="str">
            <v>Yokogawa Electric Corporation</v>
          </cell>
        </row>
        <row r="3134">
          <cell r="A3134" t="str">
            <v>YLT</v>
          </cell>
          <cell r="B3134" t="str">
            <v xml:space="preserve">Yulong Computer Telecommunication Scientific (Shenzhen) Co., Ltd. </v>
          </cell>
        </row>
        <row r="3135">
          <cell r="A3135" t="str">
            <v>YME</v>
          </cell>
          <cell r="B3135" t="str">
            <v>Yamaha Motor Europe N.V.</v>
          </cell>
        </row>
        <row r="3136">
          <cell r="A3136" t="str">
            <v>YMM</v>
          </cell>
          <cell r="B3136" t="str">
            <v>Yamazaki Mazak Corporation</v>
          </cell>
        </row>
        <row r="3137">
          <cell r="A3137" t="str">
            <v>YMT</v>
          </cell>
          <cell r="B3137" t="str">
            <v>Yamatake Corporation</v>
          </cell>
        </row>
        <row r="3138">
          <cell r="A3138" t="str">
            <v>YOE</v>
          </cell>
          <cell r="B3138" t="str">
            <v>YOUTH ENGINEERING CO.,LTD.</v>
          </cell>
        </row>
        <row r="3139">
          <cell r="A3139" t="str">
            <v>YOO</v>
          </cell>
          <cell r="B3139" t="str">
            <v>YOOX Group S.p.A</v>
          </cell>
        </row>
        <row r="3140">
          <cell r="A3140" t="str">
            <v>YPG</v>
          </cell>
          <cell r="B3140" t="str">
            <v>Yellow Pages Digital and Media Solutions Limited</v>
          </cell>
        </row>
        <row r="3141">
          <cell r="A3141" t="str">
            <v>YRK</v>
          </cell>
          <cell r="B3141" t="str">
            <v>York University</v>
          </cell>
        </row>
        <row r="3142">
          <cell r="A3142" t="str">
            <v>YRN</v>
          </cell>
          <cell r="B3142" t="str">
            <v>Yarden Holding B.V.</v>
          </cell>
        </row>
        <row r="3143">
          <cell r="A3143" t="str">
            <v>YUM</v>
          </cell>
          <cell r="B3143" t="str">
            <v>YUM! Brands, Inc.</v>
          </cell>
        </row>
        <row r="3144">
          <cell r="A3144" t="str">
            <v>YVE</v>
          </cell>
          <cell r="B3144" t="str">
            <v>Laboratoire de Biologie Végétale Yves Rocher SA</v>
          </cell>
        </row>
        <row r="3145">
          <cell r="A3145" t="str">
            <v>YYI</v>
          </cell>
          <cell r="B3145" t="str">
            <v>YY Inc.</v>
          </cell>
        </row>
        <row r="3146">
          <cell r="A3146" t="str">
            <v>ZAS</v>
          </cell>
          <cell r="B3146" t="str">
            <v>Zalando SE</v>
          </cell>
        </row>
        <row r="3147">
          <cell r="A3147" t="str">
            <v>ZAT</v>
          </cell>
          <cell r="B3147" t="str">
            <v>ZAT Automobiletechnik GmbH</v>
          </cell>
        </row>
        <row r="3148">
          <cell r="A3148" t="str">
            <v>ZAZ</v>
          </cell>
          <cell r="B3148" t="str">
            <v>ZAAZ, Inc.</v>
          </cell>
        </row>
        <row r="3149">
          <cell r="A3149" t="str">
            <v>ZEI</v>
          </cell>
          <cell r="B3149" t="str">
            <v>Carl Zeiss International</v>
          </cell>
        </row>
        <row r="3150">
          <cell r="A3150" t="str">
            <v>ZHG</v>
          </cell>
          <cell r="B3150" t="str">
            <v>Guangdong Chigo Air Conditioning Co., Ltd.</v>
          </cell>
        </row>
        <row r="3151">
          <cell r="A3151" t="str">
            <v>ZHN</v>
          </cell>
          <cell r="B3151" t="str">
            <v>PRONEXUS Inc.</v>
          </cell>
        </row>
        <row r="3152">
          <cell r="A3152" t="str">
            <v>ZID</v>
          </cell>
          <cell r="B3152" t="str">
            <v>Ziff Davis Holdings Inc</v>
          </cell>
        </row>
        <row r="3153">
          <cell r="A3153" t="str">
            <v>ZIG</v>
          </cell>
          <cell r="B3153" t="str">
            <v>Ziggo BV</v>
          </cell>
        </row>
        <row r="3154">
          <cell r="A3154" t="str">
            <v>ZIH</v>
          </cell>
          <cell r="B3154" t="str">
            <v>Zebra Technologies Corporation</v>
          </cell>
        </row>
        <row r="3155">
          <cell r="A3155" t="str">
            <v>ZIP</v>
          </cell>
          <cell r="B3155" t="str">
            <v>Zurich Insurance Group AG</v>
          </cell>
        </row>
        <row r="3156">
          <cell r="A3156" t="str">
            <v>ZLN</v>
          </cell>
          <cell r="B3156" t="str">
            <v xml:space="preserve">Zoomlion Heavy Industry Science &amp; Technology Development Co., Ltd </v>
          </cell>
        </row>
        <row r="3157">
          <cell r="A3157" t="str">
            <v>ZML</v>
          </cell>
          <cell r="B3157" t="str">
            <v xml:space="preserve">Zoomlion Heavy Industry Science &amp; Technology Development Co., Ltd </v>
          </cell>
        </row>
        <row r="3158">
          <cell r="A3158" t="str">
            <v>ZOD</v>
          </cell>
          <cell r="B3158" t="str">
            <v>Zodee Pty Ltd</v>
          </cell>
        </row>
        <row r="3159">
          <cell r="A3159" t="str">
            <v>ZOR</v>
          </cell>
          <cell r="B3159" t="str">
            <v>Zorgverzekeraars Nederland</v>
          </cell>
        </row>
        <row r="3160">
          <cell r="A3160" t="str">
            <v>ZTE</v>
          </cell>
          <cell r="B3160" t="str">
            <v>ZTE Corporation</v>
          </cell>
        </row>
        <row r="3161">
          <cell r="A3161" t="str">
            <v>ZYB</v>
          </cell>
          <cell r="B3161" t="str">
            <v>MSC Information Retrieval Technologies B.V.</v>
          </cell>
        </row>
        <row r="3162">
          <cell r="A3162" t="str">
            <v>ZYN</v>
          </cell>
          <cell r="B3162" t="str">
            <v>Zynga, Inc.</v>
          </cell>
        </row>
        <row r="3163">
          <cell r="A3163" t="str">
            <v>ZYX</v>
          </cell>
          <cell r="B3163" t="str">
            <v>zynx</v>
          </cell>
        </row>
      </sheetData>
      <sheetData sheetId="11">
        <row r="9">
          <cell r="B9" t="str">
            <v>Wrong Term</v>
          </cell>
          <cell r="F9" t="str">
            <v>Wrong Term</v>
          </cell>
          <cell r="O9" t="str">
            <v>UnderstandableWrong Term</v>
          </cell>
          <cell r="P9">
            <v>2</v>
          </cell>
          <cell r="Q9">
            <v>5</v>
          </cell>
          <cell r="R9">
            <v>25</v>
          </cell>
        </row>
        <row r="10">
          <cell r="B10" t="str">
            <v>Wrong Meaning</v>
          </cell>
          <cell r="F10" t="str">
            <v>Wrong Meaning</v>
          </cell>
          <cell r="O10" t="str">
            <v>UnderstandableWrong Meaning</v>
          </cell>
          <cell r="P10">
            <v>2</v>
          </cell>
          <cell r="Q10">
            <v>4</v>
          </cell>
          <cell r="R10">
            <v>25</v>
          </cell>
        </row>
        <row r="11">
          <cell r="B11" t="str">
            <v>Omission</v>
          </cell>
          <cell r="F11" t="str">
            <v>Omission</v>
          </cell>
          <cell r="O11" t="str">
            <v>UnderstandableOmission</v>
          </cell>
          <cell r="P11">
            <v>2</v>
          </cell>
          <cell r="Q11">
            <v>4</v>
          </cell>
          <cell r="R11">
            <v>25</v>
          </cell>
        </row>
        <row r="12">
          <cell r="B12" t="str">
            <v>Structural Error</v>
          </cell>
          <cell r="F12" t="str">
            <v>Structural Error</v>
          </cell>
          <cell r="O12" t="str">
            <v>UnderstandableStructural Error</v>
          </cell>
          <cell r="P12">
            <v>1</v>
          </cell>
          <cell r="Q12">
            <v>2</v>
          </cell>
          <cell r="R12">
            <v>25</v>
          </cell>
        </row>
        <row r="13">
          <cell r="B13" t="str">
            <v>Misspelling</v>
          </cell>
          <cell r="F13" t="str">
            <v>Misspelling</v>
          </cell>
          <cell r="O13" t="str">
            <v>UnderstandableMisspelling</v>
          </cell>
          <cell r="P13">
            <v>1</v>
          </cell>
          <cell r="Q13">
            <v>2</v>
          </cell>
          <cell r="R13">
            <v>25</v>
          </cell>
        </row>
        <row r="14">
          <cell r="B14" t="str">
            <v>Punctuation</v>
          </cell>
          <cell r="F14" t="str">
            <v>Punctuation</v>
          </cell>
          <cell r="O14" t="str">
            <v>UnderstandablePunctuation</v>
          </cell>
          <cell r="P14">
            <v>0.5</v>
          </cell>
          <cell r="Q14">
            <v>1</v>
          </cell>
          <cell r="R14">
            <v>25</v>
          </cell>
        </row>
        <row r="15">
          <cell r="B15" t="str">
            <v>Style</v>
          </cell>
          <cell r="F15" t="str">
            <v>Legacy Data Error</v>
          </cell>
          <cell r="O15" t="str">
            <v>UnderstandableStyle</v>
          </cell>
          <cell r="P15">
            <v>0</v>
          </cell>
          <cell r="Q15">
            <v>0</v>
          </cell>
          <cell r="R15">
            <v>25</v>
          </cell>
        </row>
        <row r="16">
          <cell r="B16" t="str">
            <v>Miscellaneous</v>
          </cell>
          <cell r="F16" t="str">
            <v>Source Text Error</v>
          </cell>
          <cell r="O16" t="str">
            <v>UnderstandableMiscellaneous</v>
          </cell>
          <cell r="P16">
            <v>0</v>
          </cell>
          <cell r="Q16">
            <v>0</v>
          </cell>
          <cell r="R16">
            <v>25</v>
          </cell>
        </row>
        <row r="17">
          <cell r="B17" t="str">
            <v>Legacy Data Error</v>
          </cell>
          <cell r="F17" t="str">
            <v>Formatting / non-linguistic</v>
          </cell>
          <cell r="O17" t="str">
            <v>PublishableWrong Term</v>
          </cell>
          <cell r="P17">
            <v>2</v>
          </cell>
          <cell r="Q17">
            <v>5</v>
          </cell>
          <cell r="R17">
            <v>25</v>
          </cell>
        </row>
        <row r="18">
          <cell r="B18" t="str">
            <v>Source Text Error</v>
          </cell>
          <cell r="O18" t="str">
            <v>PublishableWrong Meaning</v>
          </cell>
          <cell r="P18">
            <v>2</v>
          </cell>
          <cell r="Q18">
            <v>5</v>
          </cell>
          <cell r="R18">
            <v>25</v>
          </cell>
        </row>
        <row r="19">
          <cell r="B19" t="str">
            <v>Formatting / non-linguistic</v>
          </cell>
          <cell r="O19" t="str">
            <v>PublishableOmission</v>
          </cell>
          <cell r="P19">
            <v>2</v>
          </cell>
          <cell r="Q19">
            <v>4</v>
          </cell>
          <cell r="R19">
            <v>25</v>
          </cell>
        </row>
        <row r="20">
          <cell r="O20" t="str">
            <v>PublishableStructural Error</v>
          </cell>
          <cell r="P20">
            <v>2</v>
          </cell>
          <cell r="Q20">
            <v>4</v>
          </cell>
          <cell r="R20">
            <v>25</v>
          </cell>
        </row>
        <row r="21">
          <cell r="O21" t="str">
            <v>PublishableMisspelling</v>
          </cell>
          <cell r="P21">
            <v>1</v>
          </cell>
          <cell r="Q21">
            <v>3</v>
          </cell>
          <cell r="R21">
            <v>25</v>
          </cell>
        </row>
        <row r="22">
          <cell r="O22" t="str">
            <v>PublishablePunctuation</v>
          </cell>
          <cell r="P22">
            <v>1</v>
          </cell>
          <cell r="Q22">
            <v>2</v>
          </cell>
          <cell r="R22">
            <v>25</v>
          </cell>
        </row>
        <row r="23">
          <cell r="O23" t="str">
            <v>PublishableStyle</v>
          </cell>
          <cell r="P23">
            <v>1</v>
          </cell>
          <cell r="Q23">
            <v>2</v>
          </cell>
          <cell r="R23">
            <v>25</v>
          </cell>
        </row>
        <row r="24">
          <cell r="O24" t="str">
            <v>PublishableMiscellaneous</v>
          </cell>
          <cell r="P24">
            <v>1</v>
          </cell>
          <cell r="Q24">
            <v>3</v>
          </cell>
          <cell r="R24">
            <v>25</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4.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A89F"/>
    <pageSetUpPr fitToPage="1"/>
  </sheetPr>
  <dimension ref="B1:Y48"/>
  <sheetViews>
    <sheetView showGridLines="0" showRowColHeaders="0" tabSelected="1" zoomScaleNormal="100" workbookViewId="0">
      <selection activeCell="M7" sqref="M7:R7"/>
    </sheetView>
  </sheetViews>
  <sheetFormatPr defaultColWidth="9.140625" defaultRowHeight="14.25"/>
  <cols>
    <col min="1" max="1" width="2.7109375" style="1" customWidth="1"/>
    <col min="2" max="2" width="19.7109375" style="1" customWidth="1"/>
    <col min="3" max="14" width="5" style="1" customWidth="1"/>
    <col min="15" max="16" width="5" style="1" hidden="1" customWidth="1"/>
    <col min="17" max="18" width="9.28515625" style="1" customWidth="1"/>
    <col min="19" max="19" width="6.28515625" style="1" customWidth="1"/>
    <col min="20" max="21" width="9.140625" style="1"/>
    <col min="22" max="22" width="18" style="1" customWidth="1"/>
    <col min="23" max="16384" width="9.140625" style="1"/>
  </cols>
  <sheetData>
    <row r="1" spans="2:22" ht="9.9499999999999993" customHeight="1" thickBot="1"/>
    <row r="2" spans="2:22" ht="30" customHeight="1" thickTop="1" thickBot="1">
      <c r="B2" s="291" t="s">
        <v>2632</v>
      </c>
      <c r="C2" s="292"/>
      <c r="D2" s="292"/>
      <c r="E2" s="292"/>
      <c r="F2" s="292"/>
      <c r="G2" s="292"/>
      <c r="H2" s="292"/>
      <c r="I2" s="292"/>
      <c r="J2" s="292"/>
      <c r="K2" s="292"/>
      <c r="L2" s="292"/>
      <c r="M2" s="292"/>
      <c r="N2" s="292"/>
      <c r="O2" s="292"/>
      <c r="P2" s="292"/>
      <c r="Q2" s="292"/>
      <c r="R2" s="293"/>
      <c r="T2" s="27"/>
    </row>
    <row r="3" spans="2:22" s="39" customFormat="1" ht="20.25" customHeight="1" thickTop="1" thickBot="1">
      <c r="B3" s="294" t="s">
        <v>3396</v>
      </c>
      <c r="C3" s="295"/>
      <c r="D3" s="295"/>
      <c r="E3" s="295"/>
      <c r="F3" s="295"/>
      <c r="G3" s="295"/>
      <c r="H3" s="295"/>
      <c r="I3" s="295"/>
      <c r="J3" s="296"/>
      <c r="K3" s="296"/>
      <c r="L3" s="296"/>
      <c r="M3" s="296"/>
      <c r="N3" s="296"/>
      <c r="O3" s="296"/>
      <c r="P3" s="296"/>
      <c r="Q3" s="296"/>
      <c r="R3" s="297"/>
      <c r="V3" s="111"/>
    </row>
    <row r="4" spans="2:22" ht="15" customHeight="1" thickTop="1">
      <c r="B4" s="105" t="s">
        <v>2402</v>
      </c>
      <c r="C4" s="298" t="s">
        <v>2677</v>
      </c>
      <c r="D4" s="298"/>
      <c r="E4" s="298"/>
      <c r="F4" s="298"/>
      <c r="G4" s="298"/>
      <c r="H4" s="299"/>
      <c r="I4" s="365" t="s">
        <v>2642</v>
      </c>
      <c r="J4" s="366"/>
      <c r="K4" s="366"/>
      <c r="L4" s="367"/>
      <c r="M4" s="361"/>
      <c r="N4" s="361"/>
      <c r="O4" s="361"/>
      <c r="P4" s="361"/>
      <c r="Q4" s="361"/>
      <c r="R4" s="362"/>
      <c r="T4" s="344" t="s">
        <v>549</v>
      </c>
      <c r="U4" s="345"/>
      <c r="V4" s="348" t="s">
        <v>572</v>
      </c>
    </row>
    <row r="5" spans="2:22" ht="15" customHeight="1" thickBot="1">
      <c r="B5" s="106" t="s">
        <v>0</v>
      </c>
      <c r="C5" s="368" t="str">
        <f>IFERROR(VLOOKUP(LEFT($C4,3),clients,2,FALSE),"Do Not Fill Manually")</f>
        <v>Do Not Fill Manually</v>
      </c>
      <c r="D5" s="368"/>
      <c r="E5" s="368"/>
      <c r="F5" s="368"/>
      <c r="G5" s="368"/>
      <c r="H5" s="369"/>
      <c r="I5" s="155" t="s">
        <v>6</v>
      </c>
      <c r="J5" s="156"/>
      <c r="K5" s="156"/>
      <c r="L5" s="157"/>
      <c r="M5" s="430"/>
      <c r="N5" s="430"/>
      <c r="O5" s="430"/>
      <c r="P5" s="430"/>
      <c r="Q5" s="430"/>
      <c r="R5" s="431"/>
      <c r="T5" s="346"/>
      <c r="U5" s="347"/>
      <c r="V5" s="349"/>
    </row>
    <row r="6" spans="2:22" ht="15" customHeight="1" thickTop="1">
      <c r="B6" s="106" t="s">
        <v>783</v>
      </c>
      <c r="C6" s="370"/>
      <c r="D6" s="370"/>
      <c r="E6" s="370"/>
      <c r="F6" s="370"/>
      <c r="G6" s="370"/>
      <c r="H6" s="371"/>
      <c r="I6" s="155" t="s">
        <v>8</v>
      </c>
      <c r="J6" s="156"/>
      <c r="K6" s="156"/>
      <c r="L6" s="157"/>
      <c r="M6" s="430"/>
      <c r="N6" s="430"/>
      <c r="O6" s="430"/>
      <c r="P6" s="430"/>
      <c r="Q6" s="430"/>
      <c r="R6" s="431"/>
    </row>
    <row r="7" spans="2:22" ht="15" customHeight="1">
      <c r="B7" s="107" t="s">
        <v>2636</v>
      </c>
      <c r="C7" s="379"/>
      <c r="D7" s="379"/>
      <c r="E7" s="379"/>
      <c r="F7" s="379"/>
      <c r="G7" s="379"/>
      <c r="H7" s="380"/>
      <c r="I7" s="158" t="s">
        <v>7</v>
      </c>
      <c r="J7" s="153"/>
      <c r="K7" s="153"/>
      <c r="L7" s="154"/>
      <c r="M7" s="430"/>
      <c r="N7" s="430"/>
      <c r="O7" s="430"/>
      <c r="P7" s="430"/>
      <c r="Q7" s="430"/>
      <c r="R7" s="431"/>
    </row>
    <row r="8" spans="2:22" ht="15" customHeight="1">
      <c r="B8" s="106" t="s">
        <v>2</v>
      </c>
      <c r="C8" s="379"/>
      <c r="D8" s="379"/>
      <c r="E8" s="379"/>
      <c r="F8" s="379"/>
      <c r="G8" s="379"/>
      <c r="H8" s="380"/>
      <c r="I8" s="158" t="s">
        <v>2637</v>
      </c>
      <c r="J8" s="153"/>
      <c r="K8" s="153"/>
      <c r="L8" s="154"/>
      <c r="M8" s="430"/>
      <c r="N8" s="430"/>
      <c r="O8" s="430"/>
      <c r="P8" s="430"/>
      <c r="Q8" s="430"/>
      <c r="R8" s="431"/>
    </row>
    <row r="9" spans="2:22" ht="15" customHeight="1">
      <c r="B9" s="108" t="s">
        <v>573</v>
      </c>
      <c r="C9" s="379"/>
      <c r="D9" s="379"/>
      <c r="E9" s="379"/>
      <c r="F9" s="379"/>
      <c r="G9" s="379"/>
      <c r="H9" s="380"/>
      <c r="I9" s="158" t="s">
        <v>576</v>
      </c>
      <c r="J9" s="153"/>
      <c r="K9" s="153"/>
      <c r="L9" s="154"/>
      <c r="M9" s="449" t="s">
        <v>3397</v>
      </c>
      <c r="N9" s="449"/>
      <c r="O9" s="449"/>
      <c r="P9" s="449"/>
      <c r="Q9" s="449"/>
      <c r="R9" s="450"/>
    </row>
    <row r="10" spans="2:22" ht="15" customHeight="1">
      <c r="B10" s="109" t="s">
        <v>1</v>
      </c>
      <c r="C10" s="378"/>
      <c r="D10" s="368"/>
      <c r="E10" s="368"/>
      <c r="F10" s="368"/>
      <c r="G10" s="368"/>
      <c r="H10" s="369"/>
      <c r="I10" s="381" t="s">
        <v>2638</v>
      </c>
      <c r="J10" s="381"/>
      <c r="K10" s="381"/>
      <c r="L10" s="382"/>
      <c r="M10" s="384"/>
      <c r="N10" s="384"/>
      <c r="O10" s="384"/>
      <c r="P10" s="384"/>
      <c r="Q10" s="384"/>
      <c r="R10" s="385"/>
      <c r="S10" s="183" t="str">
        <f>IF(M10="","Please enter source text word count of the evaluated sample","")</f>
        <v>Please enter source text word count of the evaluated sample</v>
      </c>
    </row>
    <row r="11" spans="2:22" ht="17.100000000000001" customHeight="1" thickBot="1">
      <c r="B11" s="106" t="s">
        <v>14</v>
      </c>
      <c r="C11" s="375"/>
      <c r="D11" s="376"/>
      <c r="E11" s="376"/>
      <c r="F11" s="376"/>
      <c r="G11" s="376"/>
      <c r="H11" s="377"/>
      <c r="I11" s="383"/>
      <c r="J11" s="381"/>
      <c r="K11" s="381"/>
      <c r="L11" s="382"/>
      <c r="M11" s="384"/>
      <c r="N11" s="384"/>
      <c r="O11" s="384"/>
      <c r="P11" s="384"/>
      <c r="Q11" s="384"/>
      <c r="R11" s="385"/>
    </row>
    <row r="12" spans="2:22" ht="17.100000000000001" customHeight="1" thickTop="1" thickBot="1">
      <c r="B12" s="112" t="s">
        <v>13</v>
      </c>
      <c r="C12" s="372"/>
      <c r="D12" s="373"/>
      <c r="E12" s="373"/>
      <c r="F12" s="373"/>
      <c r="G12" s="373"/>
      <c r="H12" s="374"/>
      <c r="I12" s="363" t="s">
        <v>2639</v>
      </c>
      <c r="J12" s="363"/>
      <c r="K12" s="363"/>
      <c r="L12" s="364"/>
      <c r="M12" s="386" t="s">
        <v>2443</v>
      </c>
      <c r="N12" s="387"/>
      <c r="O12" s="387"/>
      <c r="P12" s="387"/>
      <c r="Q12" s="387"/>
      <c r="R12" s="388"/>
      <c r="S12" s="212"/>
    </row>
    <row r="13" spans="2:22" ht="15" customHeight="1" thickTop="1" thickBot="1">
      <c r="B13" s="92"/>
      <c r="C13" s="92"/>
      <c r="D13" s="92"/>
      <c r="E13" s="92"/>
      <c r="F13" s="92"/>
      <c r="G13" s="92"/>
      <c r="H13" s="92"/>
      <c r="I13" s="2"/>
      <c r="J13" s="2"/>
      <c r="O13" s="169"/>
    </row>
    <row r="14" spans="2:22" ht="39.950000000000003" customHeight="1" thickTop="1" thickBot="1">
      <c r="B14" s="117" t="s">
        <v>33</v>
      </c>
      <c r="C14" s="358" t="s">
        <v>2444</v>
      </c>
      <c r="D14" s="335"/>
      <c r="E14" s="334" t="s">
        <v>32</v>
      </c>
      <c r="F14" s="335"/>
      <c r="G14" s="334" t="s">
        <v>34</v>
      </c>
      <c r="H14" s="335"/>
      <c r="I14" s="334" t="s">
        <v>2404</v>
      </c>
      <c r="J14" s="335"/>
      <c r="K14" s="334" t="s">
        <v>34</v>
      </c>
      <c r="L14" s="335"/>
      <c r="M14" s="334" t="s">
        <v>579</v>
      </c>
      <c r="N14" s="335"/>
      <c r="O14" s="334" t="s">
        <v>34</v>
      </c>
      <c r="P14" s="358"/>
      <c r="Q14" s="336" t="s">
        <v>2460</v>
      </c>
      <c r="R14" s="337"/>
    </row>
    <row r="15" spans="2:22" ht="15" customHeight="1" thickTop="1">
      <c r="B15" s="175" t="str">
        <f>Setup!J2</f>
        <v>Terminology</v>
      </c>
      <c r="C15" s="441">
        <f>SUMPRODUCT(('Evaluation details_input'!$F$1:$F$1000=$B15)*('Evaluation details_input'!$H$1:$H$1000=$C$14))</f>
        <v>0</v>
      </c>
      <c r="D15" s="433"/>
      <c r="E15" s="353">
        <f>SUMPRODUCT(('Evaluation details_input'!$F$4:$F$1000=$B15)*('Evaluation details_input'!$H$4:$H$1000=$E$14))</f>
        <v>0</v>
      </c>
      <c r="F15" s="354"/>
      <c r="G15" s="441">
        <f>SUM(Setup!AX5:AX8)</f>
        <v>0</v>
      </c>
      <c r="H15" s="433"/>
      <c r="I15" s="353">
        <f>SUMPRODUCT(('Evaluation details_input'!$F$2:$F$1000=$B15)*('Evaluation details_input'!$H$2:$H$1000=$I$14))</f>
        <v>0</v>
      </c>
      <c r="J15" s="354"/>
      <c r="K15" s="432">
        <f>SUM(Setup!BB5:BB8)</f>
        <v>0</v>
      </c>
      <c r="L15" s="433"/>
      <c r="M15" s="353">
        <f>SUMPRODUCT(('Evaluation details_input'!$F$2:$F$1000=$B15)*('Evaluation details_input'!$H$2:$H$1000=$M$14))</f>
        <v>0</v>
      </c>
      <c r="N15" s="448"/>
      <c r="O15" s="437">
        <f>M15*100</f>
        <v>0</v>
      </c>
      <c r="P15" s="438"/>
      <c r="Q15" s="442">
        <f>G15+K15+O15</f>
        <v>0</v>
      </c>
      <c r="R15" s="443"/>
    </row>
    <row r="16" spans="2:22" ht="15" customHeight="1">
      <c r="B16" s="176" t="str">
        <f>Setup!K2</f>
        <v>Accuracy</v>
      </c>
      <c r="C16" s="310">
        <f>SUMPRODUCT(('Evaluation details_input'!$F$1:$F$1000=$B16)*('Evaluation details_input'!$H$1:$H$1000=$C$14))</f>
        <v>0</v>
      </c>
      <c r="D16" s="311"/>
      <c r="E16" s="339">
        <f>SUMPRODUCT(('Evaluation details_input'!$F$4:$F$1000=$B16)*('Evaluation details_input'!$H$4:$H$1000=$E$14))</f>
        <v>0</v>
      </c>
      <c r="F16" s="340"/>
      <c r="G16" s="310">
        <f>SUM(Setup!AX10:AX17)</f>
        <v>0</v>
      </c>
      <c r="H16" s="311"/>
      <c r="I16" s="339">
        <f>SUMPRODUCT(('Evaluation details_input'!$F$2:$F$1000=$B16)*('Evaluation details_input'!$H$2:$H$1000=$I$14))</f>
        <v>0</v>
      </c>
      <c r="J16" s="340"/>
      <c r="K16" s="356">
        <f>SUM(Setup!BB10:BB17)</f>
        <v>0</v>
      </c>
      <c r="L16" s="330"/>
      <c r="M16" s="339">
        <f>SUMPRODUCT(('Evaluation details_input'!$F$2:$F$1000=$B16)*('Evaluation details_input'!$H$2:$H$1000=$M$14))</f>
        <v>0</v>
      </c>
      <c r="N16" s="360"/>
      <c r="O16" s="434">
        <f>M16*100</f>
        <v>0</v>
      </c>
      <c r="P16" s="435"/>
      <c r="Q16" s="444">
        <f>G16+K16+O16</f>
        <v>0</v>
      </c>
      <c r="R16" s="445"/>
    </row>
    <row r="17" spans="2:19" ht="15" customHeight="1">
      <c r="B17" s="177" t="str">
        <f>Setup!L2</f>
        <v>Linguistic conventions</v>
      </c>
      <c r="C17" s="310">
        <f>SUMPRODUCT(('Evaluation details_input'!$F$1:$F$1000=$B17)*('Evaluation details_input'!$H$1:$H$1000=$C$14))</f>
        <v>0</v>
      </c>
      <c r="D17" s="311"/>
      <c r="E17" s="339">
        <f>SUMPRODUCT(('Evaluation details_input'!$F$4:$F$1000=$B17)*('Evaluation details_input'!$H$4:$H$1000=$E$14))</f>
        <v>0</v>
      </c>
      <c r="F17" s="340"/>
      <c r="G17" s="310">
        <f>SUM(Setup!AX19:AX24)</f>
        <v>0</v>
      </c>
      <c r="H17" s="311"/>
      <c r="I17" s="339">
        <f>SUMPRODUCT(('Evaluation details_input'!$F$2:$F$1000=$B17)*('Evaluation details_input'!$H$2:$H$1000=$I$14))</f>
        <v>0</v>
      </c>
      <c r="J17" s="340"/>
      <c r="K17" s="356">
        <f>SUM(Setup!BB19:BB24)</f>
        <v>0</v>
      </c>
      <c r="L17" s="330"/>
      <c r="M17" s="339">
        <f>SUMPRODUCT(('Evaluation details_input'!$F$2:$F$1000=$B17)*('Evaluation details_input'!$H$2:$H$1000=$M$14))</f>
        <v>0</v>
      </c>
      <c r="N17" s="360"/>
      <c r="O17" s="434">
        <f>M17*100</f>
        <v>0</v>
      </c>
      <c r="P17" s="435"/>
      <c r="Q17" s="446">
        <f>G17+K17+O17</f>
        <v>0</v>
      </c>
      <c r="R17" s="447"/>
    </row>
    <row r="18" spans="2:19" ht="15" customHeight="1">
      <c r="B18" s="177" t="str">
        <f>Setup!M2</f>
        <v>Style</v>
      </c>
      <c r="C18" s="310">
        <f>SUMPRODUCT(('Evaluation details_input'!$F$1:$F$1000=$B18)*('Evaluation details_input'!$H$1:$H$1000=$C$14))</f>
        <v>0</v>
      </c>
      <c r="D18" s="311"/>
      <c r="E18" s="331">
        <f>SUMPRODUCT(('Evaluation details_input'!$F$4:$F$1000=$B18)*('Evaluation details_input'!$H$4:$H$1000=$E$14))</f>
        <v>0</v>
      </c>
      <c r="F18" s="332"/>
      <c r="G18" s="310">
        <f>IF(Adequacy="Economy","Out of Scope",SUM(Setup!AX26:AX33))</f>
        <v>0</v>
      </c>
      <c r="H18" s="311"/>
      <c r="I18" s="331">
        <f>SUMPRODUCT(('Evaluation details_input'!$F$2:$F$1000=$B18)*('Evaluation details_input'!$H$2:$H$1000=$I$14))</f>
        <v>0</v>
      </c>
      <c r="J18" s="332"/>
      <c r="K18" s="355">
        <f>IF(Adequacy="Economy","Out of Scope",SUM(Setup!BB26:BB33))</f>
        <v>0</v>
      </c>
      <c r="L18" s="311"/>
      <c r="M18" s="331">
        <f>SUMPRODUCT(('Evaluation details_input'!$F$2:$F$1000=$B18)*('Evaluation details_input'!$H$2:$H$1000=$M$14))</f>
        <v>0</v>
      </c>
      <c r="N18" s="436"/>
      <c r="O18" s="325">
        <f>IF(Adequacy="Economy","Out of Scope",M18*100)</f>
        <v>0</v>
      </c>
      <c r="P18" s="326"/>
      <c r="Q18" s="444">
        <f>IF(Adequacy="Economy","Out of Scope",G18+K18+O18)</f>
        <v>0</v>
      </c>
      <c r="R18" s="445"/>
    </row>
    <row r="19" spans="2:19" ht="15" customHeight="1">
      <c r="B19" s="176" t="str">
        <f>Setup!N2</f>
        <v>Locale conventions</v>
      </c>
      <c r="C19" s="329">
        <f>SUMPRODUCT(('Evaluation details_input'!$F$1:$F$1000=$B19)*('Evaluation details_input'!$H$1:$H$1000=$C$14))</f>
        <v>0</v>
      </c>
      <c r="D19" s="330"/>
      <c r="E19" s="339">
        <f>SUMPRODUCT(('Evaluation details_input'!$F$4:$F$1000=$B19)*('Evaluation details_input'!$H$4:$H$1000=$E$14))</f>
        <v>0</v>
      </c>
      <c r="F19" s="340"/>
      <c r="G19" s="329">
        <f>SUM(Setup!AX35:AX43)</f>
        <v>0</v>
      </c>
      <c r="H19" s="330"/>
      <c r="I19" s="339">
        <f>SUMPRODUCT(('Evaluation details_input'!$F$2:$F$1000=$B19)*('Evaluation details_input'!$H$2:$H$1000=$I$14))</f>
        <v>0</v>
      </c>
      <c r="J19" s="340"/>
      <c r="K19" s="329">
        <f>SUM(Setup!BB35:BB43)</f>
        <v>0</v>
      </c>
      <c r="L19" s="330"/>
      <c r="M19" s="339">
        <f>SUMPRODUCT(('Evaluation details_input'!$F$2:$F$1000=$B19)*('Evaluation details_input'!$H$2:$H$1000=$M$14))</f>
        <v>0</v>
      </c>
      <c r="N19" s="360"/>
      <c r="O19" s="434">
        <f>M19*100</f>
        <v>0</v>
      </c>
      <c r="P19" s="435"/>
      <c r="Q19" s="444">
        <f>G19+K19+O19</f>
        <v>0</v>
      </c>
      <c r="R19" s="445"/>
      <c r="S19" s="110"/>
    </row>
    <row r="20" spans="2:19" ht="15" customHeight="1">
      <c r="B20" s="180" t="str">
        <f>Setup!O2</f>
        <v>Audience appropriateness</v>
      </c>
      <c r="C20" s="310">
        <f>SUMPRODUCT(('Evaluation details_input'!$F$1:$F$1000=$B20)*('Evaluation details_input'!$H$1:$H$1000=$C$14))</f>
        <v>0</v>
      </c>
      <c r="D20" s="311"/>
      <c r="E20" s="331">
        <f>SUMPRODUCT(('Evaluation details_input'!$F$4:$F$1000=$B20)*('Evaluation details_input'!$H$4:$H$1000=$E$14))</f>
        <v>0</v>
      </c>
      <c r="F20" s="332"/>
      <c r="G20" s="310">
        <f>IF(Adequacy="Economy","Out of Scope",SUM(Setup!AX45:AX46))</f>
        <v>0</v>
      </c>
      <c r="H20" s="311"/>
      <c r="I20" s="331">
        <f>SUMPRODUCT(('Evaluation details_input'!$F$2:$F$1000=$B20)*('Evaluation details_input'!$H$2:$H$1000=$I$14))</f>
        <v>0</v>
      </c>
      <c r="J20" s="332"/>
      <c r="K20" s="310">
        <f>IF(Adequacy="Economy","Out of Scope",SUM(Setup!BB45:BB46))</f>
        <v>0</v>
      </c>
      <c r="L20" s="311"/>
      <c r="M20" s="331">
        <f>SUMPRODUCT(('Evaluation details_input'!$F$2:$F$1000=$B20)*('Evaluation details_input'!$H$2:$H$1000=$M$14))</f>
        <v>0</v>
      </c>
      <c r="N20" s="436"/>
      <c r="O20" s="325">
        <f>IF(Adequacy="Economy","Out of Scope",M20*100)</f>
        <v>0</v>
      </c>
      <c r="P20" s="326"/>
      <c r="Q20" s="439">
        <f>IF(Adequacy="Economy","Out of Scope",G20+K20+O20)</f>
        <v>0</v>
      </c>
      <c r="R20" s="440"/>
    </row>
    <row r="21" spans="2:19" ht="15" customHeight="1">
      <c r="B21" s="178" t="str">
        <f>Setup!P2</f>
        <v>Design and markup</v>
      </c>
      <c r="C21" s="310">
        <f>SUMPRODUCT(('Evaluation details_input'!$F$1:$F$1000=$B21)*('Evaluation details_input'!$H$1:$H$1000=$C$14))</f>
        <v>0</v>
      </c>
      <c r="D21" s="311"/>
      <c r="E21" s="331">
        <f>SUMPRODUCT(('Evaluation details_input'!$F$4:$F$1000=$B21)*('Evaluation details_input'!$H$4:$H$1000=$E$14))</f>
        <v>0</v>
      </c>
      <c r="F21" s="332"/>
      <c r="G21" s="310">
        <f>IF(Adequacy="Economy","Out of Scope",SUM(Setup!AX48:AX54))</f>
        <v>0</v>
      </c>
      <c r="H21" s="311"/>
      <c r="I21" s="331">
        <f>SUMPRODUCT(('Evaluation details_input'!$F$2:$F$1000=$B21)*('Evaluation details_input'!$H$2:$H$1000=$I$14))</f>
        <v>0</v>
      </c>
      <c r="J21" s="332"/>
      <c r="K21" s="310">
        <f>IF(Adequacy="Economy","Out of Scope",SUM(Setup!BB48:BB54))</f>
        <v>0</v>
      </c>
      <c r="L21" s="311"/>
      <c r="M21" s="331">
        <f>SUMPRODUCT(('Evaluation details_input'!$F$2:$F$1000=$B21)*('Evaluation details_input'!$H$2:$H$1000=$M$14))</f>
        <v>0</v>
      </c>
      <c r="N21" s="436"/>
      <c r="O21" s="325">
        <f>IF(Adequacy="Economy","Out of Scope",M21*100)</f>
        <v>0</v>
      </c>
      <c r="P21" s="326"/>
      <c r="Q21" s="439">
        <f>IF(Adequacy="Economy","Out of Scope",G21+K21+O21)</f>
        <v>0</v>
      </c>
      <c r="R21" s="440"/>
    </row>
    <row r="22" spans="2:19" ht="15" customHeight="1" thickBot="1">
      <c r="B22" s="179" t="str">
        <f>Setup!Q2</f>
        <v>Other</v>
      </c>
      <c r="C22" s="318">
        <f>SUMPRODUCT(('Evaluation details_input'!$F$1:$F$1000=$B22)*('Evaluation details_input'!$H$1:$H$1000=$C$14))</f>
        <v>0</v>
      </c>
      <c r="D22" s="319"/>
      <c r="E22" s="327">
        <f>SUMPRODUCT(('Evaluation details_input'!$F$4:$F$1000=$B22)*('Evaluation details_input'!$H$4:$H$1000=$E$14))</f>
        <v>0</v>
      </c>
      <c r="F22" s="333"/>
      <c r="G22" s="318">
        <f>IF(Adequacy="Economy","Out of Scope",0)</f>
        <v>0</v>
      </c>
      <c r="H22" s="319"/>
      <c r="I22" s="327">
        <f>SUMPRODUCT(('Evaluation details_input'!$F$2:$F$1000=$B22)*('Evaluation details_input'!$H$2:$H$1000=$I$14))</f>
        <v>0</v>
      </c>
      <c r="J22" s="333"/>
      <c r="K22" s="318">
        <f>IF(Adequacy="Economy","Out of Scope",0)</f>
        <v>0</v>
      </c>
      <c r="L22" s="319"/>
      <c r="M22" s="327">
        <f>SUMPRODUCT(('Evaluation details_input'!$F$2:$F$1000=$B22)*('Evaluation details_input'!$H$2:$H$1000=$M$14))</f>
        <v>0</v>
      </c>
      <c r="N22" s="328"/>
      <c r="O22" s="416">
        <f>IF(Adequacy="Economy","Out of Scope",0)</f>
        <v>0</v>
      </c>
      <c r="P22" s="319"/>
      <c r="Q22" s="323">
        <f>IF(Adequacy="Economy","Out of Scope",G22+K22+O22)</f>
        <v>0</v>
      </c>
      <c r="R22" s="324"/>
    </row>
    <row r="23" spans="2:19" ht="15" customHeight="1" thickTop="1" thickBot="1">
      <c r="B23" s="22"/>
      <c r="C23" s="19"/>
      <c r="D23" s="20"/>
      <c r="E23" s="19"/>
      <c r="F23" s="19"/>
      <c r="G23" s="19"/>
      <c r="H23" s="19"/>
      <c r="I23" s="19"/>
      <c r="J23" s="19"/>
      <c r="K23" s="20"/>
      <c r="L23" s="20"/>
      <c r="M23" s="338">
        <f>SUM(M15:N22)</f>
        <v>0</v>
      </c>
      <c r="N23" s="338"/>
      <c r="O23" s="20"/>
      <c r="P23" s="20"/>
      <c r="Q23" s="20"/>
      <c r="R23" s="4"/>
    </row>
    <row r="24" spans="2:19" ht="15" customHeight="1" thickTop="1" thickBot="1">
      <c r="B24" s="22"/>
      <c r="C24" s="357" t="s">
        <v>2440</v>
      </c>
      <c r="D24" s="358"/>
      <c r="E24" s="358"/>
      <c r="F24" s="359"/>
      <c r="G24" s="104">
        <f>COUNTIF('Evaluation details_input'!$G$4:$G$1000,"Legacy Data")</f>
        <v>0</v>
      </c>
      <c r="H24" s="25"/>
      <c r="J24" s="357" t="s">
        <v>2441</v>
      </c>
      <c r="K24" s="358"/>
      <c r="L24" s="358"/>
      <c r="M24" s="359"/>
      <c r="N24" s="104">
        <f>COUNTIF('Evaluation details_input'!$G$4:$G$1000,"Source Text Data")</f>
        <v>0</v>
      </c>
      <c r="R24" s="4"/>
    </row>
    <row r="25" spans="2:19" ht="15" customHeight="1" thickTop="1" thickBot="1">
      <c r="B25" s="3"/>
      <c r="C25" s="409"/>
      <c r="D25" s="409"/>
      <c r="E25" s="4"/>
      <c r="F25" s="4"/>
      <c r="G25" s="400"/>
      <c r="H25" s="400"/>
      <c r="I25" s="4"/>
      <c r="J25" s="4"/>
      <c r="K25" s="11"/>
      <c r="L25" s="10"/>
      <c r="M25" s="10"/>
      <c r="N25" s="10"/>
      <c r="O25" s="10"/>
      <c r="P25" s="10"/>
      <c r="Q25" s="10"/>
      <c r="R25" s="6"/>
    </row>
    <row r="26" spans="2:19" ht="18" customHeight="1" thickTop="1">
      <c r="B26" s="320" t="s">
        <v>3</v>
      </c>
      <c r="C26" s="321"/>
      <c r="D26" s="321"/>
      <c r="E26" s="321"/>
      <c r="F26" s="321"/>
      <c r="G26" s="321"/>
      <c r="H26" s="321"/>
      <c r="I26" s="321"/>
      <c r="J26" s="321"/>
      <c r="K26" s="321"/>
      <c r="L26" s="321"/>
      <c r="M26" s="321"/>
      <c r="N26" s="321"/>
      <c r="O26" s="321"/>
      <c r="P26" s="321"/>
      <c r="Q26" s="321"/>
      <c r="R26" s="322"/>
      <c r="S26" s="45"/>
    </row>
    <row r="27" spans="2:19" ht="15" customHeight="1" thickBot="1">
      <c r="B27" s="93"/>
      <c r="C27" s="5"/>
      <c r="D27" s="5"/>
      <c r="E27" s="5"/>
      <c r="F27" s="5"/>
      <c r="G27" s="5"/>
      <c r="H27" s="5"/>
      <c r="I27" s="5"/>
      <c r="J27" s="2"/>
      <c r="K27" s="2"/>
      <c r="L27" s="2"/>
      <c r="M27" s="2"/>
      <c r="N27" s="2"/>
      <c r="O27" s="49"/>
      <c r="P27" s="49"/>
      <c r="Q27" s="2"/>
      <c r="R27" s="94"/>
      <c r="S27" s="46"/>
    </row>
    <row r="28" spans="2:19" ht="20.100000000000001" customHeight="1">
      <c r="B28" s="95"/>
      <c r="C28" s="300" t="s">
        <v>2442</v>
      </c>
      <c r="D28" s="301"/>
      <c r="E28" s="2"/>
      <c r="F28" s="312" t="s">
        <v>2439</v>
      </c>
      <c r="G28" s="313"/>
      <c r="H28" s="314"/>
      <c r="I28" s="2"/>
      <c r="J28" s="304" t="s">
        <v>587</v>
      </c>
      <c r="K28" s="305"/>
      <c r="L28" s="306"/>
      <c r="M28" s="341" t="s">
        <v>588</v>
      </c>
      <c r="N28" s="342"/>
      <c r="O28" s="342"/>
      <c r="P28" s="342"/>
      <c r="Q28" s="342"/>
      <c r="R28" s="343"/>
      <c r="S28" s="47"/>
    </row>
    <row r="29" spans="2:19" ht="20.100000000000001" customHeight="1">
      <c r="B29" s="96"/>
      <c r="C29" s="302"/>
      <c r="D29" s="303"/>
      <c r="E29" s="2"/>
      <c r="F29" s="315"/>
      <c r="G29" s="316"/>
      <c r="H29" s="317"/>
      <c r="I29" s="2"/>
      <c r="J29" s="307"/>
      <c r="K29" s="308"/>
      <c r="L29" s="309"/>
      <c r="M29" s="341"/>
      <c r="N29" s="342"/>
      <c r="O29" s="342"/>
      <c r="P29" s="342"/>
      <c r="Q29" s="342"/>
      <c r="R29" s="343"/>
      <c r="S29" s="18"/>
    </row>
    <row r="30" spans="2:19" ht="20.100000000000001" customHeight="1" thickBot="1">
      <c r="B30" s="97"/>
      <c r="C30" s="411">
        <f xml:space="preserve">
IF(Adequacy="Economy",ROUNDDOWN('Evaluation Report_Initial'!$M$10*(4/110),0),
IF(Adequacy="Value",ROUNDDOWN('Evaluation Report_Initial'!$M$10*(2/110),0),
ROUNDDOWN('Evaluation Report_Initial'!$M$10*(1/110),0)))</f>
        <v>0</v>
      </c>
      <c r="D30" s="412"/>
      <c r="E30" s="55"/>
      <c r="F30" s="413">
        <f>SUM(Q15:R22)</f>
        <v>0</v>
      </c>
      <c r="G30" s="414"/>
      <c r="H30" s="415"/>
      <c r="I30" s="55"/>
      <c r="J30" s="350" t="e">
        <f>1-(SUM(E15:F22,I15:J22,M15:N22)/M10)</f>
        <v>#DIV/0!</v>
      </c>
      <c r="K30" s="351"/>
      <c r="L30" s="352"/>
      <c r="M30" s="2"/>
      <c r="N30" s="2"/>
      <c r="O30" s="49"/>
      <c r="P30" s="49"/>
      <c r="Q30" s="31"/>
      <c r="R30" s="94"/>
      <c r="S30" s="48"/>
    </row>
    <row r="31" spans="2:19" ht="15" customHeight="1" thickBot="1">
      <c r="B31" s="97"/>
      <c r="C31" s="2"/>
      <c r="D31" s="2"/>
      <c r="E31" s="17"/>
      <c r="F31" s="404"/>
      <c r="G31" s="404"/>
      <c r="H31" s="44"/>
      <c r="I31" s="2"/>
      <c r="J31" s="2"/>
      <c r="K31" s="28"/>
      <c r="L31" s="28"/>
      <c r="M31" s="2"/>
      <c r="N31" s="2"/>
      <c r="O31" s="28"/>
      <c r="P31" s="28"/>
      <c r="Q31" s="21"/>
      <c r="R31" s="98"/>
      <c r="S31" s="48"/>
    </row>
    <row r="32" spans="2:19" ht="15" customHeight="1" thickBot="1">
      <c r="B32" s="97"/>
      <c r="C32" s="403" t="s">
        <v>2408</v>
      </c>
      <c r="D32" s="403"/>
      <c r="E32" s="403"/>
      <c r="F32" s="403"/>
      <c r="G32" s="403"/>
      <c r="H32" s="403"/>
      <c r="I32" s="2"/>
      <c r="J32" s="417" t="e">
        <f xml:space="preserve">
ROUNDDOWN(IF(Adequacy="Value",
IF(100-(F30/2/M10)*1100&lt;0,0,100-(F30/2/M10)*1100),
IF(Adequacy="Economy",
IF(100-(F30/4/M10)*1100&lt;0,0,100-(F30/4/M10)*1100),
IF(100-(F30/M10)*1100&lt;0,0,100-(F30/M10)*1100))),0)</f>
        <v>#DIV/0!</v>
      </c>
      <c r="K32" s="418"/>
      <c r="L32" s="419"/>
      <c r="M32" s="405" t="str">
        <f xml:space="preserve">
IF(M10&lt;500,"Small File QE",
IF(J32&gt;=90,"Pass","No Pass"))</f>
        <v>Small File QE</v>
      </c>
      <c r="N32" s="406"/>
      <c r="O32" s="50"/>
      <c r="P32" s="50"/>
      <c r="Q32" s="21"/>
      <c r="R32" s="98"/>
      <c r="S32" s="48"/>
    </row>
    <row r="33" spans="2:25" ht="15" customHeight="1" thickBot="1">
      <c r="B33" s="97"/>
      <c r="C33" s="119">
        <v>0</v>
      </c>
      <c r="D33" s="118" t="s">
        <v>2409</v>
      </c>
      <c r="E33" s="401">
        <v>90</v>
      </c>
      <c r="F33" s="402"/>
      <c r="G33" s="126"/>
      <c r="H33" s="125" t="s">
        <v>2410</v>
      </c>
      <c r="I33" s="2"/>
      <c r="J33" s="420"/>
      <c r="K33" s="421"/>
      <c r="L33" s="422"/>
      <c r="M33" s="407"/>
      <c r="N33" s="408"/>
      <c r="O33" s="50"/>
      <c r="P33" s="50"/>
      <c r="Q33" s="21"/>
      <c r="R33" s="98"/>
      <c r="S33" s="48"/>
    </row>
    <row r="34" spans="2:25" ht="15" customHeight="1">
      <c r="B34" s="97"/>
      <c r="C34" s="427" t="s">
        <v>9</v>
      </c>
      <c r="D34" s="427"/>
      <c r="E34" s="410" t="s">
        <v>571</v>
      </c>
      <c r="F34" s="410"/>
      <c r="G34" s="426" t="s">
        <v>10</v>
      </c>
      <c r="H34" s="426"/>
      <c r="I34" s="2"/>
      <c r="J34" s="423" t="s">
        <v>1202</v>
      </c>
      <c r="K34" s="423"/>
      <c r="L34" s="423"/>
      <c r="M34" s="423"/>
      <c r="N34" s="423"/>
      <c r="O34" s="52"/>
      <c r="P34" s="52"/>
      <c r="Q34" s="52"/>
      <c r="R34" s="100"/>
      <c r="S34" s="48"/>
    </row>
    <row r="35" spans="2:25" ht="15" customHeight="1">
      <c r="B35" s="97"/>
      <c r="C35" s="23"/>
      <c r="D35" s="18"/>
      <c r="E35" s="51"/>
      <c r="F35" s="51"/>
      <c r="G35" s="26"/>
      <c r="H35" s="24"/>
      <c r="I35" s="2"/>
      <c r="J35" s="147" t="str">
        <f>IF(M10&lt;500,"",IF((J32&lt;90),"No Pass due to score less than 90",""))</f>
        <v/>
      </c>
      <c r="K35" s="148"/>
      <c r="L35" s="149"/>
      <c r="M35" s="149"/>
      <c r="N35" s="149"/>
      <c r="O35" s="52"/>
      <c r="P35" s="52"/>
      <c r="Q35" s="52"/>
      <c r="R35" s="100"/>
      <c r="S35" s="48"/>
    </row>
    <row r="36" spans="2:25" ht="15" customHeight="1" thickBot="1">
      <c r="B36" s="134"/>
      <c r="C36" s="140"/>
      <c r="D36" s="141"/>
      <c r="E36" s="136"/>
      <c r="F36" s="136"/>
      <c r="G36" s="142"/>
      <c r="H36" s="143"/>
      <c r="I36" s="102"/>
      <c r="J36" s="150">
        <f>IF((SUM(M15:N21)&gt;=1),"No Pass due to Critical Error",0)</f>
        <v>0</v>
      </c>
      <c r="K36" s="151"/>
      <c r="L36" s="151"/>
      <c r="M36" s="152"/>
      <c r="N36" s="152"/>
      <c r="O36" s="138"/>
      <c r="P36" s="138"/>
      <c r="Q36" s="138"/>
      <c r="R36" s="139"/>
      <c r="S36" s="48"/>
    </row>
    <row r="37" spans="2:25" ht="15" customHeight="1" thickTop="1" thickBot="1"/>
    <row r="38" spans="2:25" ht="29.25" customHeight="1" thickTop="1" thickBot="1">
      <c r="B38" s="398" t="s">
        <v>2465</v>
      </c>
      <c r="C38" s="399"/>
      <c r="D38" s="399"/>
      <c r="E38" s="399"/>
      <c r="F38" s="399"/>
      <c r="G38" s="428" t="s">
        <v>2477</v>
      </c>
      <c r="H38" s="428"/>
      <c r="I38" s="428"/>
      <c r="J38" s="428"/>
      <c r="K38" s="428"/>
      <c r="L38" s="428"/>
      <c r="M38" s="428"/>
      <c r="N38" s="429"/>
      <c r="O38" s="424"/>
      <c r="P38" s="424"/>
      <c r="Q38" s="424"/>
      <c r="R38" s="425"/>
      <c r="S38" s="128" t="str">
        <f>IF(O38="","Please select the grade for Overall Impression","")</f>
        <v>Please select the grade for Overall Impression</v>
      </c>
      <c r="T38" s="127"/>
      <c r="U38" s="127"/>
      <c r="V38" s="127"/>
      <c r="W38" s="127"/>
      <c r="X38" s="127"/>
    </row>
    <row r="39" spans="2:25" ht="15" customHeight="1" thickTop="1">
      <c r="B39" s="389"/>
      <c r="C39" s="390"/>
      <c r="D39" s="390"/>
      <c r="E39" s="390"/>
      <c r="F39" s="390"/>
      <c r="G39" s="390"/>
      <c r="H39" s="390"/>
      <c r="I39" s="390"/>
      <c r="J39" s="390"/>
      <c r="K39" s="390"/>
      <c r="L39" s="390"/>
      <c r="M39" s="390"/>
      <c r="N39" s="390"/>
      <c r="O39" s="390"/>
      <c r="P39" s="390"/>
      <c r="Q39" s="390"/>
      <c r="R39" s="391"/>
      <c r="S39" s="129" t="str">
        <f>IF(B39="","Please fill in the Overall Impression &amp; Comments section","")</f>
        <v>Please fill in the Overall Impression &amp; Comments section</v>
      </c>
      <c r="T39" s="129"/>
      <c r="U39" s="129"/>
      <c r="V39" s="129"/>
      <c r="W39" s="129"/>
      <c r="X39" s="129"/>
      <c r="Y39" s="40"/>
    </row>
    <row r="40" spans="2:25" ht="15" customHeight="1">
      <c r="B40" s="392"/>
      <c r="C40" s="393"/>
      <c r="D40" s="393"/>
      <c r="E40" s="393"/>
      <c r="F40" s="393"/>
      <c r="G40" s="393"/>
      <c r="H40" s="393"/>
      <c r="I40" s="393"/>
      <c r="J40" s="393"/>
      <c r="K40" s="393"/>
      <c r="L40" s="393"/>
      <c r="M40" s="393"/>
      <c r="N40" s="393"/>
      <c r="O40" s="393"/>
      <c r="P40" s="393"/>
      <c r="Q40" s="393"/>
      <c r="R40" s="394"/>
      <c r="S40" s="127"/>
      <c r="T40" s="127"/>
      <c r="U40" s="127"/>
      <c r="V40" s="127"/>
      <c r="W40" s="127"/>
      <c r="X40" s="127"/>
    </row>
    <row r="41" spans="2:25" ht="15" customHeight="1">
      <c r="B41" s="392"/>
      <c r="C41" s="393"/>
      <c r="D41" s="393"/>
      <c r="E41" s="393"/>
      <c r="F41" s="393"/>
      <c r="G41" s="393"/>
      <c r="H41" s="393"/>
      <c r="I41" s="393"/>
      <c r="J41" s="393"/>
      <c r="K41" s="393"/>
      <c r="L41" s="393"/>
      <c r="M41" s="393"/>
      <c r="N41" s="393"/>
      <c r="O41" s="393"/>
      <c r="P41" s="393"/>
      <c r="Q41" s="393"/>
      <c r="R41" s="394"/>
    </row>
    <row r="42" spans="2:25" ht="15" customHeight="1">
      <c r="B42" s="392"/>
      <c r="C42" s="393"/>
      <c r="D42" s="393"/>
      <c r="E42" s="393"/>
      <c r="F42" s="393"/>
      <c r="G42" s="393"/>
      <c r="H42" s="393"/>
      <c r="I42" s="393"/>
      <c r="J42" s="393"/>
      <c r="K42" s="393"/>
      <c r="L42" s="393"/>
      <c r="M42" s="393"/>
      <c r="N42" s="393"/>
      <c r="O42" s="393"/>
      <c r="P42" s="393"/>
      <c r="Q42" s="393"/>
      <c r="R42" s="394"/>
    </row>
    <row r="43" spans="2:25" ht="15" customHeight="1">
      <c r="B43" s="392"/>
      <c r="C43" s="393"/>
      <c r="D43" s="393"/>
      <c r="E43" s="393"/>
      <c r="F43" s="393"/>
      <c r="G43" s="393"/>
      <c r="H43" s="393"/>
      <c r="I43" s="393"/>
      <c r="J43" s="393"/>
      <c r="K43" s="393"/>
      <c r="L43" s="393"/>
      <c r="M43" s="393"/>
      <c r="N43" s="393"/>
      <c r="O43" s="393"/>
      <c r="P43" s="393"/>
      <c r="Q43" s="393"/>
      <c r="R43" s="394"/>
    </row>
    <row r="44" spans="2:25" ht="15" customHeight="1">
      <c r="B44" s="392"/>
      <c r="C44" s="393"/>
      <c r="D44" s="393"/>
      <c r="E44" s="393"/>
      <c r="F44" s="393"/>
      <c r="G44" s="393"/>
      <c r="H44" s="393"/>
      <c r="I44" s="393"/>
      <c r="J44" s="393"/>
      <c r="K44" s="393"/>
      <c r="L44" s="393"/>
      <c r="M44" s="393"/>
      <c r="N44" s="393"/>
      <c r="O44" s="393"/>
      <c r="P44" s="393"/>
      <c r="Q44" s="393"/>
      <c r="R44" s="394"/>
    </row>
    <row r="45" spans="2:25" ht="15" customHeight="1">
      <c r="B45" s="392"/>
      <c r="C45" s="393"/>
      <c r="D45" s="393"/>
      <c r="E45" s="393"/>
      <c r="F45" s="393"/>
      <c r="G45" s="393"/>
      <c r="H45" s="393"/>
      <c r="I45" s="393"/>
      <c r="J45" s="393"/>
      <c r="K45" s="393"/>
      <c r="L45" s="393"/>
      <c r="M45" s="393"/>
      <c r="N45" s="393"/>
      <c r="O45" s="393"/>
      <c r="P45" s="393"/>
      <c r="Q45" s="393"/>
      <c r="R45" s="394"/>
    </row>
    <row r="46" spans="2:25" ht="15" customHeight="1">
      <c r="B46" s="392"/>
      <c r="C46" s="393"/>
      <c r="D46" s="393"/>
      <c r="E46" s="393"/>
      <c r="F46" s="393"/>
      <c r="G46" s="393"/>
      <c r="H46" s="393"/>
      <c r="I46" s="393"/>
      <c r="J46" s="393"/>
      <c r="K46" s="393"/>
      <c r="L46" s="393"/>
      <c r="M46" s="393"/>
      <c r="N46" s="393"/>
      <c r="O46" s="393"/>
      <c r="P46" s="393"/>
      <c r="Q46" s="393"/>
      <c r="R46" s="394"/>
    </row>
    <row r="47" spans="2:25" ht="15" customHeight="1" thickBot="1">
      <c r="B47" s="395"/>
      <c r="C47" s="396"/>
      <c r="D47" s="396"/>
      <c r="E47" s="396"/>
      <c r="F47" s="396"/>
      <c r="G47" s="396"/>
      <c r="H47" s="396"/>
      <c r="I47" s="396"/>
      <c r="J47" s="396"/>
      <c r="K47" s="396"/>
      <c r="L47" s="396"/>
      <c r="M47" s="396"/>
      <c r="N47" s="396"/>
      <c r="O47" s="396"/>
      <c r="P47" s="396"/>
      <c r="Q47" s="396"/>
      <c r="R47" s="397"/>
    </row>
    <row r="48" spans="2:25" ht="15" thickTop="1"/>
  </sheetData>
  <sheetProtection algorithmName="SHA-512" hashValue="xDrECw6ArD7zO1UV9WeCZVuTcAL84TZiCw6ripEkTF5gAICqMF6KpdRqCA233qaEPYCQkOfpV8EZ2vgK5SmVpA==" saltValue="nXqNvg6xl6cy0TsM+Z6BSw==" spinCount="100000" sheet="1" objects="1" scenarios="1" selectLockedCells="1"/>
  <protectedRanges>
    <protectedRange sqref="T4:V5" name="Range2"/>
    <protectedRange sqref="O38 Q38 L38" name="Range1"/>
  </protectedRanges>
  <mergeCells count="122">
    <mergeCell ref="M6:R6"/>
    <mergeCell ref="M5:R5"/>
    <mergeCell ref="C21:D21"/>
    <mergeCell ref="E21:F21"/>
    <mergeCell ref="G21:H21"/>
    <mergeCell ref="I21:J21"/>
    <mergeCell ref="K21:L21"/>
    <mergeCell ref="M21:N21"/>
    <mergeCell ref="Q21:R21"/>
    <mergeCell ref="O21:P21"/>
    <mergeCell ref="E15:F15"/>
    <mergeCell ref="C15:D15"/>
    <mergeCell ref="G15:H15"/>
    <mergeCell ref="I17:J17"/>
    <mergeCell ref="Q15:R15"/>
    <mergeCell ref="Q20:R20"/>
    <mergeCell ref="Q19:R19"/>
    <mergeCell ref="Q18:R18"/>
    <mergeCell ref="Q17:R17"/>
    <mergeCell ref="Q16:R16"/>
    <mergeCell ref="M15:N15"/>
    <mergeCell ref="M20:N20"/>
    <mergeCell ref="M9:R9"/>
    <mergeCell ref="M8:R8"/>
    <mergeCell ref="M7:R7"/>
    <mergeCell ref="C8:H8"/>
    <mergeCell ref="M19:N19"/>
    <mergeCell ref="K15:L15"/>
    <mergeCell ref="O18:P18"/>
    <mergeCell ref="O17:P17"/>
    <mergeCell ref="O16:P16"/>
    <mergeCell ref="M18:N18"/>
    <mergeCell ref="M17:N17"/>
    <mergeCell ref="E14:F14"/>
    <mergeCell ref="K17:L17"/>
    <mergeCell ref="O14:P14"/>
    <mergeCell ref="O19:P19"/>
    <mergeCell ref="M14:N14"/>
    <mergeCell ref="E18:F18"/>
    <mergeCell ref="O15:P15"/>
    <mergeCell ref="C18:D18"/>
    <mergeCell ref="C7:H7"/>
    <mergeCell ref="C14:D14"/>
    <mergeCell ref="G14:H14"/>
    <mergeCell ref="B39:R47"/>
    <mergeCell ref="B38:F38"/>
    <mergeCell ref="C22:D22"/>
    <mergeCell ref="G25:H25"/>
    <mergeCell ref="E33:F33"/>
    <mergeCell ref="C32:H32"/>
    <mergeCell ref="F31:G31"/>
    <mergeCell ref="M32:N33"/>
    <mergeCell ref="C25:D25"/>
    <mergeCell ref="I22:J22"/>
    <mergeCell ref="E34:F34"/>
    <mergeCell ref="C30:D30"/>
    <mergeCell ref="C24:F24"/>
    <mergeCell ref="F30:H30"/>
    <mergeCell ref="O22:P22"/>
    <mergeCell ref="J32:L33"/>
    <mergeCell ref="J34:N34"/>
    <mergeCell ref="O38:R38"/>
    <mergeCell ref="G34:H34"/>
    <mergeCell ref="C34:D34"/>
    <mergeCell ref="G38:N38"/>
    <mergeCell ref="T4:U5"/>
    <mergeCell ref="V4:V5"/>
    <mergeCell ref="J30:L30"/>
    <mergeCell ref="E16:F16"/>
    <mergeCell ref="I14:J14"/>
    <mergeCell ref="I15:J15"/>
    <mergeCell ref="K18:L18"/>
    <mergeCell ref="I16:J16"/>
    <mergeCell ref="K16:L16"/>
    <mergeCell ref="K19:L19"/>
    <mergeCell ref="J24:M24"/>
    <mergeCell ref="M16:N16"/>
    <mergeCell ref="M4:R4"/>
    <mergeCell ref="I12:L12"/>
    <mergeCell ref="I4:L4"/>
    <mergeCell ref="C5:H5"/>
    <mergeCell ref="C6:H6"/>
    <mergeCell ref="C12:H12"/>
    <mergeCell ref="C11:H11"/>
    <mergeCell ref="C10:H10"/>
    <mergeCell ref="C9:H9"/>
    <mergeCell ref="I10:L11"/>
    <mergeCell ref="M10:R11"/>
    <mergeCell ref="M12:R12"/>
    <mergeCell ref="I20:J20"/>
    <mergeCell ref="I18:J18"/>
    <mergeCell ref="C16:D16"/>
    <mergeCell ref="G18:H18"/>
    <mergeCell ref="C17:D17"/>
    <mergeCell ref="E17:F17"/>
    <mergeCell ref="I19:J19"/>
    <mergeCell ref="G17:H17"/>
    <mergeCell ref="G16:H16"/>
    <mergeCell ref="B2:R2"/>
    <mergeCell ref="B3:R3"/>
    <mergeCell ref="C4:H4"/>
    <mergeCell ref="C28:D29"/>
    <mergeCell ref="J28:L29"/>
    <mergeCell ref="G20:H20"/>
    <mergeCell ref="F28:H29"/>
    <mergeCell ref="K22:L22"/>
    <mergeCell ref="B26:R26"/>
    <mergeCell ref="Q22:R22"/>
    <mergeCell ref="O20:P20"/>
    <mergeCell ref="K20:L20"/>
    <mergeCell ref="M22:N22"/>
    <mergeCell ref="G19:H19"/>
    <mergeCell ref="E20:F20"/>
    <mergeCell ref="E22:F22"/>
    <mergeCell ref="K14:L14"/>
    <mergeCell ref="Q14:R14"/>
    <mergeCell ref="M23:N23"/>
    <mergeCell ref="E19:F19"/>
    <mergeCell ref="C19:D19"/>
    <mergeCell ref="M28:R29"/>
    <mergeCell ref="C20:D20"/>
    <mergeCell ref="G22:H22"/>
  </mergeCells>
  <phoneticPr fontId="0" type="noConversion"/>
  <conditionalFormatting sqref="R25">
    <cfRule type="cellIs" dxfId="70" priority="66" stopIfTrue="1" operator="greaterThanOrEqual">
      <formula>1</formula>
    </cfRule>
  </conditionalFormatting>
  <conditionalFormatting sqref="F30">
    <cfRule type="expression" dxfId="69" priority="78">
      <formula>#REF!&gt;(#REF!*0.5)</formula>
    </cfRule>
  </conditionalFormatting>
  <conditionalFormatting sqref="O38">
    <cfRule type="cellIs" dxfId="68" priority="30" operator="equal">
      <formula>""</formula>
    </cfRule>
  </conditionalFormatting>
  <conditionalFormatting sqref="J36">
    <cfRule type="cellIs" dxfId="67" priority="20" operator="equal">
      <formula>0</formula>
    </cfRule>
  </conditionalFormatting>
  <conditionalFormatting sqref="J35">
    <cfRule type="cellIs" dxfId="66" priority="19" operator="equal">
      <formula>0</formula>
    </cfRule>
  </conditionalFormatting>
  <conditionalFormatting sqref="M32:N33">
    <cfRule type="containsText" dxfId="65" priority="9" operator="containsText" text="No Pass">
      <formula>NOT(ISERROR(SEARCH("No Pass",M32)))</formula>
    </cfRule>
  </conditionalFormatting>
  <conditionalFormatting sqref="M10:R11">
    <cfRule type="containsBlanks" dxfId="64" priority="79">
      <formula>LEN(TRIM(M10))=0</formula>
    </cfRule>
  </conditionalFormatting>
  <dataValidations count="10">
    <dataValidation type="list" allowBlank="1" showInputMessage="1" showErrorMessage="1" sqref="M12:R12">
      <formula1>"Premium,Premium Plus,Creative Plus,Value,Economy"</formula1>
    </dataValidation>
    <dataValidation type="custom" allowBlank="1" showInputMessage="1" showErrorMessage="1" sqref="C5:H5">
      <formula1>IFERROR(VLOOKUP(LEFT($C4,3),clients,2,FALSE),"Do Not Fill Manually")</formula1>
    </dataValidation>
    <dataValidation type="list" allowBlank="1" showInputMessage="1" showErrorMessage="1" error="Please select Translation Type from the drop down list." sqref="M8:R8">
      <formula1>TRANS_TYPE</formula1>
    </dataValidation>
    <dataValidation type="list" allowBlank="1" showInputMessage="1" showErrorMessage="1" sqref="O38:R38">
      <formula1>"5 - Excellent,4 - Good,3 - Acceptable,2 - Below Standard,1 - Poor"</formula1>
    </dataValidation>
    <dataValidation type="list" allowBlank="1" showInputMessage="1" showErrorMessage="1" sqref="V4:V5">
      <formula1>"You must review, Do NOT review"</formula1>
    </dataValidation>
    <dataValidation type="list" allowBlank="1" showInputMessage="1" showErrorMessage="1" error="Please select Evaluation Method from the drop down list." sqref="M9:R9">
      <formula1>"TQA, Standard"</formula1>
    </dataValidation>
    <dataValidation type="date" allowBlank="1" showInputMessage="1" showErrorMessage="1" sqref="C10:H10">
      <formula1>DATE(YEAR(TODAY()),MONTH(TODAY()),1)</formula1>
      <formula2>DATE(YEAR(TODAY()),MONTH(TODAY()),30)</formula2>
    </dataValidation>
    <dataValidation type="custom" allowBlank="1" showInputMessage="1" showErrorMessage="1" sqref="C12:H12">
      <formula1>languages</formula1>
    </dataValidation>
    <dataValidation type="list" allowBlank="1" showInputMessage="1" showErrorMessage="1" sqref="M4:R4">
      <formula1>OFFICE</formula1>
    </dataValidation>
    <dataValidation type="list" allowBlank="1" showInputMessage="1" showErrorMessage="1" sqref="C11">
      <formula1>languages</formula1>
    </dataValidation>
  </dataValidations>
  <printOptions horizontalCentered="1"/>
  <pageMargins left="0.59055118110236227" right="0.47244094488188981" top="0.70866141732283472" bottom="0.55118110236220474" header="0.31496062992125984" footer="0.19685039370078741"/>
  <pageSetup paperSize="9" scale="85" fitToHeight="0" orientation="landscape" r:id="rId1"/>
  <headerFooter alignWithMargins="0">
    <oddFooter>&amp;L&amp;"Noto Sans,Regular"&amp;9
Uncontrolled when in use&amp;C&amp;"Noto Sans,Regular"&amp;9Page &amp;P of &amp;N
&amp;F&amp;R&amp;"Noto Sans,Regular"&amp;9Ver.: 1
Approved: 15-Jun-22</oddFooter>
  </headerFooter>
  <ignoredErrors>
    <ignoredError sqref="Q18:Q19 O18:O19 M22 I22" formula="1"/>
    <ignoredError sqref="C5" unlockedFormula="1"/>
    <ignoredError sqref="J30 J32" evalError="1"/>
  </ignoredErrors>
  <drawing r:id="rId2"/>
  <legacyDrawing r:id="rId3"/>
  <controls>
    <mc:AlternateContent xmlns:mc="http://schemas.openxmlformats.org/markup-compatibility/2006">
      <mc:Choice Requires="x14">
        <control shapeId="7382" r:id="rId4" name="ComboBox3">
          <controlPr defaultSize="0" autoLine="0" autoPict="0" linkedCell="M4" listFillRange="OFFICE" r:id="rId5">
            <anchor moveWithCells="1">
              <from>
                <xdr:col>12</xdr:col>
                <xdr:colOff>9525</xdr:colOff>
                <xdr:row>3</xdr:row>
                <xdr:rowOff>9525</xdr:rowOff>
              </from>
              <to>
                <xdr:col>18</xdr:col>
                <xdr:colOff>0</xdr:colOff>
                <xdr:row>4</xdr:row>
                <xdr:rowOff>9525</xdr:rowOff>
              </to>
            </anchor>
          </controlPr>
        </control>
      </mc:Choice>
      <mc:Fallback>
        <control shapeId="7382" r:id="rId4" name="ComboBox3"/>
      </mc:Fallback>
    </mc:AlternateContent>
    <mc:AlternateContent xmlns:mc="http://schemas.openxmlformats.org/markup-compatibility/2006">
      <mc:Choice Requires="x14">
        <control shapeId="7376" r:id="rId6" name="ComboBox1">
          <controlPr defaultSize="0" autoLine="0" linkedCell="C11" listFillRange="languages" r:id="rId7">
            <anchor moveWithCells="1">
              <from>
                <xdr:col>2</xdr:col>
                <xdr:colOff>9525</xdr:colOff>
                <xdr:row>10</xdr:row>
                <xdr:rowOff>9525</xdr:rowOff>
              </from>
              <to>
                <xdr:col>7</xdr:col>
                <xdr:colOff>323850</xdr:colOff>
                <xdr:row>11</xdr:row>
                <xdr:rowOff>0</xdr:rowOff>
              </to>
            </anchor>
          </controlPr>
        </control>
      </mc:Choice>
      <mc:Fallback>
        <control shapeId="7376" r:id="rId6" name="ComboBox1"/>
      </mc:Fallback>
    </mc:AlternateContent>
    <mc:AlternateContent xmlns:mc="http://schemas.openxmlformats.org/markup-compatibility/2006">
      <mc:Choice Requires="x14">
        <control shapeId="7377" r:id="rId8" name="ComboBox2">
          <controlPr defaultSize="0" autoLine="0" linkedCell="C12" listFillRange="languages" r:id="rId7">
            <anchor moveWithCells="1">
              <from>
                <xdr:col>2</xdr:col>
                <xdr:colOff>9525</xdr:colOff>
                <xdr:row>11</xdr:row>
                <xdr:rowOff>0</xdr:rowOff>
              </from>
              <to>
                <xdr:col>7</xdr:col>
                <xdr:colOff>323850</xdr:colOff>
                <xdr:row>11</xdr:row>
                <xdr:rowOff>200025</xdr:rowOff>
              </to>
            </anchor>
          </controlPr>
        </control>
      </mc:Choice>
      <mc:Fallback>
        <control shapeId="7377" r:id="rId8" name="ComboBox2"/>
      </mc:Fallback>
    </mc:AlternateContent>
    <mc:AlternateContent xmlns:mc="http://schemas.openxmlformats.org/markup-compatibility/2006">
      <mc:Choice Requires="x14">
        <control shapeId="7380" r:id="rId9" name="Button 212">
          <controlPr defaultSize="0" print="0" autoFill="0" autoPict="0" macro="[0]!Sheet3.Button1_Click">
            <anchor moveWithCells="1" sizeWithCells="1">
              <from>
                <xdr:col>19</xdr:col>
                <xdr:colOff>38100</xdr:colOff>
                <xdr:row>6</xdr:row>
                <xdr:rowOff>28575</xdr:rowOff>
              </from>
              <to>
                <xdr:col>20</xdr:col>
                <xdr:colOff>552450</xdr:colOff>
                <xdr:row>8</xdr:row>
                <xdr:rowOff>28575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Please select Evaluation Type from the drop down list.">
          <x14:formula1>
            <xm:f>Setup!$H$3:$H$8</xm:f>
          </x14:formula1>
          <xm:sqref>C9:H9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BDED0A"/>
    <pageSetUpPr fitToPage="1"/>
  </sheetPr>
  <dimension ref="B1:Z50"/>
  <sheetViews>
    <sheetView showGridLines="0" showRowColHeaders="0" zoomScaleNormal="100" workbookViewId="0">
      <selection activeCell="W38" sqref="W38"/>
    </sheetView>
  </sheetViews>
  <sheetFormatPr defaultColWidth="9.140625" defaultRowHeight="14.25"/>
  <cols>
    <col min="1" max="1" width="2.7109375" style="1" customWidth="1"/>
    <col min="2" max="2" width="19.7109375" style="1" customWidth="1"/>
    <col min="3" max="14" width="5" style="1" customWidth="1"/>
    <col min="15" max="16" width="5" style="1" hidden="1" customWidth="1"/>
    <col min="17" max="18" width="9.28515625" style="1" customWidth="1"/>
    <col min="19" max="19" width="6.28515625" style="1" customWidth="1"/>
    <col min="20" max="22" width="9.140625" style="1"/>
    <col min="23" max="23" width="9.140625" style="1" customWidth="1"/>
    <col min="24" max="16384" width="9.140625" style="1"/>
  </cols>
  <sheetData>
    <row r="1" spans="2:25" ht="9.9499999999999993" customHeight="1" thickBot="1"/>
    <row r="2" spans="2:25" ht="30" customHeight="1" thickTop="1" thickBot="1">
      <c r="B2" s="291" t="s">
        <v>2632</v>
      </c>
      <c r="C2" s="292"/>
      <c r="D2" s="292"/>
      <c r="E2" s="292"/>
      <c r="F2" s="292"/>
      <c r="G2" s="292"/>
      <c r="H2" s="292"/>
      <c r="I2" s="292"/>
      <c r="J2" s="292"/>
      <c r="K2" s="292"/>
      <c r="L2" s="292"/>
      <c r="M2" s="292"/>
      <c r="N2" s="292"/>
      <c r="O2" s="292"/>
      <c r="P2" s="292"/>
      <c r="Q2" s="292"/>
      <c r="R2" s="293"/>
    </row>
    <row r="3" spans="2:25" s="39" customFormat="1" ht="20.25" customHeight="1" thickTop="1" thickBot="1">
      <c r="B3" s="480" t="str">
        <f>'Evaluation Report_Initial'!B3</f>
        <v>Version: 1</v>
      </c>
      <c r="C3" s="481"/>
      <c r="D3" s="481"/>
      <c r="E3" s="481"/>
      <c r="F3" s="481"/>
      <c r="G3" s="481"/>
      <c r="H3" s="481"/>
      <c r="I3" s="481"/>
      <c r="J3" s="482"/>
      <c r="K3" s="482"/>
      <c r="L3" s="482"/>
      <c r="M3" s="482"/>
      <c r="N3" s="482"/>
      <c r="O3" s="482"/>
      <c r="P3" s="482"/>
      <c r="Q3" s="482"/>
      <c r="R3" s="483"/>
    </row>
    <row r="4" spans="2:25" ht="15" customHeight="1" thickTop="1">
      <c r="B4" s="114" t="s">
        <v>2402</v>
      </c>
      <c r="C4" s="484" t="str">
        <f>'Evaluation Report_Initial'!C4</f>
        <v>XXX_XXXXXX_XXX</v>
      </c>
      <c r="D4" s="485"/>
      <c r="E4" s="485"/>
      <c r="F4" s="485"/>
      <c r="G4" s="485"/>
      <c r="H4" s="486"/>
      <c r="I4" s="365" t="s">
        <v>2642</v>
      </c>
      <c r="J4" s="366"/>
      <c r="K4" s="366"/>
      <c r="L4" s="367"/>
      <c r="M4" s="493">
        <f>'Evaluation Report_Initial'!M4</f>
        <v>0</v>
      </c>
      <c r="N4" s="493"/>
      <c r="O4" s="493"/>
      <c r="P4" s="493"/>
      <c r="Q4" s="493"/>
      <c r="R4" s="494"/>
    </row>
    <row r="5" spans="2:25" ht="15" customHeight="1">
      <c r="B5" s="108" t="s">
        <v>0</v>
      </c>
      <c r="C5" s="487" t="str">
        <f>'Evaluation Report_Initial'!C5</f>
        <v>Do Not Fill Manually</v>
      </c>
      <c r="D5" s="488"/>
      <c r="E5" s="488"/>
      <c r="F5" s="488"/>
      <c r="G5" s="488"/>
      <c r="H5" s="489"/>
      <c r="I5" s="155" t="s">
        <v>6</v>
      </c>
      <c r="J5" s="156"/>
      <c r="K5" s="156"/>
      <c r="L5" s="157"/>
      <c r="M5" s="495">
        <f>'Evaluation Report_Initial'!M5</f>
        <v>0</v>
      </c>
      <c r="N5" s="495"/>
      <c r="O5" s="495"/>
      <c r="P5" s="495"/>
      <c r="Q5" s="495"/>
      <c r="R5" s="496"/>
    </row>
    <row r="6" spans="2:25" ht="15" customHeight="1">
      <c r="B6" s="107" t="s">
        <v>783</v>
      </c>
      <c r="C6" s="490">
        <f>'Evaluation Report_Initial'!C6</f>
        <v>0</v>
      </c>
      <c r="D6" s="491"/>
      <c r="E6" s="491"/>
      <c r="F6" s="491"/>
      <c r="G6" s="491"/>
      <c r="H6" s="492"/>
      <c r="I6" s="155" t="s">
        <v>8</v>
      </c>
      <c r="J6" s="156"/>
      <c r="K6" s="156"/>
      <c r="L6" s="157"/>
      <c r="M6" s="495">
        <f>'Evaluation Report_Initial'!M6</f>
        <v>0</v>
      </c>
      <c r="N6" s="495"/>
      <c r="O6" s="495"/>
      <c r="P6" s="495"/>
      <c r="Q6" s="495"/>
      <c r="R6" s="496"/>
    </row>
    <row r="7" spans="2:25" ht="15" customHeight="1">
      <c r="B7" s="109" t="s">
        <v>2636</v>
      </c>
      <c r="C7" s="487">
        <f>'Evaluation Report_Initial'!C7</f>
        <v>0</v>
      </c>
      <c r="D7" s="488"/>
      <c r="E7" s="488"/>
      <c r="F7" s="488"/>
      <c r="G7" s="488"/>
      <c r="H7" s="489"/>
      <c r="I7" s="158" t="s">
        <v>7</v>
      </c>
      <c r="J7" s="153"/>
      <c r="K7" s="153"/>
      <c r="L7" s="154"/>
      <c r="M7" s="495">
        <f>'Evaluation Report_Initial'!M7</f>
        <v>0</v>
      </c>
      <c r="N7" s="495"/>
      <c r="O7" s="495"/>
      <c r="P7" s="495"/>
      <c r="Q7" s="495"/>
      <c r="R7" s="496"/>
    </row>
    <row r="8" spans="2:25" ht="15" customHeight="1">
      <c r="B8" s="109" t="s">
        <v>2</v>
      </c>
      <c r="C8" s="484">
        <f>'Evaluation Report_Initial'!C8</f>
        <v>0</v>
      </c>
      <c r="D8" s="485"/>
      <c r="E8" s="485"/>
      <c r="F8" s="485"/>
      <c r="G8" s="485"/>
      <c r="H8" s="486"/>
      <c r="I8" s="158" t="s">
        <v>2637</v>
      </c>
      <c r="J8" s="153"/>
      <c r="K8" s="153"/>
      <c r="L8" s="154"/>
      <c r="M8" s="497">
        <f>'Evaluation Report_Initial'!M8</f>
        <v>0</v>
      </c>
      <c r="N8" s="497"/>
      <c r="O8" s="497"/>
      <c r="P8" s="497"/>
      <c r="Q8" s="497"/>
      <c r="R8" s="498"/>
    </row>
    <row r="9" spans="2:25" ht="15" customHeight="1">
      <c r="B9" s="109" t="s">
        <v>573</v>
      </c>
      <c r="C9" s="484">
        <f>'Evaluation Report_Initial'!C9</f>
        <v>0</v>
      </c>
      <c r="D9" s="485"/>
      <c r="E9" s="485"/>
      <c r="F9" s="485"/>
      <c r="G9" s="485"/>
      <c r="H9" s="486"/>
      <c r="I9" s="158" t="s">
        <v>576</v>
      </c>
      <c r="J9" s="153"/>
      <c r="K9" s="153"/>
      <c r="L9" s="154"/>
      <c r="M9" s="499" t="str">
        <f>'Evaluation Report_Initial'!M9</f>
        <v>TQA</v>
      </c>
      <c r="N9" s="499"/>
      <c r="O9" s="499"/>
      <c r="P9" s="499"/>
      <c r="Q9" s="499"/>
      <c r="R9" s="500"/>
    </row>
    <row r="10" spans="2:25" ht="15" customHeight="1">
      <c r="B10" s="109" t="s">
        <v>1</v>
      </c>
      <c r="C10" s="514">
        <f>'Evaluation Report_Initial'!C10</f>
        <v>0</v>
      </c>
      <c r="D10" s="515"/>
      <c r="E10" s="515"/>
      <c r="F10" s="515"/>
      <c r="G10" s="515"/>
      <c r="H10" s="516"/>
      <c r="I10" s="381" t="s">
        <v>2638</v>
      </c>
      <c r="J10" s="381"/>
      <c r="K10" s="381"/>
      <c r="L10" s="382"/>
      <c r="M10" s="505">
        <f>'Evaluation Report_Initial'!M10</f>
        <v>0</v>
      </c>
      <c r="N10" s="506"/>
      <c r="O10" s="506"/>
      <c r="P10" s="506"/>
      <c r="Q10" s="506"/>
      <c r="R10" s="507"/>
    </row>
    <row r="11" spans="2:25" ht="17.100000000000001" customHeight="1" thickBot="1">
      <c r="B11" s="109" t="s">
        <v>14</v>
      </c>
      <c r="C11" s="490">
        <f>'Evaluation Report_Initial'!C11</f>
        <v>0</v>
      </c>
      <c r="D11" s="491"/>
      <c r="E11" s="491"/>
      <c r="F11" s="491"/>
      <c r="G11" s="491"/>
      <c r="H11" s="492"/>
      <c r="I11" s="381"/>
      <c r="J11" s="381"/>
      <c r="K11" s="381"/>
      <c r="L11" s="382"/>
      <c r="M11" s="508"/>
      <c r="N11" s="509"/>
      <c r="O11" s="509"/>
      <c r="P11" s="509"/>
      <c r="Q11" s="509"/>
      <c r="R11" s="510"/>
    </row>
    <row r="12" spans="2:25" ht="17.100000000000001" customHeight="1" thickTop="1" thickBot="1">
      <c r="B12" s="112" t="s">
        <v>13</v>
      </c>
      <c r="C12" s="517">
        <f>'Evaluation Report_Initial'!C12</f>
        <v>0</v>
      </c>
      <c r="D12" s="518"/>
      <c r="E12" s="518"/>
      <c r="F12" s="518"/>
      <c r="G12" s="518"/>
      <c r="H12" s="519"/>
      <c r="I12" s="520" t="s">
        <v>2639</v>
      </c>
      <c r="J12" s="363"/>
      <c r="K12" s="363"/>
      <c r="L12" s="521"/>
      <c r="M12" s="503" t="str">
        <f>'Evaluation Report_Initial'!$M$12</f>
        <v>Premium</v>
      </c>
      <c r="N12" s="503"/>
      <c r="O12" s="503"/>
      <c r="P12" s="503"/>
      <c r="Q12" s="503"/>
      <c r="R12" s="504"/>
    </row>
    <row r="13" spans="2:25" ht="15" customHeight="1" thickTop="1" thickBot="1">
      <c r="B13" s="92"/>
      <c r="C13" s="92"/>
      <c r="D13" s="92"/>
      <c r="E13" s="92"/>
      <c r="F13" s="92"/>
      <c r="G13" s="92"/>
      <c r="H13" s="92"/>
      <c r="I13" s="102"/>
      <c r="J13" s="102"/>
      <c r="K13" s="102"/>
      <c r="L13" s="102"/>
      <c r="M13" s="102"/>
      <c r="N13" s="102"/>
      <c r="O13" s="169"/>
      <c r="P13" s="102"/>
      <c r="Q13" s="102"/>
      <c r="R13" s="102"/>
    </row>
    <row r="14" spans="2:25" ht="39.950000000000003" customHeight="1" thickTop="1" thickBot="1">
      <c r="B14" s="115" t="s">
        <v>33</v>
      </c>
      <c r="C14" s="334" t="s">
        <v>2444</v>
      </c>
      <c r="D14" s="335"/>
      <c r="E14" s="512" t="s">
        <v>32</v>
      </c>
      <c r="F14" s="513"/>
      <c r="G14" s="512" t="s">
        <v>34</v>
      </c>
      <c r="H14" s="513"/>
      <c r="I14" s="512" t="s">
        <v>2404</v>
      </c>
      <c r="J14" s="513"/>
      <c r="K14" s="512" t="s">
        <v>34</v>
      </c>
      <c r="L14" s="470"/>
      <c r="M14" s="334" t="s">
        <v>579</v>
      </c>
      <c r="N14" s="335"/>
      <c r="O14" s="525" t="s">
        <v>34</v>
      </c>
      <c r="P14" s="525"/>
      <c r="Q14" s="501" t="str">
        <f>'Evaluation Report_Initial'!Q14</f>
        <v>Recorded 
Error Points</v>
      </c>
      <c r="R14" s="502"/>
      <c r="T14" s="320" t="s">
        <v>514</v>
      </c>
      <c r="U14" s="321"/>
      <c r="V14" s="321"/>
      <c r="W14" s="321"/>
      <c r="X14" s="321"/>
      <c r="Y14" s="322"/>
    </row>
    <row r="15" spans="2:25" ht="15" customHeight="1" thickTop="1">
      <c r="B15" s="170" t="str">
        <f>Setup!J2</f>
        <v>Terminology</v>
      </c>
      <c r="C15" s="441">
        <f xml:space="preserve"> IF(COUNTIF('Evaluation details_input'!$J$4:$J$1000,"*accepted")=0,'Evaluation Report_Initial'!C15,COUNTIFS('Evaluation details_input'!$P$3:$P$1000,$B15,'Evaluation details_input'!$R$3:$R$1000,$C$14)+COUNTIFS('Evaluation details_input'!$F$3:$F$1000,$B15,'Evaluation details_input'!$H$3:$H$1000,$C$14,'Evaluation details_input'!$J$3:$J$1000,"Not accepted",'Evaluation details_input'!$N$3:$N$1000,"Disagree with original translator", 'Evaluation details_input'!$P$3:$P$1000,"")+COUNTIFS('Evaluation details_input'!$F$3:$F$1000,$B15,'Evaluation details_input'!$H$3:$H$1000,$C$14,'Evaluation details_input'!$J$3:$J$1000,"Accepted", 'Evaluation details_input'!$P$3:$P$1000,""))</f>
        <v>0</v>
      </c>
      <c r="D15" s="433"/>
      <c r="E15" s="536">
        <f>SUM(Setup!AY5:AY8)</f>
        <v>0</v>
      </c>
      <c r="F15" s="537"/>
      <c r="G15" s="441">
        <f>SUM(Setup!AZ5:AZ8)</f>
        <v>0</v>
      </c>
      <c r="H15" s="433"/>
      <c r="I15" s="538">
        <f xml:space="preserve"> IF(COUNTIF('Evaluation details_input'!$J$4:$J$1000,"*accepted")=0,'Evaluation Report_Initial'!I15,COUNTIFS('Evaluation details_input'!$P$3:$P$1000,$B15,'Evaluation details_input'!$R$3:$R$1000,I$14)+COUNTIFS('Evaluation details_input'!$F$3:$F$1000,$B15,'Evaluation details_input'!$H$3:$H$1000,I$14,'Evaluation details_input'!$J$3:$J$1000,"Not accepted",'Evaluation details_input'!$N$3:$N$1000,"Disagree with original translator", 'Evaluation details_input'!$P$3:$P$1000,"")+COUNTIFS('Evaluation details_input'!$F$3:$F$1000,$B15,'Evaluation details_input'!$H$3:$H$1000,I$14,'Evaluation details_input'!$J$3:$J$1000,"Accepted", 'Evaluation details_input'!$P$3:$P$1000,""))</f>
        <v>0</v>
      </c>
      <c r="J15" s="332"/>
      <c r="K15" s="432">
        <f>SUM(Setup!BD5:BD8)</f>
        <v>0</v>
      </c>
      <c r="L15" s="433"/>
      <c r="M15" s="522">
        <f xml:space="preserve"> IF(COUNTIF('Evaluation details_input'!$J$4:$J$1000,"*accepted")=0,'Evaluation Report_Initial'!M15,COUNTIFS('Evaluation details_input'!$P$3:$P$1000,$B15,'Evaluation details_input'!$R$3:$R$1000,M$14)+COUNTIFS('Evaluation details_input'!$F$3:$F$1000,$B15,'Evaluation details_input'!$H$3:$H$1000,M$14,'Evaluation details_input'!$J$3:$J$1000,"Not accepted",'Evaluation details_input'!$N$3:$N$1000,"Disagree with original translator", 'Evaluation details_input'!$P$3:$P$1000,"")+COUNTIFS('Evaluation details_input'!$F$3:$F$1000,$B15,'Evaluation details_input'!$H$3:$H$1000,M$14,'Evaluation details_input'!$J$3:$J$1000,"Accepted", 'Evaluation details_input'!$P$3:$P$1000,""))</f>
        <v>0</v>
      </c>
      <c r="N15" s="523"/>
      <c r="O15" s="437">
        <f>M15*100</f>
        <v>0</v>
      </c>
      <c r="P15" s="438"/>
      <c r="Q15" s="524">
        <f>G15+K15+O15</f>
        <v>0</v>
      </c>
      <c r="R15" s="440"/>
      <c r="T15" s="451" t="s">
        <v>2470</v>
      </c>
      <c r="U15" s="452"/>
      <c r="V15" s="452"/>
      <c r="W15" s="452"/>
      <c r="X15" s="452"/>
      <c r="Y15" s="453"/>
    </row>
    <row r="16" spans="2:25" ht="15" customHeight="1">
      <c r="B16" s="171" t="str">
        <f>Setup!K2</f>
        <v>Accuracy</v>
      </c>
      <c r="C16" s="310">
        <f xml:space="preserve"> IF(COUNTIF('Evaluation details_input'!$J$4:$J$1000,"*accepted")=0,'Evaluation Report_Initial'!C16,COUNTIFS('Evaluation details_input'!$P$3:$P$1000,$B16,'Evaluation details_input'!$R$3:$R$1000,$C$14)+COUNTIFS('Evaluation details_input'!$F$3:$F$1000,$B16,'Evaluation details_input'!$H$3:$H$1000,$C$14,'Evaluation details_input'!$J$3:$J$1000,"Not accepted",'Evaluation details_input'!$N$3:$N$1000,"Disagree with original translator", 'Evaluation details_input'!$P$3:$P$1000,"")+COUNTIFS('Evaluation details_input'!$F$3:$F$1000,$B16,'Evaluation details_input'!$H$3:$H$1000,$C$14,'Evaluation details_input'!$J$3:$J$1000,"Accepted", 'Evaluation details_input'!$P$3:$P$1000,""))</f>
        <v>0</v>
      </c>
      <c r="D16" s="311"/>
      <c r="E16" s="465">
        <f>SUM(Setup!AY10:AY17)</f>
        <v>0</v>
      </c>
      <c r="F16" s="466"/>
      <c r="G16" s="310">
        <f>SUM(Setup!AZ10:AZ17)</f>
        <v>0</v>
      </c>
      <c r="H16" s="311"/>
      <c r="I16" s="511">
        <f xml:space="preserve"> IF(COUNTIF('Evaluation details_input'!$J$4:$J$1000,"*accepted")=0,'Evaluation Report_Initial'!I16,COUNTIFS('Evaluation details_input'!$P$3:$P$1000,$B16,'Evaluation details_input'!$R$3:$R$1000,I$14)+COUNTIFS('Evaluation details_input'!$F$3:$F$1000,$B16,'Evaluation details_input'!$H$3:$H$1000,I$14,'Evaluation details_input'!$J$3:$J$1000,"Not accepted",'Evaluation details_input'!$N$3:$N$1000,"Disagree with original translator", 'Evaluation details_input'!$P$3:$P$1000,"")+COUNTIFS('Evaluation details_input'!$F$3:$F$1000,$B16,'Evaluation details_input'!$H$3:$H$1000,I$14,'Evaluation details_input'!$J$3:$J$1000,"Accepted", 'Evaluation details_input'!$P$3:$P$1000,""))</f>
        <v>0</v>
      </c>
      <c r="J16" s="340"/>
      <c r="K16" s="310">
        <f>SUM(Setup!BD10:BD17)</f>
        <v>0</v>
      </c>
      <c r="L16" s="311"/>
      <c r="M16" s="465">
        <f xml:space="preserve"> IF(COUNTIF('Evaluation details_input'!$J$4:$J$1000,"*accepted")=0,'Evaluation Report_Initial'!M16,COUNTIFS('Evaluation details_input'!$P$3:$P$1000,$B16,'Evaluation details_input'!$R$3:$R$1000,M$14)+COUNTIFS('Evaluation details_input'!$F$3:$F$1000,$B16,'Evaluation details_input'!$H$3:$H$1000,M$14,'Evaluation details_input'!$J$3:$J$1000,"Not accepted",'Evaluation details_input'!$N$3:$N$1000,"Disagree with original translator", 'Evaluation details_input'!$P$3:$P$1000,"")+COUNTIFS('Evaluation details_input'!$F$3:$F$1000,$B16,'Evaluation details_input'!$H$3:$H$1000,M$14,'Evaluation details_input'!$J$3:$J$1000,"Accepted", 'Evaluation details_input'!$P$3:$P$1000,""))</f>
        <v>0</v>
      </c>
      <c r="N16" s="466"/>
      <c r="O16" s="434">
        <f>M16*100</f>
        <v>0</v>
      </c>
      <c r="P16" s="435"/>
      <c r="Q16" s="526">
        <f>G16+K16+O16</f>
        <v>0</v>
      </c>
      <c r="R16" s="445"/>
      <c r="T16" s="454" t="s">
        <v>2471</v>
      </c>
      <c r="U16" s="455"/>
      <c r="V16" s="455"/>
      <c r="W16" s="456" t="s">
        <v>508</v>
      </c>
      <c r="X16" s="456"/>
      <c r="Y16" s="457"/>
    </row>
    <row r="17" spans="2:25" ht="15" customHeight="1">
      <c r="B17" s="172" t="str">
        <f>Setup!L2</f>
        <v>Linguistic conventions</v>
      </c>
      <c r="C17" s="310">
        <f xml:space="preserve"> IF(COUNTIF('Evaluation details_input'!$J$4:$J$1000,"*accepted")=0,'Evaluation Report_Initial'!C17,COUNTIFS('Evaluation details_input'!$P$3:$P$1000,$B17,'Evaluation details_input'!$R$3:$R$1000,$C$14)+COUNTIFS('Evaluation details_input'!$F$3:$F$1000,$B17,'Evaluation details_input'!$H$3:$H$1000,$C$14,'Evaluation details_input'!$J$3:$J$1000,"Not accepted",'Evaluation details_input'!$N$3:$N$1000,"Disagree with original translator", 'Evaluation details_input'!$P$3:$P$1000,"")+COUNTIFS('Evaluation details_input'!$F$3:$F$1000,$B17,'Evaluation details_input'!$H$3:$H$1000,$C$14,'Evaluation details_input'!$J$3:$J$1000,"Accepted", 'Evaluation details_input'!$P$3:$P$1000,""))</f>
        <v>0</v>
      </c>
      <c r="D17" s="311"/>
      <c r="E17" s="465">
        <f>SUM(Setup!AY19:AY24)</f>
        <v>0</v>
      </c>
      <c r="F17" s="466"/>
      <c r="G17" s="310">
        <f>SUM(Setup!AZ19:AZ24)</f>
        <v>0</v>
      </c>
      <c r="H17" s="311"/>
      <c r="I17" s="511">
        <f xml:space="preserve"> IF(COUNTIF('Evaluation details_input'!$J$4:$J$1000,"*accepted")=0,'Evaluation Report_Initial'!I17,COUNTIFS('Evaluation details_input'!$P$3:$P$1000,$B17,'Evaluation details_input'!$R$3:$R$1000,I$14)+COUNTIFS('Evaluation details_input'!$F$3:$F$1000,$B17,'Evaluation details_input'!$H$3:$H$1000,I$14,'Evaluation details_input'!$J$3:$J$1000,"Not accepted",'Evaluation details_input'!$N$3:$N$1000,"Disagree with original translator", 'Evaluation details_input'!$P$3:$P$1000,"")+COUNTIFS('Evaluation details_input'!$F$3:$F$1000,$B17,'Evaluation details_input'!$H$3:$H$1000,I$14,'Evaluation details_input'!$J$3:$J$1000,"Accepted", 'Evaluation details_input'!$P$3:$P$1000,""))</f>
        <v>0</v>
      </c>
      <c r="J17" s="340"/>
      <c r="K17" s="310">
        <f>SUM(Setup!BD19:BD24)</f>
        <v>0</v>
      </c>
      <c r="L17" s="311"/>
      <c r="M17" s="465">
        <f xml:space="preserve"> IF(COUNTIF('Evaluation details_input'!$J$4:$J$1000,"*accepted")=0,'Evaluation Report_Initial'!M17,COUNTIFS('Evaluation details_input'!$P$3:$P$1000,$B17,'Evaluation details_input'!$R$3:$R$1000,M$14)+COUNTIFS('Evaluation details_input'!$F$3:$F$1000,$B17,'Evaluation details_input'!$H$3:$H$1000,M$14,'Evaluation details_input'!$J$3:$J$1000,"Not accepted",'Evaluation details_input'!$N$3:$N$1000,"Disagree with original translator", 'Evaluation details_input'!$P$3:$P$1000,"")+COUNTIFS('Evaluation details_input'!$F$3:$F$1000,$B17,'Evaluation details_input'!$H$3:$H$1000,M$14,'Evaluation details_input'!$J$3:$J$1000,"Accepted", 'Evaluation details_input'!$P$3:$P$1000,""))</f>
        <v>0</v>
      </c>
      <c r="N17" s="466"/>
      <c r="O17" s="434">
        <f>M17*100</f>
        <v>0</v>
      </c>
      <c r="P17" s="435"/>
      <c r="Q17" s="475">
        <f>G17+K17+O17</f>
        <v>0</v>
      </c>
      <c r="R17" s="445"/>
      <c r="T17" s="458">
        <f>COUNTIF('Evaluation details_input'!$J$4:$J1000,"Accepted")</f>
        <v>0</v>
      </c>
      <c r="U17" s="459"/>
      <c r="V17" s="55"/>
      <c r="W17" s="55"/>
      <c r="X17" s="55">
        <f>COUNTIF('Evaluation details_input'!$J$4:$J1000,"Not accepted")</f>
        <v>0</v>
      </c>
      <c r="Y17" s="113"/>
    </row>
    <row r="18" spans="2:25" ht="15" customHeight="1">
      <c r="B18" s="172" t="str">
        <f>Setup!M2</f>
        <v>Style</v>
      </c>
      <c r="C18" s="310">
        <f xml:space="preserve"> IF(COUNTIF('Evaluation details_input'!$J$4:$J$1000,"*accepted")=0,'Evaluation Report_Initial'!C18,COUNTIFS('Evaluation details_input'!$P$3:$P$1000,$B18,'Evaluation details_input'!$R$3:$R$1000,$C$14)+COUNTIFS('Evaluation details_input'!$F$3:$F$1000,$B18,'Evaluation details_input'!$H$3:$H$1000,$C$14,'Evaluation details_input'!$J$3:$J$1000,"Not accepted",'Evaluation details_input'!$N$3:$N$1000,"Disagree with original translator", 'Evaluation details_input'!$P$3:$P$1000,"")+COUNTIFS('Evaluation details_input'!$F$3:$F$1000,$B18,'Evaluation details_input'!$H$3:$H$1000,$C$14,'Evaluation details_input'!$J$3:$J$1000,"Accepted", 'Evaluation details_input'!$P$3:$P$1000,""))</f>
        <v>0</v>
      </c>
      <c r="D18" s="311"/>
      <c r="E18" s="465">
        <f>SUM(Setup!AY26:AY33)</f>
        <v>0</v>
      </c>
      <c r="F18" s="466"/>
      <c r="G18" s="310">
        <f>IF(Adequacy="Economy","Out of Scope",SUM(Setup!AZ26:AZ33))</f>
        <v>0</v>
      </c>
      <c r="H18" s="311"/>
      <c r="I18" s="511">
        <f xml:space="preserve"> IF(COUNTIF('Evaluation details_input'!$J$4:$J$1000,"*accepted")=0,'Evaluation Report_Initial'!I18,COUNTIFS('Evaluation details_input'!$P$3:$P$1000,$B18,'Evaluation details_input'!$R$3:$R$1000,I$14)+COUNTIFS('Evaluation details_input'!$F$3:$F$1000,$B18,'Evaluation details_input'!$H$3:$H$1000,I$14,'Evaluation details_input'!$J$3:$J$1000,"Not accepted",'Evaluation details_input'!$N$3:$N$1000,"Disagree with original translator", 'Evaluation details_input'!$P$3:$P$1000,"")+COUNTIFS('Evaluation details_input'!$F$3:$F$1000,$B18,'Evaluation details_input'!$H$3:$H$1000,I$14,'Evaluation details_input'!$J$3:$J$1000,"Accepted", 'Evaluation details_input'!$P$3:$P$1000,""))</f>
        <v>0</v>
      </c>
      <c r="J18" s="340"/>
      <c r="K18" s="310">
        <f>IF(Adequacy="Economy","Out of Scope",SUM(Setup!BD26:BD33))</f>
        <v>0</v>
      </c>
      <c r="L18" s="311"/>
      <c r="M18" s="465">
        <f xml:space="preserve"> IF(COUNTIF('Evaluation details_input'!$J$4:$J$1000,"*accepted")=0,'Evaluation Report_Initial'!M18,COUNTIFS('Evaluation details_input'!$P$3:$P$1000,$B18,'Evaluation details_input'!$R$3:$R$1000,M$14)+COUNTIFS('Evaluation details_input'!$F$3:$F$1000,$B18,'Evaluation details_input'!$H$3:$H$1000,M$14,'Evaluation details_input'!$J$3:$J$1000,"Not accepted",'Evaluation details_input'!$N$3:$N$1000,"Disagree with original translator", 'Evaluation details_input'!$P$3:$P$1000,"")+COUNTIFS('Evaluation details_input'!$F$3:$F$1000,$B18,'Evaluation details_input'!$H$3:$H$1000,M$14,'Evaluation details_input'!$J$3:$J$1000,"Accepted", 'Evaluation details_input'!$P$3:$P$1000,""))</f>
        <v>0</v>
      </c>
      <c r="N18" s="466"/>
      <c r="O18" s="325">
        <f>IF(Adequacy="Economy","Out of Scope",M18*100)</f>
        <v>0</v>
      </c>
      <c r="P18" s="326"/>
      <c r="Q18" s="444">
        <f>IF(Adequacy="Economy","Out of Scope",G18+K18+O18)</f>
        <v>0</v>
      </c>
      <c r="R18" s="445"/>
      <c r="T18" s="451" t="s">
        <v>2472</v>
      </c>
      <c r="U18" s="452"/>
      <c r="V18" s="452"/>
      <c r="W18" s="452"/>
      <c r="X18" s="452"/>
      <c r="Y18" s="453"/>
    </row>
    <row r="19" spans="2:25" ht="15" customHeight="1">
      <c r="B19" s="171" t="str">
        <f>Setup!N2</f>
        <v>Locale conventions</v>
      </c>
      <c r="C19" s="329">
        <f xml:space="preserve"> IF(COUNTIF('Evaluation details_input'!$J$4:$J$1000,"*accepted")=0,'Evaluation Report_Initial'!C19,COUNTIFS('Evaluation details_input'!$P$3:$P$1000,$B19,'Evaluation details_input'!$R$3:$R$1000,$C$14)+COUNTIFS('Evaluation details_input'!$F$3:$F$1000,$B19,'Evaluation details_input'!$H$3:$H$1000,$C$14,'Evaluation details_input'!$J$3:$J$1000,"Not accepted",'Evaluation details_input'!$N$3:$N$1000,"Disagree with original translator", 'Evaluation details_input'!$P$3:$P$1000,"")+COUNTIFS('Evaluation details_input'!$F$3:$F$1000,$B19,'Evaluation details_input'!$H$3:$H$1000,$C$14,'Evaluation details_input'!$J$3:$J$1000,"Accepted", 'Evaluation details_input'!$P$3:$P$1000,""))</f>
        <v>0</v>
      </c>
      <c r="D19" s="330"/>
      <c r="E19" s="465">
        <f>SUM(Setup!AY35:AY43)</f>
        <v>0</v>
      </c>
      <c r="F19" s="466"/>
      <c r="G19" s="329">
        <f>SUM(Setup!AZ35:AZ43)</f>
        <v>0</v>
      </c>
      <c r="H19" s="330"/>
      <c r="I19" s="511">
        <f xml:space="preserve"> IF(COUNTIF('Evaluation details_input'!$J$4:$J$1000,"*accepted")=0,'Evaluation Report_Initial'!I19,COUNTIFS('Evaluation details_input'!$P$3:$P$1000,$B19,'Evaluation details_input'!$R$3:$R$1000,I$14)+COUNTIFS('Evaluation details_input'!$F$3:$F$1000,$B19,'Evaluation details_input'!$H$3:$H$1000,I$14,'Evaluation details_input'!$J$3:$J$1000,"Not accepted",'Evaluation details_input'!$N$3:$N$1000,"Disagree with original translator", 'Evaluation details_input'!$P$3:$P$1000,"")+COUNTIFS('Evaluation details_input'!$F$3:$F$1000,$B19,'Evaluation details_input'!$H$3:$H$1000,I$14,'Evaluation details_input'!$J$3:$J$1000,"Accepted", 'Evaluation details_input'!$P$3:$P$1000,""))</f>
        <v>0</v>
      </c>
      <c r="J19" s="340"/>
      <c r="K19" s="329">
        <f>SUM(Setup!BD35:BD43)</f>
        <v>0</v>
      </c>
      <c r="L19" s="330"/>
      <c r="M19" s="465">
        <f xml:space="preserve"> IF(COUNTIF('Evaluation details_input'!$J$4:$J$1000,"*accepted")=0,'Evaluation Report_Initial'!M19,COUNTIFS('Evaluation details_input'!$P$3:$P$1000,$B19,'Evaluation details_input'!$R$3:$R$1000,M$14)+COUNTIFS('Evaluation details_input'!$F$3:$F$1000,$B19,'Evaluation details_input'!$H$3:$H$1000,M$14,'Evaluation details_input'!$J$3:$J$1000,"Not accepted",'Evaluation details_input'!$N$3:$N$1000,"Disagree with original translator", 'Evaluation details_input'!$P$3:$P$1000,"")+COUNTIFS('Evaluation details_input'!$F$3:$F$1000,$B19,'Evaluation details_input'!$H$3:$H$1000,M$14,'Evaluation details_input'!$J$3:$J$1000,"Accepted", 'Evaluation details_input'!$P$3:$P$1000,""))</f>
        <v>0</v>
      </c>
      <c r="N19" s="466"/>
      <c r="O19" s="434">
        <f>M19*100</f>
        <v>0</v>
      </c>
      <c r="P19" s="435"/>
      <c r="Q19" s="475">
        <f>G19+K19+O19</f>
        <v>0</v>
      </c>
      <c r="R19" s="445"/>
      <c r="T19" s="460" t="str">
        <f>IF('Evaluation Report_Initial'!F30=0,"100%",T17/(T17+X17))</f>
        <v>100%</v>
      </c>
      <c r="U19" s="461"/>
      <c r="V19" s="461"/>
      <c r="W19" s="461"/>
      <c r="X19" s="461"/>
      <c r="Y19" s="462"/>
    </row>
    <row r="20" spans="2:25" ht="15" customHeight="1">
      <c r="B20" s="181" t="str">
        <f>Setup!O2</f>
        <v>Audience appropriateness</v>
      </c>
      <c r="C20" s="310">
        <f xml:space="preserve"> IF(COUNTIF('Evaluation details_input'!$J$4:$J$1000,"*accepted")=0,'Evaluation Report_Initial'!C20,COUNTIFS('Evaluation details_input'!$P$3:$P$1000,$B20,'Evaluation details_input'!$R$3:$R$1000,$C$14)+COUNTIFS('Evaluation details_input'!$F$3:$F$1000,$B20,'Evaluation details_input'!$H$3:$H$1000,$C$14,'Evaluation details_input'!$J$3:$J$1000,"Not accepted",'Evaluation details_input'!$N$3:$N$1000,"Disagree with original translator", 'Evaluation details_input'!$P$3:$P$1000,"")+COUNTIFS('Evaluation details_input'!$F$3:$F$1000,$B20,'Evaluation details_input'!$H$3:$H$1000,$C$14,'Evaluation details_input'!$J$3:$J$1000,"Accepted", 'Evaluation details_input'!$P$3:$P$1000,""))</f>
        <v>0</v>
      </c>
      <c r="D20" s="311"/>
      <c r="E20" s="465">
        <f>SUM(Setup!AY45:AY46)</f>
        <v>0</v>
      </c>
      <c r="F20" s="466"/>
      <c r="G20" s="310">
        <f>IF(Adequacy="Economy","Out of Scope",SUM(Setup!AZ45:AZ46))</f>
        <v>0</v>
      </c>
      <c r="H20" s="311"/>
      <c r="I20" s="511">
        <f xml:space="preserve"> IF(COUNTIF('Evaluation details_input'!$J$4:$J$1000,"*accepted")=0,'Evaluation Report_Initial'!I20,COUNTIFS('Evaluation details_input'!$P$3:$P$1000,$B20,'Evaluation details_input'!$R$3:$R$1000,I$14)+COUNTIFS('Evaluation details_input'!$F$3:$F$1000,$B20,'Evaluation details_input'!$H$3:$H$1000,I$14,'Evaluation details_input'!$J$3:$J$1000,"Not accepted",'Evaluation details_input'!$N$3:$N$1000,"Disagree with original translator", 'Evaluation details_input'!$P$3:$P$1000,"")+COUNTIFS('Evaluation details_input'!$F$3:$F$1000,$B20,'Evaluation details_input'!$H$3:$H$1000,I$14,'Evaluation details_input'!$J$3:$J$1000,"Accepted", 'Evaluation details_input'!$P$3:$P$1000,""))</f>
        <v>0</v>
      </c>
      <c r="J20" s="340"/>
      <c r="K20" s="310">
        <f>IF(Adequacy="Economy","Out of Scope",SUM(Setup!BD45:BD46))</f>
        <v>0</v>
      </c>
      <c r="L20" s="311"/>
      <c r="M20" s="465">
        <f xml:space="preserve"> IF(COUNTIF('Evaluation details_input'!$J$4:$J$1000,"*accepted")=0,'Evaluation Report_Initial'!M20,COUNTIFS('Evaluation details_input'!$P$3:$P$1000,$B20,'Evaluation details_input'!$R$3:$R$1000,M$14)+COUNTIFS('Evaluation details_input'!$F$3:$F$1000,$B20,'Evaluation details_input'!$H$3:$H$1000,M$14,'Evaluation details_input'!$J$3:$J$1000,"Not accepted",'Evaluation details_input'!$N$3:$N$1000,"Disagree with original translator", 'Evaluation details_input'!$P$3:$P$1000,"")+COUNTIFS('Evaluation details_input'!$F$3:$F$1000,$B20,'Evaluation details_input'!$H$3:$H$1000,M$14,'Evaluation details_input'!$J$3:$J$1000,"Accepted", 'Evaluation details_input'!$P$3:$P$1000,""))</f>
        <v>0</v>
      </c>
      <c r="N20" s="466"/>
      <c r="O20" s="325">
        <f>IF(Adequacy="Economy","Out of Scope",M20*100)</f>
        <v>0</v>
      </c>
      <c r="P20" s="326"/>
      <c r="Q20" s="475">
        <f>IF(Adequacy="Economy","Out of Scope",G20+K20+O20)</f>
        <v>0</v>
      </c>
      <c r="R20" s="445"/>
      <c r="T20" s="451" t="s">
        <v>2473</v>
      </c>
      <c r="U20" s="452"/>
      <c r="V20" s="452"/>
      <c r="W20" s="452"/>
      <c r="X20" s="452"/>
      <c r="Y20" s="453"/>
    </row>
    <row r="21" spans="2:25" ht="15" customHeight="1">
      <c r="B21" s="173" t="str">
        <f>Setup!P2</f>
        <v>Design and markup</v>
      </c>
      <c r="C21" s="310">
        <f xml:space="preserve"> IF(COUNTIF('Evaluation details_input'!$J$4:$J$1000,"*accepted")=0,'Evaluation Report_Initial'!C21,COUNTIFS('Evaluation details_input'!$P$3:$P$1000,$B21,'Evaluation details_input'!$R$3:$R$1000,$C$14)+COUNTIFS('Evaluation details_input'!$F$3:$F$1000,$B21,'Evaluation details_input'!$H$3:$H$1000,$C$14,'Evaluation details_input'!$J$3:$J$1000,"Not accepted",'Evaluation details_input'!$N$3:$N$1000,"Disagree with original translator", 'Evaluation details_input'!$P$3:$P$1000,"")+COUNTIFS('Evaluation details_input'!$F$3:$F$1000,$B21,'Evaluation details_input'!$H$3:$H$1000,$C$14,'Evaluation details_input'!$J$3:$J$1000,"Accepted", 'Evaluation details_input'!$P$3:$P$1000,""))</f>
        <v>0</v>
      </c>
      <c r="D21" s="311"/>
      <c r="E21" s="465">
        <f>SUM(Setup!AY48:AY54)</f>
        <v>0</v>
      </c>
      <c r="F21" s="466"/>
      <c r="G21" s="310">
        <f>IF(Adequacy="Economy","Out of Scope",SUM(Setup!AZ48:AZ54))</f>
        <v>0</v>
      </c>
      <c r="H21" s="311"/>
      <c r="I21" s="511">
        <f xml:space="preserve"> IF(COUNTIF('Evaluation details_input'!$J$4:$J$1000,"*accepted")=0,'Evaluation Report_Initial'!I21,COUNTIFS('Evaluation details_input'!$P$3:$P$1000,$B21,'Evaluation details_input'!$R$3:$R$1000,I$14)+COUNTIFS('Evaluation details_input'!$F$3:$F$1000,$B21,'Evaluation details_input'!$H$3:$H$1000,I$14,'Evaluation details_input'!$J$3:$J$1000,"Not accepted",'Evaluation details_input'!$N$3:$N$1000,"Disagree with original translator", 'Evaluation details_input'!$P$3:$P$1000,"")+COUNTIFS('Evaluation details_input'!$F$3:$F$1000,$B21,'Evaluation details_input'!$H$3:$H$1000,I$14,'Evaluation details_input'!$J$3:$J$1000,"Accepted", 'Evaluation details_input'!$P$3:$P$1000,""))</f>
        <v>0</v>
      </c>
      <c r="J21" s="340"/>
      <c r="K21" s="310">
        <f>IF(Adequacy="Economy","Out of Scope",SUM(Setup!BD48:BD54))</f>
        <v>0</v>
      </c>
      <c r="L21" s="311"/>
      <c r="M21" s="465">
        <f xml:space="preserve"> IF(COUNTIF('Evaluation details_input'!$J$4:$J$1000,"*accepted")=0,'Evaluation Report_Initial'!M21,COUNTIFS('Evaluation details_input'!$P$3:$P$1000,$B21,'Evaluation details_input'!$R$3:$R$1000,M$14)+COUNTIFS('Evaluation details_input'!$F$3:$F$1000,$B21,'Evaluation details_input'!$H$3:$H$1000,M$14,'Evaluation details_input'!$J$3:$J$1000,"Not accepted",'Evaluation details_input'!$N$3:$N$1000,"Disagree with original translator", 'Evaluation details_input'!$P$3:$P$1000,"")+COUNTIFS('Evaluation details_input'!$F$3:$F$1000,$B21,'Evaluation details_input'!$H$3:$H$1000,M$14,'Evaluation details_input'!$J$3:$J$1000,"Accepted", 'Evaluation details_input'!$P$3:$P$1000,""))</f>
        <v>0</v>
      </c>
      <c r="N21" s="466"/>
      <c r="O21" s="325">
        <f>IF(Adequacy="Economy","Out of Scope",M21*100)</f>
        <v>0</v>
      </c>
      <c r="P21" s="326"/>
      <c r="Q21" s="475">
        <f>IF(Adequacy="Economy","Out of Scope",G21+K21+O21)</f>
        <v>0</v>
      </c>
      <c r="R21" s="445"/>
      <c r="T21" s="454" t="s">
        <v>2474</v>
      </c>
      <c r="U21" s="455"/>
      <c r="V21" s="455"/>
      <c r="W21" s="456" t="s">
        <v>2475</v>
      </c>
      <c r="X21" s="456"/>
      <c r="Y21" s="457"/>
    </row>
    <row r="22" spans="2:25" ht="15" customHeight="1" thickBot="1">
      <c r="B22" s="174" t="str">
        <f>Setup!Q2</f>
        <v>Other</v>
      </c>
      <c r="C22" s="318">
        <f xml:space="preserve"> IF(COUNTIF('Evaluation details_input'!$J$4:$J$1000,"*accepted")=0,'Evaluation Report_Initial'!C22,COUNTIFS('Evaluation details_input'!$P$3:$P$1000,$B22,'Evaluation details_input'!$R$3:$R$1000,$C$14)+COUNTIFS('Evaluation details_input'!$F$3:$F$1000,$B22,'Evaluation details_input'!$H$3:$H$1000,$C$14,'Evaluation details_input'!$J$3:$J$1000,"Not accepted",'Evaluation details_input'!$N$3:$N$1000,"Disagree with original translator", 'Evaluation details_input'!$P$3:$P$1000,"")+COUNTIFS('Evaluation details_input'!$F$3:$F$1000,$B22,'Evaluation details_input'!$H$3:$H$1000,$C$14,'Evaluation details_input'!$J$3:$J$1000,"Accepted", 'Evaluation details_input'!$P$3:$P$1000,""))</f>
        <v>0</v>
      </c>
      <c r="D22" s="319"/>
      <c r="E22" s="467">
        <f>SUM(Setup!AY56:AY58)</f>
        <v>0</v>
      </c>
      <c r="F22" s="468"/>
      <c r="G22" s="318">
        <f>IF(Adequacy="Economy","Out of Scope",0)</f>
        <v>0</v>
      </c>
      <c r="H22" s="319"/>
      <c r="I22" s="474">
        <f xml:space="preserve"> IF(COUNTIF('Evaluation details_input'!$J$4:$J$1000,"*accepted")=0,'Evaluation Report_Initial'!I22,COUNTIFS('Evaluation details_input'!$P$3:$P$1000,$B22,'Evaluation details_input'!$R$3:$R$1000,I$14)+COUNTIFS('Evaluation details_input'!$F$3:$F$1000,$B22,'Evaluation details_input'!$H$3:$H$1000,I$14,'Evaluation details_input'!$J$3:$J$1000,"Not accepted",'Evaluation details_input'!$N$3:$N$1000,"Disagree with original translator", 'Evaluation details_input'!$P$3:$P$1000,"")+COUNTIFS('Evaluation details_input'!$F$3:$F$1000,$B22,'Evaluation details_input'!$H$3:$H$1000,I$14,'Evaluation details_input'!$J$3:$J$1000,"Accepted", 'Evaluation details_input'!$P$3:$P$1000,""))</f>
        <v>0</v>
      </c>
      <c r="J22" s="333"/>
      <c r="K22" s="318">
        <f>IF(Adequacy="Economy","Out of Scope",0)</f>
        <v>0</v>
      </c>
      <c r="L22" s="319"/>
      <c r="M22" s="467">
        <f xml:space="preserve"> IF(COUNTIF('Evaluation details_input'!$J$4:$J$1000,"*accepted")=0,'Evaluation Report_Initial'!M22,COUNTIFS('Evaluation details_input'!$P$3:$P$1000,$B22,'Evaluation details_input'!$R$3:$R$1000,M$14)+COUNTIFS('Evaluation details_input'!$F$3:$F$1000,$B22,'Evaluation details_input'!$H$3:$H$1000,M$14,'Evaluation details_input'!$J$3:$J$1000,"Not accepted",'Evaluation details_input'!$N$3:$N$1000,"Disagree with original translator", 'Evaluation details_input'!$P$3:$P$1000,"")+COUNTIFS('Evaluation details_input'!$F$3:$F$1000,$B22,'Evaluation details_input'!$H$3:$H$1000,M$14,'Evaluation details_input'!$J$3:$J$1000,"Accepted", 'Evaluation details_input'!$P$3:$P$1000,""))</f>
        <v>0</v>
      </c>
      <c r="N22" s="468"/>
      <c r="O22" s="416">
        <f>IF(Adequacy="Economy","Out of Scope",0)</f>
        <v>0</v>
      </c>
      <c r="P22" s="319"/>
      <c r="Q22" s="479">
        <f>IF(Adequacy="Economy","Out of Scope",G22+K22+O22)</f>
        <v>0</v>
      </c>
      <c r="R22" s="324"/>
      <c r="T22" s="458">
        <f>COUNTIFS('Evaluation details_input'!$N$4:$N$1000,"Agree with original translator",'Evaluation details_input'!$J$4:$J$1000,"Not accepted")</f>
        <v>0</v>
      </c>
      <c r="U22" s="459"/>
      <c r="V22" s="55"/>
      <c r="W22" s="55"/>
      <c r="X22" s="55">
        <f>COUNTIFS('Evaluation details_input'!$N$4:$N$1000,"Disagree with original translator",'Evaluation details_input'!$J$4:$J$1000,"Not accepted")</f>
        <v>0</v>
      </c>
      <c r="Y22" s="113"/>
    </row>
    <row r="23" spans="2:25" ht="15" customHeight="1" thickTop="1" thickBot="1">
      <c r="B23" s="22"/>
      <c r="C23" s="19"/>
      <c r="D23" s="20"/>
      <c r="E23" s="19"/>
      <c r="F23" s="19"/>
      <c r="G23" s="19"/>
      <c r="H23" s="19"/>
      <c r="I23" s="19"/>
      <c r="J23" s="19"/>
      <c r="K23" s="20"/>
      <c r="L23" s="20"/>
      <c r="M23" s="338">
        <f>SUM(M15:N22)</f>
        <v>0</v>
      </c>
      <c r="N23" s="338"/>
      <c r="O23" s="20"/>
      <c r="P23" s="20"/>
      <c r="Q23" s="20"/>
      <c r="R23" s="4"/>
      <c r="T23" s="451" t="s">
        <v>2476</v>
      </c>
      <c r="U23" s="452"/>
      <c r="V23" s="452"/>
      <c r="W23" s="452"/>
      <c r="X23" s="452"/>
      <c r="Y23" s="453"/>
    </row>
    <row r="24" spans="2:25" ht="15" customHeight="1" thickTop="1" thickBot="1">
      <c r="B24" s="22"/>
      <c r="C24" s="469" t="s">
        <v>2440</v>
      </c>
      <c r="D24" s="470"/>
      <c r="E24" s="470"/>
      <c r="F24" s="471"/>
      <c r="G24" s="104">
        <f>COUNTIF('Evaluation details_input'!$T$4:$T$1000,1)</f>
        <v>0</v>
      </c>
      <c r="H24" s="25"/>
      <c r="J24" s="469" t="s">
        <v>2441</v>
      </c>
      <c r="K24" s="470"/>
      <c r="L24" s="470"/>
      <c r="M24" s="471"/>
      <c r="N24" s="104">
        <f>COUNTIF('Evaluation details_input'!$U$4:$U$1000,1)</f>
        <v>0</v>
      </c>
      <c r="R24" s="4"/>
      <c r="T24" s="533" t="str">
        <f>IF('Evaluation Report_Initial'!F30=0,"100%",(T17+X22)/(T17+X17))</f>
        <v>100%</v>
      </c>
      <c r="U24" s="534"/>
      <c r="V24" s="534"/>
      <c r="W24" s="534"/>
      <c r="X24" s="534"/>
      <c r="Y24" s="535"/>
    </row>
    <row r="25" spans="2:25" ht="15" customHeight="1" thickTop="1" thickBot="1">
      <c r="B25" s="3"/>
      <c r="C25" s="409"/>
      <c r="D25" s="409"/>
      <c r="E25" s="4"/>
      <c r="F25" s="4"/>
      <c r="G25" s="400"/>
      <c r="H25" s="400"/>
      <c r="I25" s="4"/>
      <c r="J25" s="4"/>
      <c r="K25" s="11"/>
      <c r="L25" s="10"/>
      <c r="M25" s="10"/>
      <c r="N25" s="10"/>
      <c r="O25" s="10"/>
      <c r="P25" s="10"/>
      <c r="Q25" s="10"/>
      <c r="R25" s="6"/>
    </row>
    <row r="26" spans="2:25" ht="18" customHeight="1" thickTop="1">
      <c r="B26" s="320" t="s">
        <v>3</v>
      </c>
      <c r="C26" s="321"/>
      <c r="D26" s="321"/>
      <c r="E26" s="321"/>
      <c r="F26" s="321"/>
      <c r="G26" s="321"/>
      <c r="H26" s="321"/>
      <c r="I26" s="321"/>
      <c r="J26" s="321"/>
      <c r="K26" s="321"/>
      <c r="L26" s="321"/>
      <c r="M26" s="321"/>
      <c r="N26" s="321"/>
      <c r="O26" s="321"/>
      <c r="P26" s="321"/>
      <c r="Q26" s="321"/>
      <c r="R26" s="322"/>
      <c r="S26" s="45"/>
      <c r="T26" s="527" t="s">
        <v>513</v>
      </c>
      <c r="U26" s="528"/>
      <c r="V26" s="528"/>
      <c r="W26" s="528"/>
      <c r="X26" s="528"/>
      <c r="Y26" s="529"/>
    </row>
    <row r="27" spans="2:25" ht="15" customHeight="1" thickBot="1">
      <c r="B27" s="93"/>
      <c r="C27" s="5"/>
      <c r="D27" s="5"/>
      <c r="E27" s="5"/>
      <c r="F27" s="5"/>
      <c r="G27" s="5"/>
      <c r="H27" s="5"/>
      <c r="I27" s="5"/>
      <c r="J27" s="2"/>
      <c r="K27" s="2"/>
      <c r="L27" s="2"/>
      <c r="M27" s="2"/>
      <c r="N27" s="2"/>
      <c r="O27" s="2"/>
      <c r="P27" s="2"/>
      <c r="Q27" s="2"/>
      <c r="R27" s="94"/>
      <c r="S27" s="46"/>
      <c r="T27" s="530"/>
      <c r="U27" s="531"/>
      <c r="V27" s="531"/>
      <c r="W27" s="531"/>
      <c r="X27" s="531"/>
      <c r="Y27" s="532"/>
    </row>
    <row r="28" spans="2:25" ht="20.100000000000001" customHeight="1">
      <c r="B28" s="95"/>
      <c r="C28" s="300" t="s">
        <v>2442</v>
      </c>
      <c r="D28" s="301"/>
      <c r="E28" s="2"/>
      <c r="F28" s="312" t="s">
        <v>2439</v>
      </c>
      <c r="G28" s="313"/>
      <c r="H28" s="314"/>
      <c r="I28" s="2"/>
      <c r="J28" s="304" t="s">
        <v>587</v>
      </c>
      <c r="K28" s="305"/>
      <c r="L28" s="306"/>
      <c r="M28" s="341" t="s">
        <v>588</v>
      </c>
      <c r="N28" s="342"/>
      <c r="O28" s="342"/>
      <c r="P28" s="342"/>
      <c r="Q28" s="342"/>
      <c r="R28" s="343"/>
      <c r="S28" s="47"/>
      <c r="T28" s="477" t="s">
        <v>511</v>
      </c>
      <c r="U28" s="478"/>
      <c r="V28" s="54">
        <f>COUNTIF('Evaluation details_input'!S4:S1000,T28)</f>
        <v>0</v>
      </c>
      <c r="W28" s="2"/>
      <c r="X28" s="2"/>
      <c r="Y28" s="94"/>
    </row>
    <row r="29" spans="2:25" ht="20.100000000000001" customHeight="1">
      <c r="B29" s="96"/>
      <c r="C29" s="302"/>
      <c r="D29" s="303"/>
      <c r="E29" s="2"/>
      <c r="F29" s="315"/>
      <c r="G29" s="316"/>
      <c r="H29" s="317"/>
      <c r="I29" s="2"/>
      <c r="J29" s="307"/>
      <c r="K29" s="308"/>
      <c r="L29" s="309"/>
      <c r="M29" s="341"/>
      <c r="N29" s="342"/>
      <c r="O29" s="342"/>
      <c r="P29" s="342"/>
      <c r="Q29" s="342"/>
      <c r="R29" s="343"/>
      <c r="S29" s="18"/>
      <c r="T29" s="477" t="s">
        <v>512</v>
      </c>
      <c r="U29" s="478"/>
      <c r="V29" s="54">
        <f>COUNTIF('Evaluation details_input'!S4:S1000,T29)</f>
        <v>0</v>
      </c>
      <c r="W29" s="2"/>
      <c r="X29" s="2"/>
      <c r="Y29" s="94"/>
    </row>
    <row r="30" spans="2:25" ht="20.100000000000001" customHeight="1" thickBot="1">
      <c r="B30" s="97"/>
      <c r="C30" s="411">
        <f>'Evaluation Report_Initial'!C30</f>
        <v>0</v>
      </c>
      <c r="D30" s="412"/>
      <c r="E30" s="55"/>
      <c r="F30" s="413">
        <f>IF(Adequacy="Basic",SUM(Q15:Q19),SUM(Q15:Q22))</f>
        <v>0</v>
      </c>
      <c r="G30" s="414"/>
      <c r="H30" s="415"/>
      <c r="I30" s="55"/>
      <c r="J30" s="350" t="e">
        <f>1-(SUM(E15:F22,I15:J22,M15:N22)/M10)</f>
        <v>#DIV/0!</v>
      </c>
      <c r="K30" s="351"/>
      <c r="L30" s="352"/>
      <c r="M30" s="2"/>
      <c r="N30" s="2"/>
      <c r="O30" s="2"/>
      <c r="P30" s="2"/>
      <c r="Q30" s="31"/>
      <c r="R30" s="94"/>
      <c r="S30" s="48"/>
      <c r="T30" s="477" t="s">
        <v>515</v>
      </c>
      <c r="U30" s="478"/>
      <c r="V30" s="54">
        <f>COUNTIF('Evaluation details_input'!S4:S1000,T30)</f>
        <v>0</v>
      </c>
      <c r="W30" s="2"/>
      <c r="X30" s="2"/>
      <c r="Y30" s="94"/>
    </row>
    <row r="31" spans="2:25" ht="15" customHeight="1" thickBot="1">
      <c r="B31" s="97"/>
      <c r="C31" s="2"/>
      <c r="D31" s="2"/>
      <c r="E31" s="17"/>
      <c r="F31" s="404"/>
      <c r="G31" s="404"/>
      <c r="H31" s="44"/>
      <c r="I31" s="2"/>
      <c r="J31" s="2"/>
      <c r="K31" s="28"/>
      <c r="L31" s="28"/>
      <c r="M31" s="28"/>
      <c r="N31" s="28"/>
      <c r="O31" s="28"/>
      <c r="P31" s="28"/>
      <c r="Q31" s="21"/>
      <c r="R31" s="98"/>
      <c r="S31" s="48"/>
      <c r="T31" s="110"/>
      <c r="U31" s="2"/>
      <c r="V31" s="2"/>
      <c r="W31" s="2"/>
      <c r="X31" s="2"/>
      <c r="Y31" s="94"/>
    </row>
    <row r="32" spans="2:25" ht="15" customHeight="1" thickBot="1">
      <c r="B32" s="97"/>
      <c r="C32" s="403" t="s">
        <v>2408</v>
      </c>
      <c r="D32" s="403"/>
      <c r="E32" s="403"/>
      <c r="F32" s="403"/>
      <c r="G32" s="403"/>
      <c r="H32" s="403"/>
      <c r="I32" s="2"/>
      <c r="J32" s="417" t="e">
        <f xml:space="preserve">
ROUNDDOWN(IF(Adequacy="Value",
IF(100-(F30/2/M10)*1100&lt;0,0,100-(F30/2/M10)*1100),
IF(Adequacy="Economy",
IF(100-(F30/4/M10)*1100&lt;0,0,100-(F30/4/M10)*1100),
IF(100-(F30/M10)*1100&lt;0,0,100-(F30/M10)*1100))),0)</f>
        <v>#DIV/0!</v>
      </c>
      <c r="K32" s="418"/>
      <c r="L32" s="419"/>
      <c r="M32" s="405" t="str">
        <f xml:space="preserve">
IF(M10&lt;500,"Small File QE",
IF(J32&gt;=90,"Pass","No Pass"))</f>
        <v>Small File QE</v>
      </c>
      <c r="N32" s="406"/>
      <c r="O32" s="50"/>
      <c r="P32" s="50"/>
      <c r="Q32" s="2"/>
      <c r="R32" s="98"/>
      <c r="S32" s="48"/>
      <c r="T32" s="131" t="s">
        <v>2635</v>
      </c>
      <c r="U32" s="132"/>
      <c r="V32" s="132"/>
      <c r="W32" s="266" t="str">
        <f>IF(V28+V29=0,"N/A",V28/(V28+V29)*100)</f>
        <v>N/A</v>
      </c>
      <c r="X32" s="2"/>
      <c r="Y32" s="94"/>
    </row>
    <row r="33" spans="2:26" ht="15" customHeight="1" thickBot="1">
      <c r="B33" s="97"/>
      <c r="C33" s="119">
        <v>0</v>
      </c>
      <c r="D33" s="118" t="s">
        <v>2409</v>
      </c>
      <c r="E33" s="401">
        <v>90</v>
      </c>
      <c r="F33" s="402"/>
      <c r="G33" s="126"/>
      <c r="H33" s="125" t="s">
        <v>2410</v>
      </c>
      <c r="I33" s="2"/>
      <c r="J33" s="420"/>
      <c r="K33" s="421"/>
      <c r="L33" s="422"/>
      <c r="M33" s="407"/>
      <c r="N33" s="408"/>
      <c r="O33" s="50"/>
      <c r="P33" s="50"/>
      <c r="Q33" s="2"/>
      <c r="R33" s="99"/>
      <c r="S33" s="48"/>
      <c r="T33" s="110"/>
      <c r="U33" s="2"/>
      <c r="V33" s="2"/>
      <c r="W33" s="44"/>
      <c r="X33" s="2"/>
      <c r="Y33" s="94"/>
    </row>
    <row r="34" spans="2:26" ht="15" customHeight="1" thickBot="1">
      <c r="B34" s="97"/>
      <c r="C34" s="427" t="s">
        <v>9</v>
      </c>
      <c r="D34" s="427"/>
      <c r="E34" s="410" t="s">
        <v>571</v>
      </c>
      <c r="F34" s="410"/>
      <c r="G34" s="426" t="s">
        <v>10</v>
      </c>
      <c r="H34" s="426"/>
      <c r="I34" s="2"/>
      <c r="J34" s="423" t="s">
        <v>1202</v>
      </c>
      <c r="K34" s="423"/>
      <c r="L34" s="423"/>
      <c r="M34" s="423"/>
      <c r="N34" s="423"/>
      <c r="O34" s="52"/>
      <c r="P34" s="52"/>
      <c r="Q34" s="52"/>
      <c r="R34" s="100"/>
      <c r="S34" s="48"/>
      <c r="T34" s="101"/>
      <c r="U34" s="102"/>
      <c r="V34" s="102"/>
      <c r="W34" s="102"/>
      <c r="X34" s="102"/>
      <c r="Y34" s="103"/>
    </row>
    <row r="35" spans="2:26" ht="15" customHeight="1" thickTop="1">
      <c r="B35" s="97"/>
      <c r="C35" s="53"/>
      <c r="D35" s="53"/>
      <c r="E35" s="51"/>
      <c r="F35" s="51"/>
      <c r="G35" s="53"/>
      <c r="H35" s="53"/>
      <c r="I35" s="2"/>
      <c r="J35" s="147" t="str">
        <f>IF(M10&lt;500,"",IF((J32&lt;90),"No Pass due to score less than 90",""))</f>
        <v/>
      </c>
      <c r="K35" s="2"/>
      <c r="L35" s="52"/>
      <c r="M35" s="52"/>
      <c r="N35" s="52"/>
      <c r="O35" s="52"/>
      <c r="P35" s="52"/>
      <c r="Q35" s="52"/>
      <c r="R35" s="100"/>
      <c r="S35" s="48"/>
    </row>
    <row r="36" spans="2:26" ht="15" customHeight="1" thickBot="1">
      <c r="B36" s="134"/>
      <c r="C36" s="135"/>
      <c r="D36" s="135"/>
      <c r="E36" s="136"/>
      <c r="F36" s="136"/>
      <c r="G36" s="135"/>
      <c r="H36" s="135"/>
      <c r="I36" s="102"/>
      <c r="J36" s="137">
        <f>IF((SUM(M15:P21)&gt;=1),"No Pass due to Critical Error",0)</f>
        <v>0</v>
      </c>
      <c r="K36" s="102"/>
      <c r="L36" s="138"/>
      <c r="M36" s="138"/>
      <c r="N36" s="138"/>
      <c r="O36" s="138"/>
      <c r="P36" s="138"/>
      <c r="Q36" s="138"/>
      <c r="R36" s="139"/>
      <c r="S36" s="48"/>
      <c r="U36" s="2"/>
      <c r="V36" s="2"/>
      <c r="W36" s="2"/>
      <c r="X36" s="2"/>
      <c r="Y36" s="2"/>
      <c r="Z36" s="2"/>
    </row>
    <row r="37" spans="2:26" ht="15" customHeight="1" thickTop="1"/>
    <row r="38" spans="2:26" ht="15" customHeight="1">
      <c r="B38" s="37"/>
      <c r="C38" s="38"/>
      <c r="D38" s="38"/>
      <c r="E38" s="38"/>
      <c r="F38" s="38"/>
      <c r="G38" s="38"/>
      <c r="H38" s="38"/>
      <c r="I38" s="38"/>
    </row>
    <row r="39" spans="2:26" ht="15" customHeight="1">
      <c r="C39" s="38"/>
      <c r="D39" s="38"/>
      <c r="E39" s="38"/>
      <c r="F39" s="38"/>
      <c r="G39" s="38"/>
      <c r="H39" s="38"/>
      <c r="I39" s="38"/>
    </row>
    <row r="40" spans="2:26" ht="15" customHeight="1">
      <c r="B40" s="7"/>
      <c r="C40" s="8"/>
      <c r="D40" s="8"/>
      <c r="E40" s="8"/>
      <c r="F40" s="8"/>
      <c r="G40" s="8"/>
      <c r="H40" s="8"/>
      <c r="I40" s="8"/>
      <c r="J40" s="9"/>
      <c r="K40" s="9"/>
      <c r="L40" s="9"/>
      <c r="M40" s="9"/>
      <c r="N40" s="9"/>
      <c r="O40" s="9"/>
      <c r="P40" s="9"/>
      <c r="Q40" s="9"/>
      <c r="R40" s="9"/>
    </row>
    <row r="41" spans="2:26" ht="29.25" hidden="1" customHeight="1" thickTop="1" thickBot="1">
      <c r="B41" s="472" t="s">
        <v>2465</v>
      </c>
      <c r="C41" s="473"/>
      <c r="D41" s="473"/>
      <c r="E41" s="473"/>
      <c r="F41" s="473"/>
      <c r="G41" s="476" t="s">
        <v>2624</v>
      </c>
      <c r="H41" s="476"/>
      <c r="I41" s="476"/>
      <c r="J41" s="476"/>
      <c r="K41" s="476"/>
      <c r="L41" s="476"/>
      <c r="M41" s="476"/>
      <c r="N41" s="476"/>
      <c r="O41" s="463">
        <f>'Evaluation Report_Initial'!O38</f>
        <v>0</v>
      </c>
      <c r="P41" s="463"/>
      <c r="Q41" s="463"/>
      <c r="R41" s="464"/>
    </row>
    <row r="42" spans="2:26" ht="15" hidden="1" thickTop="1">
      <c r="B42" s="389">
        <f>'Evaluation Report_Initial'!B39</f>
        <v>0</v>
      </c>
      <c r="C42" s="390"/>
      <c r="D42" s="390"/>
      <c r="E42" s="390"/>
      <c r="F42" s="390"/>
      <c r="G42" s="390"/>
      <c r="H42" s="390"/>
      <c r="I42" s="390"/>
      <c r="J42" s="390"/>
      <c r="K42" s="390"/>
      <c r="L42" s="390"/>
      <c r="M42" s="390"/>
      <c r="N42" s="390"/>
      <c r="O42" s="390"/>
      <c r="P42" s="390"/>
      <c r="Q42" s="390"/>
      <c r="R42" s="391"/>
    </row>
    <row r="43" spans="2:26" hidden="1">
      <c r="B43" s="392"/>
      <c r="C43" s="393"/>
      <c r="D43" s="393"/>
      <c r="E43" s="393"/>
      <c r="F43" s="393"/>
      <c r="G43" s="393"/>
      <c r="H43" s="393"/>
      <c r="I43" s="393"/>
      <c r="J43" s="393"/>
      <c r="K43" s="393"/>
      <c r="L43" s="393"/>
      <c r="M43" s="393"/>
      <c r="N43" s="393"/>
      <c r="O43" s="393"/>
      <c r="P43" s="393"/>
      <c r="Q43" s="393"/>
      <c r="R43" s="394"/>
    </row>
    <row r="44" spans="2:26" hidden="1">
      <c r="B44" s="392"/>
      <c r="C44" s="393"/>
      <c r="D44" s="393"/>
      <c r="E44" s="393"/>
      <c r="F44" s="393"/>
      <c r="G44" s="393"/>
      <c r="H44" s="393"/>
      <c r="I44" s="393"/>
      <c r="J44" s="393"/>
      <c r="K44" s="393"/>
      <c r="L44" s="393"/>
      <c r="M44" s="393"/>
      <c r="N44" s="393"/>
      <c r="O44" s="393"/>
      <c r="P44" s="393"/>
      <c r="Q44" s="393"/>
      <c r="R44" s="394"/>
    </row>
    <row r="45" spans="2:26" hidden="1">
      <c r="B45" s="392"/>
      <c r="C45" s="393"/>
      <c r="D45" s="393"/>
      <c r="E45" s="393"/>
      <c r="F45" s="393"/>
      <c r="G45" s="393"/>
      <c r="H45" s="393"/>
      <c r="I45" s="393"/>
      <c r="J45" s="393"/>
      <c r="K45" s="393"/>
      <c r="L45" s="393"/>
      <c r="M45" s="393"/>
      <c r="N45" s="393"/>
      <c r="O45" s="393"/>
      <c r="P45" s="393"/>
      <c r="Q45" s="393"/>
      <c r="R45" s="394"/>
    </row>
    <row r="46" spans="2:26" hidden="1">
      <c r="B46" s="392"/>
      <c r="C46" s="393"/>
      <c r="D46" s="393"/>
      <c r="E46" s="393"/>
      <c r="F46" s="393"/>
      <c r="G46" s="393"/>
      <c r="H46" s="393"/>
      <c r="I46" s="393"/>
      <c r="J46" s="393"/>
      <c r="K46" s="393"/>
      <c r="L46" s="393"/>
      <c r="M46" s="393"/>
      <c r="N46" s="393"/>
      <c r="O46" s="393"/>
      <c r="P46" s="393"/>
      <c r="Q46" s="393"/>
      <c r="R46" s="394"/>
    </row>
    <row r="47" spans="2:26" hidden="1">
      <c r="B47" s="392"/>
      <c r="C47" s="393"/>
      <c r="D47" s="393"/>
      <c r="E47" s="393"/>
      <c r="F47" s="393"/>
      <c r="G47" s="393"/>
      <c r="H47" s="393"/>
      <c r="I47" s="393"/>
      <c r="J47" s="393"/>
      <c r="K47" s="393"/>
      <c r="L47" s="393"/>
      <c r="M47" s="393"/>
      <c r="N47" s="393"/>
      <c r="O47" s="393"/>
      <c r="P47" s="393"/>
      <c r="Q47" s="393"/>
      <c r="R47" s="394"/>
    </row>
    <row r="48" spans="2:26" hidden="1">
      <c r="B48" s="392"/>
      <c r="C48" s="393"/>
      <c r="D48" s="393"/>
      <c r="E48" s="393"/>
      <c r="F48" s="393"/>
      <c r="G48" s="393"/>
      <c r="H48" s="393"/>
      <c r="I48" s="393"/>
      <c r="J48" s="393"/>
      <c r="K48" s="393"/>
      <c r="L48" s="393"/>
      <c r="M48" s="393"/>
      <c r="N48" s="393"/>
      <c r="O48" s="393"/>
      <c r="P48" s="393"/>
      <c r="Q48" s="393"/>
      <c r="R48" s="394"/>
    </row>
    <row r="49" spans="2:18" hidden="1">
      <c r="B49" s="392"/>
      <c r="C49" s="393"/>
      <c r="D49" s="393"/>
      <c r="E49" s="393"/>
      <c r="F49" s="393"/>
      <c r="G49" s="393"/>
      <c r="H49" s="393"/>
      <c r="I49" s="393"/>
      <c r="J49" s="393"/>
      <c r="K49" s="393"/>
      <c r="L49" s="393"/>
      <c r="M49" s="393"/>
      <c r="N49" s="393"/>
      <c r="O49" s="393"/>
      <c r="P49" s="393"/>
      <c r="Q49" s="393"/>
      <c r="R49" s="394"/>
    </row>
    <row r="50" spans="2:18" ht="15" hidden="1" thickBot="1">
      <c r="B50" s="395"/>
      <c r="C50" s="396"/>
      <c r="D50" s="396"/>
      <c r="E50" s="396"/>
      <c r="F50" s="396"/>
      <c r="G50" s="396"/>
      <c r="H50" s="396"/>
      <c r="I50" s="396"/>
      <c r="J50" s="396"/>
      <c r="K50" s="396"/>
      <c r="L50" s="396"/>
      <c r="M50" s="396"/>
      <c r="N50" s="396"/>
      <c r="O50" s="396"/>
      <c r="P50" s="396"/>
      <c r="Q50" s="396"/>
      <c r="R50" s="397"/>
    </row>
  </sheetData>
  <sheetProtection algorithmName="SHA-512" hashValue="T/9JviFRzEFh1R69UizKsw5N0gjq3+aZMfB69lztSAgPp8MxMxNdGm9EcIZbrlPSduN0xX8q0mCymD3UT+Dqcw==" saltValue="AuGkDIal1dxZbXK8/wdj7A==" spinCount="100000" sheet="1" objects="1" scenarios="1" selectLockedCells="1"/>
  <protectedRanges>
    <protectedRange sqref="L41" name="Range1"/>
    <protectedRange sqref="O41 Q41" name="Range1_1"/>
  </protectedRanges>
  <mergeCells count="137">
    <mergeCell ref="E20:F20"/>
    <mergeCell ref="I20:J20"/>
    <mergeCell ref="G17:H17"/>
    <mergeCell ref="C18:D18"/>
    <mergeCell ref="E18:F18"/>
    <mergeCell ref="G18:H18"/>
    <mergeCell ref="C15:D15"/>
    <mergeCell ref="E15:F15"/>
    <mergeCell ref="G15:H15"/>
    <mergeCell ref="C16:D16"/>
    <mergeCell ref="E16:F16"/>
    <mergeCell ref="G16:H16"/>
    <mergeCell ref="I19:J19"/>
    <mergeCell ref="I15:J15"/>
    <mergeCell ref="K20:L20"/>
    <mergeCell ref="T26:Y27"/>
    <mergeCell ref="I21:J21"/>
    <mergeCell ref="K21:L21"/>
    <mergeCell ref="M21:N21"/>
    <mergeCell ref="Q21:R21"/>
    <mergeCell ref="O21:P21"/>
    <mergeCell ref="T22:U22"/>
    <mergeCell ref="T23:Y23"/>
    <mergeCell ref="T24:Y24"/>
    <mergeCell ref="K14:L14"/>
    <mergeCell ref="M14:N14"/>
    <mergeCell ref="O14:P14"/>
    <mergeCell ref="Q18:R18"/>
    <mergeCell ref="Q16:R16"/>
    <mergeCell ref="C17:D17"/>
    <mergeCell ref="E17:F17"/>
    <mergeCell ref="Q19:R19"/>
    <mergeCell ref="M19:N19"/>
    <mergeCell ref="O19:P19"/>
    <mergeCell ref="I16:J16"/>
    <mergeCell ref="K19:L19"/>
    <mergeCell ref="I18:J18"/>
    <mergeCell ref="M17:N17"/>
    <mergeCell ref="O17:P17"/>
    <mergeCell ref="M18:N18"/>
    <mergeCell ref="O18:P18"/>
    <mergeCell ref="M9:R9"/>
    <mergeCell ref="Q14:R14"/>
    <mergeCell ref="M12:R12"/>
    <mergeCell ref="I10:L11"/>
    <mergeCell ref="M10:R11"/>
    <mergeCell ref="I17:J17"/>
    <mergeCell ref="K17:L17"/>
    <mergeCell ref="Q17:R17"/>
    <mergeCell ref="C14:D14"/>
    <mergeCell ref="E14:F14"/>
    <mergeCell ref="G14:H14"/>
    <mergeCell ref="C11:H11"/>
    <mergeCell ref="C10:H10"/>
    <mergeCell ref="C12:H12"/>
    <mergeCell ref="I12:L12"/>
    <mergeCell ref="K16:L16"/>
    <mergeCell ref="M15:N15"/>
    <mergeCell ref="O15:P15"/>
    <mergeCell ref="M16:N16"/>
    <mergeCell ref="O16:P16"/>
    <mergeCell ref="C9:H9"/>
    <mergeCell ref="K15:L15"/>
    <mergeCell ref="Q15:R15"/>
    <mergeCell ref="I14:J14"/>
    <mergeCell ref="B3:R3"/>
    <mergeCell ref="C8:H8"/>
    <mergeCell ref="C7:H7"/>
    <mergeCell ref="C5:H5"/>
    <mergeCell ref="C4:H4"/>
    <mergeCell ref="C6:H6"/>
    <mergeCell ref="I4:L4"/>
    <mergeCell ref="M4:R4"/>
    <mergeCell ref="M5:R5"/>
    <mergeCell ref="M6:R6"/>
    <mergeCell ref="M7:R7"/>
    <mergeCell ref="M8:R8"/>
    <mergeCell ref="C22:D22"/>
    <mergeCell ref="E22:F22"/>
    <mergeCell ref="G22:H22"/>
    <mergeCell ref="M23:N23"/>
    <mergeCell ref="C21:D21"/>
    <mergeCell ref="E21:F21"/>
    <mergeCell ref="G21:H21"/>
    <mergeCell ref="G41:N41"/>
    <mergeCell ref="T30:U30"/>
    <mergeCell ref="T28:U28"/>
    <mergeCell ref="T29:U29"/>
    <mergeCell ref="Q22:R22"/>
    <mergeCell ref="B2:R2"/>
    <mergeCell ref="B41:F41"/>
    <mergeCell ref="I22:J22"/>
    <mergeCell ref="K22:L22"/>
    <mergeCell ref="C28:D29"/>
    <mergeCell ref="F28:H29"/>
    <mergeCell ref="J28:L29"/>
    <mergeCell ref="C24:F24"/>
    <mergeCell ref="C25:D25"/>
    <mergeCell ref="G25:H25"/>
    <mergeCell ref="B26:R26"/>
    <mergeCell ref="K18:L18"/>
    <mergeCell ref="Q20:R20"/>
    <mergeCell ref="C19:D19"/>
    <mergeCell ref="E19:F19"/>
    <mergeCell ref="G19:H19"/>
    <mergeCell ref="F31:G31"/>
    <mergeCell ref="C32:H32"/>
    <mergeCell ref="E33:F33"/>
    <mergeCell ref="E34:F34"/>
    <mergeCell ref="J34:N34"/>
    <mergeCell ref="G34:H34"/>
    <mergeCell ref="C34:D34"/>
    <mergeCell ref="M32:N33"/>
    <mergeCell ref="B42:R50"/>
    <mergeCell ref="T14:Y14"/>
    <mergeCell ref="T15:Y15"/>
    <mergeCell ref="T16:V16"/>
    <mergeCell ref="W16:Y16"/>
    <mergeCell ref="T17:U17"/>
    <mergeCell ref="T18:Y18"/>
    <mergeCell ref="T19:Y19"/>
    <mergeCell ref="T20:Y20"/>
    <mergeCell ref="T21:V21"/>
    <mergeCell ref="W21:Y21"/>
    <mergeCell ref="O41:R41"/>
    <mergeCell ref="J32:L33"/>
    <mergeCell ref="G20:H20"/>
    <mergeCell ref="M20:N20"/>
    <mergeCell ref="O20:P20"/>
    <mergeCell ref="M22:N22"/>
    <mergeCell ref="O22:P22"/>
    <mergeCell ref="C20:D20"/>
    <mergeCell ref="C30:D30"/>
    <mergeCell ref="F30:H30"/>
    <mergeCell ref="J30:L30"/>
    <mergeCell ref="J24:M24"/>
    <mergeCell ref="M28:R29"/>
  </mergeCells>
  <conditionalFormatting sqref="R25">
    <cfRule type="cellIs" dxfId="63" priority="31" stopIfTrue="1" operator="greaterThanOrEqual">
      <formula>1</formula>
    </cfRule>
  </conditionalFormatting>
  <conditionalFormatting sqref="F30">
    <cfRule type="expression" dxfId="62" priority="32">
      <formula>#REF!&gt;(#REF!*0.5)</formula>
    </cfRule>
  </conditionalFormatting>
  <conditionalFormatting sqref="J36">
    <cfRule type="cellIs" dxfId="61" priority="18" operator="equal">
      <formula>0</formula>
    </cfRule>
  </conditionalFormatting>
  <conditionalFormatting sqref="O41">
    <cfRule type="cellIs" dxfId="60" priority="14" operator="equal">
      <formula>""</formula>
    </cfRule>
  </conditionalFormatting>
  <conditionalFormatting sqref="M32:N33">
    <cfRule type="containsText" dxfId="59" priority="5" operator="containsText" text="No Pass">
      <formula>NOT(ISERROR(SEARCH("No Pass",M32)))</formula>
    </cfRule>
  </conditionalFormatting>
  <conditionalFormatting sqref="J35">
    <cfRule type="cellIs" dxfId="58" priority="4" operator="equal">
      <formula>0</formula>
    </cfRule>
  </conditionalFormatting>
  <printOptions horizontalCentered="1"/>
  <pageMargins left="0.59055118110236227" right="0.47244094488188981" top="0.70866141732283472" bottom="0.55118110236220474" header="0.31496062992125984" footer="0.19685039370078741"/>
  <pageSetup scale="79" fitToHeight="0" orientation="landscape" r:id="rId1"/>
  <headerFooter alignWithMargins="0">
    <oddFooter>&amp;L&amp;"Noto Sans,Regular"&amp;9
Uncontrolled when in use&amp;C&amp;"Noto Sans,Regular"&amp;9Page &amp;P of &amp;N
&amp;F&amp;R&amp;"Noto Sans,Regular"&amp;9Ver.: 1
Approved: 15-Jun-22</oddFooter>
  </headerFooter>
  <ignoredErrors>
    <ignoredError sqref="Q18:Q19 O18:O19 M22 I22" formula="1"/>
    <ignoredError sqref="J32 J30"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0244" r:id="rId4" name="Button 4">
              <controlPr defaultSize="0" print="0" autoFill="0" autoPict="0" macro="[0]!PDF_Export">
                <anchor moveWithCells="1" sizeWithCells="1">
                  <from>
                    <xdr:col>19</xdr:col>
                    <xdr:colOff>571500</xdr:colOff>
                    <xdr:row>1</xdr:row>
                    <xdr:rowOff>352425</xdr:rowOff>
                  </from>
                  <to>
                    <xdr:col>23</xdr:col>
                    <xdr:colOff>228600</xdr:colOff>
                    <xdr:row>4</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E16E73"/>
    <pageSetUpPr fitToPage="1"/>
  </sheetPr>
  <dimension ref="A1:V2000"/>
  <sheetViews>
    <sheetView showGridLines="0" zoomScale="85" zoomScaleNormal="85" zoomScaleSheetLayoutView="25" zoomScalePageLayoutView="70" workbookViewId="0">
      <selection activeCell="L13" sqref="L13"/>
    </sheetView>
  </sheetViews>
  <sheetFormatPr defaultColWidth="11.42578125" defaultRowHeight="12"/>
  <cols>
    <col min="1" max="1" width="14.7109375" style="15" customWidth="1"/>
    <col min="2" max="2" width="15" style="75" bestFit="1" customWidth="1"/>
    <col min="3" max="5" width="30.7109375" style="12" customWidth="1"/>
    <col min="6" max="7" width="23.42578125" style="15" customWidth="1"/>
    <col min="8" max="8" width="23.140625" style="15" customWidth="1"/>
    <col min="9" max="9" width="30.7109375" style="15" customWidth="1"/>
    <col min="10" max="10" width="22.42578125" style="15" customWidth="1"/>
    <col min="11" max="13" width="30.7109375" style="15" customWidth="1"/>
    <col min="14" max="14" width="34.7109375" style="14" customWidth="1"/>
    <col min="15" max="15" width="25.7109375" style="14" customWidth="1"/>
    <col min="16" max="16" width="14.7109375" style="14" bestFit="1" customWidth="1"/>
    <col min="17" max="17" width="13.5703125" style="14" bestFit="1" customWidth="1"/>
    <col min="18" max="18" width="20.7109375" style="14" bestFit="1" customWidth="1"/>
    <col min="19" max="19" width="18.7109375" style="14" customWidth="1"/>
    <col min="20" max="21" width="11.42578125" style="14" hidden="1" customWidth="1"/>
    <col min="22" max="22" width="32.140625" style="14" customWidth="1"/>
    <col min="23" max="16384" width="11.42578125" style="14"/>
  </cols>
  <sheetData>
    <row r="1" spans="1:22" ht="161.25" customHeight="1">
      <c r="A1" s="540" t="s">
        <v>2621</v>
      </c>
      <c r="B1" s="541"/>
      <c r="C1" s="541"/>
      <c r="D1" s="541"/>
      <c r="E1" s="541"/>
      <c r="F1" s="541"/>
      <c r="G1" s="541"/>
      <c r="H1" s="541"/>
      <c r="I1" s="541"/>
      <c r="J1" s="541"/>
      <c r="K1" s="541"/>
      <c r="L1" s="541"/>
      <c r="M1" s="541"/>
      <c r="N1" s="541"/>
      <c r="O1" s="541"/>
      <c r="P1" s="541"/>
      <c r="Q1" s="541"/>
      <c r="R1" s="541"/>
      <c r="S1" s="541"/>
      <c r="T1" s="541"/>
      <c r="U1" s="541"/>
      <c r="V1" s="541"/>
    </row>
    <row r="2" spans="1:22" s="56" customFormat="1" ht="73.5" customHeight="1">
      <c r="A2" s="130" t="s">
        <v>23</v>
      </c>
      <c r="B2" s="130" t="s">
        <v>24</v>
      </c>
      <c r="C2" s="130" t="s">
        <v>25</v>
      </c>
      <c r="D2" s="130" t="s">
        <v>26</v>
      </c>
      <c r="E2" s="130" t="s">
        <v>1203</v>
      </c>
      <c r="F2" s="130" t="s">
        <v>27</v>
      </c>
      <c r="G2" s="130" t="s">
        <v>2622</v>
      </c>
      <c r="H2" s="130" t="s">
        <v>28</v>
      </c>
      <c r="I2" s="130" t="s">
        <v>1204</v>
      </c>
      <c r="J2" s="16" t="s">
        <v>131</v>
      </c>
      <c r="K2" s="16" t="s">
        <v>132</v>
      </c>
      <c r="L2" s="16"/>
      <c r="M2" s="16"/>
      <c r="N2" s="89" t="s">
        <v>1111</v>
      </c>
      <c r="O2" s="35" t="s">
        <v>30</v>
      </c>
      <c r="P2" s="539" t="s">
        <v>185</v>
      </c>
      <c r="Q2" s="539"/>
      <c r="R2" s="539"/>
      <c r="S2" s="16" t="s">
        <v>509</v>
      </c>
      <c r="V2" s="16" t="s">
        <v>550</v>
      </c>
    </row>
    <row r="3" spans="1:22" s="13" customFormat="1" ht="20.25" customHeight="1">
      <c r="A3" s="116" t="s">
        <v>16</v>
      </c>
      <c r="B3" s="116" t="s">
        <v>22</v>
      </c>
      <c r="C3" s="116" t="s">
        <v>11</v>
      </c>
      <c r="D3" s="116" t="s">
        <v>17</v>
      </c>
      <c r="E3" s="116" t="s">
        <v>18</v>
      </c>
      <c r="F3" s="116" t="s">
        <v>21</v>
      </c>
      <c r="G3" s="116" t="s">
        <v>2411</v>
      </c>
      <c r="H3" s="116" t="s">
        <v>15</v>
      </c>
      <c r="I3" s="116" t="s">
        <v>20</v>
      </c>
      <c r="J3" s="146" t="s">
        <v>19</v>
      </c>
      <c r="K3" s="146" t="s">
        <v>29</v>
      </c>
      <c r="L3" s="146" t="s">
        <v>507</v>
      </c>
      <c r="M3" s="146" t="s">
        <v>2640</v>
      </c>
      <c r="N3" s="121" t="s">
        <v>12</v>
      </c>
      <c r="O3" s="121" t="s">
        <v>133</v>
      </c>
      <c r="P3" s="120" t="s">
        <v>21</v>
      </c>
      <c r="Q3" s="120" t="s">
        <v>2411</v>
      </c>
      <c r="R3" s="120" t="s">
        <v>15</v>
      </c>
      <c r="S3" s="122" t="s">
        <v>510</v>
      </c>
      <c r="T3" s="123"/>
      <c r="U3" s="124"/>
      <c r="V3" s="122" t="s">
        <v>552</v>
      </c>
    </row>
    <row r="4" spans="1:22" s="56" customFormat="1">
      <c r="A4" s="58"/>
      <c r="B4" s="36"/>
      <c r="C4" s="58"/>
      <c r="D4" s="57"/>
      <c r="E4" s="57"/>
      <c r="F4" s="41"/>
      <c r="G4" s="41"/>
      <c r="H4" s="41"/>
      <c r="I4" s="57"/>
      <c r="J4" s="36"/>
      <c r="K4" s="57"/>
      <c r="L4" s="57"/>
      <c r="M4" s="57"/>
      <c r="N4" s="42"/>
      <c r="O4" s="57"/>
      <c r="P4" s="43"/>
      <c r="Q4" s="41"/>
      <c r="R4" s="43"/>
      <c r="S4" s="36"/>
      <c r="T4" s="16">
        <f>IF(OR($J4="Accepted",ISBLANK($J4)),IF(AND($G4="Legacy Data",$Q4="Legacy Data"),1,IF(OR($G4="Legacy Data",$Q4="Legacy Data"),1,0)),IF(OR($N4="Agree with original translator",ISBLANK($N4)),IF(AND($G4="Source Text Data",$Q4="Legacy Data"),1,IF(AND($G4="Legacy Data",$Q4="Legacy Data"),1,IF($Q4="Legacy Data",1,0))),IF(AND($G4="Legacy Data",$Q4="Legacy Data"),1,IF(OR($Q4="Legacy Data",ISBLANK($Q4)),IF($G4&lt;&gt;"Legacy Data",IF(AND($G4="Source Text Data",$Q4="Legacy Data"),1,0),1),0))))</f>
        <v>0</v>
      </c>
      <c r="U4" s="16">
        <f>IF(OR($J4="Accepted",ISBLANK($J4)),IF(AND($G4="Source Text Data",$Q4="Source Text Data"),1,IF(OR($G4="Source Text Data",$Q4="Source Text Data"),1,0)),IF(OR($N4="Agree with original translator",ISBLANK($N4)),IF(AND($G4="Legacy Data",$Q4="Source Text Data"),1,IF(AND($G4="Source Text Data",$Q4="Source Text Data"),1,IF($Q4="Source Text Data",1,0))),IF(AND($G4="Source Text Data",$Q4="Source Text Data"),1,IF(OR($Q4="Source Text Data",ISBLANK($Q4)),IF($G4&lt;&gt;"Source Text Data",IF(AND($G4="Legacy Data",$Q4="Source Text Data"),1,0),1),0))))</f>
        <v>0</v>
      </c>
      <c r="V4" s="133"/>
    </row>
    <row r="5" spans="1:22" s="56" customFormat="1">
      <c r="A5" s="58"/>
      <c r="B5" s="36"/>
      <c r="C5" s="58"/>
      <c r="D5" s="57"/>
      <c r="E5" s="57"/>
      <c r="F5" s="41"/>
      <c r="G5" s="41"/>
      <c r="H5" s="41"/>
      <c r="I5" s="57"/>
      <c r="J5" s="36"/>
      <c r="K5" s="57"/>
      <c r="L5" s="57"/>
      <c r="M5" s="57"/>
      <c r="N5" s="42"/>
      <c r="O5" s="57"/>
      <c r="P5" s="43"/>
      <c r="Q5" s="41"/>
      <c r="R5" s="43"/>
      <c r="S5" s="36"/>
      <c r="T5" s="16">
        <f t="shared" ref="T5:T68" si="0">IF(OR($J5="Accepted",ISBLANK($J5)),IF(AND($G5="Legacy Data",$Q5="Legacy Data"),1,IF(OR($G5="Legacy Data",$Q5="Legacy Data"),1,0)),IF(OR($N5="Agree with original translator",ISBLANK($N5)),IF(AND($G5="Source Text Data",$Q5="Legacy Data"),1,IF(AND($G5="Legacy Data",$Q5="Legacy Data"),1,IF($Q5="Legacy Data",1,0))),IF(AND($G5="Legacy Data",$Q5="Legacy Data"),1,IF(OR($Q5="Legacy Data",ISBLANK($Q5)),IF($G5&lt;&gt;"Legacy Data",IF(AND($G5="Source Text Data",$Q5="Legacy Data"),1,0),1),0))))</f>
        <v>0</v>
      </c>
      <c r="U5" s="16">
        <f t="shared" ref="U5:U68" si="1">IF(OR($J5="Accepted",ISBLANK($J5)),IF(AND($G5="Source Text Data",$Q5="Source Text Data"),1,IF(OR($G5="Source Text Data",$Q5="Source Text Data"),1,0)),IF(OR($N5="Agree with original translator",ISBLANK($N5)),IF(AND($G5="Legacy Data",$Q5="Source Text Data"),1,IF(AND($G5="Source Text Data",$Q5="Source Text Data"),1,IF($Q5="Source Text Data",1,0))),IF(AND($G5="Source Text Data",$Q5="Source Text Data"),1,IF(OR($Q5="Source Text Data",ISBLANK($Q5)),IF($G5&lt;&gt;"Source Text Data",IF(AND($G5="Legacy Data",$Q5="Source Text Data"),1,0),1),0))))</f>
        <v>0</v>
      </c>
      <c r="V5" s="133"/>
    </row>
    <row r="6" spans="1:22" s="56" customFormat="1">
      <c r="A6" s="58"/>
      <c r="B6" s="36"/>
      <c r="C6" s="58"/>
      <c r="D6" s="57"/>
      <c r="E6" s="57"/>
      <c r="F6" s="41"/>
      <c r="G6" s="41"/>
      <c r="H6" s="41"/>
      <c r="I6" s="57"/>
      <c r="J6" s="36"/>
      <c r="K6" s="57"/>
      <c r="L6" s="57"/>
      <c r="M6" s="57"/>
      <c r="N6" s="42"/>
      <c r="O6" s="57"/>
      <c r="P6" s="43"/>
      <c r="Q6" s="41"/>
      <c r="R6" s="43"/>
      <c r="S6" s="36"/>
      <c r="T6" s="16">
        <f t="shared" si="0"/>
        <v>0</v>
      </c>
      <c r="U6" s="16">
        <f t="shared" si="1"/>
        <v>0</v>
      </c>
      <c r="V6" s="133"/>
    </row>
    <row r="7" spans="1:22" s="56" customFormat="1">
      <c r="A7" s="58"/>
      <c r="B7" s="36"/>
      <c r="C7" s="58"/>
      <c r="D7" s="57"/>
      <c r="E7" s="57"/>
      <c r="F7" s="41"/>
      <c r="G7" s="41"/>
      <c r="H7" s="41"/>
      <c r="I7" s="57"/>
      <c r="J7" s="36"/>
      <c r="K7" s="57"/>
      <c r="L7" s="57"/>
      <c r="M7" s="57"/>
      <c r="N7" s="42"/>
      <c r="O7" s="57"/>
      <c r="P7" s="43"/>
      <c r="Q7" s="41"/>
      <c r="R7" s="43"/>
      <c r="S7" s="36"/>
      <c r="T7" s="16">
        <f t="shared" si="0"/>
        <v>0</v>
      </c>
      <c r="U7" s="16">
        <f t="shared" si="1"/>
        <v>0</v>
      </c>
      <c r="V7" s="133"/>
    </row>
    <row r="8" spans="1:22" s="56" customFormat="1">
      <c r="A8" s="58"/>
      <c r="B8" s="36"/>
      <c r="C8" s="58"/>
      <c r="D8" s="57"/>
      <c r="E8" s="57"/>
      <c r="F8" s="41"/>
      <c r="G8" s="41"/>
      <c r="H8" s="41"/>
      <c r="I8" s="57"/>
      <c r="J8" s="36"/>
      <c r="K8" s="57"/>
      <c r="L8" s="57"/>
      <c r="M8" s="57"/>
      <c r="N8" s="42"/>
      <c r="O8" s="57"/>
      <c r="P8" s="43"/>
      <c r="Q8" s="41"/>
      <c r="R8" s="43"/>
      <c r="S8" s="36"/>
      <c r="T8" s="16">
        <f t="shared" si="0"/>
        <v>0</v>
      </c>
      <c r="U8" s="16">
        <f t="shared" si="1"/>
        <v>0</v>
      </c>
      <c r="V8" s="133"/>
    </row>
    <row r="9" spans="1:22" s="56" customFormat="1">
      <c r="A9" s="58"/>
      <c r="B9" s="36"/>
      <c r="C9" s="58"/>
      <c r="D9" s="57"/>
      <c r="E9" s="57"/>
      <c r="F9" s="41"/>
      <c r="G9" s="41"/>
      <c r="H9" s="41"/>
      <c r="I9" s="57"/>
      <c r="J9" s="36"/>
      <c r="K9" s="57"/>
      <c r="L9" s="57"/>
      <c r="M9" s="57"/>
      <c r="N9" s="42"/>
      <c r="O9" s="57"/>
      <c r="P9" s="43"/>
      <c r="Q9" s="41"/>
      <c r="R9" s="43"/>
      <c r="S9" s="36"/>
      <c r="T9" s="16">
        <f t="shared" si="0"/>
        <v>0</v>
      </c>
      <c r="U9" s="16">
        <f t="shared" si="1"/>
        <v>0</v>
      </c>
      <c r="V9" s="133"/>
    </row>
    <row r="10" spans="1:22" s="56" customFormat="1">
      <c r="A10" s="58"/>
      <c r="B10" s="36"/>
      <c r="C10" s="58"/>
      <c r="D10" s="57"/>
      <c r="E10" s="57"/>
      <c r="F10" s="41"/>
      <c r="G10" s="41"/>
      <c r="H10" s="41"/>
      <c r="I10" s="57"/>
      <c r="J10" s="36"/>
      <c r="K10" s="57"/>
      <c r="L10" s="57"/>
      <c r="M10" s="57"/>
      <c r="N10" s="42"/>
      <c r="O10" s="57"/>
      <c r="P10" s="43"/>
      <c r="Q10" s="41"/>
      <c r="R10" s="43"/>
      <c r="S10" s="36"/>
      <c r="T10" s="16">
        <f t="shared" si="0"/>
        <v>0</v>
      </c>
      <c r="U10" s="16">
        <f t="shared" si="1"/>
        <v>0</v>
      </c>
      <c r="V10" s="133"/>
    </row>
    <row r="11" spans="1:22" s="56" customFormat="1">
      <c r="A11" s="58"/>
      <c r="B11" s="36"/>
      <c r="C11" s="58"/>
      <c r="D11" s="57"/>
      <c r="E11" s="57"/>
      <c r="F11" s="41"/>
      <c r="G11" s="41"/>
      <c r="H11" s="41"/>
      <c r="I11" s="57"/>
      <c r="J11" s="36"/>
      <c r="K11" s="57"/>
      <c r="L11" s="57"/>
      <c r="M11" s="57"/>
      <c r="N11" s="42"/>
      <c r="O11" s="57"/>
      <c r="P11" s="43"/>
      <c r="Q11" s="41"/>
      <c r="R11" s="43"/>
      <c r="S11" s="36"/>
      <c r="T11" s="16">
        <f t="shared" si="0"/>
        <v>0</v>
      </c>
      <c r="U11" s="16">
        <f t="shared" si="1"/>
        <v>0</v>
      </c>
      <c r="V11" s="133"/>
    </row>
    <row r="12" spans="1:22" s="56" customFormat="1">
      <c r="A12" s="58"/>
      <c r="B12" s="36"/>
      <c r="C12" s="58"/>
      <c r="D12" s="57"/>
      <c r="E12" s="57"/>
      <c r="F12" s="41"/>
      <c r="G12" s="41"/>
      <c r="H12" s="41"/>
      <c r="I12" s="57"/>
      <c r="J12" s="36"/>
      <c r="K12" s="57"/>
      <c r="L12" s="57"/>
      <c r="M12" s="57"/>
      <c r="N12" s="42"/>
      <c r="O12" s="57"/>
      <c r="P12" s="43"/>
      <c r="Q12" s="41"/>
      <c r="R12" s="43"/>
      <c r="S12" s="36"/>
      <c r="T12" s="16">
        <f t="shared" si="0"/>
        <v>0</v>
      </c>
      <c r="U12" s="16">
        <f t="shared" si="1"/>
        <v>0</v>
      </c>
      <c r="V12" s="133"/>
    </row>
    <row r="13" spans="1:22" s="56" customFormat="1">
      <c r="A13" s="58"/>
      <c r="B13" s="36"/>
      <c r="C13" s="58"/>
      <c r="D13" s="57"/>
      <c r="E13" s="57"/>
      <c r="F13" s="41"/>
      <c r="G13" s="41"/>
      <c r="H13" s="41"/>
      <c r="I13" s="57"/>
      <c r="J13" s="36"/>
      <c r="K13" s="57"/>
      <c r="L13" s="57"/>
      <c r="M13" s="57"/>
      <c r="N13" s="42"/>
      <c r="O13" s="57"/>
      <c r="P13" s="43"/>
      <c r="Q13" s="41"/>
      <c r="R13" s="43"/>
      <c r="S13" s="36"/>
      <c r="T13" s="16">
        <f t="shared" si="0"/>
        <v>0</v>
      </c>
      <c r="U13" s="16">
        <f t="shared" si="1"/>
        <v>0</v>
      </c>
      <c r="V13" s="133"/>
    </row>
    <row r="14" spans="1:22" s="56" customFormat="1">
      <c r="A14" s="58"/>
      <c r="B14" s="36"/>
      <c r="C14" s="58"/>
      <c r="D14" s="57"/>
      <c r="E14" s="57"/>
      <c r="F14" s="41"/>
      <c r="G14" s="41"/>
      <c r="H14" s="41"/>
      <c r="I14" s="57"/>
      <c r="J14" s="36"/>
      <c r="K14" s="57"/>
      <c r="L14" s="57"/>
      <c r="M14" s="57"/>
      <c r="O14" s="57"/>
      <c r="P14" s="43"/>
      <c r="Q14" s="41"/>
      <c r="R14" s="43"/>
      <c r="S14" s="36"/>
      <c r="T14" s="16">
        <f t="shared" si="0"/>
        <v>0</v>
      </c>
      <c r="U14" s="16">
        <f t="shared" si="1"/>
        <v>0</v>
      </c>
      <c r="V14" s="133"/>
    </row>
    <row r="15" spans="1:22" s="56" customFormat="1">
      <c r="A15" s="58"/>
      <c r="B15" s="36"/>
      <c r="C15" s="58"/>
      <c r="D15" s="57"/>
      <c r="E15" s="57"/>
      <c r="F15" s="41"/>
      <c r="G15" s="41"/>
      <c r="H15" s="41"/>
      <c r="I15" s="57"/>
      <c r="J15" s="36"/>
      <c r="K15" s="57"/>
      <c r="L15" s="57"/>
      <c r="M15" s="57"/>
      <c r="N15" s="42"/>
      <c r="O15" s="57"/>
      <c r="P15" s="43"/>
      <c r="Q15" s="41"/>
      <c r="R15" s="43"/>
      <c r="S15" s="36"/>
      <c r="T15" s="16">
        <f t="shared" si="0"/>
        <v>0</v>
      </c>
      <c r="U15" s="16">
        <f t="shared" si="1"/>
        <v>0</v>
      </c>
      <c r="V15" s="133"/>
    </row>
    <row r="16" spans="1:22" s="56" customFormat="1">
      <c r="A16" s="58"/>
      <c r="B16" s="36"/>
      <c r="C16" s="58"/>
      <c r="D16" s="57"/>
      <c r="E16" s="57"/>
      <c r="F16" s="41"/>
      <c r="G16" s="41"/>
      <c r="H16" s="41"/>
      <c r="I16" s="57"/>
      <c r="J16" s="36"/>
      <c r="K16" s="57"/>
      <c r="L16" s="57"/>
      <c r="M16" s="57"/>
      <c r="N16" s="42"/>
      <c r="O16" s="57"/>
      <c r="P16" s="43"/>
      <c r="Q16" s="41"/>
      <c r="R16" s="43"/>
      <c r="S16" s="36"/>
      <c r="T16" s="16">
        <f t="shared" si="0"/>
        <v>0</v>
      </c>
      <c r="U16" s="16">
        <f t="shared" si="1"/>
        <v>0</v>
      </c>
      <c r="V16" s="133"/>
    </row>
    <row r="17" spans="1:22" s="56" customFormat="1">
      <c r="A17" s="58"/>
      <c r="B17" s="36"/>
      <c r="C17" s="58"/>
      <c r="D17" s="57"/>
      <c r="E17" s="57"/>
      <c r="F17" s="41"/>
      <c r="G17" s="41"/>
      <c r="H17" s="41"/>
      <c r="I17" s="57"/>
      <c r="J17" s="36"/>
      <c r="K17" s="57"/>
      <c r="L17" s="57"/>
      <c r="M17" s="57"/>
      <c r="N17" s="42"/>
      <c r="O17" s="57"/>
      <c r="P17" s="43"/>
      <c r="Q17" s="41"/>
      <c r="R17" s="43"/>
      <c r="S17" s="36"/>
      <c r="T17" s="16">
        <f t="shared" si="0"/>
        <v>0</v>
      </c>
      <c r="U17" s="16">
        <f t="shared" si="1"/>
        <v>0</v>
      </c>
      <c r="V17" s="133"/>
    </row>
    <row r="18" spans="1:22" s="56" customFormat="1">
      <c r="A18" s="58"/>
      <c r="B18" s="36"/>
      <c r="C18" s="58"/>
      <c r="D18" s="57"/>
      <c r="E18" s="57"/>
      <c r="F18" s="41"/>
      <c r="G18" s="41"/>
      <c r="H18" s="41"/>
      <c r="I18" s="57"/>
      <c r="J18" s="36"/>
      <c r="K18" s="57"/>
      <c r="L18" s="57"/>
      <c r="M18" s="57"/>
      <c r="N18" s="42"/>
      <c r="O18" s="57"/>
      <c r="P18" s="43"/>
      <c r="Q18" s="41"/>
      <c r="R18" s="43"/>
      <c r="S18" s="36"/>
      <c r="T18" s="16">
        <f t="shared" si="0"/>
        <v>0</v>
      </c>
      <c r="U18" s="16">
        <f t="shared" si="1"/>
        <v>0</v>
      </c>
      <c r="V18" s="133"/>
    </row>
    <row r="19" spans="1:22" s="56" customFormat="1">
      <c r="A19" s="58"/>
      <c r="B19" s="36"/>
      <c r="C19" s="58"/>
      <c r="D19" s="57"/>
      <c r="E19" s="57"/>
      <c r="F19" s="41"/>
      <c r="G19" s="41"/>
      <c r="H19" s="41"/>
      <c r="I19" s="57"/>
      <c r="J19" s="36"/>
      <c r="K19" s="57"/>
      <c r="L19" s="57"/>
      <c r="M19" s="57"/>
      <c r="N19" s="42"/>
      <c r="O19" s="57"/>
      <c r="P19" s="43"/>
      <c r="Q19" s="41"/>
      <c r="R19" s="43"/>
      <c r="S19" s="36"/>
      <c r="T19" s="16">
        <f t="shared" si="0"/>
        <v>0</v>
      </c>
      <c r="U19" s="16">
        <f t="shared" si="1"/>
        <v>0</v>
      </c>
      <c r="V19" s="133"/>
    </row>
    <row r="20" spans="1:22" s="56" customFormat="1">
      <c r="A20" s="58"/>
      <c r="B20" s="36"/>
      <c r="C20" s="58"/>
      <c r="D20" s="57"/>
      <c r="E20" s="57"/>
      <c r="F20" s="41"/>
      <c r="G20" s="41"/>
      <c r="H20" s="41"/>
      <c r="I20" s="57"/>
      <c r="J20" s="36"/>
      <c r="K20" s="57"/>
      <c r="L20" s="57"/>
      <c r="M20" s="57"/>
      <c r="N20" s="42"/>
      <c r="O20" s="57"/>
      <c r="P20" s="43"/>
      <c r="Q20" s="41"/>
      <c r="R20" s="43"/>
      <c r="S20" s="36"/>
      <c r="T20" s="16">
        <f t="shared" si="0"/>
        <v>0</v>
      </c>
      <c r="U20" s="16">
        <f t="shared" si="1"/>
        <v>0</v>
      </c>
      <c r="V20" s="133"/>
    </row>
    <row r="21" spans="1:22" s="56" customFormat="1">
      <c r="A21" s="58"/>
      <c r="B21" s="36"/>
      <c r="C21" s="58"/>
      <c r="D21" s="57"/>
      <c r="E21" s="57"/>
      <c r="F21" s="41"/>
      <c r="G21" s="41"/>
      <c r="H21" s="41"/>
      <c r="I21" s="57"/>
      <c r="J21" s="36"/>
      <c r="K21" s="57"/>
      <c r="L21" s="57"/>
      <c r="M21" s="57"/>
      <c r="N21" s="42"/>
      <c r="O21" s="57"/>
      <c r="P21" s="43"/>
      <c r="Q21" s="41"/>
      <c r="R21" s="43"/>
      <c r="S21" s="36"/>
      <c r="T21" s="16">
        <f t="shared" si="0"/>
        <v>0</v>
      </c>
      <c r="U21" s="16">
        <f t="shared" si="1"/>
        <v>0</v>
      </c>
      <c r="V21" s="133"/>
    </row>
    <row r="22" spans="1:22" s="56" customFormat="1">
      <c r="A22" s="58"/>
      <c r="B22" s="36"/>
      <c r="C22" s="58"/>
      <c r="D22" s="57"/>
      <c r="E22" s="57"/>
      <c r="F22" s="41"/>
      <c r="G22" s="41"/>
      <c r="H22" s="41"/>
      <c r="I22" s="57"/>
      <c r="J22" s="36"/>
      <c r="K22" s="57"/>
      <c r="L22" s="57"/>
      <c r="M22" s="57"/>
      <c r="N22" s="42"/>
      <c r="O22" s="57"/>
      <c r="P22" s="43"/>
      <c r="Q22" s="41"/>
      <c r="R22" s="43"/>
      <c r="S22" s="36"/>
      <c r="T22" s="16">
        <f t="shared" si="0"/>
        <v>0</v>
      </c>
      <c r="U22" s="16">
        <f t="shared" si="1"/>
        <v>0</v>
      </c>
      <c r="V22" s="133"/>
    </row>
    <row r="23" spans="1:22" s="56" customFormat="1">
      <c r="A23" s="58"/>
      <c r="B23" s="36"/>
      <c r="C23" s="58"/>
      <c r="D23" s="57"/>
      <c r="E23" s="57"/>
      <c r="F23" s="41"/>
      <c r="G23" s="41"/>
      <c r="H23" s="41"/>
      <c r="I23" s="57"/>
      <c r="J23" s="36"/>
      <c r="K23" s="57"/>
      <c r="L23" s="57"/>
      <c r="M23" s="57"/>
      <c r="N23" s="42"/>
      <c r="O23" s="57"/>
      <c r="P23" s="43"/>
      <c r="Q23" s="41"/>
      <c r="R23" s="43"/>
      <c r="S23" s="36"/>
      <c r="T23" s="16">
        <f t="shared" si="0"/>
        <v>0</v>
      </c>
      <c r="U23" s="16">
        <f t="shared" si="1"/>
        <v>0</v>
      </c>
      <c r="V23" s="133"/>
    </row>
    <row r="24" spans="1:22" s="56" customFormat="1">
      <c r="A24" s="58"/>
      <c r="B24" s="36"/>
      <c r="C24" s="58"/>
      <c r="D24" s="57"/>
      <c r="E24" s="57"/>
      <c r="F24" s="41"/>
      <c r="G24" s="41"/>
      <c r="H24" s="41"/>
      <c r="I24" s="57"/>
      <c r="J24" s="36"/>
      <c r="K24" s="57"/>
      <c r="L24" s="57"/>
      <c r="M24" s="57"/>
      <c r="N24" s="42"/>
      <c r="O24" s="57"/>
      <c r="P24" s="43"/>
      <c r="Q24" s="41"/>
      <c r="R24" s="43"/>
      <c r="S24" s="36"/>
      <c r="T24" s="16">
        <f t="shared" si="0"/>
        <v>0</v>
      </c>
      <c r="U24" s="16">
        <f t="shared" si="1"/>
        <v>0</v>
      </c>
      <c r="V24" s="133"/>
    </row>
    <row r="25" spans="1:22" s="56" customFormat="1">
      <c r="A25" s="58"/>
      <c r="B25" s="36"/>
      <c r="C25" s="58"/>
      <c r="D25" s="57"/>
      <c r="E25" s="57"/>
      <c r="F25" s="41"/>
      <c r="G25" s="41"/>
      <c r="H25" s="41"/>
      <c r="I25" s="57"/>
      <c r="J25" s="36"/>
      <c r="K25" s="57"/>
      <c r="L25" s="57"/>
      <c r="M25" s="57"/>
      <c r="N25" s="42"/>
      <c r="O25" s="57"/>
      <c r="P25" s="43"/>
      <c r="Q25" s="41"/>
      <c r="R25" s="43"/>
      <c r="S25" s="36"/>
      <c r="T25" s="16">
        <f t="shared" si="0"/>
        <v>0</v>
      </c>
      <c r="U25" s="16">
        <f t="shared" si="1"/>
        <v>0</v>
      </c>
      <c r="V25" s="133"/>
    </row>
    <row r="26" spans="1:22" s="56" customFormat="1">
      <c r="A26" s="58"/>
      <c r="B26" s="36"/>
      <c r="C26" s="58"/>
      <c r="D26" s="57"/>
      <c r="E26" s="57"/>
      <c r="F26" s="41"/>
      <c r="G26" s="41"/>
      <c r="H26" s="41"/>
      <c r="I26" s="57"/>
      <c r="J26" s="36"/>
      <c r="K26" s="57"/>
      <c r="L26" s="57"/>
      <c r="M26" s="57"/>
      <c r="N26" s="42"/>
      <c r="O26" s="57"/>
      <c r="P26" s="43"/>
      <c r="Q26" s="41"/>
      <c r="R26" s="43"/>
      <c r="S26" s="36"/>
      <c r="T26" s="16">
        <f t="shared" si="0"/>
        <v>0</v>
      </c>
      <c r="U26" s="16">
        <f t="shared" si="1"/>
        <v>0</v>
      </c>
      <c r="V26" s="133"/>
    </row>
    <row r="27" spans="1:22" s="56" customFormat="1">
      <c r="A27" s="58"/>
      <c r="B27" s="36"/>
      <c r="C27" s="58"/>
      <c r="D27" s="57"/>
      <c r="E27" s="57"/>
      <c r="F27" s="41"/>
      <c r="G27" s="41"/>
      <c r="H27" s="41"/>
      <c r="I27" s="57"/>
      <c r="J27" s="36"/>
      <c r="K27" s="57"/>
      <c r="L27" s="57"/>
      <c r="M27" s="57"/>
      <c r="N27" s="42"/>
      <c r="O27" s="57"/>
      <c r="P27" s="43"/>
      <c r="Q27" s="41"/>
      <c r="R27" s="43"/>
      <c r="S27" s="36"/>
      <c r="T27" s="16">
        <f t="shared" si="0"/>
        <v>0</v>
      </c>
      <c r="U27" s="16">
        <f t="shared" si="1"/>
        <v>0</v>
      </c>
      <c r="V27" s="133"/>
    </row>
    <row r="28" spans="1:22" s="56" customFormat="1">
      <c r="A28" s="58"/>
      <c r="B28" s="36"/>
      <c r="C28" s="58"/>
      <c r="D28" s="57"/>
      <c r="E28" s="57"/>
      <c r="F28" s="41"/>
      <c r="G28" s="41"/>
      <c r="H28" s="41"/>
      <c r="I28" s="57"/>
      <c r="J28" s="36"/>
      <c r="K28" s="57"/>
      <c r="L28" s="57"/>
      <c r="M28" s="57"/>
      <c r="N28" s="42"/>
      <c r="O28" s="57"/>
      <c r="P28" s="43"/>
      <c r="Q28" s="41"/>
      <c r="R28" s="43"/>
      <c r="S28" s="36"/>
      <c r="T28" s="16">
        <f t="shared" si="0"/>
        <v>0</v>
      </c>
      <c r="U28" s="16">
        <f t="shared" si="1"/>
        <v>0</v>
      </c>
      <c r="V28" s="133"/>
    </row>
    <row r="29" spans="1:22" s="56" customFormat="1">
      <c r="A29" s="58"/>
      <c r="B29" s="36"/>
      <c r="C29" s="58"/>
      <c r="D29" s="57"/>
      <c r="E29" s="57"/>
      <c r="F29" s="41"/>
      <c r="G29" s="41"/>
      <c r="H29" s="41"/>
      <c r="I29" s="57"/>
      <c r="J29" s="36"/>
      <c r="K29" s="57"/>
      <c r="L29" s="57"/>
      <c r="M29" s="57"/>
      <c r="N29" s="42"/>
      <c r="O29" s="57"/>
      <c r="P29" s="43"/>
      <c r="Q29" s="41"/>
      <c r="R29" s="43"/>
      <c r="S29" s="36"/>
      <c r="T29" s="16">
        <f t="shared" si="0"/>
        <v>0</v>
      </c>
      <c r="U29" s="16">
        <f t="shared" si="1"/>
        <v>0</v>
      </c>
      <c r="V29" s="133"/>
    </row>
    <row r="30" spans="1:22" s="56" customFormat="1">
      <c r="A30" s="58"/>
      <c r="B30" s="36"/>
      <c r="C30" s="58"/>
      <c r="D30" s="57"/>
      <c r="E30" s="57"/>
      <c r="F30" s="41"/>
      <c r="G30" s="41"/>
      <c r="H30" s="41"/>
      <c r="I30" s="57"/>
      <c r="J30" s="36"/>
      <c r="K30" s="57"/>
      <c r="L30" s="57"/>
      <c r="M30" s="57"/>
      <c r="N30" s="42"/>
      <c r="O30" s="57"/>
      <c r="P30" s="43"/>
      <c r="Q30" s="41"/>
      <c r="R30" s="43"/>
      <c r="S30" s="36"/>
      <c r="T30" s="16">
        <f t="shared" si="0"/>
        <v>0</v>
      </c>
      <c r="U30" s="16">
        <f t="shared" si="1"/>
        <v>0</v>
      </c>
      <c r="V30" s="133"/>
    </row>
    <row r="31" spans="1:22" s="56" customFormat="1">
      <c r="A31" s="58"/>
      <c r="B31" s="36"/>
      <c r="C31" s="58"/>
      <c r="D31" s="57"/>
      <c r="E31" s="57"/>
      <c r="F31" s="41"/>
      <c r="G31" s="41"/>
      <c r="H31" s="41"/>
      <c r="I31" s="57"/>
      <c r="J31" s="36"/>
      <c r="K31" s="57"/>
      <c r="L31" s="57"/>
      <c r="M31" s="57"/>
      <c r="N31" s="42"/>
      <c r="O31" s="57"/>
      <c r="P31" s="43"/>
      <c r="Q31" s="41"/>
      <c r="R31" s="43"/>
      <c r="S31" s="36"/>
      <c r="T31" s="16">
        <f t="shared" si="0"/>
        <v>0</v>
      </c>
      <c r="U31" s="16">
        <f t="shared" si="1"/>
        <v>0</v>
      </c>
      <c r="V31" s="133"/>
    </row>
    <row r="32" spans="1:22" s="56" customFormat="1">
      <c r="A32" s="58"/>
      <c r="B32" s="36"/>
      <c r="C32" s="58"/>
      <c r="D32" s="57"/>
      <c r="E32" s="57"/>
      <c r="F32" s="41"/>
      <c r="G32" s="41"/>
      <c r="H32" s="41"/>
      <c r="I32" s="57"/>
      <c r="J32" s="36"/>
      <c r="K32" s="57"/>
      <c r="L32" s="57"/>
      <c r="M32" s="57"/>
      <c r="N32" s="42"/>
      <c r="O32" s="57"/>
      <c r="P32" s="43"/>
      <c r="Q32" s="41"/>
      <c r="R32" s="43"/>
      <c r="S32" s="36"/>
      <c r="T32" s="16">
        <f t="shared" si="0"/>
        <v>0</v>
      </c>
      <c r="U32" s="16">
        <f t="shared" si="1"/>
        <v>0</v>
      </c>
      <c r="V32" s="133"/>
    </row>
    <row r="33" spans="1:22" s="56" customFormat="1">
      <c r="A33" s="58"/>
      <c r="B33" s="36"/>
      <c r="C33" s="58"/>
      <c r="D33" s="57"/>
      <c r="E33" s="57"/>
      <c r="F33" s="41"/>
      <c r="G33" s="41"/>
      <c r="H33" s="41"/>
      <c r="I33" s="57"/>
      <c r="J33" s="36"/>
      <c r="K33" s="57"/>
      <c r="L33" s="57"/>
      <c r="M33" s="57"/>
      <c r="N33" s="42"/>
      <c r="O33" s="57"/>
      <c r="P33" s="43"/>
      <c r="Q33" s="41"/>
      <c r="R33" s="43"/>
      <c r="S33" s="36"/>
      <c r="T33" s="16">
        <f t="shared" si="0"/>
        <v>0</v>
      </c>
      <c r="U33" s="16">
        <f t="shared" si="1"/>
        <v>0</v>
      </c>
      <c r="V33" s="133"/>
    </row>
    <row r="34" spans="1:22" s="56" customFormat="1">
      <c r="A34" s="58"/>
      <c r="B34" s="36"/>
      <c r="C34" s="58"/>
      <c r="D34" s="57"/>
      <c r="E34" s="57"/>
      <c r="F34" s="41"/>
      <c r="G34" s="41"/>
      <c r="H34" s="41"/>
      <c r="I34" s="57"/>
      <c r="J34" s="36"/>
      <c r="K34" s="57"/>
      <c r="L34" s="57"/>
      <c r="M34" s="57"/>
      <c r="N34" s="42"/>
      <c r="O34" s="57"/>
      <c r="P34" s="43"/>
      <c r="Q34" s="41"/>
      <c r="R34" s="43"/>
      <c r="S34" s="36"/>
      <c r="T34" s="16">
        <f t="shared" si="0"/>
        <v>0</v>
      </c>
      <c r="U34" s="16">
        <f t="shared" si="1"/>
        <v>0</v>
      </c>
      <c r="V34" s="133"/>
    </row>
    <row r="35" spans="1:22" s="56" customFormat="1">
      <c r="A35" s="58"/>
      <c r="B35" s="36"/>
      <c r="C35" s="58"/>
      <c r="D35" s="57"/>
      <c r="E35" s="57"/>
      <c r="F35" s="41"/>
      <c r="G35" s="41"/>
      <c r="H35" s="41"/>
      <c r="I35" s="57"/>
      <c r="J35" s="36"/>
      <c r="K35" s="57"/>
      <c r="L35" s="57"/>
      <c r="M35" s="57"/>
      <c r="N35" s="42"/>
      <c r="O35" s="57"/>
      <c r="P35" s="43"/>
      <c r="Q35" s="41"/>
      <c r="R35" s="43"/>
      <c r="S35" s="36"/>
      <c r="T35" s="16">
        <f t="shared" si="0"/>
        <v>0</v>
      </c>
      <c r="U35" s="16">
        <f t="shared" si="1"/>
        <v>0</v>
      </c>
      <c r="V35" s="133"/>
    </row>
    <row r="36" spans="1:22" s="56" customFormat="1">
      <c r="A36" s="58"/>
      <c r="B36" s="36"/>
      <c r="C36" s="58"/>
      <c r="D36" s="57"/>
      <c r="E36" s="57"/>
      <c r="F36" s="41"/>
      <c r="G36" s="41"/>
      <c r="H36" s="41"/>
      <c r="I36" s="57"/>
      <c r="J36" s="36"/>
      <c r="K36" s="57"/>
      <c r="L36" s="57"/>
      <c r="M36" s="57"/>
      <c r="N36" s="42"/>
      <c r="O36" s="57"/>
      <c r="P36" s="43"/>
      <c r="Q36" s="41"/>
      <c r="R36" s="43"/>
      <c r="S36" s="36"/>
      <c r="T36" s="16">
        <f t="shared" si="0"/>
        <v>0</v>
      </c>
      <c r="U36" s="16">
        <f t="shared" si="1"/>
        <v>0</v>
      </c>
      <c r="V36" s="133"/>
    </row>
    <row r="37" spans="1:22" s="56" customFormat="1">
      <c r="A37" s="58"/>
      <c r="B37" s="36"/>
      <c r="C37" s="58"/>
      <c r="D37" s="57"/>
      <c r="E37" s="57"/>
      <c r="F37" s="41"/>
      <c r="G37" s="41"/>
      <c r="H37" s="41"/>
      <c r="I37" s="57"/>
      <c r="J37" s="36"/>
      <c r="K37" s="57"/>
      <c r="L37" s="57"/>
      <c r="M37" s="57"/>
      <c r="N37" s="42"/>
      <c r="O37" s="57"/>
      <c r="P37" s="43"/>
      <c r="Q37" s="41"/>
      <c r="R37" s="43"/>
      <c r="S37" s="36"/>
      <c r="T37" s="16">
        <f t="shared" si="0"/>
        <v>0</v>
      </c>
      <c r="U37" s="16">
        <f t="shared" si="1"/>
        <v>0</v>
      </c>
      <c r="V37" s="133"/>
    </row>
    <row r="38" spans="1:22" s="56" customFormat="1">
      <c r="A38" s="58"/>
      <c r="B38" s="36"/>
      <c r="C38" s="58"/>
      <c r="D38" s="57"/>
      <c r="E38" s="57"/>
      <c r="F38" s="41"/>
      <c r="G38" s="41"/>
      <c r="H38" s="41"/>
      <c r="I38" s="57"/>
      <c r="J38" s="36"/>
      <c r="K38" s="57"/>
      <c r="L38" s="57"/>
      <c r="M38" s="57"/>
      <c r="N38" s="42"/>
      <c r="O38" s="57"/>
      <c r="P38" s="43"/>
      <c r="Q38" s="41"/>
      <c r="R38" s="43"/>
      <c r="S38" s="36"/>
      <c r="T38" s="16">
        <f t="shared" si="0"/>
        <v>0</v>
      </c>
      <c r="U38" s="16">
        <f t="shared" si="1"/>
        <v>0</v>
      </c>
      <c r="V38" s="133"/>
    </row>
    <row r="39" spans="1:22" s="56" customFormat="1">
      <c r="A39" s="58"/>
      <c r="B39" s="36"/>
      <c r="C39" s="58"/>
      <c r="D39" s="57"/>
      <c r="E39" s="57"/>
      <c r="F39" s="41"/>
      <c r="G39" s="41"/>
      <c r="H39" s="41"/>
      <c r="I39" s="57"/>
      <c r="J39" s="36"/>
      <c r="K39" s="57"/>
      <c r="L39" s="57"/>
      <c r="M39" s="57"/>
      <c r="N39" s="42"/>
      <c r="O39" s="57"/>
      <c r="P39" s="43"/>
      <c r="Q39" s="41"/>
      <c r="R39" s="43"/>
      <c r="S39" s="36"/>
      <c r="T39" s="16">
        <f t="shared" si="0"/>
        <v>0</v>
      </c>
      <c r="U39" s="16">
        <f t="shared" si="1"/>
        <v>0</v>
      </c>
      <c r="V39" s="133"/>
    </row>
    <row r="40" spans="1:22" s="56" customFormat="1">
      <c r="A40" s="58"/>
      <c r="B40" s="36"/>
      <c r="C40" s="58"/>
      <c r="D40" s="57"/>
      <c r="E40" s="57"/>
      <c r="F40" s="41"/>
      <c r="G40" s="41"/>
      <c r="H40" s="41"/>
      <c r="I40" s="57"/>
      <c r="J40" s="36"/>
      <c r="K40" s="57"/>
      <c r="L40" s="57"/>
      <c r="M40" s="57"/>
      <c r="N40" s="42"/>
      <c r="O40" s="57"/>
      <c r="P40" s="43"/>
      <c r="Q40" s="41"/>
      <c r="R40" s="43"/>
      <c r="S40" s="36"/>
      <c r="T40" s="16">
        <f t="shared" si="0"/>
        <v>0</v>
      </c>
      <c r="U40" s="16">
        <f t="shared" si="1"/>
        <v>0</v>
      </c>
      <c r="V40" s="133"/>
    </row>
    <row r="41" spans="1:22" s="56" customFormat="1">
      <c r="A41" s="58"/>
      <c r="B41" s="36"/>
      <c r="C41" s="58"/>
      <c r="D41" s="57"/>
      <c r="E41" s="57"/>
      <c r="F41" s="41"/>
      <c r="G41" s="41"/>
      <c r="H41" s="41"/>
      <c r="I41" s="57"/>
      <c r="J41" s="36"/>
      <c r="K41" s="57"/>
      <c r="L41" s="57"/>
      <c r="M41" s="57"/>
      <c r="N41" s="42"/>
      <c r="O41" s="57"/>
      <c r="P41" s="43"/>
      <c r="Q41" s="41"/>
      <c r="R41" s="43"/>
      <c r="S41" s="36"/>
      <c r="T41" s="16">
        <f t="shared" si="0"/>
        <v>0</v>
      </c>
      <c r="U41" s="16">
        <f t="shared" si="1"/>
        <v>0</v>
      </c>
      <c r="V41" s="133"/>
    </row>
    <row r="42" spans="1:22" s="56" customFormat="1">
      <c r="A42" s="58"/>
      <c r="B42" s="36"/>
      <c r="C42" s="58"/>
      <c r="D42" s="57"/>
      <c r="E42" s="57"/>
      <c r="F42" s="41"/>
      <c r="G42" s="41"/>
      <c r="H42" s="41"/>
      <c r="I42" s="57"/>
      <c r="J42" s="36"/>
      <c r="K42" s="57"/>
      <c r="L42" s="57"/>
      <c r="M42" s="57"/>
      <c r="N42" s="42"/>
      <c r="O42" s="57"/>
      <c r="P42" s="43"/>
      <c r="Q42" s="41"/>
      <c r="R42" s="43"/>
      <c r="S42" s="36"/>
      <c r="T42" s="16">
        <f t="shared" si="0"/>
        <v>0</v>
      </c>
      <c r="U42" s="16">
        <f t="shared" si="1"/>
        <v>0</v>
      </c>
      <c r="V42" s="133"/>
    </row>
    <row r="43" spans="1:22" s="56" customFormat="1">
      <c r="A43" s="58"/>
      <c r="B43" s="36"/>
      <c r="C43" s="58"/>
      <c r="D43" s="57"/>
      <c r="E43" s="57"/>
      <c r="F43" s="41"/>
      <c r="G43" s="41"/>
      <c r="H43" s="41"/>
      <c r="I43" s="57"/>
      <c r="J43" s="36"/>
      <c r="K43" s="57"/>
      <c r="L43" s="57"/>
      <c r="M43" s="57"/>
      <c r="N43" s="42"/>
      <c r="O43" s="57"/>
      <c r="P43" s="43"/>
      <c r="Q43" s="41"/>
      <c r="R43" s="43"/>
      <c r="S43" s="36"/>
      <c r="T43" s="16">
        <f t="shared" si="0"/>
        <v>0</v>
      </c>
      <c r="U43" s="16">
        <f t="shared" si="1"/>
        <v>0</v>
      </c>
      <c r="V43" s="133"/>
    </row>
    <row r="44" spans="1:22" s="56" customFormat="1">
      <c r="A44" s="58"/>
      <c r="B44" s="36"/>
      <c r="C44" s="58"/>
      <c r="D44" s="57"/>
      <c r="E44" s="57"/>
      <c r="F44" s="41"/>
      <c r="G44" s="41"/>
      <c r="H44" s="41"/>
      <c r="I44" s="57"/>
      <c r="J44" s="36"/>
      <c r="K44" s="57"/>
      <c r="L44" s="57"/>
      <c r="M44" s="57"/>
      <c r="N44" s="42"/>
      <c r="O44" s="57"/>
      <c r="P44" s="43"/>
      <c r="Q44" s="41"/>
      <c r="R44" s="43"/>
      <c r="S44" s="36"/>
      <c r="T44" s="16">
        <f t="shared" si="0"/>
        <v>0</v>
      </c>
      <c r="U44" s="16">
        <f t="shared" si="1"/>
        <v>0</v>
      </c>
      <c r="V44" s="133"/>
    </row>
    <row r="45" spans="1:22" s="56" customFormat="1">
      <c r="A45" s="58"/>
      <c r="B45" s="36"/>
      <c r="C45" s="58"/>
      <c r="D45" s="57"/>
      <c r="E45" s="57"/>
      <c r="F45" s="41"/>
      <c r="G45" s="41"/>
      <c r="H45" s="41"/>
      <c r="I45" s="57"/>
      <c r="J45" s="36"/>
      <c r="K45" s="57"/>
      <c r="L45" s="57"/>
      <c r="M45" s="57"/>
      <c r="N45" s="42"/>
      <c r="O45" s="57"/>
      <c r="P45" s="43"/>
      <c r="Q45" s="41"/>
      <c r="R45" s="43"/>
      <c r="S45" s="36"/>
      <c r="T45" s="16">
        <f t="shared" si="0"/>
        <v>0</v>
      </c>
      <c r="U45" s="16">
        <f t="shared" si="1"/>
        <v>0</v>
      </c>
      <c r="V45" s="133"/>
    </row>
    <row r="46" spans="1:22" s="56" customFormat="1">
      <c r="A46" s="58"/>
      <c r="B46" s="36"/>
      <c r="C46" s="58"/>
      <c r="D46" s="57"/>
      <c r="E46" s="57"/>
      <c r="F46" s="41"/>
      <c r="G46" s="41"/>
      <c r="H46" s="41"/>
      <c r="I46" s="57"/>
      <c r="J46" s="36"/>
      <c r="K46" s="57"/>
      <c r="L46" s="57"/>
      <c r="M46" s="57"/>
      <c r="N46" s="42"/>
      <c r="O46" s="57"/>
      <c r="P46" s="43"/>
      <c r="Q46" s="41"/>
      <c r="R46" s="43"/>
      <c r="S46" s="36"/>
      <c r="T46" s="16">
        <f t="shared" si="0"/>
        <v>0</v>
      </c>
      <c r="U46" s="16">
        <f t="shared" si="1"/>
        <v>0</v>
      </c>
      <c r="V46" s="133"/>
    </row>
    <row r="47" spans="1:22" s="56" customFormat="1">
      <c r="A47" s="58"/>
      <c r="B47" s="36"/>
      <c r="C47" s="58"/>
      <c r="D47" s="57"/>
      <c r="E47" s="57"/>
      <c r="F47" s="41"/>
      <c r="G47" s="41"/>
      <c r="H47" s="41"/>
      <c r="I47" s="57"/>
      <c r="J47" s="36"/>
      <c r="K47" s="57"/>
      <c r="L47" s="57"/>
      <c r="M47" s="57"/>
      <c r="N47" s="42"/>
      <c r="O47" s="57"/>
      <c r="P47" s="43"/>
      <c r="Q47" s="41"/>
      <c r="R47" s="43"/>
      <c r="S47" s="36"/>
      <c r="T47" s="16">
        <f t="shared" si="0"/>
        <v>0</v>
      </c>
      <c r="U47" s="16">
        <f t="shared" si="1"/>
        <v>0</v>
      </c>
      <c r="V47" s="133"/>
    </row>
    <row r="48" spans="1:22" s="56" customFormat="1">
      <c r="A48" s="58"/>
      <c r="B48" s="36"/>
      <c r="C48" s="58"/>
      <c r="D48" s="57"/>
      <c r="E48" s="57"/>
      <c r="F48" s="41"/>
      <c r="G48" s="41"/>
      <c r="H48" s="41"/>
      <c r="I48" s="57"/>
      <c r="J48" s="36"/>
      <c r="K48" s="57"/>
      <c r="L48" s="57"/>
      <c r="M48" s="57"/>
      <c r="N48" s="42"/>
      <c r="O48" s="57"/>
      <c r="P48" s="43"/>
      <c r="Q48" s="41"/>
      <c r="R48" s="43"/>
      <c r="S48" s="36"/>
      <c r="T48" s="16">
        <f t="shared" si="0"/>
        <v>0</v>
      </c>
      <c r="U48" s="16">
        <f t="shared" si="1"/>
        <v>0</v>
      </c>
      <c r="V48" s="133"/>
    </row>
    <row r="49" spans="1:22" s="56" customFormat="1">
      <c r="A49" s="58"/>
      <c r="B49" s="36"/>
      <c r="C49" s="58"/>
      <c r="D49" s="57"/>
      <c r="E49" s="57"/>
      <c r="F49" s="41"/>
      <c r="G49" s="41"/>
      <c r="H49" s="41"/>
      <c r="I49" s="57"/>
      <c r="J49" s="36"/>
      <c r="K49" s="57"/>
      <c r="L49" s="57"/>
      <c r="M49" s="57"/>
      <c r="N49" s="42"/>
      <c r="O49" s="57"/>
      <c r="P49" s="43"/>
      <c r="Q49" s="41"/>
      <c r="R49" s="43"/>
      <c r="S49" s="36"/>
      <c r="T49" s="16">
        <f t="shared" si="0"/>
        <v>0</v>
      </c>
      <c r="U49" s="16">
        <f t="shared" si="1"/>
        <v>0</v>
      </c>
      <c r="V49" s="133"/>
    </row>
    <row r="50" spans="1:22" s="56" customFormat="1">
      <c r="A50" s="58"/>
      <c r="B50" s="36"/>
      <c r="C50" s="58"/>
      <c r="D50" s="57"/>
      <c r="E50" s="57"/>
      <c r="F50" s="41"/>
      <c r="G50" s="41"/>
      <c r="H50" s="41"/>
      <c r="I50" s="57"/>
      <c r="J50" s="36"/>
      <c r="K50" s="57"/>
      <c r="L50" s="57"/>
      <c r="M50" s="57"/>
      <c r="N50" s="42"/>
      <c r="O50" s="57"/>
      <c r="P50" s="43"/>
      <c r="Q50" s="41"/>
      <c r="R50" s="43"/>
      <c r="S50" s="36"/>
      <c r="T50" s="16">
        <f t="shared" si="0"/>
        <v>0</v>
      </c>
      <c r="U50" s="16">
        <f t="shared" si="1"/>
        <v>0</v>
      </c>
      <c r="V50" s="133"/>
    </row>
    <row r="51" spans="1:22" s="56" customFormat="1">
      <c r="A51" s="58"/>
      <c r="B51" s="36"/>
      <c r="C51" s="58"/>
      <c r="D51" s="57"/>
      <c r="E51" s="57"/>
      <c r="F51" s="41"/>
      <c r="G51" s="41"/>
      <c r="H51" s="41"/>
      <c r="I51" s="57"/>
      <c r="J51" s="36"/>
      <c r="K51" s="57"/>
      <c r="L51" s="57"/>
      <c r="M51" s="57"/>
      <c r="N51" s="42"/>
      <c r="O51" s="57"/>
      <c r="P51" s="43"/>
      <c r="Q51" s="41"/>
      <c r="R51" s="43"/>
      <c r="S51" s="36"/>
      <c r="T51" s="16">
        <f t="shared" si="0"/>
        <v>0</v>
      </c>
      <c r="U51" s="16">
        <f t="shared" si="1"/>
        <v>0</v>
      </c>
      <c r="V51" s="133"/>
    </row>
    <row r="52" spans="1:22" s="56" customFormat="1">
      <c r="A52" s="58"/>
      <c r="B52" s="36"/>
      <c r="C52" s="58"/>
      <c r="D52" s="57"/>
      <c r="E52" s="57"/>
      <c r="F52" s="41"/>
      <c r="G52" s="41"/>
      <c r="H52" s="41"/>
      <c r="I52" s="57"/>
      <c r="J52" s="36"/>
      <c r="K52" s="57"/>
      <c r="L52" s="57"/>
      <c r="M52" s="57"/>
      <c r="N52" s="42"/>
      <c r="O52" s="57"/>
      <c r="P52" s="43"/>
      <c r="Q52" s="41"/>
      <c r="R52" s="43"/>
      <c r="S52" s="36"/>
      <c r="T52" s="16">
        <f t="shared" si="0"/>
        <v>0</v>
      </c>
      <c r="U52" s="16">
        <f t="shared" si="1"/>
        <v>0</v>
      </c>
      <c r="V52" s="133"/>
    </row>
    <row r="53" spans="1:22" s="56" customFormat="1">
      <c r="A53" s="58"/>
      <c r="B53" s="36"/>
      <c r="C53" s="58"/>
      <c r="D53" s="57"/>
      <c r="E53" s="57"/>
      <c r="F53" s="41"/>
      <c r="G53" s="41"/>
      <c r="H53" s="41"/>
      <c r="I53" s="57"/>
      <c r="J53" s="36"/>
      <c r="K53" s="57"/>
      <c r="L53" s="57"/>
      <c r="M53" s="57"/>
      <c r="N53" s="42"/>
      <c r="O53" s="57"/>
      <c r="P53" s="43"/>
      <c r="Q53" s="41"/>
      <c r="R53" s="43"/>
      <c r="S53" s="36"/>
      <c r="T53" s="16">
        <f t="shared" si="0"/>
        <v>0</v>
      </c>
      <c r="U53" s="16">
        <f t="shared" si="1"/>
        <v>0</v>
      </c>
      <c r="V53" s="133"/>
    </row>
    <row r="54" spans="1:22" s="56" customFormat="1">
      <c r="A54" s="58"/>
      <c r="B54" s="36"/>
      <c r="C54" s="58"/>
      <c r="D54" s="57"/>
      <c r="E54" s="57"/>
      <c r="F54" s="41"/>
      <c r="G54" s="41"/>
      <c r="H54" s="41"/>
      <c r="I54" s="57"/>
      <c r="J54" s="36"/>
      <c r="K54" s="57"/>
      <c r="L54" s="57"/>
      <c r="M54" s="57"/>
      <c r="N54" s="42"/>
      <c r="O54" s="57"/>
      <c r="P54" s="43"/>
      <c r="Q54" s="41"/>
      <c r="R54" s="43"/>
      <c r="S54" s="36"/>
      <c r="T54" s="16">
        <f t="shared" si="0"/>
        <v>0</v>
      </c>
      <c r="U54" s="16">
        <f t="shared" si="1"/>
        <v>0</v>
      </c>
      <c r="V54" s="133"/>
    </row>
    <row r="55" spans="1:22" s="56" customFormat="1">
      <c r="A55" s="58"/>
      <c r="B55" s="36"/>
      <c r="C55" s="58"/>
      <c r="D55" s="57"/>
      <c r="E55" s="57"/>
      <c r="F55" s="41"/>
      <c r="G55" s="41"/>
      <c r="H55" s="41"/>
      <c r="I55" s="57"/>
      <c r="J55" s="36"/>
      <c r="K55" s="57"/>
      <c r="L55" s="57"/>
      <c r="M55" s="57"/>
      <c r="N55" s="42"/>
      <c r="O55" s="57"/>
      <c r="P55" s="43"/>
      <c r="Q55" s="41"/>
      <c r="R55" s="43"/>
      <c r="S55" s="36"/>
      <c r="T55" s="16">
        <f t="shared" si="0"/>
        <v>0</v>
      </c>
      <c r="U55" s="16">
        <f t="shared" si="1"/>
        <v>0</v>
      </c>
      <c r="V55" s="133"/>
    </row>
    <row r="56" spans="1:22" s="56" customFormat="1">
      <c r="A56" s="58"/>
      <c r="B56" s="36"/>
      <c r="C56" s="58"/>
      <c r="D56" s="57"/>
      <c r="E56" s="57"/>
      <c r="F56" s="41"/>
      <c r="G56" s="41"/>
      <c r="H56" s="41"/>
      <c r="I56" s="57"/>
      <c r="J56" s="36"/>
      <c r="K56" s="57"/>
      <c r="L56" s="57"/>
      <c r="M56" s="57"/>
      <c r="N56" s="42"/>
      <c r="O56" s="57"/>
      <c r="P56" s="43"/>
      <c r="Q56" s="41"/>
      <c r="R56" s="43"/>
      <c r="S56" s="36"/>
      <c r="T56" s="16">
        <f t="shared" si="0"/>
        <v>0</v>
      </c>
      <c r="U56" s="16">
        <f t="shared" si="1"/>
        <v>0</v>
      </c>
      <c r="V56" s="133"/>
    </row>
    <row r="57" spans="1:22" s="56" customFormat="1">
      <c r="A57" s="58"/>
      <c r="B57" s="36"/>
      <c r="C57" s="58"/>
      <c r="D57" s="57"/>
      <c r="E57" s="57"/>
      <c r="F57" s="41"/>
      <c r="G57" s="41"/>
      <c r="H57" s="41"/>
      <c r="I57" s="57"/>
      <c r="J57" s="36"/>
      <c r="K57" s="57"/>
      <c r="L57" s="57"/>
      <c r="M57" s="57"/>
      <c r="N57" s="42"/>
      <c r="O57" s="57"/>
      <c r="P57" s="43"/>
      <c r="Q57" s="41"/>
      <c r="R57" s="43"/>
      <c r="S57" s="36"/>
      <c r="T57" s="16">
        <f t="shared" si="0"/>
        <v>0</v>
      </c>
      <c r="U57" s="16">
        <f t="shared" si="1"/>
        <v>0</v>
      </c>
      <c r="V57" s="133"/>
    </row>
    <row r="58" spans="1:22" s="56" customFormat="1">
      <c r="A58" s="58"/>
      <c r="B58" s="36"/>
      <c r="C58" s="58"/>
      <c r="D58" s="57"/>
      <c r="E58" s="57"/>
      <c r="F58" s="41"/>
      <c r="G58" s="41"/>
      <c r="H58" s="41"/>
      <c r="I58" s="57"/>
      <c r="J58" s="36"/>
      <c r="K58" s="57"/>
      <c r="L58" s="57"/>
      <c r="M58" s="57"/>
      <c r="N58" s="42"/>
      <c r="O58" s="57"/>
      <c r="P58" s="43"/>
      <c r="Q58" s="41"/>
      <c r="R58" s="43"/>
      <c r="S58" s="36"/>
      <c r="T58" s="16">
        <f t="shared" si="0"/>
        <v>0</v>
      </c>
      <c r="U58" s="16">
        <f t="shared" si="1"/>
        <v>0</v>
      </c>
      <c r="V58" s="133"/>
    </row>
    <row r="59" spans="1:22" s="56" customFormat="1">
      <c r="A59" s="58"/>
      <c r="B59" s="36"/>
      <c r="C59" s="58"/>
      <c r="D59" s="57"/>
      <c r="E59" s="57"/>
      <c r="F59" s="41"/>
      <c r="G59" s="41"/>
      <c r="H59" s="41"/>
      <c r="I59" s="57"/>
      <c r="J59" s="36"/>
      <c r="K59" s="57"/>
      <c r="L59" s="57"/>
      <c r="M59" s="57"/>
      <c r="N59" s="42"/>
      <c r="O59" s="57"/>
      <c r="P59" s="43"/>
      <c r="Q59" s="41"/>
      <c r="R59" s="43"/>
      <c r="S59" s="36"/>
      <c r="T59" s="16">
        <f t="shared" si="0"/>
        <v>0</v>
      </c>
      <c r="U59" s="16">
        <f t="shared" si="1"/>
        <v>0</v>
      </c>
      <c r="V59" s="133"/>
    </row>
    <row r="60" spans="1:22" s="56" customFormat="1">
      <c r="A60" s="58"/>
      <c r="B60" s="36"/>
      <c r="C60" s="58"/>
      <c r="D60" s="57"/>
      <c r="E60" s="57"/>
      <c r="F60" s="41"/>
      <c r="G60" s="41"/>
      <c r="H60" s="41"/>
      <c r="I60" s="57"/>
      <c r="J60" s="36"/>
      <c r="K60" s="57"/>
      <c r="L60" s="57"/>
      <c r="M60" s="57"/>
      <c r="N60" s="42"/>
      <c r="O60" s="57"/>
      <c r="P60" s="43"/>
      <c r="Q60" s="41"/>
      <c r="R60" s="43"/>
      <c r="S60" s="36"/>
      <c r="T60" s="16">
        <f t="shared" si="0"/>
        <v>0</v>
      </c>
      <c r="U60" s="16">
        <f t="shared" si="1"/>
        <v>0</v>
      </c>
      <c r="V60" s="133"/>
    </row>
    <row r="61" spans="1:22" s="56" customFormat="1">
      <c r="A61" s="58"/>
      <c r="B61" s="36"/>
      <c r="C61" s="58"/>
      <c r="D61" s="57"/>
      <c r="E61" s="57"/>
      <c r="F61" s="41"/>
      <c r="G61" s="41"/>
      <c r="H61" s="41"/>
      <c r="I61" s="57"/>
      <c r="J61" s="36"/>
      <c r="K61" s="57"/>
      <c r="L61" s="57"/>
      <c r="M61" s="57"/>
      <c r="N61" s="42"/>
      <c r="O61" s="57"/>
      <c r="P61" s="43"/>
      <c r="Q61" s="41"/>
      <c r="R61" s="43"/>
      <c r="S61" s="36"/>
      <c r="T61" s="16">
        <f t="shared" si="0"/>
        <v>0</v>
      </c>
      <c r="U61" s="16">
        <f t="shared" si="1"/>
        <v>0</v>
      </c>
      <c r="V61" s="133"/>
    </row>
    <row r="62" spans="1:22" s="56" customFormat="1">
      <c r="A62" s="58"/>
      <c r="B62" s="36"/>
      <c r="C62" s="58"/>
      <c r="D62" s="57"/>
      <c r="E62" s="57"/>
      <c r="F62" s="41"/>
      <c r="G62" s="41"/>
      <c r="H62" s="41"/>
      <c r="I62" s="57"/>
      <c r="J62" s="36"/>
      <c r="K62" s="57"/>
      <c r="L62" s="57"/>
      <c r="M62" s="57"/>
      <c r="N62" s="42"/>
      <c r="O62" s="57"/>
      <c r="P62" s="43"/>
      <c r="Q62" s="41"/>
      <c r="R62" s="43"/>
      <c r="S62" s="36"/>
      <c r="T62" s="16">
        <f t="shared" si="0"/>
        <v>0</v>
      </c>
      <c r="U62" s="16">
        <f t="shared" si="1"/>
        <v>0</v>
      </c>
      <c r="V62" s="133"/>
    </row>
    <row r="63" spans="1:22" s="56" customFormat="1">
      <c r="A63" s="58"/>
      <c r="B63" s="36"/>
      <c r="C63" s="58"/>
      <c r="D63" s="57"/>
      <c r="E63" s="57"/>
      <c r="F63" s="41"/>
      <c r="G63" s="41"/>
      <c r="H63" s="41"/>
      <c r="I63" s="57"/>
      <c r="J63" s="36"/>
      <c r="K63" s="57"/>
      <c r="L63" s="57"/>
      <c r="M63" s="57"/>
      <c r="N63" s="42"/>
      <c r="O63" s="57"/>
      <c r="P63" s="43"/>
      <c r="Q63" s="41"/>
      <c r="R63" s="43"/>
      <c r="S63" s="36"/>
      <c r="T63" s="16">
        <f t="shared" si="0"/>
        <v>0</v>
      </c>
      <c r="U63" s="16">
        <f t="shared" si="1"/>
        <v>0</v>
      </c>
      <c r="V63" s="133"/>
    </row>
    <row r="64" spans="1:22" s="56" customFormat="1">
      <c r="A64" s="58"/>
      <c r="B64" s="36"/>
      <c r="C64" s="58"/>
      <c r="D64" s="57"/>
      <c r="E64" s="57"/>
      <c r="F64" s="41"/>
      <c r="G64" s="41"/>
      <c r="H64" s="41"/>
      <c r="I64" s="57"/>
      <c r="J64" s="36"/>
      <c r="K64" s="57"/>
      <c r="L64" s="57"/>
      <c r="M64" s="57"/>
      <c r="N64" s="42"/>
      <c r="O64" s="57"/>
      <c r="P64" s="43"/>
      <c r="Q64" s="41"/>
      <c r="R64" s="43"/>
      <c r="S64" s="36"/>
      <c r="T64" s="16">
        <f t="shared" si="0"/>
        <v>0</v>
      </c>
      <c r="U64" s="16">
        <f t="shared" si="1"/>
        <v>0</v>
      </c>
      <c r="V64" s="133"/>
    </row>
    <row r="65" spans="1:22" s="56" customFormat="1">
      <c r="A65" s="58"/>
      <c r="B65" s="36"/>
      <c r="C65" s="58"/>
      <c r="D65" s="57"/>
      <c r="E65" s="57"/>
      <c r="F65" s="41"/>
      <c r="G65" s="41"/>
      <c r="H65" s="41"/>
      <c r="I65" s="57"/>
      <c r="J65" s="36"/>
      <c r="K65" s="57"/>
      <c r="L65" s="57"/>
      <c r="M65" s="57"/>
      <c r="N65" s="42"/>
      <c r="O65" s="57"/>
      <c r="P65" s="43"/>
      <c r="Q65" s="41"/>
      <c r="R65" s="43"/>
      <c r="S65" s="36"/>
      <c r="T65" s="16">
        <f t="shared" si="0"/>
        <v>0</v>
      </c>
      <c r="U65" s="16">
        <f t="shared" si="1"/>
        <v>0</v>
      </c>
      <c r="V65" s="133"/>
    </row>
    <row r="66" spans="1:22" s="56" customFormat="1">
      <c r="A66" s="58"/>
      <c r="B66" s="36"/>
      <c r="C66" s="58"/>
      <c r="D66" s="57"/>
      <c r="E66" s="57"/>
      <c r="F66" s="41"/>
      <c r="G66" s="41"/>
      <c r="H66" s="41"/>
      <c r="I66" s="57"/>
      <c r="J66" s="36"/>
      <c r="K66" s="57"/>
      <c r="L66" s="57"/>
      <c r="M66" s="57"/>
      <c r="N66" s="42"/>
      <c r="O66" s="57"/>
      <c r="P66" s="43"/>
      <c r="Q66" s="41"/>
      <c r="R66" s="43"/>
      <c r="S66" s="36"/>
      <c r="T66" s="16">
        <f t="shared" si="0"/>
        <v>0</v>
      </c>
      <c r="U66" s="16">
        <f t="shared" si="1"/>
        <v>0</v>
      </c>
      <c r="V66" s="133"/>
    </row>
    <row r="67" spans="1:22" s="56" customFormat="1">
      <c r="A67" s="58"/>
      <c r="B67" s="36"/>
      <c r="C67" s="58"/>
      <c r="D67" s="57"/>
      <c r="E67" s="57"/>
      <c r="F67" s="41"/>
      <c r="G67" s="41"/>
      <c r="H67" s="41"/>
      <c r="I67" s="57"/>
      <c r="J67" s="36"/>
      <c r="K67" s="57"/>
      <c r="L67" s="57"/>
      <c r="M67" s="57"/>
      <c r="N67" s="42"/>
      <c r="O67" s="57"/>
      <c r="P67" s="43"/>
      <c r="Q67" s="41"/>
      <c r="R67" s="43"/>
      <c r="S67" s="36"/>
      <c r="T67" s="16">
        <f t="shared" si="0"/>
        <v>0</v>
      </c>
      <c r="U67" s="16">
        <f t="shared" si="1"/>
        <v>0</v>
      </c>
      <c r="V67" s="133"/>
    </row>
    <row r="68" spans="1:22" s="56" customFormat="1">
      <c r="A68" s="58"/>
      <c r="B68" s="36"/>
      <c r="C68" s="58"/>
      <c r="D68" s="57"/>
      <c r="E68" s="57"/>
      <c r="F68" s="41"/>
      <c r="G68" s="41"/>
      <c r="H68" s="41"/>
      <c r="I68" s="57"/>
      <c r="J68" s="36"/>
      <c r="K68" s="57"/>
      <c r="L68" s="57"/>
      <c r="M68" s="57"/>
      <c r="N68" s="42"/>
      <c r="O68" s="57"/>
      <c r="P68" s="43"/>
      <c r="Q68" s="41"/>
      <c r="R68" s="43"/>
      <c r="S68" s="36"/>
      <c r="T68" s="16">
        <f t="shared" si="0"/>
        <v>0</v>
      </c>
      <c r="U68" s="16">
        <f t="shared" si="1"/>
        <v>0</v>
      </c>
      <c r="V68" s="133"/>
    </row>
    <row r="69" spans="1:22" s="56" customFormat="1">
      <c r="A69" s="58"/>
      <c r="B69" s="36"/>
      <c r="C69" s="58"/>
      <c r="D69" s="57"/>
      <c r="E69" s="57"/>
      <c r="F69" s="41"/>
      <c r="G69" s="41"/>
      <c r="H69" s="41"/>
      <c r="I69" s="57"/>
      <c r="J69" s="36"/>
      <c r="K69" s="57"/>
      <c r="L69" s="57"/>
      <c r="M69" s="57"/>
      <c r="N69" s="42"/>
      <c r="O69" s="57"/>
      <c r="P69" s="43"/>
      <c r="Q69" s="41"/>
      <c r="R69" s="43"/>
      <c r="S69" s="36"/>
      <c r="T69" s="16">
        <f t="shared" ref="T69:T132" si="2">IF(OR($J69="Accepted",ISBLANK($J69)),IF(AND($G69="Legacy Data",$Q69="Legacy Data"),1,IF(OR($G69="Legacy Data",$Q69="Legacy Data"),1,0)),IF(OR($N69="Agree with original translator",ISBLANK($N69)),IF(AND($G69="Source Text Data",$Q69="Legacy Data"),1,IF(AND($G69="Legacy Data",$Q69="Legacy Data"),1,IF($Q69="Legacy Data",1,0))),IF(AND($G69="Legacy Data",$Q69="Legacy Data"),1,IF(OR($Q69="Legacy Data",ISBLANK($Q69)),IF($G69&lt;&gt;"Legacy Data",IF(AND($G69="Source Text Data",$Q69="Legacy Data"),1,0),1),0))))</f>
        <v>0</v>
      </c>
      <c r="U69" s="16">
        <f t="shared" ref="U69:U132" si="3">IF(OR($J69="Accepted",ISBLANK($J69)),IF(AND($G69="Source Text Data",$Q69="Source Text Data"),1,IF(OR($G69="Source Text Data",$Q69="Source Text Data"),1,0)),IF(OR($N69="Agree with original translator",ISBLANK($N69)),IF(AND($G69="Legacy Data",$Q69="Source Text Data"),1,IF(AND($G69="Source Text Data",$Q69="Source Text Data"),1,IF($Q69="Source Text Data",1,0))),IF(AND($G69="Source Text Data",$Q69="Source Text Data"),1,IF(OR($Q69="Source Text Data",ISBLANK($Q69)),IF($G69&lt;&gt;"Source Text Data",IF(AND($G69="Legacy Data",$Q69="Source Text Data"),1,0),1),0))))</f>
        <v>0</v>
      </c>
      <c r="V69" s="133"/>
    </row>
    <row r="70" spans="1:22" s="56" customFormat="1">
      <c r="A70" s="58"/>
      <c r="B70" s="36"/>
      <c r="C70" s="58"/>
      <c r="D70" s="57"/>
      <c r="E70" s="57"/>
      <c r="F70" s="41"/>
      <c r="G70" s="41"/>
      <c r="H70" s="41"/>
      <c r="I70" s="57"/>
      <c r="J70" s="36"/>
      <c r="K70" s="57"/>
      <c r="L70" s="57"/>
      <c r="M70" s="57"/>
      <c r="N70" s="42"/>
      <c r="O70" s="57"/>
      <c r="P70" s="43"/>
      <c r="Q70" s="41"/>
      <c r="R70" s="43"/>
      <c r="S70" s="36"/>
      <c r="T70" s="16">
        <f t="shared" si="2"/>
        <v>0</v>
      </c>
      <c r="U70" s="16">
        <f t="shared" si="3"/>
        <v>0</v>
      </c>
      <c r="V70" s="133"/>
    </row>
    <row r="71" spans="1:22" s="56" customFormat="1">
      <c r="A71" s="58"/>
      <c r="B71" s="36"/>
      <c r="C71" s="58"/>
      <c r="D71" s="57"/>
      <c r="E71" s="57"/>
      <c r="F71" s="41"/>
      <c r="G71" s="41"/>
      <c r="H71" s="41"/>
      <c r="I71" s="57"/>
      <c r="J71" s="36"/>
      <c r="K71" s="57"/>
      <c r="L71" s="57"/>
      <c r="M71" s="57"/>
      <c r="N71" s="42"/>
      <c r="O71" s="57"/>
      <c r="P71" s="43"/>
      <c r="Q71" s="41"/>
      <c r="R71" s="43"/>
      <c r="S71" s="36"/>
      <c r="T71" s="16">
        <f t="shared" si="2"/>
        <v>0</v>
      </c>
      <c r="U71" s="16">
        <f t="shared" si="3"/>
        <v>0</v>
      </c>
      <c r="V71" s="133"/>
    </row>
    <row r="72" spans="1:22" s="56" customFormat="1">
      <c r="A72" s="58"/>
      <c r="B72" s="36"/>
      <c r="C72" s="58"/>
      <c r="D72" s="57"/>
      <c r="E72" s="57"/>
      <c r="F72" s="41"/>
      <c r="G72" s="41"/>
      <c r="H72" s="41"/>
      <c r="I72" s="57"/>
      <c r="J72" s="36"/>
      <c r="K72" s="57"/>
      <c r="L72" s="57"/>
      <c r="M72" s="57"/>
      <c r="N72" s="42"/>
      <c r="O72" s="57"/>
      <c r="P72" s="43"/>
      <c r="Q72" s="41"/>
      <c r="R72" s="43"/>
      <c r="S72" s="36"/>
      <c r="T72" s="16">
        <f t="shared" si="2"/>
        <v>0</v>
      </c>
      <c r="U72" s="16">
        <f t="shared" si="3"/>
        <v>0</v>
      </c>
      <c r="V72" s="133"/>
    </row>
    <row r="73" spans="1:22" s="56" customFormat="1">
      <c r="A73" s="58"/>
      <c r="B73" s="36"/>
      <c r="C73" s="58"/>
      <c r="D73" s="57"/>
      <c r="E73" s="57"/>
      <c r="F73" s="41"/>
      <c r="G73" s="41"/>
      <c r="H73" s="41"/>
      <c r="I73" s="57"/>
      <c r="J73" s="36"/>
      <c r="K73" s="57"/>
      <c r="L73" s="57"/>
      <c r="M73" s="57"/>
      <c r="N73" s="42"/>
      <c r="O73" s="57"/>
      <c r="P73" s="43"/>
      <c r="Q73" s="41"/>
      <c r="R73" s="43"/>
      <c r="S73" s="36"/>
      <c r="T73" s="16">
        <f t="shared" si="2"/>
        <v>0</v>
      </c>
      <c r="U73" s="16">
        <f t="shared" si="3"/>
        <v>0</v>
      </c>
      <c r="V73" s="133"/>
    </row>
    <row r="74" spans="1:22" s="56" customFormat="1">
      <c r="A74" s="58"/>
      <c r="B74" s="36"/>
      <c r="C74" s="58"/>
      <c r="D74" s="57"/>
      <c r="E74" s="57"/>
      <c r="F74" s="41"/>
      <c r="G74" s="41"/>
      <c r="H74" s="41"/>
      <c r="I74" s="57"/>
      <c r="J74" s="36"/>
      <c r="K74" s="57"/>
      <c r="L74" s="57"/>
      <c r="M74" s="57"/>
      <c r="N74" s="42"/>
      <c r="O74" s="57"/>
      <c r="P74" s="43"/>
      <c r="Q74" s="41"/>
      <c r="R74" s="43"/>
      <c r="S74" s="36"/>
      <c r="T74" s="16">
        <f t="shared" si="2"/>
        <v>0</v>
      </c>
      <c r="U74" s="16">
        <f t="shared" si="3"/>
        <v>0</v>
      </c>
      <c r="V74" s="133"/>
    </row>
    <row r="75" spans="1:22" s="56" customFormat="1">
      <c r="A75" s="58"/>
      <c r="B75" s="36"/>
      <c r="C75" s="58"/>
      <c r="D75" s="57"/>
      <c r="E75" s="57"/>
      <c r="F75" s="41"/>
      <c r="G75" s="41"/>
      <c r="H75" s="41"/>
      <c r="I75" s="57"/>
      <c r="J75" s="36"/>
      <c r="K75" s="57"/>
      <c r="L75" s="57"/>
      <c r="M75" s="57"/>
      <c r="N75" s="42"/>
      <c r="O75" s="57"/>
      <c r="P75" s="43"/>
      <c r="Q75" s="41"/>
      <c r="R75" s="43"/>
      <c r="S75" s="36"/>
      <c r="T75" s="16">
        <f t="shared" si="2"/>
        <v>0</v>
      </c>
      <c r="U75" s="16">
        <f t="shared" si="3"/>
        <v>0</v>
      </c>
      <c r="V75" s="133"/>
    </row>
    <row r="76" spans="1:22" s="56" customFormat="1">
      <c r="A76" s="58"/>
      <c r="B76" s="36"/>
      <c r="C76" s="58"/>
      <c r="D76" s="57"/>
      <c r="E76" s="57"/>
      <c r="F76" s="41"/>
      <c r="G76" s="41"/>
      <c r="H76" s="41"/>
      <c r="I76" s="57"/>
      <c r="J76" s="36"/>
      <c r="K76" s="57"/>
      <c r="L76" s="57"/>
      <c r="M76" s="57"/>
      <c r="N76" s="42"/>
      <c r="O76" s="57"/>
      <c r="P76" s="43"/>
      <c r="Q76" s="41"/>
      <c r="R76" s="43"/>
      <c r="S76" s="36"/>
      <c r="T76" s="16">
        <f t="shared" si="2"/>
        <v>0</v>
      </c>
      <c r="U76" s="16">
        <f t="shared" si="3"/>
        <v>0</v>
      </c>
      <c r="V76" s="133"/>
    </row>
    <row r="77" spans="1:22" s="56" customFormat="1">
      <c r="A77" s="58"/>
      <c r="B77" s="36"/>
      <c r="C77" s="58"/>
      <c r="D77" s="57"/>
      <c r="E77" s="57"/>
      <c r="F77" s="41"/>
      <c r="G77" s="41"/>
      <c r="H77" s="41"/>
      <c r="I77" s="57"/>
      <c r="J77" s="36"/>
      <c r="K77" s="57"/>
      <c r="L77" s="57"/>
      <c r="M77" s="57"/>
      <c r="N77" s="42"/>
      <c r="O77" s="57"/>
      <c r="P77" s="43"/>
      <c r="Q77" s="41"/>
      <c r="R77" s="43"/>
      <c r="S77" s="36"/>
      <c r="T77" s="16">
        <f t="shared" si="2"/>
        <v>0</v>
      </c>
      <c r="U77" s="16">
        <f t="shared" si="3"/>
        <v>0</v>
      </c>
      <c r="V77" s="133"/>
    </row>
    <row r="78" spans="1:22" s="56" customFormat="1">
      <c r="A78" s="58"/>
      <c r="B78" s="36"/>
      <c r="C78" s="58"/>
      <c r="D78" s="57"/>
      <c r="E78" s="57"/>
      <c r="F78" s="41"/>
      <c r="G78" s="41"/>
      <c r="H78" s="41"/>
      <c r="I78" s="57"/>
      <c r="J78" s="36"/>
      <c r="K78" s="57"/>
      <c r="L78" s="57"/>
      <c r="M78" s="57"/>
      <c r="N78" s="42"/>
      <c r="O78" s="57"/>
      <c r="P78" s="43"/>
      <c r="Q78" s="41"/>
      <c r="R78" s="43"/>
      <c r="S78" s="36"/>
      <c r="T78" s="16">
        <f t="shared" si="2"/>
        <v>0</v>
      </c>
      <c r="U78" s="16">
        <f t="shared" si="3"/>
        <v>0</v>
      </c>
      <c r="V78" s="133"/>
    </row>
    <row r="79" spans="1:22" s="56" customFormat="1">
      <c r="A79" s="58"/>
      <c r="B79" s="36"/>
      <c r="C79" s="58"/>
      <c r="D79" s="57"/>
      <c r="E79" s="57"/>
      <c r="F79" s="41"/>
      <c r="G79" s="41"/>
      <c r="H79" s="41"/>
      <c r="I79" s="57"/>
      <c r="J79" s="36"/>
      <c r="K79" s="57"/>
      <c r="L79" s="57"/>
      <c r="M79" s="57"/>
      <c r="N79" s="42"/>
      <c r="O79" s="57"/>
      <c r="P79" s="43"/>
      <c r="Q79" s="41"/>
      <c r="R79" s="43"/>
      <c r="S79" s="36"/>
      <c r="T79" s="16">
        <f t="shared" si="2"/>
        <v>0</v>
      </c>
      <c r="U79" s="16">
        <f t="shared" si="3"/>
        <v>0</v>
      </c>
      <c r="V79" s="133"/>
    </row>
    <row r="80" spans="1:22" s="56" customFormat="1">
      <c r="A80" s="58"/>
      <c r="B80" s="36"/>
      <c r="C80" s="58"/>
      <c r="D80" s="57"/>
      <c r="E80" s="57"/>
      <c r="F80" s="41"/>
      <c r="G80" s="41"/>
      <c r="H80" s="41"/>
      <c r="I80" s="57"/>
      <c r="J80" s="36"/>
      <c r="K80" s="57"/>
      <c r="L80" s="57"/>
      <c r="M80" s="57"/>
      <c r="N80" s="42"/>
      <c r="O80" s="57"/>
      <c r="P80" s="43"/>
      <c r="Q80" s="41"/>
      <c r="R80" s="43"/>
      <c r="S80" s="36"/>
      <c r="T80" s="16">
        <f t="shared" si="2"/>
        <v>0</v>
      </c>
      <c r="U80" s="16">
        <f t="shared" si="3"/>
        <v>0</v>
      </c>
      <c r="V80" s="133"/>
    </row>
    <row r="81" spans="1:22" s="56" customFormat="1">
      <c r="A81" s="58"/>
      <c r="B81" s="36"/>
      <c r="C81" s="58"/>
      <c r="D81" s="57"/>
      <c r="E81" s="57"/>
      <c r="F81" s="41"/>
      <c r="G81" s="41"/>
      <c r="H81" s="41"/>
      <c r="I81" s="57"/>
      <c r="J81" s="36"/>
      <c r="K81" s="57"/>
      <c r="L81" s="57"/>
      <c r="M81" s="57"/>
      <c r="N81" s="42"/>
      <c r="O81" s="57"/>
      <c r="P81" s="43"/>
      <c r="Q81" s="41"/>
      <c r="R81" s="43"/>
      <c r="S81" s="36"/>
      <c r="T81" s="16">
        <f t="shared" si="2"/>
        <v>0</v>
      </c>
      <c r="U81" s="16">
        <f t="shared" si="3"/>
        <v>0</v>
      </c>
      <c r="V81" s="133"/>
    </row>
    <row r="82" spans="1:22" s="56" customFormat="1">
      <c r="A82" s="58"/>
      <c r="B82" s="36"/>
      <c r="C82" s="58"/>
      <c r="D82" s="57"/>
      <c r="E82" s="57"/>
      <c r="F82" s="41"/>
      <c r="G82" s="41"/>
      <c r="H82" s="41"/>
      <c r="I82" s="57"/>
      <c r="J82" s="36"/>
      <c r="K82" s="57"/>
      <c r="L82" s="57"/>
      <c r="M82" s="57"/>
      <c r="N82" s="42"/>
      <c r="O82" s="57"/>
      <c r="P82" s="43"/>
      <c r="Q82" s="41"/>
      <c r="R82" s="43"/>
      <c r="S82" s="36"/>
      <c r="T82" s="16">
        <f t="shared" si="2"/>
        <v>0</v>
      </c>
      <c r="U82" s="16">
        <f t="shared" si="3"/>
        <v>0</v>
      </c>
      <c r="V82" s="133"/>
    </row>
    <row r="83" spans="1:22" s="56" customFormat="1">
      <c r="A83" s="58"/>
      <c r="B83" s="36"/>
      <c r="C83" s="58"/>
      <c r="D83" s="57"/>
      <c r="E83" s="57"/>
      <c r="F83" s="41"/>
      <c r="G83" s="41"/>
      <c r="H83" s="41"/>
      <c r="I83" s="57"/>
      <c r="J83" s="36"/>
      <c r="K83" s="57"/>
      <c r="L83" s="57"/>
      <c r="M83" s="57"/>
      <c r="N83" s="42"/>
      <c r="O83" s="57"/>
      <c r="P83" s="43"/>
      <c r="Q83" s="41"/>
      <c r="R83" s="43"/>
      <c r="S83" s="36"/>
      <c r="T83" s="16">
        <f t="shared" si="2"/>
        <v>0</v>
      </c>
      <c r="U83" s="16">
        <f t="shared" si="3"/>
        <v>0</v>
      </c>
      <c r="V83" s="133"/>
    </row>
    <row r="84" spans="1:22" s="56" customFormat="1">
      <c r="A84" s="58"/>
      <c r="B84" s="36"/>
      <c r="C84" s="58"/>
      <c r="D84" s="57"/>
      <c r="E84" s="57"/>
      <c r="F84" s="41"/>
      <c r="G84" s="41"/>
      <c r="H84" s="41"/>
      <c r="I84" s="57"/>
      <c r="J84" s="36"/>
      <c r="K84" s="57"/>
      <c r="L84" s="57"/>
      <c r="M84" s="57"/>
      <c r="N84" s="42"/>
      <c r="O84" s="57"/>
      <c r="P84" s="43"/>
      <c r="Q84" s="41"/>
      <c r="R84" s="43"/>
      <c r="S84" s="36"/>
      <c r="T84" s="16">
        <f t="shared" si="2"/>
        <v>0</v>
      </c>
      <c r="U84" s="16">
        <f t="shared" si="3"/>
        <v>0</v>
      </c>
      <c r="V84" s="133"/>
    </row>
    <row r="85" spans="1:22" s="56" customFormat="1">
      <c r="A85" s="58"/>
      <c r="B85" s="36"/>
      <c r="C85" s="58"/>
      <c r="D85" s="57"/>
      <c r="E85" s="57"/>
      <c r="F85" s="41"/>
      <c r="G85" s="41"/>
      <c r="H85" s="41"/>
      <c r="I85" s="57"/>
      <c r="J85" s="36"/>
      <c r="K85" s="57"/>
      <c r="L85" s="57"/>
      <c r="M85" s="57"/>
      <c r="N85" s="42"/>
      <c r="O85" s="57"/>
      <c r="P85" s="43"/>
      <c r="Q85" s="41"/>
      <c r="R85" s="43"/>
      <c r="S85" s="36"/>
      <c r="T85" s="16">
        <f t="shared" si="2"/>
        <v>0</v>
      </c>
      <c r="U85" s="16">
        <f t="shared" si="3"/>
        <v>0</v>
      </c>
      <c r="V85" s="133"/>
    </row>
    <row r="86" spans="1:22" s="56" customFormat="1">
      <c r="A86" s="58"/>
      <c r="B86" s="36"/>
      <c r="C86" s="58"/>
      <c r="D86" s="57"/>
      <c r="E86" s="57"/>
      <c r="F86" s="41"/>
      <c r="G86" s="41"/>
      <c r="H86" s="41"/>
      <c r="I86" s="57"/>
      <c r="J86" s="36"/>
      <c r="K86" s="57"/>
      <c r="L86" s="57"/>
      <c r="M86" s="57"/>
      <c r="N86" s="42"/>
      <c r="O86" s="57"/>
      <c r="P86" s="43"/>
      <c r="Q86" s="41"/>
      <c r="R86" s="43"/>
      <c r="S86" s="36"/>
      <c r="T86" s="16">
        <f t="shared" si="2"/>
        <v>0</v>
      </c>
      <c r="U86" s="16">
        <f t="shared" si="3"/>
        <v>0</v>
      </c>
      <c r="V86" s="133"/>
    </row>
    <row r="87" spans="1:22" s="56" customFormat="1">
      <c r="A87" s="58"/>
      <c r="B87" s="36"/>
      <c r="C87" s="58"/>
      <c r="D87" s="57"/>
      <c r="E87" s="57"/>
      <c r="F87" s="41"/>
      <c r="G87" s="41"/>
      <c r="H87" s="41"/>
      <c r="I87" s="57"/>
      <c r="J87" s="36"/>
      <c r="K87" s="57"/>
      <c r="L87" s="57"/>
      <c r="M87" s="57"/>
      <c r="N87" s="42"/>
      <c r="O87" s="57"/>
      <c r="P87" s="43"/>
      <c r="Q87" s="41"/>
      <c r="R87" s="43"/>
      <c r="S87" s="36"/>
      <c r="T87" s="16">
        <f t="shared" si="2"/>
        <v>0</v>
      </c>
      <c r="U87" s="16">
        <f t="shared" si="3"/>
        <v>0</v>
      </c>
      <c r="V87" s="133"/>
    </row>
    <row r="88" spans="1:22" s="56" customFormat="1">
      <c r="A88" s="58"/>
      <c r="B88" s="36"/>
      <c r="C88" s="58"/>
      <c r="D88" s="57"/>
      <c r="E88" s="57"/>
      <c r="F88" s="41"/>
      <c r="G88" s="41"/>
      <c r="H88" s="41"/>
      <c r="I88" s="57"/>
      <c r="J88" s="36"/>
      <c r="K88" s="57"/>
      <c r="L88" s="57"/>
      <c r="M88" s="57"/>
      <c r="N88" s="42"/>
      <c r="O88" s="57"/>
      <c r="P88" s="43"/>
      <c r="Q88" s="41"/>
      <c r="R88" s="43"/>
      <c r="S88" s="36"/>
      <c r="T88" s="16">
        <f t="shared" si="2"/>
        <v>0</v>
      </c>
      <c r="U88" s="16">
        <f t="shared" si="3"/>
        <v>0</v>
      </c>
      <c r="V88" s="133"/>
    </row>
    <row r="89" spans="1:22" s="56" customFormat="1">
      <c r="A89" s="58"/>
      <c r="B89" s="36"/>
      <c r="C89" s="58"/>
      <c r="D89" s="57"/>
      <c r="E89" s="57"/>
      <c r="F89" s="41"/>
      <c r="G89" s="41"/>
      <c r="H89" s="41"/>
      <c r="I89" s="57"/>
      <c r="J89" s="36"/>
      <c r="K89" s="57"/>
      <c r="L89" s="57"/>
      <c r="M89" s="57"/>
      <c r="N89" s="42"/>
      <c r="O89" s="57"/>
      <c r="P89" s="43"/>
      <c r="Q89" s="41"/>
      <c r="R89" s="43"/>
      <c r="S89" s="36"/>
      <c r="T89" s="16">
        <f t="shared" si="2"/>
        <v>0</v>
      </c>
      <c r="U89" s="16">
        <f t="shared" si="3"/>
        <v>0</v>
      </c>
      <c r="V89" s="133"/>
    </row>
    <row r="90" spans="1:22" s="56" customFormat="1">
      <c r="A90" s="58"/>
      <c r="B90" s="36"/>
      <c r="C90" s="58"/>
      <c r="D90" s="57"/>
      <c r="E90" s="57"/>
      <c r="F90" s="41"/>
      <c r="G90" s="41"/>
      <c r="H90" s="41"/>
      <c r="I90" s="57"/>
      <c r="J90" s="36"/>
      <c r="K90" s="57"/>
      <c r="L90" s="57"/>
      <c r="M90" s="57"/>
      <c r="N90" s="42"/>
      <c r="O90" s="57"/>
      <c r="P90" s="43"/>
      <c r="Q90" s="41"/>
      <c r="R90" s="43"/>
      <c r="S90" s="36"/>
      <c r="T90" s="16">
        <f t="shared" si="2"/>
        <v>0</v>
      </c>
      <c r="U90" s="16">
        <f t="shared" si="3"/>
        <v>0</v>
      </c>
      <c r="V90" s="133"/>
    </row>
    <row r="91" spans="1:22" s="56" customFormat="1">
      <c r="A91" s="58"/>
      <c r="B91" s="36"/>
      <c r="C91" s="58"/>
      <c r="D91" s="57"/>
      <c r="E91" s="57"/>
      <c r="F91" s="41"/>
      <c r="G91" s="41"/>
      <c r="H91" s="41"/>
      <c r="I91" s="57"/>
      <c r="J91" s="36"/>
      <c r="K91" s="57"/>
      <c r="L91" s="57"/>
      <c r="M91" s="57"/>
      <c r="N91" s="42"/>
      <c r="O91" s="57"/>
      <c r="P91" s="43"/>
      <c r="Q91" s="41"/>
      <c r="R91" s="43"/>
      <c r="S91" s="36"/>
      <c r="T91" s="16">
        <f t="shared" si="2"/>
        <v>0</v>
      </c>
      <c r="U91" s="16">
        <f t="shared" si="3"/>
        <v>0</v>
      </c>
      <c r="V91" s="133"/>
    </row>
    <row r="92" spans="1:22" s="56" customFormat="1">
      <c r="A92" s="58"/>
      <c r="B92" s="36"/>
      <c r="C92" s="58"/>
      <c r="D92" s="57"/>
      <c r="E92" s="57"/>
      <c r="F92" s="41"/>
      <c r="G92" s="41"/>
      <c r="H92" s="41"/>
      <c r="I92" s="57"/>
      <c r="J92" s="36"/>
      <c r="K92" s="57"/>
      <c r="L92" s="57"/>
      <c r="M92" s="57"/>
      <c r="N92" s="42"/>
      <c r="O92" s="57"/>
      <c r="P92" s="43"/>
      <c r="Q92" s="41"/>
      <c r="R92" s="43"/>
      <c r="S92" s="36"/>
      <c r="T92" s="16">
        <f t="shared" si="2"/>
        <v>0</v>
      </c>
      <c r="U92" s="16">
        <f t="shared" si="3"/>
        <v>0</v>
      </c>
      <c r="V92" s="133"/>
    </row>
    <row r="93" spans="1:22" s="56" customFormat="1">
      <c r="A93" s="58"/>
      <c r="B93" s="36"/>
      <c r="C93" s="58"/>
      <c r="D93" s="57"/>
      <c r="E93" s="57"/>
      <c r="F93" s="41"/>
      <c r="G93" s="41"/>
      <c r="H93" s="41"/>
      <c r="I93" s="57"/>
      <c r="J93" s="36"/>
      <c r="K93" s="57"/>
      <c r="L93" s="57"/>
      <c r="M93" s="57"/>
      <c r="N93" s="42"/>
      <c r="O93" s="57"/>
      <c r="P93" s="43"/>
      <c r="Q93" s="41"/>
      <c r="R93" s="43"/>
      <c r="S93" s="36"/>
      <c r="T93" s="16">
        <f t="shared" si="2"/>
        <v>0</v>
      </c>
      <c r="U93" s="16">
        <f t="shared" si="3"/>
        <v>0</v>
      </c>
      <c r="V93" s="133"/>
    </row>
    <row r="94" spans="1:22" s="56" customFormat="1">
      <c r="A94" s="58"/>
      <c r="B94" s="36"/>
      <c r="C94" s="58"/>
      <c r="D94" s="57"/>
      <c r="E94" s="57"/>
      <c r="F94" s="41"/>
      <c r="G94" s="41"/>
      <c r="H94" s="41"/>
      <c r="I94" s="57"/>
      <c r="J94" s="36"/>
      <c r="K94" s="57"/>
      <c r="L94" s="57"/>
      <c r="M94" s="57"/>
      <c r="N94" s="42"/>
      <c r="O94" s="57"/>
      <c r="P94" s="43"/>
      <c r="Q94" s="41"/>
      <c r="R94" s="43"/>
      <c r="S94" s="36"/>
      <c r="T94" s="16">
        <f t="shared" si="2"/>
        <v>0</v>
      </c>
      <c r="U94" s="16">
        <f t="shared" si="3"/>
        <v>0</v>
      </c>
      <c r="V94" s="133"/>
    </row>
    <row r="95" spans="1:22" s="56" customFormat="1">
      <c r="A95" s="58"/>
      <c r="B95" s="36"/>
      <c r="C95" s="58"/>
      <c r="D95" s="57"/>
      <c r="E95" s="57"/>
      <c r="F95" s="41"/>
      <c r="G95" s="41"/>
      <c r="H95" s="41"/>
      <c r="I95" s="57"/>
      <c r="J95" s="36"/>
      <c r="K95" s="57"/>
      <c r="L95" s="57"/>
      <c r="M95" s="57"/>
      <c r="N95" s="42"/>
      <c r="O95" s="57"/>
      <c r="P95" s="43"/>
      <c r="Q95" s="41"/>
      <c r="R95" s="43"/>
      <c r="S95" s="36"/>
      <c r="T95" s="16">
        <f t="shared" si="2"/>
        <v>0</v>
      </c>
      <c r="U95" s="16">
        <f t="shared" si="3"/>
        <v>0</v>
      </c>
      <c r="V95" s="133"/>
    </row>
    <row r="96" spans="1:22" s="56" customFormat="1">
      <c r="A96" s="58"/>
      <c r="B96" s="36"/>
      <c r="C96" s="58"/>
      <c r="D96" s="57"/>
      <c r="E96" s="57"/>
      <c r="F96" s="41"/>
      <c r="G96" s="41"/>
      <c r="H96" s="41"/>
      <c r="I96" s="57"/>
      <c r="J96" s="36"/>
      <c r="K96" s="57"/>
      <c r="L96" s="57"/>
      <c r="M96" s="57"/>
      <c r="N96" s="42"/>
      <c r="O96" s="57"/>
      <c r="P96" s="43"/>
      <c r="Q96" s="41"/>
      <c r="R96" s="43"/>
      <c r="S96" s="36"/>
      <c r="T96" s="16">
        <f t="shared" si="2"/>
        <v>0</v>
      </c>
      <c r="U96" s="16">
        <f t="shared" si="3"/>
        <v>0</v>
      </c>
      <c r="V96" s="133"/>
    </row>
    <row r="97" spans="1:22" s="56" customFormat="1">
      <c r="A97" s="58"/>
      <c r="B97" s="36"/>
      <c r="C97" s="58"/>
      <c r="D97" s="57"/>
      <c r="E97" s="57"/>
      <c r="F97" s="41"/>
      <c r="G97" s="41"/>
      <c r="H97" s="41"/>
      <c r="I97" s="57"/>
      <c r="J97" s="36"/>
      <c r="K97" s="57"/>
      <c r="L97" s="57"/>
      <c r="M97" s="57"/>
      <c r="N97" s="42"/>
      <c r="O97" s="57"/>
      <c r="P97" s="43"/>
      <c r="Q97" s="41"/>
      <c r="R97" s="43"/>
      <c r="S97" s="36"/>
      <c r="T97" s="16">
        <f t="shared" si="2"/>
        <v>0</v>
      </c>
      <c r="U97" s="16">
        <f t="shared" si="3"/>
        <v>0</v>
      </c>
      <c r="V97" s="133"/>
    </row>
    <row r="98" spans="1:22" s="56" customFormat="1">
      <c r="A98" s="58"/>
      <c r="B98" s="36"/>
      <c r="C98" s="58"/>
      <c r="D98" s="57"/>
      <c r="E98" s="57"/>
      <c r="F98" s="41"/>
      <c r="G98" s="41"/>
      <c r="H98" s="41"/>
      <c r="I98" s="57"/>
      <c r="J98" s="36"/>
      <c r="K98" s="57"/>
      <c r="L98" s="57"/>
      <c r="M98" s="57"/>
      <c r="N98" s="42"/>
      <c r="O98" s="57"/>
      <c r="P98" s="43"/>
      <c r="Q98" s="41"/>
      <c r="R98" s="43"/>
      <c r="S98" s="36"/>
      <c r="T98" s="16">
        <f t="shared" si="2"/>
        <v>0</v>
      </c>
      <c r="U98" s="16">
        <f t="shared" si="3"/>
        <v>0</v>
      </c>
      <c r="V98" s="133"/>
    </row>
    <row r="99" spans="1:22" s="56" customFormat="1">
      <c r="A99" s="58"/>
      <c r="B99" s="36"/>
      <c r="C99" s="58"/>
      <c r="D99" s="57"/>
      <c r="E99" s="57"/>
      <c r="F99" s="41"/>
      <c r="G99" s="41"/>
      <c r="H99" s="41"/>
      <c r="I99" s="57"/>
      <c r="J99" s="36"/>
      <c r="K99" s="57"/>
      <c r="L99" s="57"/>
      <c r="M99" s="57"/>
      <c r="N99" s="42"/>
      <c r="O99" s="57"/>
      <c r="P99" s="43"/>
      <c r="Q99" s="41"/>
      <c r="R99" s="43"/>
      <c r="S99" s="36"/>
      <c r="T99" s="16">
        <f t="shared" si="2"/>
        <v>0</v>
      </c>
      <c r="U99" s="16">
        <f t="shared" si="3"/>
        <v>0</v>
      </c>
      <c r="V99" s="133"/>
    </row>
    <row r="100" spans="1:22" s="56" customFormat="1">
      <c r="A100" s="58"/>
      <c r="B100" s="36"/>
      <c r="C100" s="58"/>
      <c r="D100" s="57"/>
      <c r="E100" s="57"/>
      <c r="F100" s="41"/>
      <c r="G100" s="41"/>
      <c r="H100" s="41"/>
      <c r="I100" s="57"/>
      <c r="J100" s="36"/>
      <c r="K100" s="57"/>
      <c r="L100" s="57"/>
      <c r="M100" s="57"/>
      <c r="N100" s="42"/>
      <c r="O100" s="57"/>
      <c r="P100" s="43"/>
      <c r="Q100" s="41"/>
      <c r="R100" s="43"/>
      <c r="S100" s="36"/>
      <c r="T100" s="16">
        <f t="shared" si="2"/>
        <v>0</v>
      </c>
      <c r="U100" s="16">
        <f t="shared" si="3"/>
        <v>0</v>
      </c>
      <c r="V100" s="133"/>
    </row>
    <row r="101" spans="1:22" s="56" customFormat="1">
      <c r="A101" s="58"/>
      <c r="B101" s="36"/>
      <c r="C101" s="58"/>
      <c r="D101" s="57"/>
      <c r="E101" s="57"/>
      <c r="F101" s="41"/>
      <c r="G101" s="41"/>
      <c r="H101" s="41"/>
      <c r="I101" s="57"/>
      <c r="J101" s="36"/>
      <c r="K101" s="57"/>
      <c r="L101" s="57"/>
      <c r="M101" s="57"/>
      <c r="N101" s="42"/>
      <c r="O101" s="57"/>
      <c r="P101" s="43"/>
      <c r="Q101" s="41"/>
      <c r="R101" s="43"/>
      <c r="S101" s="36"/>
      <c r="T101" s="16">
        <f t="shared" si="2"/>
        <v>0</v>
      </c>
      <c r="U101" s="16">
        <f t="shared" si="3"/>
        <v>0</v>
      </c>
      <c r="V101" s="133"/>
    </row>
    <row r="102" spans="1:22" s="56" customFormat="1">
      <c r="A102" s="58"/>
      <c r="B102" s="36"/>
      <c r="C102" s="58"/>
      <c r="D102" s="57"/>
      <c r="E102" s="57"/>
      <c r="F102" s="41"/>
      <c r="G102" s="41"/>
      <c r="H102" s="41"/>
      <c r="I102" s="57"/>
      <c r="J102" s="36"/>
      <c r="K102" s="57"/>
      <c r="L102" s="57"/>
      <c r="M102" s="57"/>
      <c r="N102" s="42"/>
      <c r="O102" s="57"/>
      <c r="P102" s="43"/>
      <c r="Q102" s="41"/>
      <c r="R102" s="43"/>
      <c r="S102" s="36"/>
      <c r="T102" s="16">
        <f t="shared" si="2"/>
        <v>0</v>
      </c>
      <c r="U102" s="16">
        <f t="shared" si="3"/>
        <v>0</v>
      </c>
      <c r="V102" s="133"/>
    </row>
    <row r="103" spans="1:22" s="56" customFormat="1">
      <c r="A103" s="58"/>
      <c r="B103" s="36"/>
      <c r="C103" s="58"/>
      <c r="D103" s="57"/>
      <c r="E103" s="57"/>
      <c r="F103" s="41"/>
      <c r="G103" s="41"/>
      <c r="H103" s="41"/>
      <c r="I103" s="57"/>
      <c r="J103" s="36"/>
      <c r="K103" s="57"/>
      <c r="L103" s="57"/>
      <c r="M103" s="57"/>
      <c r="N103" s="42"/>
      <c r="O103" s="57"/>
      <c r="P103" s="43"/>
      <c r="Q103" s="41"/>
      <c r="R103" s="43"/>
      <c r="S103" s="36"/>
      <c r="T103" s="16">
        <f t="shared" si="2"/>
        <v>0</v>
      </c>
      <c r="U103" s="16">
        <f t="shared" si="3"/>
        <v>0</v>
      </c>
      <c r="V103" s="133"/>
    </row>
    <row r="104" spans="1:22" s="56" customFormat="1">
      <c r="A104" s="58"/>
      <c r="B104" s="36"/>
      <c r="C104" s="58"/>
      <c r="D104" s="57"/>
      <c r="E104" s="57"/>
      <c r="F104" s="41"/>
      <c r="G104" s="41"/>
      <c r="H104" s="41"/>
      <c r="I104" s="57"/>
      <c r="J104" s="36"/>
      <c r="K104" s="57"/>
      <c r="L104" s="57"/>
      <c r="M104" s="57"/>
      <c r="N104" s="42"/>
      <c r="O104" s="57"/>
      <c r="P104" s="43"/>
      <c r="Q104" s="41"/>
      <c r="R104" s="43"/>
      <c r="S104" s="36"/>
      <c r="T104" s="16">
        <f t="shared" si="2"/>
        <v>0</v>
      </c>
      <c r="U104" s="16">
        <f t="shared" si="3"/>
        <v>0</v>
      </c>
      <c r="V104" s="133"/>
    </row>
    <row r="105" spans="1:22" s="56" customFormat="1">
      <c r="A105" s="58"/>
      <c r="B105" s="36"/>
      <c r="C105" s="58"/>
      <c r="D105" s="57"/>
      <c r="E105" s="57"/>
      <c r="F105" s="41"/>
      <c r="G105" s="41"/>
      <c r="H105" s="41"/>
      <c r="I105" s="57"/>
      <c r="J105" s="36"/>
      <c r="K105" s="57"/>
      <c r="L105" s="57"/>
      <c r="M105" s="57"/>
      <c r="N105" s="42"/>
      <c r="O105" s="57"/>
      <c r="P105" s="43"/>
      <c r="Q105" s="41"/>
      <c r="R105" s="43"/>
      <c r="S105" s="36"/>
      <c r="T105" s="16">
        <f t="shared" si="2"/>
        <v>0</v>
      </c>
      <c r="U105" s="16">
        <f t="shared" si="3"/>
        <v>0</v>
      </c>
      <c r="V105" s="133"/>
    </row>
    <row r="106" spans="1:22" s="56" customFormat="1">
      <c r="A106" s="58"/>
      <c r="B106" s="36"/>
      <c r="C106" s="58"/>
      <c r="D106" s="57"/>
      <c r="E106" s="57"/>
      <c r="F106" s="41"/>
      <c r="G106" s="41"/>
      <c r="H106" s="41"/>
      <c r="I106" s="57"/>
      <c r="J106" s="36"/>
      <c r="K106" s="57"/>
      <c r="L106" s="57"/>
      <c r="M106" s="57"/>
      <c r="N106" s="42"/>
      <c r="O106" s="57"/>
      <c r="P106" s="43"/>
      <c r="Q106" s="41"/>
      <c r="R106" s="43"/>
      <c r="S106" s="36"/>
      <c r="T106" s="16">
        <f t="shared" si="2"/>
        <v>0</v>
      </c>
      <c r="U106" s="16">
        <f t="shared" si="3"/>
        <v>0</v>
      </c>
      <c r="V106" s="133"/>
    </row>
    <row r="107" spans="1:22" s="56" customFormat="1">
      <c r="A107" s="58"/>
      <c r="B107" s="36"/>
      <c r="C107" s="58"/>
      <c r="D107" s="57"/>
      <c r="E107" s="57"/>
      <c r="F107" s="41"/>
      <c r="G107" s="41"/>
      <c r="H107" s="41"/>
      <c r="I107" s="57"/>
      <c r="J107" s="36"/>
      <c r="K107" s="57"/>
      <c r="L107" s="57"/>
      <c r="M107" s="57"/>
      <c r="N107" s="42"/>
      <c r="O107" s="57"/>
      <c r="P107" s="43"/>
      <c r="Q107" s="41"/>
      <c r="R107" s="43"/>
      <c r="S107" s="36"/>
      <c r="T107" s="16">
        <f t="shared" si="2"/>
        <v>0</v>
      </c>
      <c r="U107" s="16">
        <f t="shared" si="3"/>
        <v>0</v>
      </c>
      <c r="V107" s="133"/>
    </row>
    <row r="108" spans="1:22" s="56" customFormat="1">
      <c r="A108" s="58"/>
      <c r="B108" s="36"/>
      <c r="C108" s="58"/>
      <c r="D108" s="57"/>
      <c r="E108" s="57"/>
      <c r="F108" s="41"/>
      <c r="G108" s="41"/>
      <c r="H108" s="41"/>
      <c r="I108" s="57"/>
      <c r="J108" s="36"/>
      <c r="K108" s="57"/>
      <c r="L108" s="57"/>
      <c r="M108" s="57"/>
      <c r="N108" s="42"/>
      <c r="O108" s="57"/>
      <c r="P108" s="43"/>
      <c r="Q108" s="41"/>
      <c r="R108" s="43"/>
      <c r="S108" s="36"/>
      <c r="T108" s="16">
        <f t="shared" si="2"/>
        <v>0</v>
      </c>
      <c r="U108" s="16">
        <f t="shared" si="3"/>
        <v>0</v>
      </c>
      <c r="V108" s="133"/>
    </row>
    <row r="109" spans="1:22" s="56" customFormat="1">
      <c r="A109" s="58"/>
      <c r="B109" s="36"/>
      <c r="C109" s="58"/>
      <c r="D109" s="57"/>
      <c r="E109" s="57"/>
      <c r="F109" s="41"/>
      <c r="G109" s="41"/>
      <c r="H109" s="41"/>
      <c r="I109" s="57"/>
      <c r="J109" s="36"/>
      <c r="K109" s="57"/>
      <c r="L109" s="57"/>
      <c r="M109" s="57"/>
      <c r="N109" s="42"/>
      <c r="O109" s="57"/>
      <c r="P109" s="43"/>
      <c r="Q109" s="41"/>
      <c r="R109" s="43"/>
      <c r="S109" s="36"/>
      <c r="T109" s="16">
        <f t="shared" si="2"/>
        <v>0</v>
      </c>
      <c r="U109" s="16">
        <f t="shared" si="3"/>
        <v>0</v>
      </c>
      <c r="V109" s="133"/>
    </row>
    <row r="110" spans="1:22" s="56" customFormat="1">
      <c r="A110" s="58"/>
      <c r="B110" s="36"/>
      <c r="C110" s="58"/>
      <c r="D110" s="57"/>
      <c r="E110" s="57"/>
      <c r="F110" s="41"/>
      <c r="G110" s="41"/>
      <c r="H110" s="41"/>
      <c r="I110" s="57"/>
      <c r="J110" s="36"/>
      <c r="K110" s="57"/>
      <c r="L110" s="57"/>
      <c r="M110" s="57"/>
      <c r="N110" s="42"/>
      <c r="O110" s="57"/>
      <c r="P110" s="43"/>
      <c r="Q110" s="41"/>
      <c r="R110" s="43"/>
      <c r="S110" s="36"/>
      <c r="T110" s="16">
        <f t="shared" si="2"/>
        <v>0</v>
      </c>
      <c r="U110" s="16">
        <f t="shared" si="3"/>
        <v>0</v>
      </c>
      <c r="V110" s="133"/>
    </row>
    <row r="111" spans="1:22" s="56" customFormat="1">
      <c r="A111" s="58"/>
      <c r="B111" s="36"/>
      <c r="C111" s="58"/>
      <c r="D111" s="57"/>
      <c r="E111" s="57"/>
      <c r="F111" s="41"/>
      <c r="G111" s="41"/>
      <c r="H111" s="41"/>
      <c r="I111" s="57"/>
      <c r="J111" s="36"/>
      <c r="K111" s="57"/>
      <c r="L111" s="57"/>
      <c r="M111" s="57"/>
      <c r="N111" s="42"/>
      <c r="O111" s="57"/>
      <c r="P111" s="43"/>
      <c r="Q111" s="41"/>
      <c r="R111" s="43"/>
      <c r="S111" s="36"/>
      <c r="T111" s="16">
        <f t="shared" si="2"/>
        <v>0</v>
      </c>
      <c r="U111" s="16">
        <f t="shared" si="3"/>
        <v>0</v>
      </c>
      <c r="V111" s="133"/>
    </row>
    <row r="112" spans="1:22" s="56" customFormat="1">
      <c r="A112" s="58"/>
      <c r="B112" s="36"/>
      <c r="C112" s="58"/>
      <c r="D112" s="57"/>
      <c r="E112" s="57"/>
      <c r="F112" s="41"/>
      <c r="G112" s="41"/>
      <c r="H112" s="41"/>
      <c r="I112" s="57"/>
      <c r="J112" s="36"/>
      <c r="K112" s="57"/>
      <c r="L112" s="57"/>
      <c r="M112" s="57"/>
      <c r="N112" s="42"/>
      <c r="O112" s="57"/>
      <c r="P112" s="43"/>
      <c r="Q112" s="41"/>
      <c r="R112" s="43"/>
      <c r="S112" s="36"/>
      <c r="T112" s="16">
        <f t="shared" si="2"/>
        <v>0</v>
      </c>
      <c r="U112" s="16">
        <f t="shared" si="3"/>
        <v>0</v>
      </c>
      <c r="V112" s="133"/>
    </row>
    <row r="113" spans="1:22" s="56" customFormat="1">
      <c r="A113" s="58"/>
      <c r="B113" s="36"/>
      <c r="C113" s="58"/>
      <c r="D113" s="57"/>
      <c r="E113" s="57"/>
      <c r="F113" s="41"/>
      <c r="G113" s="41"/>
      <c r="H113" s="41"/>
      <c r="I113" s="57"/>
      <c r="J113" s="36"/>
      <c r="K113" s="57"/>
      <c r="L113" s="57"/>
      <c r="M113" s="57"/>
      <c r="N113" s="42"/>
      <c r="O113" s="57"/>
      <c r="P113" s="43"/>
      <c r="Q113" s="41"/>
      <c r="R113" s="43"/>
      <c r="S113" s="36"/>
      <c r="T113" s="16">
        <f t="shared" si="2"/>
        <v>0</v>
      </c>
      <c r="U113" s="16">
        <f t="shared" si="3"/>
        <v>0</v>
      </c>
      <c r="V113" s="133"/>
    </row>
    <row r="114" spans="1:22" s="56" customFormat="1">
      <c r="A114" s="58"/>
      <c r="B114" s="36"/>
      <c r="C114" s="58"/>
      <c r="D114" s="57"/>
      <c r="E114" s="57"/>
      <c r="F114" s="41"/>
      <c r="G114" s="41"/>
      <c r="H114" s="41"/>
      <c r="I114" s="57"/>
      <c r="J114" s="36"/>
      <c r="K114" s="57"/>
      <c r="L114" s="57"/>
      <c r="M114" s="57"/>
      <c r="N114" s="42"/>
      <c r="O114" s="57"/>
      <c r="P114" s="43"/>
      <c r="Q114" s="41"/>
      <c r="R114" s="43"/>
      <c r="S114" s="36"/>
      <c r="T114" s="16">
        <f t="shared" si="2"/>
        <v>0</v>
      </c>
      <c r="U114" s="16">
        <f t="shared" si="3"/>
        <v>0</v>
      </c>
      <c r="V114" s="133"/>
    </row>
    <row r="115" spans="1:22" s="56" customFormat="1">
      <c r="A115" s="58"/>
      <c r="B115" s="36"/>
      <c r="C115" s="58"/>
      <c r="D115" s="57"/>
      <c r="E115" s="57"/>
      <c r="F115" s="41"/>
      <c r="G115" s="41"/>
      <c r="H115" s="41"/>
      <c r="I115" s="57"/>
      <c r="J115" s="36"/>
      <c r="K115" s="57"/>
      <c r="L115" s="57"/>
      <c r="M115" s="57"/>
      <c r="N115" s="42"/>
      <c r="O115" s="57"/>
      <c r="P115" s="43"/>
      <c r="Q115" s="41"/>
      <c r="R115" s="43"/>
      <c r="S115" s="36"/>
      <c r="T115" s="16">
        <f t="shared" si="2"/>
        <v>0</v>
      </c>
      <c r="U115" s="16">
        <f t="shared" si="3"/>
        <v>0</v>
      </c>
      <c r="V115" s="133"/>
    </row>
    <row r="116" spans="1:22" s="56" customFormat="1">
      <c r="A116" s="58"/>
      <c r="B116" s="36"/>
      <c r="C116" s="58"/>
      <c r="D116" s="57"/>
      <c r="E116" s="57"/>
      <c r="F116" s="41"/>
      <c r="G116" s="41"/>
      <c r="H116" s="41"/>
      <c r="I116" s="57"/>
      <c r="J116" s="36"/>
      <c r="K116" s="57"/>
      <c r="L116" s="57"/>
      <c r="M116" s="57"/>
      <c r="N116" s="42"/>
      <c r="O116" s="57"/>
      <c r="P116" s="43"/>
      <c r="Q116" s="41"/>
      <c r="R116" s="43"/>
      <c r="S116" s="36"/>
      <c r="T116" s="16">
        <f t="shared" si="2"/>
        <v>0</v>
      </c>
      <c r="U116" s="16">
        <f t="shared" si="3"/>
        <v>0</v>
      </c>
      <c r="V116" s="133"/>
    </row>
    <row r="117" spans="1:22" s="56" customFormat="1">
      <c r="A117" s="58"/>
      <c r="B117" s="36"/>
      <c r="C117" s="58"/>
      <c r="D117" s="57"/>
      <c r="E117" s="57"/>
      <c r="F117" s="41"/>
      <c r="G117" s="41"/>
      <c r="H117" s="41"/>
      <c r="I117" s="57"/>
      <c r="J117" s="36"/>
      <c r="K117" s="57"/>
      <c r="L117" s="57"/>
      <c r="M117" s="57"/>
      <c r="N117" s="42"/>
      <c r="O117" s="57"/>
      <c r="P117" s="43"/>
      <c r="Q117" s="41"/>
      <c r="R117" s="43"/>
      <c r="S117" s="36"/>
      <c r="T117" s="16">
        <f t="shared" si="2"/>
        <v>0</v>
      </c>
      <c r="U117" s="16">
        <f t="shared" si="3"/>
        <v>0</v>
      </c>
      <c r="V117" s="133"/>
    </row>
    <row r="118" spans="1:22" s="56" customFormat="1">
      <c r="A118" s="58"/>
      <c r="B118" s="36"/>
      <c r="C118" s="58"/>
      <c r="D118" s="57"/>
      <c r="E118" s="57"/>
      <c r="F118" s="41"/>
      <c r="G118" s="41"/>
      <c r="H118" s="41"/>
      <c r="I118" s="57"/>
      <c r="J118" s="36"/>
      <c r="K118" s="57"/>
      <c r="L118" s="57"/>
      <c r="M118" s="57"/>
      <c r="N118" s="42"/>
      <c r="O118" s="57"/>
      <c r="P118" s="43"/>
      <c r="Q118" s="41"/>
      <c r="R118" s="43"/>
      <c r="S118" s="36"/>
      <c r="T118" s="16">
        <f t="shared" si="2"/>
        <v>0</v>
      </c>
      <c r="U118" s="16">
        <f t="shared" si="3"/>
        <v>0</v>
      </c>
      <c r="V118" s="133"/>
    </row>
    <row r="119" spans="1:22" s="56" customFormat="1">
      <c r="A119" s="58"/>
      <c r="B119" s="36"/>
      <c r="C119" s="58"/>
      <c r="D119" s="57"/>
      <c r="E119" s="57"/>
      <c r="F119" s="41"/>
      <c r="G119" s="41"/>
      <c r="H119" s="41"/>
      <c r="I119" s="57"/>
      <c r="J119" s="36"/>
      <c r="K119" s="57"/>
      <c r="L119" s="57"/>
      <c r="M119" s="57"/>
      <c r="N119" s="42"/>
      <c r="O119" s="57"/>
      <c r="P119" s="43"/>
      <c r="Q119" s="41"/>
      <c r="R119" s="43"/>
      <c r="S119" s="36"/>
      <c r="T119" s="16">
        <f t="shared" si="2"/>
        <v>0</v>
      </c>
      <c r="U119" s="16">
        <f t="shared" si="3"/>
        <v>0</v>
      </c>
      <c r="V119" s="133"/>
    </row>
    <row r="120" spans="1:22" s="56" customFormat="1">
      <c r="A120" s="58"/>
      <c r="B120" s="36"/>
      <c r="C120" s="58"/>
      <c r="D120" s="57"/>
      <c r="E120" s="57"/>
      <c r="F120" s="41"/>
      <c r="G120" s="41"/>
      <c r="H120" s="41"/>
      <c r="I120" s="57"/>
      <c r="J120" s="36"/>
      <c r="K120" s="57"/>
      <c r="L120" s="57"/>
      <c r="M120" s="57"/>
      <c r="N120" s="42"/>
      <c r="O120" s="57"/>
      <c r="P120" s="43"/>
      <c r="Q120" s="41"/>
      <c r="R120" s="43"/>
      <c r="S120" s="36"/>
      <c r="T120" s="16">
        <f t="shared" si="2"/>
        <v>0</v>
      </c>
      <c r="U120" s="16">
        <f t="shared" si="3"/>
        <v>0</v>
      </c>
      <c r="V120" s="133"/>
    </row>
    <row r="121" spans="1:22" s="56" customFormat="1">
      <c r="A121" s="58"/>
      <c r="B121" s="36"/>
      <c r="C121" s="58"/>
      <c r="D121" s="57"/>
      <c r="E121" s="57"/>
      <c r="F121" s="41"/>
      <c r="G121" s="41"/>
      <c r="H121" s="41"/>
      <c r="I121" s="57"/>
      <c r="J121" s="36"/>
      <c r="K121" s="57"/>
      <c r="L121" s="57"/>
      <c r="M121" s="57"/>
      <c r="N121" s="42"/>
      <c r="O121" s="57"/>
      <c r="P121" s="43"/>
      <c r="Q121" s="41"/>
      <c r="R121" s="43"/>
      <c r="S121" s="36"/>
      <c r="T121" s="16">
        <f t="shared" si="2"/>
        <v>0</v>
      </c>
      <c r="U121" s="16">
        <f t="shared" si="3"/>
        <v>0</v>
      </c>
      <c r="V121" s="133"/>
    </row>
    <row r="122" spans="1:22" s="56" customFormat="1">
      <c r="A122" s="58"/>
      <c r="B122" s="36"/>
      <c r="C122" s="58"/>
      <c r="D122" s="57"/>
      <c r="E122" s="57"/>
      <c r="F122" s="41"/>
      <c r="G122" s="41"/>
      <c r="H122" s="41"/>
      <c r="I122" s="57"/>
      <c r="J122" s="36"/>
      <c r="K122" s="57"/>
      <c r="L122" s="57"/>
      <c r="M122" s="57"/>
      <c r="N122" s="42"/>
      <c r="O122" s="57"/>
      <c r="P122" s="43"/>
      <c r="Q122" s="41"/>
      <c r="R122" s="43"/>
      <c r="S122" s="36"/>
      <c r="T122" s="16">
        <f t="shared" si="2"/>
        <v>0</v>
      </c>
      <c r="U122" s="16">
        <f t="shared" si="3"/>
        <v>0</v>
      </c>
      <c r="V122" s="133"/>
    </row>
    <row r="123" spans="1:22" s="56" customFormat="1">
      <c r="A123" s="58"/>
      <c r="B123" s="36"/>
      <c r="C123" s="58"/>
      <c r="D123" s="57"/>
      <c r="E123" s="57"/>
      <c r="F123" s="41"/>
      <c r="G123" s="41"/>
      <c r="H123" s="41"/>
      <c r="I123" s="57"/>
      <c r="J123" s="36"/>
      <c r="K123" s="57"/>
      <c r="L123" s="57"/>
      <c r="M123" s="57"/>
      <c r="N123" s="42"/>
      <c r="O123" s="57"/>
      <c r="P123" s="43"/>
      <c r="Q123" s="41"/>
      <c r="R123" s="43"/>
      <c r="S123" s="36"/>
      <c r="T123" s="16">
        <f t="shared" si="2"/>
        <v>0</v>
      </c>
      <c r="U123" s="16">
        <f t="shared" si="3"/>
        <v>0</v>
      </c>
      <c r="V123" s="133"/>
    </row>
    <row r="124" spans="1:22" s="56" customFormat="1">
      <c r="A124" s="58"/>
      <c r="B124" s="36"/>
      <c r="C124" s="58"/>
      <c r="D124" s="57"/>
      <c r="E124" s="57"/>
      <c r="F124" s="41"/>
      <c r="G124" s="41"/>
      <c r="H124" s="41"/>
      <c r="I124" s="57"/>
      <c r="J124" s="36"/>
      <c r="K124" s="57"/>
      <c r="L124" s="57"/>
      <c r="M124" s="57"/>
      <c r="N124" s="42"/>
      <c r="O124" s="57"/>
      <c r="P124" s="43"/>
      <c r="Q124" s="41"/>
      <c r="R124" s="43"/>
      <c r="S124" s="36"/>
      <c r="T124" s="16">
        <f t="shared" si="2"/>
        <v>0</v>
      </c>
      <c r="U124" s="16">
        <f t="shared" si="3"/>
        <v>0</v>
      </c>
      <c r="V124" s="133"/>
    </row>
    <row r="125" spans="1:22" s="56" customFormat="1">
      <c r="A125" s="58"/>
      <c r="B125" s="36"/>
      <c r="C125" s="58"/>
      <c r="D125" s="57"/>
      <c r="E125" s="57"/>
      <c r="F125" s="41"/>
      <c r="G125" s="41"/>
      <c r="H125" s="41"/>
      <c r="I125" s="57"/>
      <c r="J125" s="36"/>
      <c r="K125" s="57"/>
      <c r="L125" s="57"/>
      <c r="M125" s="57"/>
      <c r="N125" s="42"/>
      <c r="O125" s="57"/>
      <c r="P125" s="43"/>
      <c r="Q125" s="41"/>
      <c r="R125" s="43"/>
      <c r="S125" s="36"/>
      <c r="T125" s="16">
        <f t="shared" si="2"/>
        <v>0</v>
      </c>
      <c r="U125" s="16">
        <f t="shared" si="3"/>
        <v>0</v>
      </c>
      <c r="V125" s="133"/>
    </row>
    <row r="126" spans="1:22" s="56" customFormat="1">
      <c r="A126" s="58"/>
      <c r="B126" s="36"/>
      <c r="C126" s="58"/>
      <c r="D126" s="57"/>
      <c r="E126" s="57"/>
      <c r="F126" s="41"/>
      <c r="G126" s="41"/>
      <c r="H126" s="41"/>
      <c r="I126" s="57"/>
      <c r="J126" s="36"/>
      <c r="K126" s="57"/>
      <c r="L126" s="57"/>
      <c r="M126" s="57"/>
      <c r="N126" s="42"/>
      <c r="O126" s="57"/>
      <c r="P126" s="43"/>
      <c r="Q126" s="41"/>
      <c r="R126" s="43"/>
      <c r="S126" s="36"/>
      <c r="T126" s="16">
        <f t="shared" si="2"/>
        <v>0</v>
      </c>
      <c r="U126" s="16">
        <f t="shared" si="3"/>
        <v>0</v>
      </c>
      <c r="V126" s="133"/>
    </row>
    <row r="127" spans="1:22" s="56" customFormat="1">
      <c r="A127" s="58"/>
      <c r="B127" s="36"/>
      <c r="C127" s="58"/>
      <c r="D127" s="57"/>
      <c r="E127" s="57"/>
      <c r="F127" s="41"/>
      <c r="G127" s="41"/>
      <c r="H127" s="41"/>
      <c r="I127" s="57"/>
      <c r="J127" s="36"/>
      <c r="K127" s="57"/>
      <c r="L127" s="57"/>
      <c r="M127" s="57"/>
      <c r="N127" s="42"/>
      <c r="O127" s="57"/>
      <c r="P127" s="43"/>
      <c r="Q127" s="41"/>
      <c r="R127" s="43"/>
      <c r="S127" s="36"/>
      <c r="T127" s="16">
        <f t="shared" si="2"/>
        <v>0</v>
      </c>
      <c r="U127" s="16">
        <f t="shared" si="3"/>
        <v>0</v>
      </c>
      <c r="V127" s="133"/>
    </row>
    <row r="128" spans="1:22" s="56" customFormat="1">
      <c r="A128" s="58"/>
      <c r="B128" s="36"/>
      <c r="C128" s="58"/>
      <c r="D128" s="57"/>
      <c r="E128" s="57"/>
      <c r="F128" s="41"/>
      <c r="G128" s="41"/>
      <c r="H128" s="41"/>
      <c r="I128" s="57"/>
      <c r="J128" s="36"/>
      <c r="K128" s="57"/>
      <c r="L128" s="57"/>
      <c r="M128" s="57"/>
      <c r="N128" s="42"/>
      <c r="O128" s="57"/>
      <c r="P128" s="43"/>
      <c r="Q128" s="41"/>
      <c r="R128" s="43"/>
      <c r="S128" s="36"/>
      <c r="T128" s="16">
        <f t="shared" si="2"/>
        <v>0</v>
      </c>
      <c r="U128" s="16">
        <f t="shared" si="3"/>
        <v>0</v>
      </c>
      <c r="V128" s="133"/>
    </row>
    <row r="129" spans="1:22" s="56" customFormat="1">
      <c r="A129" s="58"/>
      <c r="B129" s="36"/>
      <c r="C129" s="58"/>
      <c r="D129" s="57"/>
      <c r="E129" s="57"/>
      <c r="F129" s="41"/>
      <c r="G129" s="41"/>
      <c r="H129" s="41"/>
      <c r="I129" s="57"/>
      <c r="J129" s="36"/>
      <c r="K129" s="57"/>
      <c r="L129" s="57"/>
      <c r="M129" s="57"/>
      <c r="N129" s="42"/>
      <c r="O129" s="57"/>
      <c r="P129" s="43"/>
      <c r="Q129" s="41"/>
      <c r="R129" s="43"/>
      <c r="S129" s="36"/>
      <c r="T129" s="16">
        <f t="shared" si="2"/>
        <v>0</v>
      </c>
      <c r="U129" s="16">
        <f t="shared" si="3"/>
        <v>0</v>
      </c>
      <c r="V129" s="133"/>
    </row>
    <row r="130" spans="1:22" s="56" customFormat="1">
      <c r="A130" s="58"/>
      <c r="B130" s="36"/>
      <c r="C130" s="58"/>
      <c r="D130" s="57"/>
      <c r="E130" s="57"/>
      <c r="F130" s="41"/>
      <c r="G130" s="41"/>
      <c r="H130" s="41"/>
      <c r="I130" s="57"/>
      <c r="J130" s="36"/>
      <c r="K130" s="57"/>
      <c r="L130" s="57"/>
      <c r="M130" s="57"/>
      <c r="N130" s="42"/>
      <c r="O130" s="57"/>
      <c r="P130" s="43"/>
      <c r="Q130" s="41"/>
      <c r="R130" s="43"/>
      <c r="S130" s="36"/>
      <c r="T130" s="16">
        <f t="shared" si="2"/>
        <v>0</v>
      </c>
      <c r="U130" s="16">
        <f t="shared" si="3"/>
        <v>0</v>
      </c>
      <c r="V130" s="133"/>
    </row>
    <row r="131" spans="1:22" s="56" customFormat="1">
      <c r="A131" s="58"/>
      <c r="B131" s="36"/>
      <c r="C131" s="58"/>
      <c r="D131" s="57"/>
      <c r="E131" s="57"/>
      <c r="F131" s="41"/>
      <c r="G131" s="41"/>
      <c r="H131" s="41"/>
      <c r="I131" s="57"/>
      <c r="J131" s="36"/>
      <c r="K131" s="57"/>
      <c r="L131" s="57"/>
      <c r="M131" s="57"/>
      <c r="N131" s="42"/>
      <c r="O131" s="57"/>
      <c r="P131" s="43"/>
      <c r="Q131" s="41"/>
      <c r="R131" s="43"/>
      <c r="S131" s="36"/>
      <c r="T131" s="16">
        <f t="shared" si="2"/>
        <v>0</v>
      </c>
      <c r="U131" s="16">
        <f t="shared" si="3"/>
        <v>0</v>
      </c>
      <c r="V131" s="133"/>
    </row>
    <row r="132" spans="1:22" s="56" customFormat="1">
      <c r="A132" s="58"/>
      <c r="B132" s="36"/>
      <c r="C132" s="58"/>
      <c r="D132" s="57"/>
      <c r="E132" s="57"/>
      <c r="F132" s="41"/>
      <c r="G132" s="41"/>
      <c r="H132" s="41"/>
      <c r="I132" s="57"/>
      <c r="J132" s="36"/>
      <c r="K132" s="57"/>
      <c r="L132" s="57"/>
      <c r="M132" s="57"/>
      <c r="N132" s="42"/>
      <c r="O132" s="57"/>
      <c r="P132" s="43"/>
      <c r="Q132" s="41"/>
      <c r="R132" s="43"/>
      <c r="S132" s="36"/>
      <c r="T132" s="16">
        <f t="shared" si="2"/>
        <v>0</v>
      </c>
      <c r="U132" s="16">
        <f t="shared" si="3"/>
        <v>0</v>
      </c>
      <c r="V132" s="133"/>
    </row>
    <row r="133" spans="1:22" s="56" customFormat="1">
      <c r="A133" s="58"/>
      <c r="B133" s="36"/>
      <c r="C133" s="58"/>
      <c r="D133" s="57"/>
      <c r="E133" s="57"/>
      <c r="F133" s="41"/>
      <c r="G133" s="41"/>
      <c r="H133" s="41"/>
      <c r="I133" s="57"/>
      <c r="J133" s="36"/>
      <c r="K133" s="57"/>
      <c r="L133" s="57"/>
      <c r="M133" s="57"/>
      <c r="N133" s="42"/>
      <c r="O133" s="57"/>
      <c r="P133" s="43"/>
      <c r="Q133" s="41"/>
      <c r="R133" s="43"/>
      <c r="S133" s="36"/>
      <c r="T133" s="16">
        <f t="shared" ref="T133:T196" si="4">IF(OR($J133="Accepted",ISBLANK($J133)),IF(AND($G133="Legacy Data",$Q133="Legacy Data"),1,IF(OR($G133="Legacy Data",$Q133="Legacy Data"),1,0)),IF(OR($N133="Agree with original translator",ISBLANK($N133)),IF(AND($G133="Source Text Data",$Q133="Legacy Data"),1,IF(AND($G133="Legacy Data",$Q133="Legacy Data"),1,IF($Q133="Legacy Data",1,0))),IF(AND($G133="Legacy Data",$Q133="Legacy Data"),1,IF(OR($Q133="Legacy Data",ISBLANK($Q133)),IF($G133&lt;&gt;"Legacy Data",IF(AND($G133="Source Text Data",$Q133="Legacy Data"),1,0),1),0))))</f>
        <v>0</v>
      </c>
      <c r="U133" s="16">
        <f t="shared" ref="U133:U196" si="5">IF(OR($J133="Accepted",ISBLANK($J133)),IF(AND($G133="Source Text Data",$Q133="Source Text Data"),1,IF(OR($G133="Source Text Data",$Q133="Source Text Data"),1,0)),IF(OR($N133="Agree with original translator",ISBLANK($N133)),IF(AND($G133="Legacy Data",$Q133="Source Text Data"),1,IF(AND($G133="Source Text Data",$Q133="Source Text Data"),1,IF($Q133="Source Text Data",1,0))),IF(AND($G133="Source Text Data",$Q133="Source Text Data"),1,IF(OR($Q133="Source Text Data",ISBLANK($Q133)),IF($G133&lt;&gt;"Source Text Data",IF(AND($G133="Legacy Data",$Q133="Source Text Data"),1,0),1),0))))</f>
        <v>0</v>
      </c>
      <c r="V133" s="133"/>
    </row>
    <row r="134" spans="1:22" s="56" customFormat="1">
      <c r="A134" s="58"/>
      <c r="B134" s="36"/>
      <c r="C134" s="58"/>
      <c r="D134" s="57"/>
      <c r="E134" s="57"/>
      <c r="F134" s="41"/>
      <c r="G134" s="41"/>
      <c r="H134" s="41"/>
      <c r="I134" s="57"/>
      <c r="J134" s="36"/>
      <c r="K134" s="57"/>
      <c r="L134" s="57"/>
      <c r="M134" s="57"/>
      <c r="N134" s="42"/>
      <c r="O134" s="57"/>
      <c r="P134" s="43"/>
      <c r="Q134" s="41"/>
      <c r="R134" s="43"/>
      <c r="S134" s="36"/>
      <c r="T134" s="16">
        <f t="shared" si="4"/>
        <v>0</v>
      </c>
      <c r="U134" s="16">
        <f t="shared" si="5"/>
        <v>0</v>
      </c>
      <c r="V134" s="133"/>
    </row>
    <row r="135" spans="1:22" s="56" customFormat="1">
      <c r="A135" s="58"/>
      <c r="B135" s="36"/>
      <c r="C135" s="58"/>
      <c r="D135" s="57"/>
      <c r="E135" s="57"/>
      <c r="F135" s="41"/>
      <c r="G135" s="41"/>
      <c r="H135" s="41"/>
      <c r="I135" s="57"/>
      <c r="J135" s="36"/>
      <c r="K135" s="57"/>
      <c r="L135" s="57"/>
      <c r="M135" s="57"/>
      <c r="N135" s="42"/>
      <c r="O135" s="57"/>
      <c r="P135" s="43"/>
      <c r="Q135" s="41"/>
      <c r="R135" s="43"/>
      <c r="S135" s="36"/>
      <c r="T135" s="16">
        <f t="shared" si="4"/>
        <v>0</v>
      </c>
      <c r="U135" s="16">
        <f t="shared" si="5"/>
        <v>0</v>
      </c>
      <c r="V135" s="133"/>
    </row>
    <row r="136" spans="1:22" s="56" customFormat="1">
      <c r="A136" s="58"/>
      <c r="B136" s="36"/>
      <c r="C136" s="58"/>
      <c r="D136" s="57"/>
      <c r="E136" s="57"/>
      <c r="F136" s="41"/>
      <c r="G136" s="41"/>
      <c r="H136" s="41"/>
      <c r="I136" s="57"/>
      <c r="J136" s="36"/>
      <c r="K136" s="57"/>
      <c r="L136" s="57"/>
      <c r="M136" s="57"/>
      <c r="N136" s="42"/>
      <c r="O136" s="57"/>
      <c r="P136" s="43"/>
      <c r="Q136" s="41"/>
      <c r="R136" s="43"/>
      <c r="S136" s="36"/>
      <c r="T136" s="16">
        <f t="shared" si="4"/>
        <v>0</v>
      </c>
      <c r="U136" s="16">
        <f t="shared" si="5"/>
        <v>0</v>
      </c>
      <c r="V136" s="133"/>
    </row>
    <row r="137" spans="1:22" s="56" customFormat="1">
      <c r="A137" s="58"/>
      <c r="B137" s="36"/>
      <c r="C137" s="58"/>
      <c r="D137" s="57"/>
      <c r="E137" s="57"/>
      <c r="F137" s="41"/>
      <c r="G137" s="41"/>
      <c r="H137" s="41"/>
      <c r="I137" s="57"/>
      <c r="J137" s="36"/>
      <c r="K137" s="57"/>
      <c r="L137" s="57"/>
      <c r="M137" s="57"/>
      <c r="N137" s="42"/>
      <c r="O137" s="57"/>
      <c r="P137" s="43"/>
      <c r="Q137" s="41"/>
      <c r="R137" s="43"/>
      <c r="S137" s="36"/>
      <c r="T137" s="16">
        <f t="shared" si="4"/>
        <v>0</v>
      </c>
      <c r="U137" s="16">
        <f t="shared" si="5"/>
        <v>0</v>
      </c>
      <c r="V137" s="133"/>
    </row>
    <row r="138" spans="1:22" s="56" customFormat="1">
      <c r="A138" s="58"/>
      <c r="B138" s="36"/>
      <c r="C138" s="58"/>
      <c r="D138" s="57"/>
      <c r="E138" s="57"/>
      <c r="F138" s="41"/>
      <c r="G138" s="41"/>
      <c r="H138" s="41"/>
      <c r="I138" s="57"/>
      <c r="J138" s="36"/>
      <c r="K138" s="57"/>
      <c r="L138" s="57"/>
      <c r="M138" s="57"/>
      <c r="N138" s="42"/>
      <c r="O138" s="57"/>
      <c r="P138" s="43"/>
      <c r="Q138" s="41"/>
      <c r="R138" s="43"/>
      <c r="S138" s="36"/>
      <c r="T138" s="16">
        <f t="shared" si="4"/>
        <v>0</v>
      </c>
      <c r="U138" s="16">
        <f t="shared" si="5"/>
        <v>0</v>
      </c>
      <c r="V138" s="133"/>
    </row>
    <row r="139" spans="1:22" s="56" customFormat="1">
      <c r="A139" s="58"/>
      <c r="B139" s="36"/>
      <c r="C139" s="58"/>
      <c r="D139" s="57"/>
      <c r="E139" s="57"/>
      <c r="F139" s="41"/>
      <c r="G139" s="41"/>
      <c r="H139" s="41"/>
      <c r="I139" s="57"/>
      <c r="J139" s="36"/>
      <c r="K139" s="57"/>
      <c r="L139" s="57"/>
      <c r="M139" s="57"/>
      <c r="N139" s="42"/>
      <c r="O139" s="57"/>
      <c r="P139" s="43"/>
      <c r="Q139" s="41"/>
      <c r="R139" s="43"/>
      <c r="S139" s="36"/>
      <c r="T139" s="16">
        <f t="shared" si="4"/>
        <v>0</v>
      </c>
      <c r="U139" s="16">
        <f t="shared" si="5"/>
        <v>0</v>
      </c>
      <c r="V139" s="133"/>
    </row>
    <row r="140" spans="1:22" s="56" customFormat="1">
      <c r="A140" s="58"/>
      <c r="B140" s="36"/>
      <c r="C140" s="58"/>
      <c r="D140" s="57"/>
      <c r="E140" s="57"/>
      <c r="F140" s="41"/>
      <c r="G140" s="41"/>
      <c r="H140" s="41"/>
      <c r="I140" s="57"/>
      <c r="J140" s="36"/>
      <c r="K140" s="57"/>
      <c r="L140" s="57"/>
      <c r="M140" s="57"/>
      <c r="N140" s="42"/>
      <c r="O140" s="57"/>
      <c r="P140" s="43"/>
      <c r="Q140" s="41"/>
      <c r="R140" s="43"/>
      <c r="S140" s="36"/>
      <c r="T140" s="16">
        <f t="shared" si="4"/>
        <v>0</v>
      </c>
      <c r="U140" s="16">
        <f t="shared" si="5"/>
        <v>0</v>
      </c>
      <c r="V140" s="133"/>
    </row>
    <row r="141" spans="1:22" s="56" customFormat="1">
      <c r="A141" s="58"/>
      <c r="B141" s="36"/>
      <c r="C141" s="58"/>
      <c r="D141" s="57"/>
      <c r="E141" s="57"/>
      <c r="F141" s="41"/>
      <c r="G141" s="41"/>
      <c r="H141" s="41"/>
      <c r="I141" s="57"/>
      <c r="J141" s="36"/>
      <c r="K141" s="57"/>
      <c r="L141" s="57"/>
      <c r="M141" s="57"/>
      <c r="N141" s="42"/>
      <c r="O141" s="57"/>
      <c r="P141" s="43"/>
      <c r="Q141" s="41"/>
      <c r="R141" s="43"/>
      <c r="S141" s="36"/>
      <c r="T141" s="16">
        <f t="shared" si="4"/>
        <v>0</v>
      </c>
      <c r="U141" s="16">
        <f t="shared" si="5"/>
        <v>0</v>
      </c>
      <c r="V141" s="133"/>
    </row>
    <row r="142" spans="1:22" s="56" customFormat="1">
      <c r="A142" s="58"/>
      <c r="B142" s="36"/>
      <c r="C142" s="58"/>
      <c r="D142" s="57"/>
      <c r="E142" s="57"/>
      <c r="F142" s="41"/>
      <c r="G142" s="41"/>
      <c r="H142" s="41"/>
      <c r="I142" s="57"/>
      <c r="J142" s="36"/>
      <c r="K142" s="57"/>
      <c r="L142" s="57"/>
      <c r="M142" s="57"/>
      <c r="N142" s="42"/>
      <c r="O142" s="57"/>
      <c r="P142" s="43"/>
      <c r="Q142" s="41"/>
      <c r="R142" s="43"/>
      <c r="S142" s="36"/>
      <c r="T142" s="16">
        <f t="shared" si="4"/>
        <v>0</v>
      </c>
      <c r="U142" s="16">
        <f t="shared" si="5"/>
        <v>0</v>
      </c>
      <c r="V142" s="133"/>
    </row>
    <row r="143" spans="1:22" s="56" customFormat="1">
      <c r="A143" s="58"/>
      <c r="B143" s="36"/>
      <c r="C143" s="58"/>
      <c r="D143" s="57"/>
      <c r="E143" s="57"/>
      <c r="F143" s="41"/>
      <c r="G143" s="41"/>
      <c r="H143" s="41"/>
      <c r="I143" s="57"/>
      <c r="J143" s="36"/>
      <c r="K143" s="57"/>
      <c r="L143" s="57"/>
      <c r="M143" s="57"/>
      <c r="N143" s="42"/>
      <c r="O143" s="57"/>
      <c r="P143" s="43"/>
      <c r="Q143" s="41"/>
      <c r="R143" s="43"/>
      <c r="S143" s="36"/>
      <c r="T143" s="16">
        <f t="shared" si="4"/>
        <v>0</v>
      </c>
      <c r="U143" s="16">
        <f t="shared" si="5"/>
        <v>0</v>
      </c>
      <c r="V143" s="133"/>
    </row>
    <row r="144" spans="1:22" s="56" customFormat="1">
      <c r="A144" s="58"/>
      <c r="B144" s="36"/>
      <c r="C144" s="58"/>
      <c r="D144" s="57"/>
      <c r="E144" s="57"/>
      <c r="F144" s="41"/>
      <c r="G144" s="41"/>
      <c r="H144" s="41"/>
      <c r="I144" s="57"/>
      <c r="J144" s="36"/>
      <c r="K144" s="57"/>
      <c r="L144" s="57"/>
      <c r="M144" s="57"/>
      <c r="N144" s="42"/>
      <c r="O144" s="57"/>
      <c r="P144" s="43"/>
      <c r="Q144" s="41"/>
      <c r="R144" s="43"/>
      <c r="S144" s="36"/>
      <c r="T144" s="16">
        <f t="shared" si="4"/>
        <v>0</v>
      </c>
      <c r="U144" s="16">
        <f t="shared" si="5"/>
        <v>0</v>
      </c>
      <c r="V144" s="133"/>
    </row>
    <row r="145" spans="1:22" s="56" customFormat="1">
      <c r="A145" s="58"/>
      <c r="B145" s="36"/>
      <c r="C145" s="58"/>
      <c r="D145" s="57"/>
      <c r="E145" s="57"/>
      <c r="F145" s="41"/>
      <c r="G145" s="41"/>
      <c r="H145" s="41"/>
      <c r="I145" s="57"/>
      <c r="J145" s="36"/>
      <c r="K145" s="57"/>
      <c r="L145" s="57"/>
      <c r="M145" s="57"/>
      <c r="N145" s="42"/>
      <c r="O145" s="57"/>
      <c r="P145" s="43"/>
      <c r="Q145" s="41"/>
      <c r="R145" s="43"/>
      <c r="S145" s="36"/>
      <c r="T145" s="16">
        <f t="shared" si="4"/>
        <v>0</v>
      </c>
      <c r="U145" s="16">
        <f t="shared" si="5"/>
        <v>0</v>
      </c>
      <c r="V145" s="133"/>
    </row>
    <row r="146" spans="1:22" s="56" customFormat="1">
      <c r="A146" s="58"/>
      <c r="B146" s="36"/>
      <c r="C146" s="58"/>
      <c r="D146" s="57"/>
      <c r="E146" s="57"/>
      <c r="F146" s="41"/>
      <c r="G146" s="41"/>
      <c r="H146" s="41"/>
      <c r="I146" s="57"/>
      <c r="J146" s="36"/>
      <c r="K146" s="57"/>
      <c r="L146" s="57"/>
      <c r="M146" s="57"/>
      <c r="N146" s="42"/>
      <c r="O146" s="57"/>
      <c r="P146" s="43"/>
      <c r="Q146" s="41"/>
      <c r="R146" s="43"/>
      <c r="S146" s="36"/>
      <c r="T146" s="16">
        <f t="shared" si="4"/>
        <v>0</v>
      </c>
      <c r="U146" s="16">
        <f t="shared" si="5"/>
        <v>0</v>
      </c>
      <c r="V146" s="133"/>
    </row>
    <row r="147" spans="1:22" s="56" customFormat="1">
      <c r="A147" s="58"/>
      <c r="B147" s="36"/>
      <c r="C147" s="58"/>
      <c r="D147" s="57"/>
      <c r="E147" s="57"/>
      <c r="F147" s="41"/>
      <c r="G147" s="41"/>
      <c r="H147" s="41"/>
      <c r="I147" s="57"/>
      <c r="J147" s="36"/>
      <c r="K147" s="57"/>
      <c r="L147" s="57"/>
      <c r="M147" s="57"/>
      <c r="N147" s="42"/>
      <c r="O147" s="57"/>
      <c r="P147" s="43"/>
      <c r="Q147" s="41"/>
      <c r="R147" s="43"/>
      <c r="S147" s="36"/>
      <c r="T147" s="16">
        <f t="shared" si="4"/>
        <v>0</v>
      </c>
      <c r="U147" s="16">
        <f t="shared" si="5"/>
        <v>0</v>
      </c>
      <c r="V147" s="133"/>
    </row>
    <row r="148" spans="1:22" s="56" customFormat="1">
      <c r="A148" s="58"/>
      <c r="B148" s="36"/>
      <c r="C148" s="58"/>
      <c r="D148" s="57"/>
      <c r="E148" s="57"/>
      <c r="F148" s="41"/>
      <c r="G148" s="41"/>
      <c r="H148" s="41"/>
      <c r="I148" s="57"/>
      <c r="J148" s="36"/>
      <c r="K148" s="57"/>
      <c r="L148" s="57"/>
      <c r="M148" s="57"/>
      <c r="N148" s="42"/>
      <c r="O148" s="57"/>
      <c r="P148" s="43"/>
      <c r="Q148" s="41"/>
      <c r="R148" s="43"/>
      <c r="S148" s="36"/>
      <c r="T148" s="16">
        <f t="shared" si="4"/>
        <v>0</v>
      </c>
      <c r="U148" s="16">
        <f t="shared" si="5"/>
        <v>0</v>
      </c>
      <c r="V148" s="133"/>
    </row>
    <row r="149" spans="1:22" s="56" customFormat="1">
      <c r="A149" s="58"/>
      <c r="B149" s="36"/>
      <c r="C149" s="58"/>
      <c r="D149" s="57"/>
      <c r="E149" s="57"/>
      <c r="F149" s="41"/>
      <c r="G149" s="41"/>
      <c r="H149" s="41"/>
      <c r="I149" s="57"/>
      <c r="J149" s="36"/>
      <c r="K149" s="57"/>
      <c r="L149" s="57"/>
      <c r="M149" s="57"/>
      <c r="N149" s="42"/>
      <c r="O149" s="57"/>
      <c r="P149" s="43"/>
      <c r="Q149" s="41"/>
      <c r="R149" s="43"/>
      <c r="S149" s="36"/>
      <c r="T149" s="16">
        <f t="shared" si="4"/>
        <v>0</v>
      </c>
      <c r="U149" s="16">
        <f t="shared" si="5"/>
        <v>0</v>
      </c>
      <c r="V149" s="133"/>
    </row>
    <row r="150" spans="1:22" s="56" customFormat="1">
      <c r="A150" s="58"/>
      <c r="B150" s="36"/>
      <c r="C150" s="58"/>
      <c r="D150" s="57"/>
      <c r="E150" s="57"/>
      <c r="F150" s="41"/>
      <c r="G150" s="41"/>
      <c r="H150" s="41"/>
      <c r="I150" s="57"/>
      <c r="J150" s="36"/>
      <c r="K150" s="57"/>
      <c r="L150" s="57"/>
      <c r="M150" s="57"/>
      <c r="N150" s="42"/>
      <c r="O150" s="57"/>
      <c r="P150" s="43"/>
      <c r="Q150" s="41"/>
      <c r="R150" s="43"/>
      <c r="S150" s="36"/>
      <c r="T150" s="16">
        <f t="shared" si="4"/>
        <v>0</v>
      </c>
      <c r="U150" s="16">
        <f t="shared" si="5"/>
        <v>0</v>
      </c>
      <c r="V150" s="133"/>
    </row>
    <row r="151" spans="1:22" s="56" customFormat="1">
      <c r="A151" s="58"/>
      <c r="B151" s="36"/>
      <c r="C151" s="58"/>
      <c r="D151" s="57"/>
      <c r="E151" s="57"/>
      <c r="F151" s="41"/>
      <c r="G151" s="41"/>
      <c r="H151" s="41"/>
      <c r="I151" s="57"/>
      <c r="J151" s="36"/>
      <c r="K151" s="57"/>
      <c r="L151" s="57"/>
      <c r="M151" s="57"/>
      <c r="N151" s="42"/>
      <c r="O151" s="57"/>
      <c r="P151" s="43"/>
      <c r="Q151" s="41"/>
      <c r="R151" s="43"/>
      <c r="S151" s="36"/>
      <c r="T151" s="16">
        <f t="shared" si="4"/>
        <v>0</v>
      </c>
      <c r="U151" s="16">
        <f t="shared" si="5"/>
        <v>0</v>
      </c>
      <c r="V151" s="133"/>
    </row>
    <row r="152" spans="1:22" s="56" customFormat="1">
      <c r="A152" s="58"/>
      <c r="B152" s="36"/>
      <c r="C152" s="58"/>
      <c r="D152" s="57"/>
      <c r="E152" s="57"/>
      <c r="F152" s="41"/>
      <c r="G152" s="41"/>
      <c r="H152" s="41"/>
      <c r="I152" s="57"/>
      <c r="J152" s="36"/>
      <c r="K152" s="57"/>
      <c r="L152" s="57"/>
      <c r="M152" s="57"/>
      <c r="N152" s="42"/>
      <c r="O152" s="57"/>
      <c r="P152" s="43"/>
      <c r="Q152" s="41"/>
      <c r="R152" s="43"/>
      <c r="S152" s="36"/>
      <c r="T152" s="16">
        <f t="shared" si="4"/>
        <v>0</v>
      </c>
      <c r="U152" s="16">
        <f t="shared" si="5"/>
        <v>0</v>
      </c>
      <c r="V152" s="133"/>
    </row>
    <row r="153" spans="1:22" s="56" customFormat="1">
      <c r="A153" s="58"/>
      <c r="B153" s="36"/>
      <c r="C153" s="58"/>
      <c r="D153" s="57"/>
      <c r="E153" s="57"/>
      <c r="F153" s="41"/>
      <c r="G153" s="41"/>
      <c r="H153" s="41"/>
      <c r="I153" s="57"/>
      <c r="J153" s="36"/>
      <c r="K153" s="57"/>
      <c r="L153" s="57"/>
      <c r="M153" s="57"/>
      <c r="N153" s="42"/>
      <c r="O153" s="57"/>
      <c r="P153" s="43"/>
      <c r="Q153" s="41"/>
      <c r="R153" s="43"/>
      <c r="S153" s="36"/>
      <c r="T153" s="16">
        <f t="shared" si="4"/>
        <v>0</v>
      </c>
      <c r="U153" s="16">
        <f t="shared" si="5"/>
        <v>0</v>
      </c>
      <c r="V153" s="133"/>
    </row>
    <row r="154" spans="1:22" s="56" customFormat="1">
      <c r="A154" s="58"/>
      <c r="B154" s="36"/>
      <c r="C154" s="58"/>
      <c r="D154" s="57"/>
      <c r="E154" s="57"/>
      <c r="F154" s="41"/>
      <c r="G154" s="41"/>
      <c r="H154" s="41"/>
      <c r="I154" s="57"/>
      <c r="J154" s="36"/>
      <c r="K154" s="57"/>
      <c r="L154" s="57"/>
      <c r="M154" s="57"/>
      <c r="N154" s="42"/>
      <c r="O154" s="57"/>
      <c r="P154" s="43"/>
      <c r="Q154" s="41"/>
      <c r="R154" s="43"/>
      <c r="S154" s="36"/>
      <c r="T154" s="16">
        <f t="shared" si="4"/>
        <v>0</v>
      </c>
      <c r="U154" s="16">
        <f t="shared" si="5"/>
        <v>0</v>
      </c>
      <c r="V154" s="133"/>
    </row>
    <row r="155" spans="1:22" s="56" customFormat="1">
      <c r="A155" s="58"/>
      <c r="B155" s="36"/>
      <c r="C155" s="58"/>
      <c r="D155" s="57"/>
      <c r="E155" s="57"/>
      <c r="F155" s="41"/>
      <c r="G155" s="41"/>
      <c r="H155" s="41"/>
      <c r="I155" s="57"/>
      <c r="J155" s="36"/>
      <c r="K155" s="57"/>
      <c r="L155" s="57"/>
      <c r="M155" s="57"/>
      <c r="N155" s="42"/>
      <c r="O155" s="57"/>
      <c r="P155" s="43"/>
      <c r="Q155" s="41"/>
      <c r="R155" s="43"/>
      <c r="S155" s="36"/>
      <c r="T155" s="16">
        <f t="shared" si="4"/>
        <v>0</v>
      </c>
      <c r="U155" s="16">
        <f t="shared" si="5"/>
        <v>0</v>
      </c>
      <c r="V155" s="133"/>
    </row>
    <row r="156" spans="1:22" s="56" customFormat="1">
      <c r="A156" s="58"/>
      <c r="B156" s="36"/>
      <c r="C156" s="58"/>
      <c r="D156" s="57"/>
      <c r="E156" s="57"/>
      <c r="F156" s="41"/>
      <c r="G156" s="41"/>
      <c r="H156" s="41"/>
      <c r="I156" s="57"/>
      <c r="J156" s="36"/>
      <c r="K156" s="57"/>
      <c r="L156" s="57"/>
      <c r="M156" s="57"/>
      <c r="N156" s="42"/>
      <c r="O156" s="57"/>
      <c r="P156" s="43"/>
      <c r="Q156" s="41"/>
      <c r="R156" s="43"/>
      <c r="S156" s="36"/>
      <c r="T156" s="16">
        <f t="shared" si="4"/>
        <v>0</v>
      </c>
      <c r="U156" s="16">
        <f t="shared" si="5"/>
        <v>0</v>
      </c>
      <c r="V156" s="133"/>
    </row>
    <row r="157" spans="1:22" s="56" customFormat="1">
      <c r="A157" s="58"/>
      <c r="B157" s="36"/>
      <c r="C157" s="58"/>
      <c r="D157" s="57"/>
      <c r="E157" s="57"/>
      <c r="F157" s="41"/>
      <c r="G157" s="41"/>
      <c r="H157" s="41"/>
      <c r="I157" s="57"/>
      <c r="J157" s="36"/>
      <c r="K157" s="57"/>
      <c r="L157" s="57"/>
      <c r="M157" s="57"/>
      <c r="N157" s="42"/>
      <c r="O157" s="57"/>
      <c r="P157" s="43"/>
      <c r="Q157" s="41"/>
      <c r="R157" s="43"/>
      <c r="S157" s="36"/>
      <c r="T157" s="16">
        <f t="shared" si="4"/>
        <v>0</v>
      </c>
      <c r="U157" s="16">
        <f t="shared" si="5"/>
        <v>0</v>
      </c>
      <c r="V157" s="133"/>
    </row>
    <row r="158" spans="1:22" s="56" customFormat="1">
      <c r="A158" s="58"/>
      <c r="B158" s="36"/>
      <c r="C158" s="58"/>
      <c r="D158" s="57"/>
      <c r="E158" s="57"/>
      <c r="F158" s="41"/>
      <c r="G158" s="41"/>
      <c r="H158" s="41"/>
      <c r="I158" s="57"/>
      <c r="J158" s="36"/>
      <c r="K158" s="57"/>
      <c r="L158" s="57"/>
      <c r="M158" s="57"/>
      <c r="N158" s="42"/>
      <c r="O158" s="57"/>
      <c r="P158" s="43"/>
      <c r="Q158" s="41"/>
      <c r="R158" s="43"/>
      <c r="S158" s="36"/>
      <c r="T158" s="16">
        <f t="shared" si="4"/>
        <v>0</v>
      </c>
      <c r="U158" s="16">
        <f t="shared" si="5"/>
        <v>0</v>
      </c>
      <c r="V158" s="133"/>
    </row>
    <row r="159" spans="1:22" s="56" customFormat="1">
      <c r="A159" s="58"/>
      <c r="B159" s="36"/>
      <c r="C159" s="58"/>
      <c r="D159" s="57"/>
      <c r="E159" s="57"/>
      <c r="F159" s="41"/>
      <c r="G159" s="41"/>
      <c r="H159" s="41"/>
      <c r="I159" s="57"/>
      <c r="J159" s="36"/>
      <c r="K159" s="57"/>
      <c r="L159" s="57"/>
      <c r="M159" s="57"/>
      <c r="N159" s="42"/>
      <c r="O159" s="57"/>
      <c r="P159" s="43"/>
      <c r="Q159" s="41"/>
      <c r="R159" s="43"/>
      <c r="S159" s="36"/>
      <c r="T159" s="16">
        <f t="shared" si="4"/>
        <v>0</v>
      </c>
      <c r="U159" s="16">
        <f t="shared" si="5"/>
        <v>0</v>
      </c>
      <c r="V159" s="133"/>
    </row>
    <row r="160" spans="1:22" s="56" customFormat="1">
      <c r="A160" s="58"/>
      <c r="B160" s="36"/>
      <c r="C160" s="58"/>
      <c r="D160" s="57"/>
      <c r="E160" s="57"/>
      <c r="F160" s="41"/>
      <c r="G160" s="41"/>
      <c r="H160" s="41"/>
      <c r="I160" s="57"/>
      <c r="J160" s="36"/>
      <c r="K160" s="57"/>
      <c r="L160" s="57"/>
      <c r="M160" s="57"/>
      <c r="N160" s="42"/>
      <c r="O160" s="57"/>
      <c r="P160" s="43"/>
      <c r="Q160" s="41"/>
      <c r="R160" s="43"/>
      <c r="S160" s="36"/>
      <c r="T160" s="16">
        <f t="shared" si="4"/>
        <v>0</v>
      </c>
      <c r="U160" s="16">
        <f t="shared" si="5"/>
        <v>0</v>
      </c>
      <c r="V160" s="133"/>
    </row>
    <row r="161" spans="1:22" s="56" customFormat="1">
      <c r="A161" s="58"/>
      <c r="B161" s="36"/>
      <c r="C161" s="58"/>
      <c r="D161" s="57"/>
      <c r="E161" s="57"/>
      <c r="F161" s="41"/>
      <c r="G161" s="41"/>
      <c r="H161" s="41"/>
      <c r="I161" s="57"/>
      <c r="J161" s="36"/>
      <c r="K161" s="57"/>
      <c r="L161" s="57"/>
      <c r="M161" s="57"/>
      <c r="N161" s="42"/>
      <c r="O161" s="57"/>
      <c r="P161" s="43"/>
      <c r="Q161" s="41"/>
      <c r="R161" s="43"/>
      <c r="S161" s="36"/>
      <c r="T161" s="16">
        <f t="shared" si="4"/>
        <v>0</v>
      </c>
      <c r="U161" s="16">
        <f t="shared" si="5"/>
        <v>0</v>
      </c>
      <c r="V161" s="133"/>
    </row>
    <row r="162" spans="1:22" s="56" customFormat="1">
      <c r="A162" s="58"/>
      <c r="B162" s="36"/>
      <c r="C162" s="58"/>
      <c r="D162" s="57"/>
      <c r="E162" s="57"/>
      <c r="F162" s="41"/>
      <c r="G162" s="41"/>
      <c r="H162" s="41"/>
      <c r="I162" s="57"/>
      <c r="J162" s="36"/>
      <c r="K162" s="57"/>
      <c r="L162" s="57"/>
      <c r="M162" s="57"/>
      <c r="N162" s="42"/>
      <c r="O162" s="57"/>
      <c r="P162" s="43"/>
      <c r="Q162" s="41"/>
      <c r="R162" s="43"/>
      <c r="S162" s="36"/>
      <c r="T162" s="16">
        <f t="shared" si="4"/>
        <v>0</v>
      </c>
      <c r="U162" s="16">
        <f t="shared" si="5"/>
        <v>0</v>
      </c>
      <c r="V162" s="133"/>
    </row>
    <row r="163" spans="1:22" s="56" customFormat="1">
      <c r="A163" s="58"/>
      <c r="B163" s="36"/>
      <c r="C163" s="58"/>
      <c r="D163" s="57"/>
      <c r="E163" s="57"/>
      <c r="F163" s="41"/>
      <c r="G163" s="41"/>
      <c r="H163" s="41"/>
      <c r="I163" s="57"/>
      <c r="J163" s="36"/>
      <c r="K163" s="57"/>
      <c r="L163" s="57"/>
      <c r="M163" s="57"/>
      <c r="N163" s="42"/>
      <c r="O163" s="57"/>
      <c r="P163" s="43"/>
      <c r="Q163" s="41"/>
      <c r="R163" s="43"/>
      <c r="S163" s="36"/>
      <c r="T163" s="16">
        <f t="shared" si="4"/>
        <v>0</v>
      </c>
      <c r="U163" s="16">
        <f t="shared" si="5"/>
        <v>0</v>
      </c>
      <c r="V163" s="133"/>
    </row>
    <row r="164" spans="1:22" s="56" customFormat="1">
      <c r="A164" s="58"/>
      <c r="B164" s="36"/>
      <c r="C164" s="58"/>
      <c r="D164" s="57"/>
      <c r="E164" s="57"/>
      <c r="F164" s="41"/>
      <c r="G164" s="41"/>
      <c r="H164" s="41"/>
      <c r="I164" s="57"/>
      <c r="J164" s="36"/>
      <c r="K164" s="57"/>
      <c r="L164" s="57"/>
      <c r="M164" s="57"/>
      <c r="N164" s="42"/>
      <c r="O164" s="57"/>
      <c r="P164" s="43"/>
      <c r="Q164" s="41"/>
      <c r="R164" s="43"/>
      <c r="S164" s="36"/>
      <c r="T164" s="16">
        <f t="shared" si="4"/>
        <v>0</v>
      </c>
      <c r="U164" s="16">
        <f t="shared" si="5"/>
        <v>0</v>
      </c>
      <c r="V164" s="133"/>
    </row>
    <row r="165" spans="1:22" s="56" customFormat="1">
      <c r="A165" s="58"/>
      <c r="B165" s="36"/>
      <c r="C165" s="58"/>
      <c r="D165" s="57"/>
      <c r="E165" s="57"/>
      <c r="F165" s="41"/>
      <c r="G165" s="41"/>
      <c r="H165" s="41"/>
      <c r="I165" s="57"/>
      <c r="J165" s="36"/>
      <c r="K165" s="57"/>
      <c r="L165" s="57"/>
      <c r="M165" s="57"/>
      <c r="N165" s="42"/>
      <c r="O165" s="57"/>
      <c r="P165" s="43"/>
      <c r="Q165" s="41"/>
      <c r="R165" s="43"/>
      <c r="S165" s="36"/>
      <c r="T165" s="16">
        <f t="shared" si="4"/>
        <v>0</v>
      </c>
      <c r="U165" s="16">
        <f t="shared" si="5"/>
        <v>0</v>
      </c>
      <c r="V165" s="133"/>
    </row>
    <row r="166" spans="1:22" s="56" customFormat="1">
      <c r="A166" s="58"/>
      <c r="B166" s="36"/>
      <c r="C166" s="58"/>
      <c r="D166" s="57"/>
      <c r="E166" s="57"/>
      <c r="F166" s="41"/>
      <c r="G166" s="41"/>
      <c r="H166" s="41"/>
      <c r="I166" s="57"/>
      <c r="J166" s="36"/>
      <c r="K166" s="57"/>
      <c r="L166" s="57"/>
      <c r="M166" s="57"/>
      <c r="N166" s="42"/>
      <c r="O166" s="57"/>
      <c r="P166" s="43"/>
      <c r="Q166" s="41"/>
      <c r="R166" s="43"/>
      <c r="S166" s="36"/>
      <c r="T166" s="16">
        <f t="shared" si="4"/>
        <v>0</v>
      </c>
      <c r="U166" s="16">
        <f t="shared" si="5"/>
        <v>0</v>
      </c>
      <c r="V166" s="133"/>
    </row>
    <row r="167" spans="1:22" s="56" customFormat="1">
      <c r="A167" s="58"/>
      <c r="B167" s="36"/>
      <c r="C167" s="58"/>
      <c r="D167" s="57"/>
      <c r="E167" s="57"/>
      <c r="F167" s="41"/>
      <c r="G167" s="41"/>
      <c r="H167" s="41"/>
      <c r="I167" s="57"/>
      <c r="J167" s="36"/>
      <c r="K167" s="57"/>
      <c r="L167" s="57"/>
      <c r="M167" s="57"/>
      <c r="N167" s="42"/>
      <c r="O167" s="57"/>
      <c r="P167" s="43"/>
      <c r="Q167" s="41"/>
      <c r="R167" s="43"/>
      <c r="S167" s="36"/>
      <c r="T167" s="16">
        <f t="shared" si="4"/>
        <v>0</v>
      </c>
      <c r="U167" s="16">
        <f t="shared" si="5"/>
        <v>0</v>
      </c>
      <c r="V167" s="133"/>
    </row>
    <row r="168" spans="1:22" s="56" customFormat="1">
      <c r="A168" s="58"/>
      <c r="B168" s="36"/>
      <c r="C168" s="58"/>
      <c r="D168" s="57"/>
      <c r="E168" s="57"/>
      <c r="F168" s="41"/>
      <c r="G168" s="41"/>
      <c r="H168" s="41"/>
      <c r="I168" s="57"/>
      <c r="J168" s="36"/>
      <c r="K168" s="57"/>
      <c r="L168" s="57"/>
      <c r="M168" s="57"/>
      <c r="N168" s="42"/>
      <c r="O168" s="57"/>
      <c r="P168" s="43"/>
      <c r="Q168" s="41"/>
      <c r="R168" s="43"/>
      <c r="S168" s="36"/>
      <c r="T168" s="16">
        <f t="shared" si="4"/>
        <v>0</v>
      </c>
      <c r="U168" s="16">
        <f t="shared" si="5"/>
        <v>0</v>
      </c>
      <c r="V168" s="133"/>
    </row>
    <row r="169" spans="1:22" s="56" customFormat="1">
      <c r="A169" s="58"/>
      <c r="B169" s="36"/>
      <c r="C169" s="58"/>
      <c r="D169" s="57"/>
      <c r="E169" s="57"/>
      <c r="F169" s="41"/>
      <c r="G169" s="41"/>
      <c r="H169" s="41"/>
      <c r="I169" s="57"/>
      <c r="J169" s="36"/>
      <c r="K169" s="57"/>
      <c r="L169" s="57"/>
      <c r="M169" s="57"/>
      <c r="N169" s="42"/>
      <c r="O169" s="57"/>
      <c r="P169" s="43"/>
      <c r="Q169" s="41"/>
      <c r="R169" s="43"/>
      <c r="S169" s="36"/>
      <c r="T169" s="16">
        <f t="shared" si="4"/>
        <v>0</v>
      </c>
      <c r="U169" s="16">
        <f t="shared" si="5"/>
        <v>0</v>
      </c>
      <c r="V169" s="133"/>
    </row>
    <row r="170" spans="1:22" s="56" customFormat="1">
      <c r="A170" s="58"/>
      <c r="B170" s="36"/>
      <c r="C170" s="58"/>
      <c r="D170" s="57"/>
      <c r="E170" s="57"/>
      <c r="F170" s="41"/>
      <c r="G170" s="41"/>
      <c r="H170" s="41"/>
      <c r="I170" s="57"/>
      <c r="J170" s="36"/>
      <c r="K170" s="57"/>
      <c r="L170" s="57"/>
      <c r="M170" s="57"/>
      <c r="N170" s="42"/>
      <c r="O170" s="57"/>
      <c r="P170" s="43"/>
      <c r="Q170" s="41"/>
      <c r="R170" s="43"/>
      <c r="S170" s="36"/>
      <c r="T170" s="16">
        <f t="shared" si="4"/>
        <v>0</v>
      </c>
      <c r="U170" s="16">
        <f t="shared" si="5"/>
        <v>0</v>
      </c>
      <c r="V170" s="133"/>
    </row>
    <row r="171" spans="1:22" s="56" customFormat="1">
      <c r="A171" s="58"/>
      <c r="B171" s="36"/>
      <c r="C171" s="58"/>
      <c r="D171" s="57"/>
      <c r="E171" s="57"/>
      <c r="F171" s="41"/>
      <c r="G171" s="41"/>
      <c r="H171" s="41"/>
      <c r="I171" s="57"/>
      <c r="J171" s="36"/>
      <c r="K171" s="57"/>
      <c r="L171" s="57"/>
      <c r="M171" s="57"/>
      <c r="N171" s="42"/>
      <c r="O171" s="57"/>
      <c r="P171" s="43"/>
      <c r="Q171" s="41"/>
      <c r="R171" s="43"/>
      <c r="S171" s="36"/>
      <c r="T171" s="16">
        <f t="shared" si="4"/>
        <v>0</v>
      </c>
      <c r="U171" s="16">
        <f t="shared" si="5"/>
        <v>0</v>
      </c>
      <c r="V171" s="133"/>
    </row>
    <row r="172" spans="1:22" s="56" customFormat="1">
      <c r="A172" s="58"/>
      <c r="B172" s="36"/>
      <c r="C172" s="58"/>
      <c r="D172" s="57"/>
      <c r="E172" s="57"/>
      <c r="F172" s="41"/>
      <c r="G172" s="41"/>
      <c r="H172" s="41"/>
      <c r="I172" s="57"/>
      <c r="J172" s="36"/>
      <c r="K172" s="57"/>
      <c r="L172" s="57"/>
      <c r="M172" s="57"/>
      <c r="N172" s="42"/>
      <c r="O172" s="57"/>
      <c r="P172" s="43"/>
      <c r="Q172" s="41"/>
      <c r="R172" s="43"/>
      <c r="S172" s="36"/>
      <c r="T172" s="16">
        <f t="shared" si="4"/>
        <v>0</v>
      </c>
      <c r="U172" s="16">
        <f t="shared" si="5"/>
        <v>0</v>
      </c>
      <c r="V172" s="133"/>
    </row>
    <row r="173" spans="1:22" s="56" customFormat="1">
      <c r="A173" s="58"/>
      <c r="B173" s="36"/>
      <c r="C173" s="58"/>
      <c r="D173" s="57"/>
      <c r="E173" s="57"/>
      <c r="F173" s="41"/>
      <c r="G173" s="41"/>
      <c r="H173" s="41"/>
      <c r="I173" s="57"/>
      <c r="J173" s="36"/>
      <c r="K173" s="57"/>
      <c r="L173" s="57"/>
      <c r="M173" s="57"/>
      <c r="N173" s="42"/>
      <c r="O173" s="57"/>
      <c r="P173" s="43"/>
      <c r="Q173" s="41"/>
      <c r="R173" s="43"/>
      <c r="S173" s="36"/>
      <c r="T173" s="16">
        <f t="shared" si="4"/>
        <v>0</v>
      </c>
      <c r="U173" s="16">
        <f t="shared" si="5"/>
        <v>0</v>
      </c>
      <c r="V173" s="133"/>
    </row>
    <row r="174" spans="1:22" s="56" customFormat="1">
      <c r="A174" s="58"/>
      <c r="B174" s="36"/>
      <c r="C174" s="58"/>
      <c r="D174" s="57"/>
      <c r="E174" s="57"/>
      <c r="F174" s="41"/>
      <c r="G174" s="41"/>
      <c r="H174" s="41"/>
      <c r="I174" s="57"/>
      <c r="J174" s="36"/>
      <c r="K174" s="57"/>
      <c r="L174" s="57"/>
      <c r="M174" s="57"/>
      <c r="N174" s="42"/>
      <c r="O174" s="57"/>
      <c r="P174" s="43"/>
      <c r="Q174" s="41"/>
      <c r="R174" s="43"/>
      <c r="S174" s="36"/>
      <c r="T174" s="16">
        <f t="shared" si="4"/>
        <v>0</v>
      </c>
      <c r="U174" s="16">
        <f t="shared" si="5"/>
        <v>0</v>
      </c>
      <c r="V174" s="133"/>
    </row>
    <row r="175" spans="1:22" s="56" customFormat="1">
      <c r="A175" s="58"/>
      <c r="B175" s="36"/>
      <c r="C175" s="58"/>
      <c r="D175" s="57"/>
      <c r="E175" s="57"/>
      <c r="F175" s="41"/>
      <c r="G175" s="41"/>
      <c r="H175" s="41"/>
      <c r="I175" s="57"/>
      <c r="J175" s="36"/>
      <c r="K175" s="57"/>
      <c r="L175" s="57"/>
      <c r="M175" s="57"/>
      <c r="N175" s="42"/>
      <c r="O175" s="57"/>
      <c r="P175" s="43"/>
      <c r="Q175" s="41"/>
      <c r="R175" s="43"/>
      <c r="S175" s="36"/>
      <c r="T175" s="16">
        <f t="shared" si="4"/>
        <v>0</v>
      </c>
      <c r="U175" s="16">
        <f t="shared" si="5"/>
        <v>0</v>
      </c>
      <c r="V175" s="133"/>
    </row>
    <row r="176" spans="1:22" s="56" customFormat="1">
      <c r="A176" s="58"/>
      <c r="B176" s="36"/>
      <c r="C176" s="58"/>
      <c r="D176" s="57"/>
      <c r="E176" s="57"/>
      <c r="F176" s="41"/>
      <c r="G176" s="41"/>
      <c r="H176" s="41"/>
      <c r="I176" s="57"/>
      <c r="J176" s="36"/>
      <c r="K176" s="57"/>
      <c r="L176" s="57"/>
      <c r="M176" s="57"/>
      <c r="N176" s="42"/>
      <c r="O176" s="57"/>
      <c r="P176" s="43"/>
      <c r="Q176" s="41"/>
      <c r="R176" s="43"/>
      <c r="S176" s="36"/>
      <c r="T176" s="16">
        <f t="shared" si="4"/>
        <v>0</v>
      </c>
      <c r="U176" s="16">
        <f t="shared" si="5"/>
        <v>0</v>
      </c>
      <c r="V176" s="133"/>
    </row>
    <row r="177" spans="1:22" s="56" customFormat="1">
      <c r="A177" s="58"/>
      <c r="B177" s="36"/>
      <c r="C177" s="58"/>
      <c r="D177" s="57"/>
      <c r="E177" s="57"/>
      <c r="F177" s="41"/>
      <c r="G177" s="41"/>
      <c r="H177" s="41"/>
      <c r="I177" s="57"/>
      <c r="J177" s="36"/>
      <c r="K177" s="57"/>
      <c r="L177" s="57"/>
      <c r="M177" s="57"/>
      <c r="N177" s="42"/>
      <c r="O177" s="57"/>
      <c r="P177" s="43"/>
      <c r="Q177" s="41"/>
      <c r="R177" s="43"/>
      <c r="S177" s="36"/>
      <c r="T177" s="16">
        <f t="shared" si="4"/>
        <v>0</v>
      </c>
      <c r="U177" s="16">
        <f t="shared" si="5"/>
        <v>0</v>
      </c>
      <c r="V177" s="133"/>
    </row>
    <row r="178" spans="1:22" s="56" customFormat="1">
      <c r="A178" s="58"/>
      <c r="B178" s="36"/>
      <c r="C178" s="58"/>
      <c r="D178" s="57"/>
      <c r="E178" s="57"/>
      <c r="F178" s="41"/>
      <c r="G178" s="41"/>
      <c r="H178" s="41"/>
      <c r="I178" s="57"/>
      <c r="J178" s="36"/>
      <c r="K178" s="57"/>
      <c r="L178" s="57"/>
      <c r="M178" s="57"/>
      <c r="N178" s="42"/>
      <c r="O178" s="57"/>
      <c r="P178" s="43"/>
      <c r="Q178" s="41"/>
      <c r="R178" s="43"/>
      <c r="S178" s="36"/>
      <c r="T178" s="16">
        <f t="shared" si="4"/>
        <v>0</v>
      </c>
      <c r="U178" s="16">
        <f t="shared" si="5"/>
        <v>0</v>
      </c>
      <c r="V178" s="133"/>
    </row>
    <row r="179" spans="1:22" s="56" customFormat="1">
      <c r="A179" s="58"/>
      <c r="B179" s="36"/>
      <c r="C179" s="58"/>
      <c r="D179" s="57"/>
      <c r="E179" s="57"/>
      <c r="F179" s="41"/>
      <c r="G179" s="41"/>
      <c r="H179" s="41"/>
      <c r="I179" s="57"/>
      <c r="J179" s="36"/>
      <c r="K179" s="57"/>
      <c r="L179" s="57"/>
      <c r="M179" s="57"/>
      <c r="N179" s="42"/>
      <c r="O179" s="57"/>
      <c r="P179" s="43"/>
      <c r="Q179" s="41"/>
      <c r="R179" s="43"/>
      <c r="S179" s="36"/>
      <c r="T179" s="16">
        <f t="shared" si="4"/>
        <v>0</v>
      </c>
      <c r="U179" s="16">
        <f t="shared" si="5"/>
        <v>0</v>
      </c>
      <c r="V179" s="133"/>
    </row>
    <row r="180" spans="1:22" s="56" customFormat="1">
      <c r="A180" s="58"/>
      <c r="B180" s="36"/>
      <c r="C180" s="58"/>
      <c r="D180" s="57"/>
      <c r="E180" s="57"/>
      <c r="F180" s="41"/>
      <c r="G180" s="41"/>
      <c r="H180" s="41"/>
      <c r="I180" s="57"/>
      <c r="J180" s="36"/>
      <c r="K180" s="57"/>
      <c r="L180" s="57"/>
      <c r="M180" s="57"/>
      <c r="N180" s="42"/>
      <c r="O180" s="57"/>
      <c r="P180" s="43"/>
      <c r="Q180" s="41"/>
      <c r="R180" s="43"/>
      <c r="S180" s="36"/>
      <c r="T180" s="16">
        <f t="shared" si="4"/>
        <v>0</v>
      </c>
      <c r="U180" s="16">
        <f t="shared" si="5"/>
        <v>0</v>
      </c>
      <c r="V180" s="133"/>
    </row>
    <row r="181" spans="1:22" s="56" customFormat="1">
      <c r="A181" s="58"/>
      <c r="B181" s="36"/>
      <c r="C181" s="58"/>
      <c r="D181" s="57"/>
      <c r="E181" s="57"/>
      <c r="F181" s="41"/>
      <c r="G181" s="41"/>
      <c r="H181" s="41"/>
      <c r="I181" s="57"/>
      <c r="J181" s="36"/>
      <c r="K181" s="57"/>
      <c r="L181" s="57"/>
      <c r="M181" s="57"/>
      <c r="N181" s="42"/>
      <c r="O181" s="57"/>
      <c r="P181" s="43"/>
      <c r="Q181" s="41"/>
      <c r="R181" s="43"/>
      <c r="S181" s="36"/>
      <c r="T181" s="16">
        <f t="shared" si="4"/>
        <v>0</v>
      </c>
      <c r="U181" s="16">
        <f t="shared" si="5"/>
        <v>0</v>
      </c>
      <c r="V181" s="133"/>
    </row>
    <row r="182" spans="1:22" s="56" customFormat="1">
      <c r="A182" s="58"/>
      <c r="B182" s="36"/>
      <c r="C182" s="58"/>
      <c r="D182" s="57"/>
      <c r="E182" s="57"/>
      <c r="F182" s="41"/>
      <c r="G182" s="41"/>
      <c r="H182" s="41"/>
      <c r="I182" s="57"/>
      <c r="J182" s="36"/>
      <c r="K182" s="57"/>
      <c r="L182" s="57"/>
      <c r="M182" s="57"/>
      <c r="N182" s="42"/>
      <c r="O182" s="57"/>
      <c r="P182" s="43"/>
      <c r="Q182" s="41"/>
      <c r="R182" s="43"/>
      <c r="S182" s="36"/>
      <c r="T182" s="16">
        <f t="shared" si="4"/>
        <v>0</v>
      </c>
      <c r="U182" s="16">
        <f t="shared" si="5"/>
        <v>0</v>
      </c>
      <c r="V182" s="133"/>
    </row>
    <row r="183" spans="1:22" s="56" customFormat="1">
      <c r="A183" s="58"/>
      <c r="B183" s="36"/>
      <c r="C183" s="58"/>
      <c r="D183" s="57"/>
      <c r="E183" s="57"/>
      <c r="F183" s="41"/>
      <c r="G183" s="41"/>
      <c r="H183" s="41"/>
      <c r="I183" s="57"/>
      <c r="J183" s="36"/>
      <c r="K183" s="57"/>
      <c r="L183" s="57"/>
      <c r="M183" s="57"/>
      <c r="N183" s="42"/>
      <c r="O183" s="57"/>
      <c r="P183" s="43"/>
      <c r="Q183" s="41"/>
      <c r="R183" s="43"/>
      <c r="S183" s="36"/>
      <c r="T183" s="16">
        <f t="shared" si="4"/>
        <v>0</v>
      </c>
      <c r="U183" s="16">
        <f t="shared" si="5"/>
        <v>0</v>
      </c>
      <c r="V183" s="133"/>
    </row>
    <row r="184" spans="1:22" s="56" customFormat="1">
      <c r="A184" s="58"/>
      <c r="B184" s="36"/>
      <c r="C184" s="58"/>
      <c r="D184" s="57"/>
      <c r="E184" s="57"/>
      <c r="F184" s="41"/>
      <c r="G184" s="41"/>
      <c r="H184" s="41"/>
      <c r="I184" s="57"/>
      <c r="J184" s="36"/>
      <c r="K184" s="57"/>
      <c r="L184" s="57"/>
      <c r="M184" s="57"/>
      <c r="N184" s="42"/>
      <c r="O184" s="57"/>
      <c r="P184" s="43"/>
      <c r="Q184" s="41"/>
      <c r="R184" s="43"/>
      <c r="S184" s="36"/>
      <c r="T184" s="16">
        <f t="shared" si="4"/>
        <v>0</v>
      </c>
      <c r="U184" s="16">
        <f t="shared" si="5"/>
        <v>0</v>
      </c>
      <c r="V184" s="133"/>
    </row>
    <row r="185" spans="1:22" s="56" customFormat="1">
      <c r="A185" s="58"/>
      <c r="B185" s="36"/>
      <c r="C185" s="58"/>
      <c r="D185" s="57"/>
      <c r="E185" s="57"/>
      <c r="F185" s="41"/>
      <c r="G185" s="41"/>
      <c r="H185" s="41"/>
      <c r="I185" s="57"/>
      <c r="J185" s="36"/>
      <c r="K185" s="57"/>
      <c r="L185" s="57"/>
      <c r="M185" s="57"/>
      <c r="N185" s="42"/>
      <c r="O185" s="57"/>
      <c r="P185" s="43"/>
      <c r="Q185" s="41"/>
      <c r="R185" s="43"/>
      <c r="S185" s="36"/>
      <c r="T185" s="16">
        <f t="shared" si="4"/>
        <v>0</v>
      </c>
      <c r="U185" s="16">
        <f t="shared" si="5"/>
        <v>0</v>
      </c>
      <c r="V185" s="133"/>
    </row>
    <row r="186" spans="1:22" s="56" customFormat="1">
      <c r="A186" s="58"/>
      <c r="B186" s="36"/>
      <c r="C186" s="58"/>
      <c r="D186" s="57"/>
      <c r="E186" s="57"/>
      <c r="F186" s="41"/>
      <c r="G186" s="41"/>
      <c r="H186" s="41"/>
      <c r="I186" s="57"/>
      <c r="J186" s="36"/>
      <c r="K186" s="57"/>
      <c r="L186" s="57"/>
      <c r="M186" s="57"/>
      <c r="N186" s="42"/>
      <c r="O186" s="57"/>
      <c r="P186" s="43"/>
      <c r="Q186" s="41"/>
      <c r="R186" s="43"/>
      <c r="S186" s="36"/>
      <c r="T186" s="16">
        <f t="shared" si="4"/>
        <v>0</v>
      </c>
      <c r="U186" s="16">
        <f t="shared" si="5"/>
        <v>0</v>
      </c>
      <c r="V186" s="133"/>
    </row>
    <row r="187" spans="1:22" s="56" customFormat="1">
      <c r="A187" s="58"/>
      <c r="B187" s="36"/>
      <c r="C187" s="58"/>
      <c r="D187" s="57"/>
      <c r="E187" s="57"/>
      <c r="F187" s="41"/>
      <c r="G187" s="41"/>
      <c r="H187" s="41"/>
      <c r="I187" s="57"/>
      <c r="J187" s="36"/>
      <c r="K187" s="57"/>
      <c r="L187" s="57"/>
      <c r="M187" s="57"/>
      <c r="N187" s="42"/>
      <c r="O187" s="57"/>
      <c r="P187" s="43"/>
      <c r="Q187" s="41"/>
      <c r="R187" s="43"/>
      <c r="S187" s="36"/>
      <c r="T187" s="16">
        <f t="shared" si="4"/>
        <v>0</v>
      </c>
      <c r="U187" s="16">
        <f t="shared" si="5"/>
        <v>0</v>
      </c>
      <c r="V187" s="133"/>
    </row>
    <row r="188" spans="1:22" s="56" customFormat="1">
      <c r="A188" s="58"/>
      <c r="B188" s="36"/>
      <c r="C188" s="58"/>
      <c r="D188" s="57"/>
      <c r="E188" s="57"/>
      <c r="F188" s="41"/>
      <c r="G188" s="41"/>
      <c r="H188" s="41"/>
      <c r="I188" s="57"/>
      <c r="J188" s="36"/>
      <c r="K188" s="57"/>
      <c r="L188" s="57"/>
      <c r="M188" s="57"/>
      <c r="N188" s="42"/>
      <c r="O188" s="57"/>
      <c r="P188" s="43"/>
      <c r="Q188" s="41"/>
      <c r="R188" s="43"/>
      <c r="S188" s="36"/>
      <c r="T188" s="16">
        <f t="shared" si="4"/>
        <v>0</v>
      </c>
      <c r="U188" s="16">
        <f t="shared" si="5"/>
        <v>0</v>
      </c>
      <c r="V188" s="133"/>
    </row>
    <row r="189" spans="1:22" s="56" customFormat="1">
      <c r="A189" s="58"/>
      <c r="B189" s="36"/>
      <c r="C189" s="58"/>
      <c r="D189" s="57"/>
      <c r="E189" s="57"/>
      <c r="F189" s="41"/>
      <c r="G189" s="41"/>
      <c r="H189" s="41"/>
      <c r="I189" s="57"/>
      <c r="J189" s="36"/>
      <c r="K189" s="57"/>
      <c r="L189" s="57"/>
      <c r="M189" s="57"/>
      <c r="N189" s="42"/>
      <c r="O189" s="57"/>
      <c r="P189" s="43"/>
      <c r="Q189" s="41"/>
      <c r="R189" s="43"/>
      <c r="S189" s="36"/>
      <c r="T189" s="16">
        <f t="shared" si="4"/>
        <v>0</v>
      </c>
      <c r="U189" s="16">
        <f t="shared" si="5"/>
        <v>0</v>
      </c>
      <c r="V189" s="133"/>
    </row>
    <row r="190" spans="1:22" s="56" customFormat="1">
      <c r="A190" s="58"/>
      <c r="B190" s="36"/>
      <c r="C190" s="58"/>
      <c r="D190" s="57"/>
      <c r="E190" s="57"/>
      <c r="F190" s="41"/>
      <c r="G190" s="41"/>
      <c r="H190" s="41"/>
      <c r="I190" s="57"/>
      <c r="J190" s="36"/>
      <c r="K190" s="57"/>
      <c r="L190" s="57"/>
      <c r="M190" s="57"/>
      <c r="N190" s="42"/>
      <c r="O190" s="57"/>
      <c r="P190" s="43"/>
      <c r="Q190" s="41"/>
      <c r="R190" s="43"/>
      <c r="S190" s="36"/>
      <c r="T190" s="16">
        <f t="shared" si="4"/>
        <v>0</v>
      </c>
      <c r="U190" s="16">
        <f t="shared" si="5"/>
        <v>0</v>
      </c>
      <c r="V190" s="133"/>
    </row>
    <row r="191" spans="1:22" s="56" customFormat="1">
      <c r="A191" s="58"/>
      <c r="B191" s="36"/>
      <c r="C191" s="58"/>
      <c r="D191" s="57"/>
      <c r="E191" s="57"/>
      <c r="F191" s="41"/>
      <c r="G191" s="41"/>
      <c r="H191" s="41"/>
      <c r="I191" s="57"/>
      <c r="J191" s="36"/>
      <c r="K191" s="57"/>
      <c r="L191" s="57"/>
      <c r="M191" s="57"/>
      <c r="N191" s="42"/>
      <c r="O191" s="57"/>
      <c r="P191" s="43"/>
      <c r="Q191" s="41"/>
      <c r="R191" s="43"/>
      <c r="S191" s="36"/>
      <c r="T191" s="16">
        <f t="shared" si="4"/>
        <v>0</v>
      </c>
      <c r="U191" s="16">
        <f t="shared" si="5"/>
        <v>0</v>
      </c>
      <c r="V191" s="133"/>
    </row>
    <row r="192" spans="1:22" s="56" customFormat="1">
      <c r="A192" s="58"/>
      <c r="B192" s="36"/>
      <c r="C192" s="58"/>
      <c r="D192" s="57"/>
      <c r="E192" s="57"/>
      <c r="F192" s="41"/>
      <c r="G192" s="41"/>
      <c r="H192" s="41"/>
      <c r="I192" s="57"/>
      <c r="J192" s="36"/>
      <c r="K192" s="57"/>
      <c r="L192" s="57"/>
      <c r="M192" s="57"/>
      <c r="N192" s="42"/>
      <c r="O192" s="57"/>
      <c r="P192" s="43"/>
      <c r="Q192" s="41"/>
      <c r="R192" s="43"/>
      <c r="S192" s="36"/>
      <c r="T192" s="16">
        <f t="shared" si="4"/>
        <v>0</v>
      </c>
      <c r="U192" s="16">
        <f t="shared" si="5"/>
        <v>0</v>
      </c>
      <c r="V192" s="133"/>
    </row>
    <row r="193" spans="1:22" s="56" customFormat="1">
      <c r="A193" s="58"/>
      <c r="B193" s="36"/>
      <c r="C193" s="58"/>
      <c r="D193" s="57"/>
      <c r="E193" s="57"/>
      <c r="F193" s="41"/>
      <c r="G193" s="41"/>
      <c r="H193" s="41"/>
      <c r="I193" s="57"/>
      <c r="J193" s="36"/>
      <c r="K193" s="57"/>
      <c r="L193" s="57"/>
      <c r="M193" s="57"/>
      <c r="N193" s="42"/>
      <c r="O193" s="57"/>
      <c r="P193" s="43"/>
      <c r="Q193" s="41"/>
      <c r="R193" s="43"/>
      <c r="S193" s="36"/>
      <c r="T193" s="16">
        <f t="shared" si="4"/>
        <v>0</v>
      </c>
      <c r="U193" s="16">
        <f t="shared" si="5"/>
        <v>0</v>
      </c>
      <c r="V193" s="133"/>
    </row>
    <row r="194" spans="1:22" s="56" customFormat="1">
      <c r="A194" s="58"/>
      <c r="B194" s="36"/>
      <c r="C194" s="58"/>
      <c r="D194" s="57"/>
      <c r="E194" s="57"/>
      <c r="F194" s="41"/>
      <c r="G194" s="41"/>
      <c r="H194" s="41"/>
      <c r="I194" s="57"/>
      <c r="J194" s="36"/>
      <c r="K194" s="57"/>
      <c r="L194" s="57"/>
      <c r="M194" s="57"/>
      <c r="N194" s="42"/>
      <c r="O194" s="57"/>
      <c r="P194" s="43"/>
      <c r="Q194" s="41"/>
      <c r="R194" s="43"/>
      <c r="S194" s="36"/>
      <c r="T194" s="16">
        <f t="shared" si="4"/>
        <v>0</v>
      </c>
      <c r="U194" s="16">
        <f t="shared" si="5"/>
        <v>0</v>
      </c>
      <c r="V194" s="133"/>
    </row>
    <row r="195" spans="1:22" s="56" customFormat="1">
      <c r="A195" s="58"/>
      <c r="B195" s="36"/>
      <c r="C195" s="58"/>
      <c r="D195" s="57"/>
      <c r="E195" s="57"/>
      <c r="F195" s="41"/>
      <c r="G195" s="41"/>
      <c r="H195" s="41"/>
      <c r="I195" s="57"/>
      <c r="J195" s="36"/>
      <c r="K195" s="57"/>
      <c r="L195" s="57"/>
      <c r="M195" s="57"/>
      <c r="N195" s="42"/>
      <c r="O195" s="57"/>
      <c r="P195" s="43"/>
      <c r="Q195" s="41"/>
      <c r="R195" s="43"/>
      <c r="S195" s="36"/>
      <c r="T195" s="16">
        <f t="shared" si="4"/>
        <v>0</v>
      </c>
      <c r="U195" s="16">
        <f t="shared" si="5"/>
        <v>0</v>
      </c>
      <c r="V195" s="133"/>
    </row>
    <row r="196" spans="1:22" s="56" customFormat="1">
      <c r="A196" s="58"/>
      <c r="B196" s="36"/>
      <c r="C196" s="58"/>
      <c r="D196" s="57"/>
      <c r="E196" s="57"/>
      <c r="F196" s="41"/>
      <c r="G196" s="41"/>
      <c r="H196" s="41"/>
      <c r="I196" s="57"/>
      <c r="J196" s="36"/>
      <c r="K196" s="57"/>
      <c r="L196" s="57"/>
      <c r="M196" s="57"/>
      <c r="N196" s="42"/>
      <c r="O196" s="57"/>
      <c r="P196" s="43"/>
      <c r="Q196" s="41"/>
      <c r="R196" s="43"/>
      <c r="S196" s="36"/>
      <c r="T196" s="16">
        <f t="shared" si="4"/>
        <v>0</v>
      </c>
      <c r="U196" s="16">
        <f t="shared" si="5"/>
        <v>0</v>
      </c>
      <c r="V196" s="133"/>
    </row>
    <row r="197" spans="1:22" s="56" customFormat="1">
      <c r="A197" s="58"/>
      <c r="B197" s="36"/>
      <c r="C197" s="58"/>
      <c r="D197" s="57"/>
      <c r="E197" s="57"/>
      <c r="F197" s="41"/>
      <c r="G197" s="41"/>
      <c r="H197" s="41"/>
      <c r="I197" s="57"/>
      <c r="J197" s="36"/>
      <c r="K197" s="57"/>
      <c r="L197" s="57"/>
      <c r="M197" s="57"/>
      <c r="N197" s="42"/>
      <c r="O197" s="57"/>
      <c r="P197" s="43"/>
      <c r="Q197" s="41"/>
      <c r="R197" s="43"/>
      <c r="S197" s="36"/>
      <c r="T197" s="16">
        <f t="shared" ref="T197:T260" si="6">IF(OR($J197="Accepted",ISBLANK($J197)),IF(AND($G197="Legacy Data",$Q197="Legacy Data"),1,IF(OR($G197="Legacy Data",$Q197="Legacy Data"),1,0)),IF(OR($N197="Agree with original translator",ISBLANK($N197)),IF(AND($G197="Source Text Data",$Q197="Legacy Data"),1,IF(AND($G197="Legacy Data",$Q197="Legacy Data"),1,IF($Q197="Legacy Data",1,0))),IF(AND($G197="Legacy Data",$Q197="Legacy Data"),1,IF(OR($Q197="Legacy Data",ISBLANK($Q197)),IF($G197&lt;&gt;"Legacy Data",IF(AND($G197="Source Text Data",$Q197="Legacy Data"),1,0),1),0))))</f>
        <v>0</v>
      </c>
      <c r="U197" s="16">
        <f t="shared" ref="U197:U260" si="7">IF(OR($J197="Accepted",ISBLANK($J197)),IF(AND($G197="Source Text Data",$Q197="Source Text Data"),1,IF(OR($G197="Source Text Data",$Q197="Source Text Data"),1,0)),IF(OR($N197="Agree with original translator",ISBLANK($N197)),IF(AND($G197="Legacy Data",$Q197="Source Text Data"),1,IF(AND($G197="Source Text Data",$Q197="Source Text Data"),1,IF($Q197="Source Text Data",1,0))),IF(AND($G197="Source Text Data",$Q197="Source Text Data"),1,IF(OR($Q197="Source Text Data",ISBLANK($Q197)),IF($G197&lt;&gt;"Source Text Data",IF(AND($G197="Legacy Data",$Q197="Source Text Data"),1,0),1),0))))</f>
        <v>0</v>
      </c>
      <c r="V197" s="133"/>
    </row>
    <row r="198" spans="1:22" s="56" customFormat="1">
      <c r="A198" s="58"/>
      <c r="B198" s="36"/>
      <c r="C198" s="58"/>
      <c r="D198" s="57"/>
      <c r="E198" s="57"/>
      <c r="F198" s="41"/>
      <c r="G198" s="41"/>
      <c r="H198" s="41"/>
      <c r="I198" s="57"/>
      <c r="J198" s="36"/>
      <c r="K198" s="57"/>
      <c r="L198" s="57"/>
      <c r="M198" s="57"/>
      <c r="N198" s="42"/>
      <c r="O198" s="57"/>
      <c r="P198" s="43"/>
      <c r="Q198" s="41"/>
      <c r="R198" s="43"/>
      <c r="S198" s="36"/>
      <c r="T198" s="16">
        <f t="shared" si="6"/>
        <v>0</v>
      </c>
      <c r="U198" s="16">
        <f t="shared" si="7"/>
        <v>0</v>
      </c>
      <c r="V198" s="133"/>
    </row>
    <row r="199" spans="1:22" s="56" customFormat="1">
      <c r="A199" s="58"/>
      <c r="B199" s="36"/>
      <c r="C199" s="58"/>
      <c r="D199" s="57"/>
      <c r="E199" s="57"/>
      <c r="F199" s="41"/>
      <c r="G199" s="41"/>
      <c r="H199" s="41"/>
      <c r="I199" s="57"/>
      <c r="J199" s="36"/>
      <c r="K199" s="57"/>
      <c r="L199" s="57"/>
      <c r="M199" s="57"/>
      <c r="N199" s="42"/>
      <c r="O199" s="57"/>
      <c r="P199" s="43"/>
      <c r="Q199" s="41"/>
      <c r="R199" s="43"/>
      <c r="S199" s="36"/>
      <c r="T199" s="16">
        <f t="shared" si="6"/>
        <v>0</v>
      </c>
      <c r="U199" s="16">
        <f t="shared" si="7"/>
        <v>0</v>
      </c>
      <c r="V199" s="133"/>
    </row>
    <row r="200" spans="1:22" s="56" customFormat="1">
      <c r="A200" s="58"/>
      <c r="B200" s="36"/>
      <c r="C200" s="58"/>
      <c r="D200" s="57"/>
      <c r="E200" s="57"/>
      <c r="F200" s="41"/>
      <c r="G200" s="41"/>
      <c r="H200" s="41"/>
      <c r="I200" s="57"/>
      <c r="J200" s="36"/>
      <c r="K200" s="57"/>
      <c r="L200" s="57"/>
      <c r="M200" s="57"/>
      <c r="N200" s="42"/>
      <c r="O200" s="57"/>
      <c r="P200" s="43"/>
      <c r="Q200" s="41"/>
      <c r="R200" s="43"/>
      <c r="S200" s="36"/>
      <c r="T200" s="16">
        <f t="shared" si="6"/>
        <v>0</v>
      </c>
      <c r="U200" s="16">
        <f t="shared" si="7"/>
        <v>0</v>
      </c>
      <c r="V200" s="133"/>
    </row>
    <row r="201" spans="1:22" s="56" customFormat="1">
      <c r="A201" s="58"/>
      <c r="B201" s="36"/>
      <c r="C201" s="58"/>
      <c r="D201" s="57"/>
      <c r="E201" s="57"/>
      <c r="F201" s="41"/>
      <c r="G201" s="41"/>
      <c r="H201" s="41"/>
      <c r="I201" s="57"/>
      <c r="J201" s="36"/>
      <c r="K201" s="57"/>
      <c r="L201" s="57"/>
      <c r="M201" s="57"/>
      <c r="N201" s="42"/>
      <c r="O201" s="57"/>
      <c r="P201" s="43"/>
      <c r="Q201" s="41"/>
      <c r="R201" s="43"/>
      <c r="S201" s="36"/>
      <c r="T201" s="16">
        <f t="shared" si="6"/>
        <v>0</v>
      </c>
      <c r="U201" s="16">
        <f t="shared" si="7"/>
        <v>0</v>
      </c>
      <c r="V201" s="133"/>
    </row>
    <row r="202" spans="1:22" s="56" customFormat="1">
      <c r="A202" s="58"/>
      <c r="B202" s="36"/>
      <c r="C202" s="58"/>
      <c r="D202" s="57"/>
      <c r="E202" s="57"/>
      <c r="F202" s="41"/>
      <c r="G202" s="41"/>
      <c r="H202" s="41"/>
      <c r="I202" s="57"/>
      <c r="J202" s="36"/>
      <c r="K202" s="57"/>
      <c r="L202" s="57"/>
      <c r="M202" s="57"/>
      <c r="N202" s="42"/>
      <c r="O202" s="57"/>
      <c r="P202" s="43"/>
      <c r="Q202" s="41"/>
      <c r="R202" s="43"/>
      <c r="S202" s="36"/>
      <c r="T202" s="16">
        <f t="shared" si="6"/>
        <v>0</v>
      </c>
      <c r="U202" s="16">
        <f t="shared" si="7"/>
        <v>0</v>
      </c>
      <c r="V202" s="133"/>
    </row>
    <row r="203" spans="1:22" s="56" customFormat="1">
      <c r="A203" s="58"/>
      <c r="B203" s="36"/>
      <c r="C203" s="58"/>
      <c r="D203" s="57"/>
      <c r="E203" s="57"/>
      <c r="F203" s="41"/>
      <c r="G203" s="41"/>
      <c r="H203" s="41"/>
      <c r="I203" s="57"/>
      <c r="J203" s="36"/>
      <c r="K203" s="57"/>
      <c r="L203" s="57"/>
      <c r="M203" s="57"/>
      <c r="N203" s="42"/>
      <c r="O203" s="57"/>
      <c r="P203" s="43"/>
      <c r="Q203" s="41"/>
      <c r="R203" s="43"/>
      <c r="S203" s="36"/>
      <c r="T203" s="16">
        <f t="shared" si="6"/>
        <v>0</v>
      </c>
      <c r="U203" s="16">
        <f t="shared" si="7"/>
        <v>0</v>
      </c>
      <c r="V203" s="133"/>
    </row>
    <row r="204" spans="1:22" s="56" customFormat="1">
      <c r="A204" s="58"/>
      <c r="B204" s="36"/>
      <c r="C204" s="58"/>
      <c r="D204" s="57"/>
      <c r="E204" s="57"/>
      <c r="F204" s="41"/>
      <c r="G204" s="41"/>
      <c r="H204" s="41"/>
      <c r="I204" s="57"/>
      <c r="J204" s="36"/>
      <c r="K204" s="57"/>
      <c r="L204" s="57"/>
      <c r="M204" s="57"/>
      <c r="N204" s="42"/>
      <c r="O204" s="57"/>
      <c r="P204" s="43"/>
      <c r="Q204" s="41"/>
      <c r="R204" s="43"/>
      <c r="S204" s="36"/>
      <c r="T204" s="16">
        <f t="shared" si="6"/>
        <v>0</v>
      </c>
      <c r="U204" s="16">
        <f t="shared" si="7"/>
        <v>0</v>
      </c>
      <c r="V204" s="133"/>
    </row>
    <row r="205" spans="1:22" s="56" customFormat="1">
      <c r="A205" s="58"/>
      <c r="B205" s="36"/>
      <c r="C205" s="58"/>
      <c r="D205" s="57"/>
      <c r="E205" s="57"/>
      <c r="F205" s="41"/>
      <c r="G205" s="41"/>
      <c r="H205" s="41"/>
      <c r="I205" s="57"/>
      <c r="J205" s="36"/>
      <c r="K205" s="57"/>
      <c r="L205" s="57"/>
      <c r="M205" s="57"/>
      <c r="N205" s="42"/>
      <c r="O205" s="57"/>
      <c r="P205" s="43"/>
      <c r="Q205" s="41"/>
      <c r="R205" s="43"/>
      <c r="S205" s="36"/>
      <c r="T205" s="16">
        <f t="shared" si="6"/>
        <v>0</v>
      </c>
      <c r="U205" s="16">
        <f t="shared" si="7"/>
        <v>0</v>
      </c>
      <c r="V205" s="133"/>
    </row>
    <row r="206" spans="1:22" s="56" customFormat="1">
      <c r="A206" s="58"/>
      <c r="B206" s="36"/>
      <c r="C206" s="58"/>
      <c r="D206" s="57"/>
      <c r="E206" s="57"/>
      <c r="F206" s="41"/>
      <c r="G206" s="41"/>
      <c r="H206" s="41"/>
      <c r="I206" s="57"/>
      <c r="J206" s="36"/>
      <c r="K206" s="57"/>
      <c r="L206" s="57"/>
      <c r="M206" s="57"/>
      <c r="N206" s="42"/>
      <c r="O206" s="57"/>
      <c r="P206" s="43"/>
      <c r="Q206" s="41"/>
      <c r="R206" s="43"/>
      <c r="S206" s="36"/>
      <c r="T206" s="16">
        <f t="shared" si="6"/>
        <v>0</v>
      </c>
      <c r="U206" s="16">
        <f t="shared" si="7"/>
        <v>0</v>
      </c>
      <c r="V206" s="133"/>
    </row>
    <row r="207" spans="1:22" s="56" customFormat="1">
      <c r="A207" s="58"/>
      <c r="B207" s="36"/>
      <c r="C207" s="58"/>
      <c r="D207" s="57"/>
      <c r="E207" s="57"/>
      <c r="F207" s="41"/>
      <c r="G207" s="41"/>
      <c r="H207" s="41"/>
      <c r="I207" s="57"/>
      <c r="J207" s="36"/>
      <c r="K207" s="57"/>
      <c r="L207" s="57"/>
      <c r="M207" s="57"/>
      <c r="N207" s="42"/>
      <c r="O207" s="57"/>
      <c r="P207" s="43"/>
      <c r="Q207" s="41"/>
      <c r="R207" s="43"/>
      <c r="S207" s="36"/>
      <c r="T207" s="16">
        <f t="shared" si="6"/>
        <v>0</v>
      </c>
      <c r="U207" s="16">
        <f t="shared" si="7"/>
        <v>0</v>
      </c>
      <c r="V207" s="133"/>
    </row>
    <row r="208" spans="1:22" s="56" customFormat="1">
      <c r="A208" s="58"/>
      <c r="B208" s="36"/>
      <c r="C208" s="58"/>
      <c r="D208" s="57"/>
      <c r="E208" s="57"/>
      <c r="F208" s="41"/>
      <c r="G208" s="41"/>
      <c r="H208" s="41"/>
      <c r="I208" s="57"/>
      <c r="J208" s="36"/>
      <c r="K208" s="57"/>
      <c r="L208" s="57"/>
      <c r="M208" s="57"/>
      <c r="N208" s="42"/>
      <c r="O208" s="57"/>
      <c r="P208" s="43"/>
      <c r="Q208" s="41"/>
      <c r="R208" s="43"/>
      <c r="S208" s="36"/>
      <c r="T208" s="16">
        <f t="shared" si="6"/>
        <v>0</v>
      </c>
      <c r="U208" s="16">
        <f t="shared" si="7"/>
        <v>0</v>
      </c>
      <c r="V208" s="133"/>
    </row>
    <row r="209" spans="1:22" s="56" customFormat="1">
      <c r="A209" s="58"/>
      <c r="B209" s="36"/>
      <c r="C209" s="58"/>
      <c r="D209" s="57"/>
      <c r="E209" s="57"/>
      <c r="F209" s="41"/>
      <c r="G209" s="41"/>
      <c r="H209" s="41"/>
      <c r="I209" s="57"/>
      <c r="J209" s="36"/>
      <c r="K209" s="57"/>
      <c r="L209" s="57"/>
      <c r="M209" s="57"/>
      <c r="N209" s="42"/>
      <c r="O209" s="57"/>
      <c r="P209" s="43"/>
      <c r="Q209" s="41"/>
      <c r="R209" s="43"/>
      <c r="S209" s="36"/>
      <c r="T209" s="16">
        <f t="shared" si="6"/>
        <v>0</v>
      </c>
      <c r="U209" s="16">
        <f t="shared" si="7"/>
        <v>0</v>
      </c>
      <c r="V209" s="133"/>
    </row>
    <row r="210" spans="1:22" s="56" customFormat="1">
      <c r="A210" s="58"/>
      <c r="B210" s="36"/>
      <c r="C210" s="58"/>
      <c r="D210" s="57"/>
      <c r="E210" s="57"/>
      <c r="F210" s="41"/>
      <c r="G210" s="41"/>
      <c r="H210" s="41"/>
      <c r="I210" s="57"/>
      <c r="J210" s="36"/>
      <c r="K210" s="57"/>
      <c r="L210" s="57"/>
      <c r="M210" s="57"/>
      <c r="N210" s="42"/>
      <c r="O210" s="57"/>
      <c r="P210" s="43"/>
      <c r="Q210" s="41"/>
      <c r="R210" s="43"/>
      <c r="S210" s="36"/>
      <c r="T210" s="16">
        <f t="shared" si="6"/>
        <v>0</v>
      </c>
      <c r="U210" s="16">
        <f t="shared" si="7"/>
        <v>0</v>
      </c>
      <c r="V210" s="133"/>
    </row>
    <row r="211" spans="1:22" s="56" customFormat="1">
      <c r="A211" s="58"/>
      <c r="B211" s="36"/>
      <c r="C211" s="58"/>
      <c r="D211" s="57"/>
      <c r="E211" s="57"/>
      <c r="F211" s="41"/>
      <c r="G211" s="41"/>
      <c r="H211" s="41"/>
      <c r="I211" s="57"/>
      <c r="J211" s="36"/>
      <c r="K211" s="57"/>
      <c r="L211" s="57"/>
      <c r="M211" s="57"/>
      <c r="N211" s="42"/>
      <c r="O211" s="57"/>
      <c r="P211" s="43"/>
      <c r="Q211" s="41"/>
      <c r="R211" s="43"/>
      <c r="S211" s="36"/>
      <c r="T211" s="16">
        <f t="shared" si="6"/>
        <v>0</v>
      </c>
      <c r="U211" s="16">
        <f t="shared" si="7"/>
        <v>0</v>
      </c>
      <c r="V211" s="133"/>
    </row>
    <row r="212" spans="1:22" s="56" customFormat="1">
      <c r="A212" s="58"/>
      <c r="B212" s="36"/>
      <c r="C212" s="58"/>
      <c r="D212" s="57"/>
      <c r="E212" s="57"/>
      <c r="F212" s="41"/>
      <c r="G212" s="41"/>
      <c r="H212" s="41"/>
      <c r="I212" s="57"/>
      <c r="J212" s="36"/>
      <c r="K212" s="57"/>
      <c r="L212" s="57"/>
      <c r="M212" s="57"/>
      <c r="N212" s="42"/>
      <c r="O212" s="57"/>
      <c r="P212" s="43"/>
      <c r="Q212" s="41"/>
      <c r="R212" s="43"/>
      <c r="S212" s="36"/>
      <c r="T212" s="16">
        <f t="shared" si="6"/>
        <v>0</v>
      </c>
      <c r="U212" s="16">
        <f t="shared" si="7"/>
        <v>0</v>
      </c>
      <c r="V212" s="133"/>
    </row>
    <row r="213" spans="1:22" s="56" customFormat="1">
      <c r="A213" s="58"/>
      <c r="B213" s="36"/>
      <c r="C213" s="58"/>
      <c r="D213" s="57"/>
      <c r="E213" s="57"/>
      <c r="F213" s="41"/>
      <c r="G213" s="41"/>
      <c r="H213" s="41"/>
      <c r="I213" s="57"/>
      <c r="J213" s="36"/>
      <c r="K213" s="57"/>
      <c r="L213" s="57"/>
      <c r="M213" s="57"/>
      <c r="N213" s="42"/>
      <c r="O213" s="57"/>
      <c r="P213" s="43"/>
      <c r="Q213" s="41"/>
      <c r="R213" s="43"/>
      <c r="S213" s="36"/>
      <c r="T213" s="16">
        <f t="shared" si="6"/>
        <v>0</v>
      </c>
      <c r="U213" s="16">
        <f t="shared" si="7"/>
        <v>0</v>
      </c>
      <c r="V213" s="133"/>
    </row>
    <row r="214" spans="1:22" s="56" customFormat="1">
      <c r="A214" s="58"/>
      <c r="B214" s="36"/>
      <c r="C214" s="58"/>
      <c r="D214" s="57"/>
      <c r="E214" s="57"/>
      <c r="F214" s="41"/>
      <c r="G214" s="41"/>
      <c r="H214" s="41"/>
      <c r="I214" s="57"/>
      <c r="J214" s="36"/>
      <c r="K214" s="57"/>
      <c r="L214" s="57"/>
      <c r="M214" s="57"/>
      <c r="N214" s="42"/>
      <c r="O214" s="57"/>
      <c r="P214" s="43"/>
      <c r="Q214" s="41"/>
      <c r="R214" s="43"/>
      <c r="S214" s="36"/>
      <c r="T214" s="16">
        <f t="shared" si="6"/>
        <v>0</v>
      </c>
      <c r="U214" s="16">
        <f t="shared" si="7"/>
        <v>0</v>
      </c>
      <c r="V214" s="133"/>
    </row>
    <row r="215" spans="1:22" s="56" customFormat="1">
      <c r="A215" s="58"/>
      <c r="B215" s="36"/>
      <c r="C215" s="58"/>
      <c r="D215" s="57"/>
      <c r="E215" s="57"/>
      <c r="F215" s="41"/>
      <c r="G215" s="41"/>
      <c r="H215" s="41"/>
      <c r="I215" s="57"/>
      <c r="J215" s="36"/>
      <c r="K215" s="57"/>
      <c r="L215" s="57"/>
      <c r="M215" s="57"/>
      <c r="N215" s="42"/>
      <c r="O215" s="57"/>
      <c r="P215" s="43"/>
      <c r="Q215" s="41"/>
      <c r="R215" s="43"/>
      <c r="S215" s="36"/>
      <c r="T215" s="16">
        <f t="shared" si="6"/>
        <v>0</v>
      </c>
      <c r="U215" s="16">
        <f t="shared" si="7"/>
        <v>0</v>
      </c>
      <c r="V215" s="133"/>
    </row>
    <row r="216" spans="1:22" s="56" customFormat="1">
      <c r="A216" s="58"/>
      <c r="B216" s="36"/>
      <c r="C216" s="58"/>
      <c r="D216" s="57"/>
      <c r="E216" s="57"/>
      <c r="F216" s="41"/>
      <c r="G216" s="41"/>
      <c r="H216" s="41"/>
      <c r="I216" s="57"/>
      <c r="J216" s="36"/>
      <c r="K216" s="57"/>
      <c r="L216" s="57"/>
      <c r="M216" s="57"/>
      <c r="N216" s="42"/>
      <c r="O216" s="57"/>
      <c r="P216" s="43"/>
      <c r="Q216" s="41"/>
      <c r="R216" s="43"/>
      <c r="S216" s="36"/>
      <c r="T216" s="16">
        <f t="shared" si="6"/>
        <v>0</v>
      </c>
      <c r="U216" s="16">
        <f t="shared" si="7"/>
        <v>0</v>
      </c>
      <c r="V216" s="133"/>
    </row>
    <row r="217" spans="1:22" s="56" customFormat="1">
      <c r="A217" s="58"/>
      <c r="B217" s="36"/>
      <c r="C217" s="58"/>
      <c r="D217" s="57"/>
      <c r="E217" s="57"/>
      <c r="F217" s="41"/>
      <c r="G217" s="41"/>
      <c r="H217" s="41"/>
      <c r="I217" s="57"/>
      <c r="J217" s="36"/>
      <c r="K217" s="57"/>
      <c r="L217" s="57"/>
      <c r="M217" s="57"/>
      <c r="N217" s="42"/>
      <c r="O217" s="57"/>
      <c r="P217" s="43"/>
      <c r="Q217" s="41"/>
      <c r="R217" s="43"/>
      <c r="S217" s="36"/>
      <c r="T217" s="16">
        <f t="shared" si="6"/>
        <v>0</v>
      </c>
      <c r="U217" s="16">
        <f t="shared" si="7"/>
        <v>0</v>
      </c>
      <c r="V217" s="133"/>
    </row>
    <row r="218" spans="1:22" s="56" customFormat="1">
      <c r="A218" s="58"/>
      <c r="B218" s="36"/>
      <c r="C218" s="58"/>
      <c r="D218" s="57"/>
      <c r="E218" s="57"/>
      <c r="F218" s="41"/>
      <c r="G218" s="41"/>
      <c r="H218" s="41"/>
      <c r="I218" s="57"/>
      <c r="J218" s="36"/>
      <c r="K218" s="57"/>
      <c r="L218" s="57"/>
      <c r="M218" s="57"/>
      <c r="N218" s="42"/>
      <c r="O218" s="57"/>
      <c r="P218" s="43"/>
      <c r="Q218" s="41"/>
      <c r="R218" s="43"/>
      <c r="S218" s="36"/>
      <c r="T218" s="16">
        <f t="shared" si="6"/>
        <v>0</v>
      </c>
      <c r="U218" s="16">
        <f t="shared" si="7"/>
        <v>0</v>
      </c>
      <c r="V218" s="133"/>
    </row>
    <row r="219" spans="1:22" s="56" customFormat="1">
      <c r="A219" s="58"/>
      <c r="B219" s="36"/>
      <c r="C219" s="58"/>
      <c r="D219" s="57"/>
      <c r="E219" s="57"/>
      <c r="F219" s="41"/>
      <c r="G219" s="41"/>
      <c r="H219" s="41"/>
      <c r="I219" s="57"/>
      <c r="J219" s="36"/>
      <c r="K219" s="57"/>
      <c r="L219" s="57"/>
      <c r="M219" s="57"/>
      <c r="N219" s="42"/>
      <c r="O219" s="57"/>
      <c r="P219" s="43"/>
      <c r="Q219" s="41"/>
      <c r="R219" s="43"/>
      <c r="S219" s="36"/>
      <c r="T219" s="16">
        <f t="shared" si="6"/>
        <v>0</v>
      </c>
      <c r="U219" s="16">
        <f t="shared" si="7"/>
        <v>0</v>
      </c>
      <c r="V219" s="133"/>
    </row>
    <row r="220" spans="1:22" s="56" customFormat="1">
      <c r="A220" s="58"/>
      <c r="B220" s="36"/>
      <c r="C220" s="58"/>
      <c r="D220" s="57"/>
      <c r="E220" s="57"/>
      <c r="F220" s="41"/>
      <c r="G220" s="41"/>
      <c r="H220" s="41"/>
      <c r="I220" s="57"/>
      <c r="J220" s="36"/>
      <c r="K220" s="57"/>
      <c r="L220" s="57"/>
      <c r="M220" s="57"/>
      <c r="N220" s="42"/>
      <c r="O220" s="57"/>
      <c r="P220" s="43"/>
      <c r="Q220" s="41"/>
      <c r="R220" s="43"/>
      <c r="S220" s="36"/>
      <c r="T220" s="16">
        <f t="shared" si="6"/>
        <v>0</v>
      </c>
      <c r="U220" s="16">
        <f t="shared" si="7"/>
        <v>0</v>
      </c>
      <c r="V220" s="133"/>
    </row>
    <row r="221" spans="1:22" s="56" customFormat="1">
      <c r="A221" s="58"/>
      <c r="B221" s="36"/>
      <c r="C221" s="58"/>
      <c r="D221" s="57"/>
      <c r="E221" s="57"/>
      <c r="F221" s="41"/>
      <c r="G221" s="41"/>
      <c r="H221" s="41"/>
      <c r="I221" s="57"/>
      <c r="J221" s="36"/>
      <c r="K221" s="57"/>
      <c r="L221" s="57"/>
      <c r="M221" s="57"/>
      <c r="N221" s="42"/>
      <c r="O221" s="57"/>
      <c r="P221" s="43"/>
      <c r="Q221" s="41"/>
      <c r="R221" s="43"/>
      <c r="S221" s="36"/>
      <c r="T221" s="16">
        <f t="shared" si="6"/>
        <v>0</v>
      </c>
      <c r="U221" s="16">
        <f t="shared" si="7"/>
        <v>0</v>
      </c>
      <c r="V221" s="133"/>
    </row>
    <row r="222" spans="1:22" s="56" customFormat="1">
      <c r="A222" s="58"/>
      <c r="B222" s="36"/>
      <c r="C222" s="58"/>
      <c r="D222" s="57"/>
      <c r="E222" s="57"/>
      <c r="F222" s="41"/>
      <c r="G222" s="41"/>
      <c r="H222" s="41"/>
      <c r="I222" s="57"/>
      <c r="J222" s="36"/>
      <c r="K222" s="57"/>
      <c r="L222" s="57"/>
      <c r="M222" s="57"/>
      <c r="N222" s="42"/>
      <c r="O222" s="57"/>
      <c r="P222" s="43"/>
      <c r="Q222" s="41"/>
      <c r="R222" s="43"/>
      <c r="S222" s="36"/>
      <c r="T222" s="16">
        <f t="shared" si="6"/>
        <v>0</v>
      </c>
      <c r="U222" s="16">
        <f t="shared" si="7"/>
        <v>0</v>
      </c>
      <c r="V222" s="133"/>
    </row>
    <row r="223" spans="1:22" s="56" customFormat="1">
      <c r="A223" s="58"/>
      <c r="B223" s="36"/>
      <c r="C223" s="58"/>
      <c r="D223" s="57"/>
      <c r="E223" s="57"/>
      <c r="F223" s="41"/>
      <c r="G223" s="41"/>
      <c r="H223" s="41"/>
      <c r="I223" s="57"/>
      <c r="J223" s="36"/>
      <c r="K223" s="57"/>
      <c r="L223" s="57"/>
      <c r="M223" s="57"/>
      <c r="N223" s="42"/>
      <c r="O223" s="57"/>
      <c r="P223" s="43"/>
      <c r="Q223" s="41"/>
      <c r="R223" s="43"/>
      <c r="S223" s="36"/>
      <c r="T223" s="16">
        <f t="shared" si="6"/>
        <v>0</v>
      </c>
      <c r="U223" s="16">
        <f t="shared" si="7"/>
        <v>0</v>
      </c>
      <c r="V223" s="133"/>
    </row>
    <row r="224" spans="1:22" s="56" customFormat="1">
      <c r="A224" s="58"/>
      <c r="B224" s="36"/>
      <c r="C224" s="58"/>
      <c r="D224" s="57"/>
      <c r="E224" s="57"/>
      <c r="F224" s="41"/>
      <c r="G224" s="41"/>
      <c r="H224" s="41"/>
      <c r="I224" s="57"/>
      <c r="J224" s="36"/>
      <c r="K224" s="57"/>
      <c r="L224" s="57"/>
      <c r="M224" s="57"/>
      <c r="N224" s="42"/>
      <c r="O224" s="57"/>
      <c r="P224" s="43"/>
      <c r="Q224" s="41"/>
      <c r="R224" s="43"/>
      <c r="S224" s="36"/>
      <c r="T224" s="16">
        <f t="shared" si="6"/>
        <v>0</v>
      </c>
      <c r="U224" s="16">
        <f t="shared" si="7"/>
        <v>0</v>
      </c>
      <c r="V224" s="133"/>
    </row>
    <row r="225" spans="1:22" s="56" customFormat="1">
      <c r="A225" s="58"/>
      <c r="B225" s="36"/>
      <c r="C225" s="58"/>
      <c r="D225" s="57"/>
      <c r="E225" s="57"/>
      <c r="F225" s="41"/>
      <c r="G225" s="41"/>
      <c r="H225" s="41"/>
      <c r="I225" s="57"/>
      <c r="J225" s="36"/>
      <c r="K225" s="57"/>
      <c r="L225" s="57"/>
      <c r="M225" s="57"/>
      <c r="N225" s="42"/>
      <c r="O225" s="57"/>
      <c r="P225" s="43"/>
      <c r="Q225" s="41"/>
      <c r="R225" s="43"/>
      <c r="S225" s="36"/>
      <c r="T225" s="16">
        <f t="shared" si="6"/>
        <v>0</v>
      </c>
      <c r="U225" s="16">
        <f t="shared" si="7"/>
        <v>0</v>
      </c>
      <c r="V225" s="133"/>
    </row>
    <row r="226" spans="1:22" s="56" customFormat="1">
      <c r="A226" s="58"/>
      <c r="B226" s="36"/>
      <c r="C226" s="58"/>
      <c r="D226" s="57"/>
      <c r="E226" s="57"/>
      <c r="F226" s="41"/>
      <c r="G226" s="41"/>
      <c r="H226" s="41"/>
      <c r="I226" s="57"/>
      <c r="J226" s="36"/>
      <c r="K226" s="57"/>
      <c r="L226" s="57"/>
      <c r="M226" s="57"/>
      <c r="N226" s="42"/>
      <c r="O226" s="57"/>
      <c r="P226" s="43"/>
      <c r="Q226" s="41"/>
      <c r="R226" s="43"/>
      <c r="S226" s="36"/>
      <c r="T226" s="16">
        <f t="shared" si="6"/>
        <v>0</v>
      </c>
      <c r="U226" s="16">
        <f t="shared" si="7"/>
        <v>0</v>
      </c>
      <c r="V226" s="133"/>
    </row>
    <row r="227" spans="1:22" s="56" customFormat="1">
      <c r="A227" s="58"/>
      <c r="B227" s="36"/>
      <c r="C227" s="58"/>
      <c r="D227" s="57"/>
      <c r="E227" s="57"/>
      <c r="F227" s="41"/>
      <c r="G227" s="41"/>
      <c r="H227" s="41"/>
      <c r="I227" s="57"/>
      <c r="J227" s="36"/>
      <c r="K227" s="57"/>
      <c r="L227" s="57"/>
      <c r="M227" s="57"/>
      <c r="N227" s="42"/>
      <c r="O227" s="57"/>
      <c r="P227" s="43"/>
      <c r="Q227" s="41"/>
      <c r="R227" s="43"/>
      <c r="S227" s="36"/>
      <c r="T227" s="16">
        <f t="shared" si="6"/>
        <v>0</v>
      </c>
      <c r="U227" s="16">
        <f t="shared" si="7"/>
        <v>0</v>
      </c>
      <c r="V227" s="133"/>
    </row>
    <row r="228" spans="1:22" s="56" customFormat="1">
      <c r="A228" s="58"/>
      <c r="B228" s="36"/>
      <c r="C228" s="58"/>
      <c r="D228" s="57"/>
      <c r="E228" s="57"/>
      <c r="F228" s="41"/>
      <c r="G228" s="41"/>
      <c r="H228" s="41"/>
      <c r="I228" s="57"/>
      <c r="J228" s="36"/>
      <c r="K228" s="57"/>
      <c r="L228" s="57"/>
      <c r="M228" s="57"/>
      <c r="N228" s="42"/>
      <c r="O228" s="57"/>
      <c r="P228" s="43"/>
      <c r="Q228" s="41"/>
      <c r="R228" s="43"/>
      <c r="S228" s="36"/>
      <c r="T228" s="16">
        <f t="shared" si="6"/>
        <v>0</v>
      </c>
      <c r="U228" s="16">
        <f t="shared" si="7"/>
        <v>0</v>
      </c>
      <c r="V228" s="133"/>
    </row>
    <row r="229" spans="1:22" s="56" customFormat="1">
      <c r="A229" s="58"/>
      <c r="B229" s="36"/>
      <c r="C229" s="58"/>
      <c r="D229" s="57"/>
      <c r="E229" s="57"/>
      <c r="F229" s="41"/>
      <c r="G229" s="41"/>
      <c r="H229" s="41"/>
      <c r="I229" s="57"/>
      <c r="J229" s="36"/>
      <c r="K229" s="57"/>
      <c r="L229" s="57"/>
      <c r="M229" s="57"/>
      <c r="N229" s="42"/>
      <c r="O229" s="57"/>
      <c r="P229" s="43"/>
      <c r="Q229" s="41"/>
      <c r="R229" s="43"/>
      <c r="S229" s="36"/>
      <c r="T229" s="16">
        <f t="shared" si="6"/>
        <v>0</v>
      </c>
      <c r="U229" s="16">
        <f t="shared" si="7"/>
        <v>0</v>
      </c>
      <c r="V229" s="133"/>
    </row>
    <row r="230" spans="1:22" s="56" customFormat="1">
      <c r="A230" s="58"/>
      <c r="B230" s="36"/>
      <c r="C230" s="58"/>
      <c r="D230" s="57"/>
      <c r="E230" s="57"/>
      <c r="F230" s="41"/>
      <c r="G230" s="41"/>
      <c r="H230" s="41"/>
      <c r="I230" s="57"/>
      <c r="J230" s="36"/>
      <c r="K230" s="57"/>
      <c r="L230" s="57"/>
      <c r="M230" s="57"/>
      <c r="N230" s="42"/>
      <c r="O230" s="57"/>
      <c r="P230" s="43"/>
      <c r="Q230" s="41"/>
      <c r="R230" s="43"/>
      <c r="S230" s="36"/>
      <c r="T230" s="16">
        <f t="shared" si="6"/>
        <v>0</v>
      </c>
      <c r="U230" s="16">
        <f t="shared" si="7"/>
        <v>0</v>
      </c>
      <c r="V230" s="133"/>
    </row>
    <row r="231" spans="1:22" s="56" customFormat="1">
      <c r="A231" s="58"/>
      <c r="B231" s="36"/>
      <c r="C231" s="58"/>
      <c r="D231" s="57"/>
      <c r="E231" s="57"/>
      <c r="F231" s="41"/>
      <c r="G231" s="41"/>
      <c r="H231" s="41"/>
      <c r="I231" s="57"/>
      <c r="J231" s="36"/>
      <c r="K231" s="57"/>
      <c r="L231" s="57"/>
      <c r="M231" s="57"/>
      <c r="N231" s="42"/>
      <c r="O231" s="57"/>
      <c r="P231" s="43"/>
      <c r="Q231" s="41"/>
      <c r="R231" s="43"/>
      <c r="S231" s="36"/>
      <c r="T231" s="16">
        <f t="shared" si="6"/>
        <v>0</v>
      </c>
      <c r="U231" s="16">
        <f t="shared" si="7"/>
        <v>0</v>
      </c>
      <c r="V231" s="133"/>
    </row>
    <row r="232" spans="1:22" s="56" customFormat="1">
      <c r="A232" s="58"/>
      <c r="B232" s="36"/>
      <c r="C232" s="58"/>
      <c r="D232" s="57"/>
      <c r="E232" s="57"/>
      <c r="F232" s="41"/>
      <c r="G232" s="41"/>
      <c r="H232" s="41"/>
      <c r="I232" s="57"/>
      <c r="J232" s="36"/>
      <c r="K232" s="57"/>
      <c r="L232" s="57"/>
      <c r="M232" s="57"/>
      <c r="N232" s="42"/>
      <c r="O232" s="57"/>
      <c r="P232" s="43"/>
      <c r="Q232" s="41"/>
      <c r="R232" s="43"/>
      <c r="S232" s="36"/>
      <c r="T232" s="16">
        <f t="shared" si="6"/>
        <v>0</v>
      </c>
      <c r="U232" s="16">
        <f t="shared" si="7"/>
        <v>0</v>
      </c>
      <c r="V232" s="133"/>
    </row>
    <row r="233" spans="1:22" s="56" customFormat="1">
      <c r="A233" s="58"/>
      <c r="B233" s="36"/>
      <c r="C233" s="58"/>
      <c r="D233" s="57"/>
      <c r="E233" s="57"/>
      <c r="F233" s="41"/>
      <c r="G233" s="41"/>
      <c r="H233" s="41"/>
      <c r="I233" s="57"/>
      <c r="J233" s="36"/>
      <c r="K233" s="57"/>
      <c r="L233" s="57"/>
      <c r="M233" s="57"/>
      <c r="N233" s="42"/>
      <c r="O233" s="57"/>
      <c r="P233" s="43"/>
      <c r="Q233" s="41"/>
      <c r="R233" s="43"/>
      <c r="S233" s="36"/>
      <c r="T233" s="16">
        <f t="shared" si="6"/>
        <v>0</v>
      </c>
      <c r="U233" s="16">
        <f t="shared" si="7"/>
        <v>0</v>
      </c>
      <c r="V233" s="133"/>
    </row>
    <row r="234" spans="1:22" s="56" customFormat="1">
      <c r="A234" s="58"/>
      <c r="B234" s="36"/>
      <c r="C234" s="58"/>
      <c r="D234" s="57"/>
      <c r="E234" s="57"/>
      <c r="F234" s="41"/>
      <c r="G234" s="41"/>
      <c r="H234" s="41"/>
      <c r="I234" s="57"/>
      <c r="J234" s="36"/>
      <c r="K234" s="57"/>
      <c r="L234" s="57"/>
      <c r="M234" s="57"/>
      <c r="N234" s="42"/>
      <c r="O234" s="57"/>
      <c r="P234" s="43"/>
      <c r="Q234" s="41"/>
      <c r="R234" s="43"/>
      <c r="S234" s="36"/>
      <c r="T234" s="16">
        <f t="shared" si="6"/>
        <v>0</v>
      </c>
      <c r="U234" s="16">
        <f t="shared" si="7"/>
        <v>0</v>
      </c>
      <c r="V234" s="133"/>
    </row>
    <row r="235" spans="1:22" s="56" customFormat="1">
      <c r="A235" s="58"/>
      <c r="B235" s="36"/>
      <c r="C235" s="58"/>
      <c r="D235" s="57"/>
      <c r="E235" s="57"/>
      <c r="F235" s="41"/>
      <c r="G235" s="41"/>
      <c r="H235" s="41"/>
      <c r="I235" s="57"/>
      <c r="J235" s="36"/>
      <c r="K235" s="57"/>
      <c r="L235" s="57"/>
      <c r="M235" s="57"/>
      <c r="N235" s="42"/>
      <c r="O235" s="57"/>
      <c r="P235" s="43"/>
      <c r="Q235" s="41"/>
      <c r="R235" s="43"/>
      <c r="S235" s="36"/>
      <c r="T235" s="16">
        <f t="shared" si="6"/>
        <v>0</v>
      </c>
      <c r="U235" s="16">
        <f t="shared" si="7"/>
        <v>0</v>
      </c>
      <c r="V235" s="133"/>
    </row>
    <row r="236" spans="1:22" s="56" customFormat="1">
      <c r="A236" s="58"/>
      <c r="B236" s="36"/>
      <c r="C236" s="58"/>
      <c r="D236" s="57"/>
      <c r="E236" s="57"/>
      <c r="F236" s="41"/>
      <c r="G236" s="41"/>
      <c r="H236" s="41"/>
      <c r="I236" s="57"/>
      <c r="J236" s="36"/>
      <c r="K236" s="57"/>
      <c r="L236" s="57"/>
      <c r="M236" s="57"/>
      <c r="N236" s="42"/>
      <c r="O236" s="57"/>
      <c r="P236" s="43"/>
      <c r="Q236" s="41"/>
      <c r="R236" s="43"/>
      <c r="S236" s="36"/>
      <c r="T236" s="16">
        <f t="shared" si="6"/>
        <v>0</v>
      </c>
      <c r="U236" s="16">
        <f t="shared" si="7"/>
        <v>0</v>
      </c>
      <c r="V236" s="133"/>
    </row>
    <row r="237" spans="1:22" s="56" customFormat="1">
      <c r="A237" s="58"/>
      <c r="B237" s="36"/>
      <c r="C237" s="58"/>
      <c r="D237" s="57"/>
      <c r="E237" s="57"/>
      <c r="F237" s="41"/>
      <c r="G237" s="41"/>
      <c r="H237" s="41"/>
      <c r="I237" s="57"/>
      <c r="J237" s="36"/>
      <c r="K237" s="57"/>
      <c r="L237" s="57"/>
      <c r="M237" s="57"/>
      <c r="N237" s="42"/>
      <c r="O237" s="57"/>
      <c r="P237" s="43"/>
      <c r="Q237" s="41"/>
      <c r="R237" s="43"/>
      <c r="S237" s="36"/>
      <c r="T237" s="16">
        <f t="shared" si="6"/>
        <v>0</v>
      </c>
      <c r="U237" s="16">
        <f t="shared" si="7"/>
        <v>0</v>
      </c>
      <c r="V237" s="133"/>
    </row>
    <row r="238" spans="1:22" s="56" customFormat="1">
      <c r="A238" s="58"/>
      <c r="B238" s="36"/>
      <c r="C238" s="58"/>
      <c r="D238" s="57"/>
      <c r="E238" s="57"/>
      <c r="F238" s="41"/>
      <c r="G238" s="41"/>
      <c r="H238" s="41"/>
      <c r="I238" s="57"/>
      <c r="J238" s="36"/>
      <c r="K238" s="57"/>
      <c r="L238" s="57"/>
      <c r="M238" s="57"/>
      <c r="N238" s="42"/>
      <c r="O238" s="57"/>
      <c r="P238" s="43"/>
      <c r="Q238" s="41"/>
      <c r="R238" s="43"/>
      <c r="S238" s="36"/>
      <c r="T238" s="16">
        <f t="shared" si="6"/>
        <v>0</v>
      </c>
      <c r="U238" s="16">
        <f t="shared" si="7"/>
        <v>0</v>
      </c>
      <c r="V238" s="133"/>
    </row>
    <row r="239" spans="1:22" s="56" customFormat="1">
      <c r="A239" s="58"/>
      <c r="B239" s="36"/>
      <c r="C239" s="58"/>
      <c r="D239" s="57"/>
      <c r="E239" s="57"/>
      <c r="F239" s="41"/>
      <c r="G239" s="41"/>
      <c r="H239" s="41"/>
      <c r="I239" s="57"/>
      <c r="J239" s="36"/>
      <c r="K239" s="57"/>
      <c r="L239" s="57"/>
      <c r="M239" s="57"/>
      <c r="N239" s="42"/>
      <c r="O239" s="57"/>
      <c r="P239" s="43"/>
      <c r="Q239" s="41"/>
      <c r="R239" s="43"/>
      <c r="S239" s="36"/>
      <c r="T239" s="16">
        <f t="shared" si="6"/>
        <v>0</v>
      </c>
      <c r="U239" s="16">
        <f t="shared" si="7"/>
        <v>0</v>
      </c>
      <c r="V239" s="133"/>
    </row>
    <row r="240" spans="1:22" s="56" customFormat="1">
      <c r="A240" s="58"/>
      <c r="B240" s="36"/>
      <c r="C240" s="58"/>
      <c r="D240" s="57"/>
      <c r="E240" s="57"/>
      <c r="F240" s="41"/>
      <c r="G240" s="41"/>
      <c r="H240" s="41"/>
      <c r="I240" s="57"/>
      <c r="J240" s="36"/>
      <c r="K240" s="57"/>
      <c r="L240" s="57"/>
      <c r="M240" s="57"/>
      <c r="N240" s="42"/>
      <c r="O240" s="57"/>
      <c r="P240" s="43"/>
      <c r="Q240" s="41"/>
      <c r="R240" s="43"/>
      <c r="S240" s="36"/>
      <c r="T240" s="16">
        <f t="shared" si="6"/>
        <v>0</v>
      </c>
      <c r="U240" s="16">
        <f t="shared" si="7"/>
        <v>0</v>
      </c>
      <c r="V240" s="133"/>
    </row>
    <row r="241" spans="1:22" s="56" customFormat="1">
      <c r="A241" s="58"/>
      <c r="B241" s="36"/>
      <c r="C241" s="58"/>
      <c r="D241" s="57"/>
      <c r="E241" s="57"/>
      <c r="F241" s="41"/>
      <c r="G241" s="41"/>
      <c r="H241" s="41"/>
      <c r="I241" s="57"/>
      <c r="J241" s="36"/>
      <c r="K241" s="57"/>
      <c r="L241" s="57"/>
      <c r="M241" s="57"/>
      <c r="N241" s="42"/>
      <c r="O241" s="57"/>
      <c r="P241" s="43"/>
      <c r="Q241" s="41"/>
      <c r="R241" s="43"/>
      <c r="S241" s="36"/>
      <c r="T241" s="16">
        <f t="shared" si="6"/>
        <v>0</v>
      </c>
      <c r="U241" s="16">
        <f t="shared" si="7"/>
        <v>0</v>
      </c>
      <c r="V241" s="133"/>
    </row>
    <row r="242" spans="1:22" s="56" customFormat="1">
      <c r="A242" s="58"/>
      <c r="B242" s="36"/>
      <c r="C242" s="58"/>
      <c r="D242" s="57"/>
      <c r="E242" s="57"/>
      <c r="F242" s="41"/>
      <c r="G242" s="41"/>
      <c r="H242" s="41"/>
      <c r="I242" s="57"/>
      <c r="J242" s="36"/>
      <c r="K242" s="57"/>
      <c r="L242" s="57"/>
      <c r="M242" s="57"/>
      <c r="N242" s="42"/>
      <c r="O242" s="57"/>
      <c r="P242" s="43"/>
      <c r="Q242" s="41"/>
      <c r="R242" s="43"/>
      <c r="S242" s="36"/>
      <c r="T242" s="16">
        <f t="shared" si="6"/>
        <v>0</v>
      </c>
      <c r="U242" s="16">
        <f t="shared" si="7"/>
        <v>0</v>
      </c>
      <c r="V242" s="133"/>
    </row>
    <row r="243" spans="1:22" s="56" customFormat="1">
      <c r="A243" s="58"/>
      <c r="B243" s="36"/>
      <c r="C243" s="58"/>
      <c r="D243" s="57"/>
      <c r="E243" s="57"/>
      <c r="F243" s="41"/>
      <c r="G243" s="41"/>
      <c r="H243" s="41"/>
      <c r="I243" s="57"/>
      <c r="J243" s="36"/>
      <c r="K243" s="57"/>
      <c r="L243" s="57"/>
      <c r="M243" s="57"/>
      <c r="N243" s="42"/>
      <c r="O243" s="57"/>
      <c r="P243" s="43"/>
      <c r="Q243" s="41"/>
      <c r="R243" s="43"/>
      <c r="S243" s="36"/>
      <c r="T243" s="16">
        <f t="shared" si="6"/>
        <v>0</v>
      </c>
      <c r="U243" s="16">
        <f t="shared" si="7"/>
        <v>0</v>
      </c>
      <c r="V243" s="133"/>
    </row>
    <row r="244" spans="1:22" s="56" customFormat="1">
      <c r="A244" s="58"/>
      <c r="B244" s="36"/>
      <c r="C244" s="58"/>
      <c r="D244" s="57"/>
      <c r="E244" s="57"/>
      <c r="F244" s="41"/>
      <c r="G244" s="41"/>
      <c r="H244" s="41"/>
      <c r="I244" s="57"/>
      <c r="J244" s="36"/>
      <c r="K244" s="57"/>
      <c r="L244" s="57"/>
      <c r="M244" s="57"/>
      <c r="N244" s="42"/>
      <c r="O244" s="57"/>
      <c r="P244" s="43"/>
      <c r="Q244" s="41"/>
      <c r="R244" s="43"/>
      <c r="S244" s="36"/>
      <c r="T244" s="16">
        <f t="shared" si="6"/>
        <v>0</v>
      </c>
      <c r="U244" s="16">
        <f t="shared" si="7"/>
        <v>0</v>
      </c>
      <c r="V244" s="133"/>
    </row>
    <row r="245" spans="1:22" s="56" customFormat="1">
      <c r="A245" s="58"/>
      <c r="B245" s="36"/>
      <c r="C245" s="58"/>
      <c r="D245" s="57"/>
      <c r="E245" s="57"/>
      <c r="F245" s="41"/>
      <c r="G245" s="41"/>
      <c r="H245" s="41"/>
      <c r="I245" s="57"/>
      <c r="J245" s="36"/>
      <c r="K245" s="57"/>
      <c r="L245" s="57"/>
      <c r="M245" s="57"/>
      <c r="N245" s="42"/>
      <c r="O245" s="57"/>
      <c r="P245" s="43"/>
      <c r="Q245" s="41"/>
      <c r="R245" s="43"/>
      <c r="S245" s="36"/>
      <c r="T245" s="16">
        <f t="shared" si="6"/>
        <v>0</v>
      </c>
      <c r="U245" s="16">
        <f t="shared" si="7"/>
        <v>0</v>
      </c>
      <c r="V245" s="133"/>
    </row>
    <row r="246" spans="1:22" s="56" customFormat="1">
      <c r="A246" s="58"/>
      <c r="B246" s="36"/>
      <c r="C246" s="58"/>
      <c r="D246" s="57"/>
      <c r="E246" s="57"/>
      <c r="F246" s="41"/>
      <c r="G246" s="41"/>
      <c r="H246" s="41"/>
      <c r="I246" s="57"/>
      <c r="J246" s="36"/>
      <c r="K246" s="57"/>
      <c r="L246" s="57"/>
      <c r="M246" s="57"/>
      <c r="N246" s="42"/>
      <c r="O246" s="57"/>
      <c r="P246" s="43"/>
      <c r="Q246" s="41"/>
      <c r="R246" s="43"/>
      <c r="S246" s="36"/>
      <c r="T246" s="16">
        <f t="shared" si="6"/>
        <v>0</v>
      </c>
      <c r="U246" s="16">
        <f t="shared" si="7"/>
        <v>0</v>
      </c>
      <c r="V246" s="133"/>
    </row>
    <row r="247" spans="1:22" s="56" customFormat="1">
      <c r="A247" s="58"/>
      <c r="B247" s="36"/>
      <c r="C247" s="58"/>
      <c r="D247" s="57"/>
      <c r="E247" s="57"/>
      <c r="F247" s="41"/>
      <c r="G247" s="41"/>
      <c r="H247" s="41"/>
      <c r="I247" s="57"/>
      <c r="J247" s="36"/>
      <c r="K247" s="57"/>
      <c r="L247" s="57"/>
      <c r="M247" s="57"/>
      <c r="N247" s="42"/>
      <c r="O247" s="57"/>
      <c r="P247" s="43"/>
      <c r="Q247" s="41"/>
      <c r="R247" s="43"/>
      <c r="S247" s="36"/>
      <c r="T247" s="16">
        <f t="shared" si="6"/>
        <v>0</v>
      </c>
      <c r="U247" s="16">
        <f t="shared" si="7"/>
        <v>0</v>
      </c>
      <c r="V247" s="133"/>
    </row>
    <row r="248" spans="1:22" s="56" customFormat="1">
      <c r="A248" s="58"/>
      <c r="B248" s="36"/>
      <c r="C248" s="58"/>
      <c r="D248" s="57"/>
      <c r="E248" s="57"/>
      <c r="F248" s="41"/>
      <c r="G248" s="41"/>
      <c r="H248" s="41"/>
      <c r="I248" s="57"/>
      <c r="J248" s="36"/>
      <c r="K248" s="57"/>
      <c r="L248" s="57"/>
      <c r="M248" s="57"/>
      <c r="N248" s="42"/>
      <c r="O248" s="57"/>
      <c r="P248" s="43"/>
      <c r="Q248" s="41"/>
      <c r="R248" s="43"/>
      <c r="S248" s="36"/>
      <c r="T248" s="16">
        <f t="shared" si="6"/>
        <v>0</v>
      </c>
      <c r="U248" s="16">
        <f t="shared" si="7"/>
        <v>0</v>
      </c>
      <c r="V248" s="133"/>
    </row>
    <row r="249" spans="1:22" s="56" customFormat="1">
      <c r="A249" s="58"/>
      <c r="B249" s="36"/>
      <c r="C249" s="58"/>
      <c r="D249" s="57"/>
      <c r="E249" s="57"/>
      <c r="F249" s="41"/>
      <c r="G249" s="41"/>
      <c r="H249" s="41"/>
      <c r="I249" s="57"/>
      <c r="J249" s="36"/>
      <c r="K249" s="57"/>
      <c r="L249" s="57"/>
      <c r="M249" s="57"/>
      <c r="N249" s="42"/>
      <c r="O249" s="57"/>
      <c r="P249" s="43"/>
      <c r="Q249" s="41"/>
      <c r="R249" s="43"/>
      <c r="S249" s="36"/>
      <c r="T249" s="16">
        <f t="shared" si="6"/>
        <v>0</v>
      </c>
      <c r="U249" s="16">
        <f t="shared" si="7"/>
        <v>0</v>
      </c>
      <c r="V249" s="133"/>
    </row>
    <row r="250" spans="1:22" s="56" customFormat="1">
      <c r="A250" s="58"/>
      <c r="B250" s="36"/>
      <c r="C250" s="58"/>
      <c r="D250" s="57"/>
      <c r="E250" s="57"/>
      <c r="F250" s="41"/>
      <c r="G250" s="41"/>
      <c r="H250" s="41"/>
      <c r="I250" s="57"/>
      <c r="J250" s="36"/>
      <c r="K250" s="57"/>
      <c r="L250" s="57"/>
      <c r="M250" s="57"/>
      <c r="N250" s="42"/>
      <c r="O250" s="57"/>
      <c r="P250" s="43"/>
      <c r="Q250" s="41"/>
      <c r="R250" s="43"/>
      <c r="S250" s="36"/>
      <c r="T250" s="16">
        <f t="shared" si="6"/>
        <v>0</v>
      </c>
      <c r="U250" s="16">
        <f t="shared" si="7"/>
        <v>0</v>
      </c>
      <c r="V250" s="133"/>
    </row>
    <row r="251" spans="1:22" s="56" customFormat="1">
      <c r="A251" s="58"/>
      <c r="B251" s="36"/>
      <c r="C251" s="58"/>
      <c r="D251" s="57"/>
      <c r="E251" s="57"/>
      <c r="F251" s="41"/>
      <c r="G251" s="41"/>
      <c r="H251" s="41"/>
      <c r="I251" s="57"/>
      <c r="J251" s="36"/>
      <c r="K251" s="57"/>
      <c r="L251" s="57"/>
      <c r="M251" s="57"/>
      <c r="N251" s="42"/>
      <c r="O251" s="57"/>
      <c r="P251" s="43"/>
      <c r="Q251" s="41"/>
      <c r="R251" s="43"/>
      <c r="S251" s="36"/>
      <c r="T251" s="16">
        <f t="shared" si="6"/>
        <v>0</v>
      </c>
      <c r="U251" s="16">
        <f t="shared" si="7"/>
        <v>0</v>
      </c>
      <c r="V251" s="133"/>
    </row>
    <row r="252" spans="1:22" s="56" customFormat="1">
      <c r="A252" s="58"/>
      <c r="B252" s="36"/>
      <c r="C252" s="58"/>
      <c r="D252" s="57"/>
      <c r="E252" s="57"/>
      <c r="F252" s="41"/>
      <c r="G252" s="41"/>
      <c r="H252" s="41"/>
      <c r="I252" s="57"/>
      <c r="J252" s="36"/>
      <c r="K252" s="57"/>
      <c r="L252" s="57"/>
      <c r="M252" s="57"/>
      <c r="N252" s="42"/>
      <c r="O252" s="57"/>
      <c r="P252" s="43"/>
      <c r="Q252" s="41"/>
      <c r="R252" s="43"/>
      <c r="S252" s="36"/>
      <c r="T252" s="16">
        <f t="shared" si="6"/>
        <v>0</v>
      </c>
      <c r="U252" s="16">
        <f t="shared" si="7"/>
        <v>0</v>
      </c>
      <c r="V252" s="133"/>
    </row>
    <row r="253" spans="1:22" s="56" customFormat="1">
      <c r="A253" s="58"/>
      <c r="B253" s="36"/>
      <c r="C253" s="58"/>
      <c r="D253" s="57"/>
      <c r="E253" s="57"/>
      <c r="F253" s="41"/>
      <c r="G253" s="41"/>
      <c r="H253" s="41"/>
      <c r="I253" s="57"/>
      <c r="J253" s="36"/>
      <c r="K253" s="57"/>
      <c r="L253" s="57"/>
      <c r="M253" s="57"/>
      <c r="N253" s="42"/>
      <c r="O253" s="57"/>
      <c r="P253" s="43"/>
      <c r="Q253" s="41"/>
      <c r="R253" s="43"/>
      <c r="S253" s="36"/>
      <c r="T253" s="16">
        <f t="shared" si="6"/>
        <v>0</v>
      </c>
      <c r="U253" s="16">
        <f t="shared" si="7"/>
        <v>0</v>
      </c>
      <c r="V253" s="133"/>
    </row>
    <row r="254" spans="1:22" s="56" customFormat="1">
      <c r="A254" s="58"/>
      <c r="B254" s="36"/>
      <c r="C254" s="58"/>
      <c r="D254" s="57"/>
      <c r="E254" s="57"/>
      <c r="F254" s="41"/>
      <c r="G254" s="41"/>
      <c r="H254" s="41"/>
      <c r="I254" s="57"/>
      <c r="J254" s="36"/>
      <c r="K254" s="57"/>
      <c r="L254" s="57"/>
      <c r="M254" s="57"/>
      <c r="N254" s="42"/>
      <c r="O254" s="57"/>
      <c r="P254" s="43"/>
      <c r="Q254" s="41"/>
      <c r="R254" s="43"/>
      <c r="S254" s="36"/>
      <c r="T254" s="16">
        <f t="shared" si="6"/>
        <v>0</v>
      </c>
      <c r="U254" s="16">
        <f t="shared" si="7"/>
        <v>0</v>
      </c>
      <c r="V254" s="133"/>
    </row>
    <row r="255" spans="1:22" s="56" customFormat="1">
      <c r="A255" s="58"/>
      <c r="B255" s="36"/>
      <c r="C255" s="58"/>
      <c r="D255" s="57"/>
      <c r="E255" s="57"/>
      <c r="F255" s="41"/>
      <c r="G255" s="41"/>
      <c r="H255" s="41"/>
      <c r="I255" s="57"/>
      <c r="J255" s="36"/>
      <c r="K255" s="57"/>
      <c r="L255" s="57"/>
      <c r="M255" s="57"/>
      <c r="N255" s="42"/>
      <c r="O255" s="57"/>
      <c r="P255" s="43"/>
      <c r="Q255" s="41"/>
      <c r="R255" s="43"/>
      <c r="S255" s="36"/>
      <c r="T255" s="16">
        <f t="shared" si="6"/>
        <v>0</v>
      </c>
      <c r="U255" s="16">
        <f t="shared" si="7"/>
        <v>0</v>
      </c>
      <c r="V255" s="133"/>
    </row>
    <row r="256" spans="1:22" s="56" customFormat="1">
      <c r="A256" s="58"/>
      <c r="B256" s="36"/>
      <c r="C256" s="58"/>
      <c r="D256" s="57"/>
      <c r="E256" s="57"/>
      <c r="F256" s="41"/>
      <c r="G256" s="41"/>
      <c r="H256" s="41"/>
      <c r="I256" s="57"/>
      <c r="J256" s="36"/>
      <c r="K256" s="57"/>
      <c r="L256" s="57"/>
      <c r="M256" s="57"/>
      <c r="N256" s="42"/>
      <c r="O256" s="57"/>
      <c r="P256" s="43"/>
      <c r="Q256" s="41"/>
      <c r="R256" s="43"/>
      <c r="S256" s="36"/>
      <c r="T256" s="16">
        <f t="shared" si="6"/>
        <v>0</v>
      </c>
      <c r="U256" s="16">
        <f t="shared" si="7"/>
        <v>0</v>
      </c>
      <c r="V256" s="133"/>
    </row>
    <row r="257" spans="1:22" s="56" customFormat="1">
      <c r="A257" s="58"/>
      <c r="B257" s="36"/>
      <c r="C257" s="58"/>
      <c r="D257" s="57"/>
      <c r="E257" s="57"/>
      <c r="F257" s="41"/>
      <c r="G257" s="41"/>
      <c r="H257" s="41"/>
      <c r="I257" s="57"/>
      <c r="J257" s="36"/>
      <c r="K257" s="57"/>
      <c r="L257" s="57"/>
      <c r="M257" s="57"/>
      <c r="N257" s="42"/>
      <c r="O257" s="57"/>
      <c r="P257" s="43"/>
      <c r="Q257" s="41"/>
      <c r="R257" s="43"/>
      <c r="S257" s="36"/>
      <c r="T257" s="16">
        <f t="shared" si="6"/>
        <v>0</v>
      </c>
      <c r="U257" s="16">
        <f t="shared" si="7"/>
        <v>0</v>
      </c>
      <c r="V257" s="133"/>
    </row>
    <row r="258" spans="1:22" s="56" customFormat="1">
      <c r="A258" s="58"/>
      <c r="B258" s="36"/>
      <c r="C258" s="58"/>
      <c r="D258" s="57"/>
      <c r="E258" s="57"/>
      <c r="F258" s="41"/>
      <c r="G258" s="41"/>
      <c r="H258" s="41"/>
      <c r="I258" s="57"/>
      <c r="J258" s="36"/>
      <c r="K258" s="57"/>
      <c r="L258" s="57"/>
      <c r="M258" s="57"/>
      <c r="N258" s="42"/>
      <c r="O258" s="57"/>
      <c r="P258" s="43"/>
      <c r="Q258" s="41"/>
      <c r="R258" s="43"/>
      <c r="S258" s="36"/>
      <c r="T258" s="16">
        <f t="shared" si="6"/>
        <v>0</v>
      </c>
      <c r="U258" s="16">
        <f t="shared" si="7"/>
        <v>0</v>
      </c>
      <c r="V258" s="133"/>
    </row>
    <row r="259" spans="1:22" s="56" customFormat="1">
      <c r="A259" s="58"/>
      <c r="B259" s="36"/>
      <c r="C259" s="58"/>
      <c r="D259" s="57"/>
      <c r="E259" s="57"/>
      <c r="F259" s="41"/>
      <c r="G259" s="41"/>
      <c r="H259" s="41"/>
      <c r="I259" s="57"/>
      <c r="J259" s="36"/>
      <c r="K259" s="57"/>
      <c r="L259" s="57"/>
      <c r="M259" s="57"/>
      <c r="N259" s="42"/>
      <c r="O259" s="57"/>
      <c r="P259" s="43"/>
      <c r="Q259" s="41"/>
      <c r="R259" s="43"/>
      <c r="S259" s="36"/>
      <c r="T259" s="16">
        <f t="shared" si="6"/>
        <v>0</v>
      </c>
      <c r="U259" s="16">
        <f t="shared" si="7"/>
        <v>0</v>
      </c>
      <c r="V259" s="133"/>
    </row>
    <row r="260" spans="1:22" s="56" customFormat="1">
      <c r="A260" s="58"/>
      <c r="B260" s="36"/>
      <c r="C260" s="58"/>
      <c r="D260" s="57"/>
      <c r="E260" s="57"/>
      <c r="F260" s="41"/>
      <c r="G260" s="41"/>
      <c r="H260" s="41"/>
      <c r="I260" s="57"/>
      <c r="J260" s="36"/>
      <c r="K260" s="57"/>
      <c r="L260" s="57"/>
      <c r="M260" s="57"/>
      <c r="N260" s="42"/>
      <c r="O260" s="57"/>
      <c r="P260" s="43"/>
      <c r="Q260" s="41"/>
      <c r="R260" s="43"/>
      <c r="S260" s="36"/>
      <c r="T260" s="16">
        <f t="shared" si="6"/>
        <v>0</v>
      </c>
      <c r="U260" s="16">
        <f t="shared" si="7"/>
        <v>0</v>
      </c>
      <c r="V260" s="133"/>
    </row>
    <row r="261" spans="1:22" s="56" customFormat="1">
      <c r="A261" s="58"/>
      <c r="B261" s="36"/>
      <c r="C261" s="58"/>
      <c r="D261" s="57"/>
      <c r="E261" s="57"/>
      <c r="F261" s="41"/>
      <c r="G261" s="41"/>
      <c r="H261" s="41"/>
      <c r="I261" s="57"/>
      <c r="J261" s="36"/>
      <c r="K261" s="57"/>
      <c r="L261" s="57"/>
      <c r="M261" s="57"/>
      <c r="N261" s="42"/>
      <c r="O261" s="57"/>
      <c r="P261" s="43"/>
      <c r="Q261" s="41"/>
      <c r="R261" s="43"/>
      <c r="S261" s="36"/>
      <c r="T261" s="16">
        <f t="shared" ref="T261:T324" si="8">IF(OR($J261="Accepted",ISBLANK($J261)),IF(AND($G261="Legacy Data",$Q261="Legacy Data"),1,IF(OR($G261="Legacy Data",$Q261="Legacy Data"),1,0)),IF(OR($N261="Agree with original translator",ISBLANK($N261)),IF(AND($G261="Source Text Data",$Q261="Legacy Data"),1,IF(AND($G261="Legacy Data",$Q261="Legacy Data"),1,IF($Q261="Legacy Data",1,0))),IF(AND($G261="Legacy Data",$Q261="Legacy Data"),1,IF(OR($Q261="Legacy Data",ISBLANK($Q261)),IF($G261&lt;&gt;"Legacy Data",IF(AND($G261="Source Text Data",$Q261="Legacy Data"),1,0),1),0))))</f>
        <v>0</v>
      </c>
      <c r="U261" s="16">
        <f t="shared" ref="U261:U324" si="9">IF(OR($J261="Accepted",ISBLANK($J261)),IF(AND($G261="Source Text Data",$Q261="Source Text Data"),1,IF(OR($G261="Source Text Data",$Q261="Source Text Data"),1,0)),IF(OR($N261="Agree with original translator",ISBLANK($N261)),IF(AND($G261="Legacy Data",$Q261="Source Text Data"),1,IF(AND($G261="Source Text Data",$Q261="Source Text Data"),1,IF($Q261="Source Text Data",1,0))),IF(AND($G261="Source Text Data",$Q261="Source Text Data"),1,IF(OR($Q261="Source Text Data",ISBLANK($Q261)),IF($G261&lt;&gt;"Source Text Data",IF(AND($G261="Legacy Data",$Q261="Source Text Data"),1,0),1),0))))</f>
        <v>0</v>
      </c>
      <c r="V261" s="133"/>
    </row>
    <row r="262" spans="1:22" s="56" customFormat="1">
      <c r="A262" s="58"/>
      <c r="B262" s="36"/>
      <c r="C262" s="58"/>
      <c r="D262" s="57"/>
      <c r="E262" s="57"/>
      <c r="F262" s="41"/>
      <c r="G262" s="41"/>
      <c r="H262" s="41"/>
      <c r="I262" s="57"/>
      <c r="J262" s="36"/>
      <c r="K262" s="57"/>
      <c r="L262" s="57"/>
      <c r="M262" s="57"/>
      <c r="N262" s="42"/>
      <c r="O262" s="57"/>
      <c r="P262" s="43"/>
      <c r="Q262" s="41"/>
      <c r="R262" s="43"/>
      <c r="S262" s="36"/>
      <c r="T262" s="16">
        <f t="shared" si="8"/>
        <v>0</v>
      </c>
      <c r="U262" s="16">
        <f t="shared" si="9"/>
        <v>0</v>
      </c>
      <c r="V262" s="133"/>
    </row>
    <row r="263" spans="1:22" s="56" customFormat="1">
      <c r="A263" s="58"/>
      <c r="B263" s="36"/>
      <c r="C263" s="58"/>
      <c r="D263" s="57"/>
      <c r="E263" s="57"/>
      <c r="F263" s="41"/>
      <c r="G263" s="41"/>
      <c r="H263" s="41"/>
      <c r="I263" s="57"/>
      <c r="J263" s="36"/>
      <c r="K263" s="57"/>
      <c r="L263" s="57"/>
      <c r="M263" s="57"/>
      <c r="N263" s="42"/>
      <c r="O263" s="57"/>
      <c r="P263" s="43"/>
      <c r="Q263" s="41"/>
      <c r="R263" s="43"/>
      <c r="S263" s="36"/>
      <c r="T263" s="16">
        <f t="shared" si="8"/>
        <v>0</v>
      </c>
      <c r="U263" s="16">
        <f t="shared" si="9"/>
        <v>0</v>
      </c>
      <c r="V263" s="133"/>
    </row>
    <row r="264" spans="1:22" s="56" customFormat="1">
      <c r="A264" s="58"/>
      <c r="B264" s="36"/>
      <c r="C264" s="58"/>
      <c r="D264" s="57"/>
      <c r="E264" s="57"/>
      <c r="F264" s="41"/>
      <c r="G264" s="41"/>
      <c r="H264" s="41"/>
      <c r="I264" s="57"/>
      <c r="J264" s="36"/>
      <c r="K264" s="57"/>
      <c r="L264" s="57"/>
      <c r="M264" s="57"/>
      <c r="N264" s="42"/>
      <c r="O264" s="57"/>
      <c r="P264" s="43"/>
      <c r="Q264" s="41"/>
      <c r="R264" s="43"/>
      <c r="S264" s="36"/>
      <c r="T264" s="16">
        <f t="shared" si="8"/>
        <v>0</v>
      </c>
      <c r="U264" s="16">
        <f t="shared" si="9"/>
        <v>0</v>
      </c>
      <c r="V264" s="133"/>
    </row>
    <row r="265" spans="1:22" s="56" customFormat="1">
      <c r="A265" s="58"/>
      <c r="B265" s="36"/>
      <c r="C265" s="58"/>
      <c r="D265" s="57"/>
      <c r="E265" s="57"/>
      <c r="F265" s="41"/>
      <c r="G265" s="41"/>
      <c r="H265" s="41"/>
      <c r="I265" s="57"/>
      <c r="J265" s="36"/>
      <c r="K265" s="57"/>
      <c r="L265" s="57"/>
      <c r="M265" s="57"/>
      <c r="N265" s="42"/>
      <c r="O265" s="57"/>
      <c r="P265" s="43"/>
      <c r="Q265" s="41"/>
      <c r="R265" s="43"/>
      <c r="S265" s="36"/>
      <c r="T265" s="16">
        <f t="shared" si="8"/>
        <v>0</v>
      </c>
      <c r="U265" s="16">
        <f t="shared" si="9"/>
        <v>0</v>
      </c>
      <c r="V265" s="133"/>
    </row>
    <row r="266" spans="1:22" s="56" customFormat="1">
      <c r="A266" s="58"/>
      <c r="B266" s="36"/>
      <c r="C266" s="58"/>
      <c r="D266" s="57"/>
      <c r="E266" s="57"/>
      <c r="F266" s="41"/>
      <c r="G266" s="41"/>
      <c r="H266" s="41"/>
      <c r="I266" s="57"/>
      <c r="J266" s="36"/>
      <c r="K266" s="57"/>
      <c r="L266" s="57"/>
      <c r="M266" s="57"/>
      <c r="N266" s="42"/>
      <c r="O266" s="57"/>
      <c r="P266" s="43"/>
      <c r="Q266" s="41"/>
      <c r="R266" s="43"/>
      <c r="S266" s="36"/>
      <c r="T266" s="16">
        <f t="shared" si="8"/>
        <v>0</v>
      </c>
      <c r="U266" s="16">
        <f t="shared" si="9"/>
        <v>0</v>
      </c>
      <c r="V266" s="133"/>
    </row>
    <row r="267" spans="1:22" s="56" customFormat="1">
      <c r="A267" s="58"/>
      <c r="B267" s="36"/>
      <c r="C267" s="58"/>
      <c r="D267" s="57"/>
      <c r="E267" s="57"/>
      <c r="F267" s="41"/>
      <c r="G267" s="41"/>
      <c r="H267" s="41"/>
      <c r="I267" s="57"/>
      <c r="J267" s="36"/>
      <c r="K267" s="57"/>
      <c r="L267" s="57"/>
      <c r="M267" s="57"/>
      <c r="N267" s="42"/>
      <c r="O267" s="57"/>
      <c r="P267" s="43"/>
      <c r="Q267" s="41"/>
      <c r="R267" s="43"/>
      <c r="S267" s="36"/>
      <c r="T267" s="16">
        <f t="shared" si="8"/>
        <v>0</v>
      </c>
      <c r="U267" s="16">
        <f t="shared" si="9"/>
        <v>0</v>
      </c>
      <c r="V267" s="133"/>
    </row>
    <row r="268" spans="1:22" s="56" customFormat="1">
      <c r="A268" s="58"/>
      <c r="B268" s="36"/>
      <c r="C268" s="58"/>
      <c r="D268" s="57"/>
      <c r="E268" s="57"/>
      <c r="F268" s="41"/>
      <c r="G268" s="41"/>
      <c r="H268" s="41"/>
      <c r="I268" s="57"/>
      <c r="J268" s="36"/>
      <c r="K268" s="57"/>
      <c r="L268" s="57"/>
      <c r="M268" s="57"/>
      <c r="N268" s="42"/>
      <c r="O268" s="57"/>
      <c r="P268" s="43"/>
      <c r="Q268" s="41"/>
      <c r="R268" s="43"/>
      <c r="S268" s="36"/>
      <c r="T268" s="16">
        <f t="shared" si="8"/>
        <v>0</v>
      </c>
      <c r="U268" s="16">
        <f t="shared" si="9"/>
        <v>0</v>
      </c>
      <c r="V268" s="133"/>
    </row>
    <row r="269" spans="1:22" s="56" customFormat="1">
      <c r="A269" s="58"/>
      <c r="B269" s="36"/>
      <c r="C269" s="58"/>
      <c r="D269" s="57"/>
      <c r="E269" s="57"/>
      <c r="F269" s="41"/>
      <c r="G269" s="41"/>
      <c r="H269" s="41"/>
      <c r="I269" s="57"/>
      <c r="J269" s="36"/>
      <c r="K269" s="57"/>
      <c r="L269" s="57"/>
      <c r="M269" s="57"/>
      <c r="N269" s="42"/>
      <c r="O269" s="57"/>
      <c r="P269" s="43"/>
      <c r="Q269" s="41"/>
      <c r="R269" s="43"/>
      <c r="S269" s="36"/>
      <c r="T269" s="16">
        <f t="shared" si="8"/>
        <v>0</v>
      </c>
      <c r="U269" s="16">
        <f t="shared" si="9"/>
        <v>0</v>
      </c>
      <c r="V269" s="133"/>
    </row>
    <row r="270" spans="1:22" s="56" customFormat="1">
      <c r="A270" s="58"/>
      <c r="B270" s="36"/>
      <c r="C270" s="58"/>
      <c r="D270" s="57"/>
      <c r="E270" s="57"/>
      <c r="F270" s="41"/>
      <c r="G270" s="41"/>
      <c r="H270" s="41"/>
      <c r="I270" s="57"/>
      <c r="J270" s="36"/>
      <c r="K270" s="57"/>
      <c r="L270" s="57"/>
      <c r="M270" s="57"/>
      <c r="N270" s="42"/>
      <c r="O270" s="57"/>
      <c r="P270" s="43"/>
      <c r="Q270" s="41"/>
      <c r="R270" s="43"/>
      <c r="S270" s="36"/>
      <c r="T270" s="16">
        <f t="shared" si="8"/>
        <v>0</v>
      </c>
      <c r="U270" s="16">
        <f t="shared" si="9"/>
        <v>0</v>
      </c>
      <c r="V270" s="133"/>
    </row>
    <row r="271" spans="1:22" s="56" customFormat="1">
      <c r="A271" s="58"/>
      <c r="B271" s="36"/>
      <c r="C271" s="58"/>
      <c r="D271" s="57"/>
      <c r="E271" s="57"/>
      <c r="F271" s="41"/>
      <c r="G271" s="41"/>
      <c r="H271" s="41"/>
      <c r="I271" s="57"/>
      <c r="J271" s="36"/>
      <c r="K271" s="57"/>
      <c r="L271" s="57"/>
      <c r="M271" s="57"/>
      <c r="N271" s="42"/>
      <c r="O271" s="57"/>
      <c r="P271" s="43"/>
      <c r="Q271" s="41"/>
      <c r="R271" s="43"/>
      <c r="S271" s="36"/>
      <c r="T271" s="16">
        <f t="shared" si="8"/>
        <v>0</v>
      </c>
      <c r="U271" s="16">
        <f t="shared" si="9"/>
        <v>0</v>
      </c>
      <c r="V271" s="133"/>
    </row>
    <row r="272" spans="1:22" s="56" customFormat="1">
      <c r="A272" s="58"/>
      <c r="B272" s="36"/>
      <c r="C272" s="58"/>
      <c r="D272" s="57"/>
      <c r="E272" s="57"/>
      <c r="F272" s="41"/>
      <c r="G272" s="41"/>
      <c r="H272" s="41"/>
      <c r="I272" s="57"/>
      <c r="J272" s="36"/>
      <c r="K272" s="57"/>
      <c r="L272" s="57"/>
      <c r="M272" s="57"/>
      <c r="N272" s="42"/>
      <c r="O272" s="57"/>
      <c r="P272" s="43"/>
      <c r="Q272" s="41"/>
      <c r="R272" s="43"/>
      <c r="S272" s="36"/>
      <c r="T272" s="16">
        <f t="shared" si="8"/>
        <v>0</v>
      </c>
      <c r="U272" s="16">
        <f t="shared" si="9"/>
        <v>0</v>
      </c>
      <c r="V272" s="133"/>
    </row>
    <row r="273" spans="1:22" s="56" customFormat="1">
      <c r="A273" s="58"/>
      <c r="B273" s="36"/>
      <c r="C273" s="58"/>
      <c r="D273" s="57"/>
      <c r="E273" s="57"/>
      <c r="F273" s="41"/>
      <c r="G273" s="41"/>
      <c r="H273" s="41"/>
      <c r="I273" s="57"/>
      <c r="J273" s="36"/>
      <c r="K273" s="57"/>
      <c r="L273" s="57"/>
      <c r="M273" s="57"/>
      <c r="N273" s="42"/>
      <c r="O273" s="57"/>
      <c r="P273" s="43"/>
      <c r="Q273" s="41"/>
      <c r="R273" s="43"/>
      <c r="S273" s="36"/>
      <c r="T273" s="16">
        <f t="shared" si="8"/>
        <v>0</v>
      </c>
      <c r="U273" s="16">
        <f t="shared" si="9"/>
        <v>0</v>
      </c>
      <c r="V273" s="133"/>
    </row>
    <row r="274" spans="1:22" s="56" customFormat="1">
      <c r="A274" s="58"/>
      <c r="B274" s="36"/>
      <c r="C274" s="58"/>
      <c r="D274" s="57"/>
      <c r="E274" s="57"/>
      <c r="F274" s="41"/>
      <c r="G274" s="41"/>
      <c r="H274" s="41"/>
      <c r="I274" s="57"/>
      <c r="J274" s="36"/>
      <c r="K274" s="57"/>
      <c r="L274" s="57"/>
      <c r="M274" s="57"/>
      <c r="N274" s="42"/>
      <c r="O274" s="57"/>
      <c r="P274" s="43"/>
      <c r="Q274" s="41"/>
      <c r="R274" s="43"/>
      <c r="S274" s="36"/>
      <c r="T274" s="16">
        <f t="shared" si="8"/>
        <v>0</v>
      </c>
      <c r="U274" s="16">
        <f t="shared" si="9"/>
        <v>0</v>
      </c>
      <c r="V274" s="133"/>
    </row>
    <row r="275" spans="1:22" s="56" customFormat="1">
      <c r="A275" s="58"/>
      <c r="B275" s="36"/>
      <c r="C275" s="58"/>
      <c r="D275" s="57"/>
      <c r="E275" s="57"/>
      <c r="F275" s="41"/>
      <c r="G275" s="41"/>
      <c r="H275" s="41"/>
      <c r="I275" s="57"/>
      <c r="J275" s="36"/>
      <c r="K275" s="57"/>
      <c r="L275" s="57"/>
      <c r="M275" s="57"/>
      <c r="N275" s="42"/>
      <c r="O275" s="57"/>
      <c r="P275" s="43"/>
      <c r="Q275" s="41"/>
      <c r="R275" s="43"/>
      <c r="S275" s="36"/>
      <c r="T275" s="16">
        <f t="shared" si="8"/>
        <v>0</v>
      </c>
      <c r="U275" s="16">
        <f t="shared" si="9"/>
        <v>0</v>
      </c>
      <c r="V275" s="133"/>
    </row>
    <row r="276" spans="1:22" s="56" customFormat="1">
      <c r="A276" s="58"/>
      <c r="B276" s="36"/>
      <c r="C276" s="58"/>
      <c r="D276" s="57"/>
      <c r="E276" s="57"/>
      <c r="F276" s="41"/>
      <c r="G276" s="41"/>
      <c r="H276" s="41"/>
      <c r="I276" s="57"/>
      <c r="J276" s="36"/>
      <c r="K276" s="57"/>
      <c r="L276" s="57"/>
      <c r="M276" s="57"/>
      <c r="N276" s="42"/>
      <c r="O276" s="57"/>
      <c r="P276" s="43"/>
      <c r="Q276" s="41"/>
      <c r="R276" s="43"/>
      <c r="S276" s="36"/>
      <c r="T276" s="16">
        <f t="shared" si="8"/>
        <v>0</v>
      </c>
      <c r="U276" s="16">
        <f t="shared" si="9"/>
        <v>0</v>
      </c>
      <c r="V276" s="133"/>
    </row>
    <row r="277" spans="1:22" s="56" customFormat="1">
      <c r="A277" s="58"/>
      <c r="B277" s="36"/>
      <c r="C277" s="58"/>
      <c r="D277" s="57"/>
      <c r="E277" s="57"/>
      <c r="F277" s="41"/>
      <c r="G277" s="41"/>
      <c r="H277" s="41"/>
      <c r="I277" s="57"/>
      <c r="J277" s="36"/>
      <c r="K277" s="57"/>
      <c r="L277" s="57"/>
      <c r="M277" s="57"/>
      <c r="N277" s="42"/>
      <c r="O277" s="57"/>
      <c r="P277" s="43"/>
      <c r="Q277" s="41"/>
      <c r="R277" s="43"/>
      <c r="S277" s="36"/>
      <c r="T277" s="16">
        <f t="shared" si="8"/>
        <v>0</v>
      </c>
      <c r="U277" s="16">
        <f t="shared" si="9"/>
        <v>0</v>
      </c>
      <c r="V277" s="133"/>
    </row>
    <row r="278" spans="1:22" s="56" customFormat="1">
      <c r="A278" s="58"/>
      <c r="B278" s="36"/>
      <c r="C278" s="58"/>
      <c r="D278" s="57"/>
      <c r="E278" s="57"/>
      <c r="F278" s="41"/>
      <c r="G278" s="41"/>
      <c r="H278" s="41"/>
      <c r="I278" s="57"/>
      <c r="J278" s="36"/>
      <c r="K278" s="57"/>
      <c r="L278" s="57"/>
      <c r="M278" s="57"/>
      <c r="N278" s="42"/>
      <c r="O278" s="57"/>
      <c r="P278" s="43"/>
      <c r="Q278" s="41"/>
      <c r="R278" s="43"/>
      <c r="S278" s="36"/>
      <c r="T278" s="16">
        <f t="shared" si="8"/>
        <v>0</v>
      </c>
      <c r="U278" s="16">
        <f t="shared" si="9"/>
        <v>0</v>
      </c>
      <c r="V278" s="133"/>
    </row>
    <row r="279" spans="1:22" s="56" customFormat="1">
      <c r="A279" s="58"/>
      <c r="B279" s="36"/>
      <c r="C279" s="58"/>
      <c r="D279" s="57"/>
      <c r="E279" s="57"/>
      <c r="F279" s="41"/>
      <c r="G279" s="41"/>
      <c r="H279" s="41"/>
      <c r="I279" s="57"/>
      <c r="J279" s="36"/>
      <c r="K279" s="57"/>
      <c r="L279" s="57"/>
      <c r="M279" s="57"/>
      <c r="N279" s="42"/>
      <c r="O279" s="57"/>
      <c r="P279" s="43"/>
      <c r="Q279" s="41"/>
      <c r="R279" s="43"/>
      <c r="S279" s="36"/>
      <c r="T279" s="16">
        <f t="shared" si="8"/>
        <v>0</v>
      </c>
      <c r="U279" s="16">
        <f t="shared" si="9"/>
        <v>0</v>
      </c>
      <c r="V279" s="133"/>
    </row>
    <row r="280" spans="1:22" s="56" customFormat="1">
      <c r="A280" s="58"/>
      <c r="B280" s="36"/>
      <c r="C280" s="58"/>
      <c r="D280" s="57"/>
      <c r="E280" s="57"/>
      <c r="F280" s="41"/>
      <c r="G280" s="41"/>
      <c r="H280" s="41"/>
      <c r="I280" s="57"/>
      <c r="J280" s="36"/>
      <c r="K280" s="57"/>
      <c r="L280" s="57"/>
      <c r="M280" s="57"/>
      <c r="N280" s="42"/>
      <c r="O280" s="57"/>
      <c r="P280" s="43"/>
      <c r="Q280" s="41"/>
      <c r="R280" s="43"/>
      <c r="S280" s="36"/>
      <c r="T280" s="16">
        <f t="shared" si="8"/>
        <v>0</v>
      </c>
      <c r="U280" s="16">
        <f t="shared" si="9"/>
        <v>0</v>
      </c>
      <c r="V280" s="133"/>
    </row>
    <row r="281" spans="1:22" s="56" customFormat="1">
      <c r="A281" s="58"/>
      <c r="B281" s="36"/>
      <c r="C281" s="58"/>
      <c r="D281" s="57"/>
      <c r="E281" s="57"/>
      <c r="F281" s="41"/>
      <c r="G281" s="41"/>
      <c r="H281" s="41"/>
      <c r="I281" s="57"/>
      <c r="J281" s="36"/>
      <c r="K281" s="57"/>
      <c r="L281" s="57"/>
      <c r="M281" s="57"/>
      <c r="N281" s="42"/>
      <c r="O281" s="57"/>
      <c r="P281" s="43"/>
      <c r="Q281" s="41"/>
      <c r="R281" s="43"/>
      <c r="S281" s="36"/>
      <c r="T281" s="16">
        <f t="shared" si="8"/>
        <v>0</v>
      </c>
      <c r="U281" s="16">
        <f t="shared" si="9"/>
        <v>0</v>
      </c>
      <c r="V281" s="133"/>
    </row>
    <row r="282" spans="1:22" s="56" customFormat="1">
      <c r="A282" s="58"/>
      <c r="B282" s="36"/>
      <c r="C282" s="58"/>
      <c r="D282" s="57"/>
      <c r="E282" s="57"/>
      <c r="F282" s="41"/>
      <c r="G282" s="41"/>
      <c r="H282" s="41"/>
      <c r="I282" s="57"/>
      <c r="J282" s="36"/>
      <c r="K282" s="57"/>
      <c r="L282" s="57"/>
      <c r="M282" s="57"/>
      <c r="N282" s="42"/>
      <c r="O282" s="57"/>
      <c r="P282" s="43"/>
      <c r="Q282" s="41"/>
      <c r="R282" s="43"/>
      <c r="S282" s="36"/>
      <c r="T282" s="16">
        <f t="shared" si="8"/>
        <v>0</v>
      </c>
      <c r="U282" s="16">
        <f t="shared" si="9"/>
        <v>0</v>
      </c>
      <c r="V282" s="133"/>
    </row>
    <row r="283" spans="1:22" s="56" customFormat="1">
      <c r="A283" s="58"/>
      <c r="B283" s="36"/>
      <c r="C283" s="58"/>
      <c r="D283" s="57"/>
      <c r="E283" s="57"/>
      <c r="F283" s="41"/>
      <c r="G283" s="41"/>
      <c r="H283" s="41"/>
      <c r="I283" s="57"/>
      <c r="J283" s="36"/>
      <c r="K283" s="57"/>
      <c r="L283" s="57"/>
      <c r="M283" s="57"/>
      <c r="N283" s="42"/>
      <c r="O283" s="57"/>
      <c r="P283" s="43"/>
      <c r="Q283" s="41"/>
      <c r="R283" s="43"/>
      <c r="S283" s="36"/>
      <c r="T283" s="16">
        <f t="shared" si="8"/>
        <v>0</v>
      </c>
      <c r="U283" s="16">
        <f t="shared" si="9"/>
        <v>0</v>
      </c>
      <c r="V283" s="133"/>
    </row>
    <row r="284" spans="1:22" s="56" customFormat="1">
      <c r="A284" s="58"/>
      <c r="B284" s="36"/>
      <c r="C284" s="58"/>
      <c r="D284" s="57"/>
      <c r="E284" s="57"/>
      <c r="F284" s="41"/>
      <c r="G284" s="41"/>
      <c r="H284" s="41"/>
      <c r="I284" s="57"/>
      <c r="J284" s="36"/>
      <c r="K284" s="57"/>
      <c r="L284" s="57"/>
      <c r="M284" s="57"/>
      <c r="N284" s="42"/>
      <c r="O284" s="57"/>
      <c r="P284" s="43"/>
      <c r="Q284" s="41"/>
      <c r="R284" s="43"/>
      <c r="S284" s="36"/>
      <c r="T284" s="16">
        <f t="shared" si="8"/>
        <v>0</v>
      </c>
      <c r="U284" s="16">
        <f t="shared" si="9"/>
        <v>0</v>
      </c>
      <c r="V284" s="133"/>
    </row>
    <row r="285" spans="1:22" s="56" customFormat="1">
      <c r="A285" s="58"/>
      <c r="B285" s="36"/>
      <c r="C285" s="58"/>
      <c r="D285" s="57"/>
      <c r="E285" s="57"/>
      <c r="F285" s="41"/>
      <c r="G285" s="41"/>
      <c r="H285" s="41"/>
      <c r="I285" s="57"/>
      <c r="J285" s="36"/>
      <c r="K285" s="57"/>
      <c r="L285" s="57"/>
      <c r="M285" s="57"/>
      <c r="N285" s="42"/>
      <c r="O285" s="57"/>
      <c r="P285" s="43"/>
      <c r="Q285" s="41"/>
      <c r="R285" s="43"/>
      <c r="S285" s="36"/>
      <c r="T285" s="16">
        <f t="shared" si="8"/>
        <v>0</v>
      </c>
      <c r="U285" s="16">
        <f t="shared" si="9"/>
        <v>0</v>
      </c>
      <c r="V285" s="133"/>
    </row>
    <row r="286" spans="1:22" s="56" customFormat="1">
      <c r="A286" s="58"/>
      <c r="B286" s="36"/>
      <c r="C286" s="58"/>
      <c r="D286" s="57"/>
      <c r="E286" s="57"/>
      <c r="F286" s="41"/>
      <c r="G286" s="41"/>
      <c r="H286" s="41"/>
      <c r="I286" s="57"/>
      <c r="J286" s="36"/>
      <c r="K286" s="57"/>
      <c r="L286" s="57"/>
      <c r="M286" s="57"/>
      <c r="N286" s="42"/>
      <c r="O286" s="57"/>
      <c r="P286" s="43"/>
      <c r="Q286" s="41"/>
      <c r="R286" s="43"/>
      <c r="S286" s="36"/>
      <c r="T286" s="16">
        <f t="shared" si="8"/>
        <v>0</v>
      </c>
      <c r="U286" s="16">
        <f t="shared" si="9"/>
        <v>0</v>
      </c>
      <c r="V286" s="133"/>
    </row>
    <row r="287" spans="1:22" s="56" customFormat="1">
      <c r="A287" s="58"/>
      <c r="B287" s="36"/>
      <c r="C287" s="58"/>
      <c r="D287" s="57"/>
      <c r="E287" s="57"/>
      <c r="F287" s="41"/>
      <c r="G287" s="41"/>
      <c r="H287" s="41"/>
      <c r="I287" s="57"/>
      <c r="J287" s="36"/>
      <c r="K287" s="57"/>
      <c r="L287" s="57"/>
      <c r="M287" s="57"/>
      <c r="N287" s="42"/>
      <c r="O287" s="57"/>
      <c r="P287" s="43"/>
      <c r="Q287" s="41"/>
      <c r="R287" s="43"/>
      <c r="S287" s="36"/>
      <c r="T287" s="16">
        <f t="shared" si="8"/>
        <v>0</v>
      </c>
      <c r="U287" s="16">
        <f t="shared" si="9"/>
        <v>0</v>
      </c>
      <c r="V287" s="133"/>
    </row>
    <row r="288" spans="1:22" s="56" customFormat="1">
      <c r="A288" s="58"/>
      <c r="B288" s="36"/>
      <c r="C288" s="58"/>
      <c r="D288" s="57"/>
      <c r="E288" s="57"/>
      <c r="F288" s="41"/>
      <c r="G288" s="41"/>
      <c r="H288" s="41"/>
      <c r="I288" s="57"/>
      <c r="J288" s="36"/>
      <c r="K288" s="57"/>
      <c r="L288" s="57"/>
      <c r="M288" s="57"/>
      <c r="N288" s="42"/>
      <c r="O288" s="57"/>
      <c r="P288" s="43"/>
      <c r="Q288" s="41"/>
      <c r="R288" s="43"/>
      <c r="S288" s="36"/>
      <c r="T288" s="16">
        <f t="shared" si="8"/>
        <v>0</v>
      </c>
      <c r="U288" s="16">
        <f t="shared" si="9"/>
        <v>0</v>
      </c>
      <c r="V288" s="133"/>
    </row>
    <row r="289" spans="1:22" s="56" customFormat="1">
      <c r="A289" s="58"/>
      <c r="B289" s="36"/>
      <c r="C289" s="58"/>
      <c r="D289" s="57"/>
      <c r="E289" s="57"/>
      <c r="F289" s="41"/>
      <c r="G289" s="41"/>
      <c r="H289" s="41"/>
      <c r="I289" s="57"/>
      <c r="J289" s="36"/>
      <c r="K289" s="57"/>
      <c r="L289" s="57"/>
      <c r="M289" s="57"/>
      <c r="N289" s="42"/>
      <c r="O289" s="57"/>
      <c r="P289" s="43"/>
      <c r="Q289" s="41"/>
      <c r="R289" s="43"/>
      <c r="S289" s="36"/>
      <c r="T289" s="16">
        <f t="shared" si="8"/>
        <v>0</v>
      </c>
      <c r="U289" s="16">
        <f t="shared" si="9"/>
        <v>0</v>
      </c>
      <c r="V289" s="133"/>
    </row>
    <row r="290" spans="1:22" s="56" customFormat="1">
      <c r="A290" s="58"/>
      <c r="B290" s="36"/>
      <c r="C290" s="58"/>
      <c r="D290" s="57"/>
      <c r="E290" s="57"/>
      <c r="F290" s="41"/>
      <c r="G290" s="41"/>
      <c r="H290" s="41"/>
      <c r="I290" s="57"/>
      <c r="J290" s="36"/>
      <c r="K290" s="57"/>
      <c r="L290" s="57"/>
      <c r="M290" s="57"/>
      <c r="N290" s="42"/>
      <c r="O290" s="57"/>
      <c r="P290" s="43"/>
      <c r="Q290" s="41"/>
      <c r="R290" s="43"/>
      <c r="S290" s="36"/>
      <c r="T290" s="16">
        <f t="shared" si="8"/>
        <v>0</v>
      </c>
      <c r="U290" s="16">
        <f t="shared" si="9"/>
        <v>0</v>
      </c>
      <c r="V290" s="133"/>
    </row>
    <row r="291" spans="1:22" s="56" customFormat="1">
      <c r="A291" s="58"/>
      <c r="B291" s="36"/>
      <c r="C291" s="58"/>
      <c r="D291" s="57"/>
      <c r="E291" s="57"/>
      <c r="F291" s="41"/>
      <c r="G291" s="41"/>
      <c r="H291" s="41"/>
      <c r="I291" s="57"/>
      <c r="J291" s="36"/>
      <c r="K291" s="57"/>
      <c r="L291" s="57"/>
      <c r="M291" s="57"/>
      <c r="N291" s="42"/>
      <c r="O291" s="57"/>
      <c r="P291" s="43"/>
      <c r="Q291" s="41"/>
      <c r="R291" s="43"/>
      <c r="S291" s="36"/>
      <c r="T291" s="16">
        <f t="shared" si="8"/>
        <v>0</v>
      </c>
      <c r="U291" s="16">
        <f t="shared" si="9"/>
        <v>0</v>
      </c>
      <c r="V291" s="133"/>
    </row>
    <row r="292" spans="1:22" s="56" customFormat="1">
      <c r="A292" s="58"/>
      <c r="B292" s="36"/>
      <c r="C292" s="58"/>
      <c r="D292" s="57"/>
      <c r="E292" s="57"/>
      <c r="F292" s="41"/>
      <c r="G292" s="41"/>
      <c r="H292" s="41"/>
      <c r="I292" s="57"/>
      <c r="J292" s="36"/>
      <c r="K292" s="57"/>
      <c r="L292" s="57"/>
      <c r="M292" s="57"/>
      <c r="N292" s="42"/>
      <c r="O292" s="57"/>
      <c r="P292" s="43"/>
      <c r="Q292" s="41"/>
      <c r="R292" s="43"/>
      <c r="S292" s="36"/>
      <c r="T292" s="16">
        <f t="shared" si="8"/>
        <v>0</v>
      </c>
      <c r="U292" s="16">
        <f t="shared" si="9"/>
        <v>0</v>
      </c>
      <c r="V292" s="133"/>
    </row>
    <row r="293" spans="1:22" s="56" customFormat="1">
      <c r="A293" s="58"/>
      <c r="B293" s="36"/>
      <c r="C293" s="58"/>
      <c r="D293" s="57"/>
      <c r="E293" s="57"/>
      <c r="F293" s="41"/>
      <c r="G293" s="41"/>
      <c r="H293" s="41"/>
      <c r="I293" s="57"/>
      <c r="J293" s="36"/>
      <c r="K293" s="57"/>
      <c r="L293" s="57"/>
      <c r="M293" s="57"/>
      <c r="N293" s="42"/>
      <c r="O293" s="57"/>
      <c r="P293" s="43"/>
      <c r="Q293" s="41"/>
      <c r="R293" s="43"/>
      <c r="S293" s="36"/>
      <c r="T293" s="16">
        <f t="shared" si="8"/>
        <v>0</v>
      </c>
      <c r="U293" s="16">
        <f t="shared" si="9"/>
        <v>0</v>
      </c>
      <c r="V293" s="133"/>
    </row>
    <row r="294" spans="1:22" s="56" customFormat="1">
      <c r="A294" s="58"/>
      <c r="B294" s="36"/>
      <c r="C294" s="58"/>
      <c r="D294" s="57"/>
      <c r="E294" s="57"/>
      <c r="F294" s="41"/>
      <c r="G294" s="41"/>
      <c r="H294" s="41"/>
      <c r="I294" s="57"/>
      <c r="J294" s="36"/>
      <c r="K294" s="57"/>
      <c r="L294" s="57"/>
      <c r="M294" s="57"/>
      <c r="N294" s="42"/>
      <c r="O294" s="57"/>
      <c r="P294" s="43"/>
      <c r="Q294" s="41"/>
      <c r="R294" s="43"/>
      <c r="S294" s="36"/>
      <c r="T294" s="16">
        <f t="shared" si="8"/>
        <v>0</v>
      </c>
      <c r="U294" s="16">
        <f t="shared" si="9"/>
        <v>0</v>
      </c>
      <c r="V294" s="133"/>
    </row>
    <row r="295" spans="1:22" s="56" customFormat="1">
      <c r="A295" s="58"/>
      <c r="B295" s="36"/>
      <c r="C295" s="58"/>
      <c r="D295" s="57"/>
      <c r="E295" s="57"/>
      <c r="F295" s="41"/>
      <c r="G295" s="41"/>
      <c r="H295" s="41"/>
      <c r="I295" s="57"/>
      <c r="J295" s="36"/>
      <c r="K295" s="57"/>
      <c r="L295" s="57"/>
      <c r="M295" s="57"/>
      <c r="N295" s="42"/>
      <c r="O295" s="57"/>
      <c r="P295" s="43"/>
      <c r="Q295" s="41"/>
      <c r="R295" s="43"/>
      <c r="S295" s="36"/>
      <c r="T295" s="16">
        <f t="shared" si="8"/>
        <v>0</v>
      </c>
      <c r="U295" s="16">
        <f t="shared" si="9"/>
        <v>0</v>
      </c>
      <c r="V295" s="133"/>
    </row>
    <row r="296" spans="1:22" s="56" customFormat="1">
      <c r="A296" s="58"/>
      <c r="B296" s="36"/>
      <c r="C296" s="58"/>
      <c r="D296" s="57"/>
      <c r="E296" s="57"/>
      <c r="F296" s="41"/>
      <c r="G296" s="41"/>
      <c r="H296" s="41"/>
      <c r="I296" s="57"/>
      <c r="J296" s="36"/>
      <c r="K296" s="57"/>
      <c r="L296" s="57"/>
      <c r="M296" s="57"/>
      <c r="N296" s="42"/>
      <c r="O296" s="57"/>
      <c r="P296" s="43"/>
      <c r="Q296" s="41"/>
      <c r="R296" s="43"/>
      <c r="S296" s="36"/>
      <c r="T296" s="16">
        <f t="shared" si="8"/>
        <v>0</v>
      </c>
      <c r="U296" s="16">
        <f t="shared" si="9"/>
        <v>0</v>
      </c>
      <c r="V296" s="133"/>
    </row>
    <row r="297" spans="1:22" s="56" customFormat="1">
      <c r="A297" s="58"/>
      <c r="B297" s="36"/>
      <c r="C297" s="58"/>
      <c r="D297" s="57"/>
      <c r="E297" s="57"/>
      <c r="F297" s="41"/>
      <c r="G297" s="41"/>
      <c r="H297" s="41"/>
      <c r="I297" s="57"/>
      <c r="J297" s="36"/>
      <c r="K297" s="57"/>
      <c r="L297" s="57"/>
      <c r="M297" s="57"/>
      <c r="N297" s="42"/>
      <c r="O297" s="57"/>
      <c r="P297" s="43"/>
      <c r="Q297" s="41"/>
      <c r="R297" s="43"/>
      <c r="S297" s="36"/>
      <c r="T297" s="16">
        <f t="shared" si="8"/>
        <v>0</v>
      </c>
      <c r="U297" s="16">
        <f t="shared" si="9"/>
        <v>0</v>
      </c>
      <c r="V297" s="133"/>
    </row>
    <row r="298" spans="1:22" s="56" customFormat="1">
      <c r="A298" s="58"/>
      <c r="B298" s="36"/>
      <c r="C298" s="58"/>
      <c r="D298" s="57"/>
      <c r="E298" s="57"/>
      <c r="F298" s="41"/>
      <c r="G298" s="41"/>
      <c r="H298" s="41"/>
      <c r="I298" s="57"/>
      <c r="J298" s="36"/>
      <c r="K298" s="57"/>
      <c r="L298" s="57"/>
      <c r="M298" s="57"/>
      <c r="N298" s="42"/>
      <c r="O298" s="57"/>
      <c r="P298" s="43"/>
      <c r="Q298" s="41"/>
      <c r="R298" s="43"/>
      <c r="S298" s="36"/>
      <c r="T298" s="16">
        <f t="shared" si="8"/>
        <v>0</v>
      </c>
      <c r="U298" s="16">
        <f t="shared" si="9"/>
        <v>0</v>
      </c>
      <c r="V298" s="133"/>
    </row>
    <row r="299" spans="1:22" s="56" customFormat="1">
      <c r="A299" s="58"/>
      <c r="B299" s="36"/>
      <c r="C299" s="58"/>
      <c r="D299" s="57"/>
      <c r="E299" s="57"/>
      <c r="F299" s="41"/>
      <c r="G299" s="41"/>
      <c r="H299" s="41"/>
      <c r="I299" s="57"/>
      <c r="J299" s="36"/>
      <c r="K299" s="57"/>
      <c r="L299" s="57"/>
      <c r="M299" s="57"/>
      <c r="N299" s="42"/>
      <c r="O299" s="57"/>
      <c r="P299" s="43"/>
      <c r="Q299" s="41"/>
      <c r="R299" s="43"/>
      <c r="S299" s="36"/>
      <c r="T299" s="16">
        <f t="shared" si="8"/>
        <v>0</v>
      </c>
      <c r="U299" s="16">
        <f t="shared" si="9"/>
        <v>0</v>
      </c>
      <c r="V299" s="133"/>
    </row>
    <row r="300" spans="1:22" s="56" customFormat="1">
      <c r="A300" s="58"/>
      <c r="B300" s="36"/>
      <c r="C300" s="58"/>
      <c r="D300" s="57"/>
      <c r="E300" s="57"/>
      <c r="F300" s="41"/>
      <c r="G300" s="41"/>
      <c r="H300" s="41"/>
      <c r="I300" s="57"/>
      <c r="J300" s="36"/>
      <c r="K300" s="57"/>
      <c r="L300" s="57"/>
      <c r="M300" s="57"/>
      <c r="N300" s="42"/>
      <c r="O300" s="57"/>
      <c r="P300" s="43"/>
      <c r="Q300" s="41"/>
      <c r="R300" s="43"/>
      <c r="S300" s="36"/>
      <c r="T300" s="16">
        <f t="shared" si="8"/>
        <v>0</v>
      </c>
      <c r="U300" s="16">
        <f t="shared" si="9"/>
        <v>0</v>
      </c>
      <c r="V300" s="133"/>
    </row>
    <row r="301" spans="1:22" s="56" customFormat="1">
      <c r="A301" s="58"/>
      <c r="B301" s="36"/>
      <c r="C301" s="58"/>
      <c r="D301" s="57"/>
      <c r="E301" s="57"/>
      <c r="F301" s="41"/>
      <c r="G301" s="41"/>
      <c r="H301" s="41"/>
      <c r="I301" s="57"/>
      <c r="J301" s="36"/>
      <c r="K301" s="57"/>
      <c r="L301" s="57"/>
      <c r="M301" s="57"/>
      <c r="N301" s="42"/>
      <c r="O301" s="57"/>
      <c r="P301" s="43"/>
      <c r="Q301" s="41"/>
      <c r="R301" s="43"/>
      <c r="S301" s="36"/>
      <c r="T301" s="16">
        <f t="shared" si="8"/>
        <v>0</v>
      </c>
      <c r="U301" s="16">
        <f t="shared" si="9"/>
        <v>0</v>
      </c>
      <c r="V301" s="133"/>
    </row>
    <row r="302" spans="1:22" s="56" customFormat="1">
      <c r="A302" s="58"/>
      <c r="B302" s="36"/>
      <c r="C302" s="58"/>
      <c r="D302" s="57"/>
      <c r="E302" s="57"/>
      <c r="F302" s="41"/>
      <c r="G302" s="41"/>
      <c r="H302" s="41"/>
      <c r="I302" s="57"/>
      <c r="J302" s="36"/>
      <c r="K302" s="57"/>
      <c r="L302" s="57"/>
      <c r="M302" s="57"/>
      <c r="N302" s="42"/>
      <c r="O302" s="57"/>
      <c r="P302" s="43"/>
      <c r="Q302" s="41"/>
      <c r="R302" s="43"/>
      <c r="S302" s="36"/>
      <c r="T302" s="16">
        <f t="shared" si="8"/>
        <v>0</v>
      </c>
      <c r="U302" s="16">
        <f t="shared" si="9"/>
        <v>0</v>
      </c>
      <c r="V302" s="133"/>
    </row>
    <row r="303" spans="1:22" s="56" customFormat="1">
      <c r="A303" s="58"/>
      <c r="B303" s="36"/>
      <c r="C303" s="58"/>
      <c r="D303" s="57"/>
      <c r="E303" s="57"/>
      <c r="F303" s="41"/>
      <c r="G303" s="41"/>
      <c r="H303" s="41"/>
      <c r="I303" s="57"/>
      <c r="J303" s="36"/>
      <c r="K303" s="57"/>
      <c r="L303" s="57"/>
      <c r="M303" s="57"/>
      <c r="N303" s="42"/>
      <c r="O303" s="57"/>
      <c r="P303" s="43"/>
      <c r="Q303" s="41"/>
      <c r="R303" s="43"/>
      <c r="S303" s="36"/>
      <c r="T303" s="16">
        <f t="shared" si="8"/>
        <v>0</v>
      </c>
      <c r="U303" s="16">
        <f t="shared" si="9"/>
        <v>0</v>
      </c>
      <c r="V303" s="133"/>
    </row>
    <row r="304" spans="1:22" s="56" customFormat="1">
      <c r="A304" s="58"/>
      <c r="B304" s="36"/>
      <c r="C304" s="58"/>
      <c r="D304" s="57"/>
      <c r="E304" s="57"/>
      <c r="F304" s="41"/>
      <c r="G304" s="41"/>
      <c r="H304" s="41"/>
      <c r="I304" s="57"/>
      <c r="J304" s="36"/>
      <c r="K304" s="57"/>
      <c r="L304" s="57"/>
      <c r="M304" s="57"/>
      <c r="N304" s="42"/>
      <c r="O304" s="57"/>
      <c r="P304" s="43"/>
      <c r="Q304" s="41"/>
      <c r="R304" s="43"/>
      <c r="S304" s="36"/>
      <c r="T304" s="16">
        <f t="shared" si="8"/>
        <v>0</v>
      </c>
      <c r="U304" s="16">
        <f t="shared" si="9"/>
        <v>0</v>
      </c>
      <c r="V304" s="133"/>
    </row>
    <row r="305" spans="1:22" s="56" customFormat="1">
      <c r="A305" s="58"/>
      <c r="B305" s="36"/>
      <c r="C305" s="58"/>
      <c r="D305" s="57"/>
      <c r="E305" s="57"/>
      <c r="F305" s="41"/>
      <c r="G305" s="41"/>
      <c r="H305" s="41"/>
      <c r="I305" s="57"/>
      <c r="J305" s="36"/>
      <c r="K305" s="57"/>
      <c r="L305" s="57"/>
      <c r="M305" s="57"/>
      <c r="N305" s="42"/>
      <c r="O305" s="57"/>
      <c r="P305" s="43"/>
      <c r="Q305" s="41"/>
      <c r="R305" s="43"/>
      <c r="S305" s="36"/>
      <c r="T305" s="16">
        <f t="shared" si="8"/>
        <v>0</v>
      </c>
      <c r="U305" s="16">
        <f t="shared" si="9"/>
        <v>0</v>
      </c>
      <c r="V305" s="133"/>
    </row>
    <row r="306" spans="1:22" s="56" customFormat="1">
      <c r="A306" s="58"/>
      <c r="B306" s="36"/>
      <c r="C306" s="58"/>
      <c r="D306" s="57"/>
      <c r="E306" s="57"/>
      <c r="F306" s="41"/>
      <c r="G306" s="41"/>
      <c r="H306" s="41"/>
      <c r="I306" s="57"/>
      <c r="J306" s="36"/>
      <c r="K306" s="57"/>
      <c r="L306" s="57"/>
      <c r="M306" s="57"/>
      <c r="N306" s="42"/>
      <c r="O306" s="57"/>
      <c r="P306" s="43"/>
      <c r="Q306" s="41"/>
      <c r="R306" s="43"/>
      <c r="S306" s="36"/>
      <c r="T306" s="16">
        <f t="shared" si="8"/>
        <v>0</v>
      </c>
      <c r="U306" s="16">
        <f t="shared" si="9"/>
        <v>0</v>
      </c>
      <c r="V306" s="133"/>
    </row>
    <row r="307" spans="1:22" s="56" customFormat="1">
      <c r="A307" s="58"/>
      <c r="B307" s="36"/>
      <c r="C307" s="58"/>
      <c r="D307" s="57"/>
      <c r="E307" s="57"/>
      <c r="F307" s="41"/>
      <c r="G307" s="41"/>
      <c r="H307" s="41"/>
      <c r="I307" s="57"/>
      <c r="J307" s="36"/>
      <c r="K307" s="57"/>
      <c r="L307" s="57"/>
      <c r="M307" s="57"/>
      <c r="N307" s="42"/>
      <c r="O307" s="57"/>
      <c r="P307" s="43"/>
      <c r="Q307" s="41"/>
      <c r="R307" s="43"/>
      <c r="S307" s="36"/>
      <c r="T307" s="16">
        <f t="shared" si="8"/>
        <v>0</v>
      </c>
      <c r="U307" s="16">
        <f t="shared" si="9"/>
        <v>0</v>
      </c>
      <c r="V307" s="133"/>
    </row>
    <row r="308" spans="1:22" s="56" customFormat="1">
      <c r="A308" s="58"/>
      <c r="B308" s="36"/>
      <c r="C308" s="58"/>
      <c r="D308" s="57"/>
      <c r="E308" s="57"/>
      <c r="F308" s="41"/>
      <c r="G308" s="41"/>
      <c r="H308" s="41"/>
      <c r="I308" s="57"/>
      <c r="J308" s="36"/>
      <c r="K308" s="57"/>
      <c r="L308" s="57"/>
      <c r="M308" s="57"/>
      <c r="N308" s="42"/>
      <c r="O308" s="57"/>
      <c r="P308" s="43"/>
      <c r="Q308" s="41"/>
      <c r="R308" s="43"/>
      <c r="S308" s="36"/>
      <c r="T308" s="16">
        <f t="shared" si="8"/>
        <v>0</v>
      </c>
      <c r="U308" s="16">
        <f t="shared" si="9"/>
        <v>0</v>
      </c>
      <c r="V308" s="133"/>
    </row>
    <row r="309" spans="1:22" s="56" customFormat="1">
      <c r="A309" s="58"/>
      <c r="B309" s="36"/>
      <c r="C309" s="58"/>
      <c r="D309" s="57"/>
      <c r="E309" s="57"/>
      <c r="F309" s="41"/>
      <c r="G309" s="41"/>
      <c r="H309" s="41"/>
      <c r="I309" s="57"/>
      <c r="J309" s="36"/>
      <c r="K309" s="57"/>
      <c r="L309" s="57"/>
      <c r="M309" s="57"/>
      <c r="N309" s="42"/>
      <c r="O309" s="57"/>
      <c r="P309" s="43"/>
      <c r="Q309" s="41"/>
      <c r="R309" s="43"/>
      <c r="S309" s="36"/>
      <c r="T309" s="16">
        <f t="shared" si="8"/>
        <v>0</v>
      </c>
      <c r="U309" s="16">
        <f t="shared" si="9"/>
        <v>0</v>
      </c>
      <c r="V309" s="133"/>
    </row>
    <row r="310" spans="1:22" s="56" customFormat="1">
      <c r="A310" s="58"/>
      <c r="B310" s="36"/>
      <c r="C310" s="58"/>
      <c r="D310" s="57"/>
      <c r="E310" s="57"/>
      <c r="F310" s="41"/>
      <c r="G310" s="41"/>
      <c r="H310" s="41"/>
      <c r="I310" s="57"/>
      <c r="J310" s="36"/>
      <c r="K310" s="57"/>
      <c r="L310" s="57"/>
      <c r="M310" s="57"/>
      <c r="N310" s="42"/>
      <c r="O310" s="57"/>
      <c r="P310" s="43"/>
      <c r="Q310" s="41"/>
      <c r="R310" s="43"/>
      <c r="S310" s="36"/>
      <c r="T310" s="16">
        <f t="shared" si="8"/>
        <v>0</v>
      </c>
      <c r="U310" s="16">
        <f t="shared" si="9"/>
        <v>0</v>
      </c>
      <c r="V310" s="133"/>
    </row>
    <row r="311" spans="1:22" s="56" customFormat="1">
      <c r="A311" s="58"/>
      <c r="B311" s="36"/>
      <c r="C311" s="58"/>
      <c r="D311" s="57"/>
      <c r="E311" s="57"/>
      <c r="F311" s="41"/>
      <c r="G311" s="41"/>
      <c r="H311" s="41"/>
      <c r="I311" s="57"/>
      <c r="J311" s="36"/>
      <c r="K311" s="57"/>
      <c r="L311" s="57"/>
      <c r="M311" s="57"/>
      <c r="N311" s="42"/>
      <c r="O311" s="57"/>
      <c r="P311" s="43"/>
      <c r="Q311" s="41"/>
      <c r="R311" s="43"/>
      <c r="S311" s="36"/>
      <c r="T311" s="16">
        <f t="shared" si="8"/>
        <v>0</v>
      </c>
      <c r="U311" s="16">
        <f t="shared" si="9"/>
        <v>0</v>
      </c>
      <c r="V311" s="133"/>
    </row>
    <row r="312" spans="1:22" s="56" customFormat="1">
      <c r="A312" s="58"/>
      <c r="B312" s="36"/>
      <c r="C312" s="58"/>
      <c r="D312" s="57"/>
      <c r="E312" s="57"/>
      <c r="F312" s="41"/>
      <c r="G312" s="41"/>
      <c r="H312" s="41"/>
      <c r="I312" s="57"/>
      <c r="J312" s="36"/>
      <c r="K312" s="57"/>
      <c r="L312" s="57"/>
      <c r="M312" s="57"/>
      <c r="N312" s="42"/>
      <c r="O312" s="57"/>
      <c r="P312" s="43"/>
      <c r="Q312" s="41"/>
      <c r="R312" s="43"/>
      <c r="S312" s="36"/>
      <c r="T312" s="16">
        <f t="shared" si="8"/>
        <v>0</v>
      </c>
      <c r="U312" s="16">
        <f t="shared" si="9"/>
        <v>0</v>
      </c>
      <c r="V312" s="133"/>
    </row>
    <row r="313" spans="1:22" s="56" customFormat="1">
      <c r="A313" s="58"/>
      <c r="B313" s="36"/>
      <c r="C313" s="58"/>
      <c r="D313" s="57"/>
      <c r="E313" s="57"/>
      <c r="F313" s="41"/>
      <c r="G313" s="41"/>
      <c r="H313" s="41"/>
      <c r="I313" s="57"/>
      <c r="J313" s="36"/>
      <c r="K313" s="57"/>
      <c r="L313" s="57"/>
      <c r="M313" s="57"/>
      <c r="N313" s="42"/>
      <c r="O313" s="57"/>
      <c r="P313" s="43"/>
      <c r="Q313" s="41"/>
      <c r="R313" s="43"/>
      <c r="S313" s="36"/>
      <c r="T313" s="16">
        <f t="shared" si="8"/>
        <v>0</v>
      </c>
      <c r="U313" s="16">
        <f t="shared" si="9"/>
        <v>0</v>
      </c>
      <c r="V313" s="133"/>
    </row>
    <row r="314" spans="1:22" s="56" customFormat="1">
      <c r="A314" s="58"/>
      <c r="B314" s="36"/>
      <c r="C314" s="58"/>
      <c r="D314" s="57"/>
      <c r="E314" s="57"/>
      <c r="F314" s="41"/>
      <c r="G314" s="41"/>
      <c r="H314" s="41"/>
      <c r="I314" s="57"/>
      <c r="J314" s="36"/>
      <c r="K314" s="57"/>
      <c r="L314" s="57"/>
      <c r="M314" s="57"/>
      <c r="N314" s="42"/>
      <c r="O314" s="57"/>
      <c r="P314" s="43"/>
      <c r="Q314" s="41"/>
      <c r="R314" s="43"/>
      <c r="S314" s="36"/>
      <c r="T314" s="16">
        <f t="shared" si="8"/>
        <v>0</v>
      </c>
      <c r="U314" s="16">
        <f t="shared" si="9"/>
        <v>0</v>
      </c>
      <c r="V314" s="133"/>
    </row>
    <row r="315" spans="1:22" s="56" customFormat="1">
      <c r="A315" s="58"/>
      <c r="B315" s="36"/>
      <c r="C315" s="58"/>
      <c r="D315" s="57"/>
      <c r="E315" s="57"/>
      <c r="F315" s="41"/>
      <c r="G315" s="41"/>
      <c r="H315" s="41"/>
      <c r="I315" s="57"/>
      <c r="J315" s="36"/>
      <c r="K315" s="57"/>
      <c r="L315" s="57"/>
      <c r="M315" s="57"/>
      <c r="N315" s="42"/>
      <c r="O315" s="57"/>
      <c r="P315" s="43"/>
      <c r="Q315" s="41"/>
      <c r="R315" s="43"/>
      <c r="S315" s="36"/>
      <c r="T315" s="16">
        <f t="shared" si="8"/>
        <v>0</v>
      </c>
      <c r="U315" s="16">
        <f t="shared" si="9"/>
        <v>0</v>
      </c>
      <c r="V315" s="133"/>
    </row>
    <row r="316" spans="1:22" s="56" customFormat="1">
      <c r="A316" s="58"/>
      <c r="B316" s="36"/>
      <c r="C316" s="58"/>
      <c r="D316" s="57"/>
      <c r="E316" s="57"/>
      <c r="F316" s="41"/>
      <c r="G316" s="41"/>
      <c r="H316" s="41"/>
      <c r="I316" s="57"/>
      <c r="J316" s="36"/>
      <c r="K316" s="57"/>
      <c r="L316" s="57"/>
      <c r="M316" s="57"/>
      <c r="N316" s="42"/>
      <c r="O316" s="57"/>
      <c r="P316" s="43"/>
      <c r="Q316" s="41"/>
      <c r="R316" s="43"/>
      <c r="S316" s="36"/>
      <c r="T316" s="16">
        <f t="shared" si="8"/>
        <v>0</v>
      </c>
      <c r="U316" s="16">
        <f t="shared" si="9"/>
        <v>0</v>
      </c>
      <c r="V316" s="133"/>
    </row>
    <row r="317" spans="1:22" s="56" customFormat="1">
      <c r="A317" s="58"/>
      <c r="B317" s="36"/>
      <c r="C317" s="58"/>
      <c r="D317" s="57"/>
      <c r="E317" s="57"/>
      <c r="F317" s="41"/>
      <c r="G317" s="41"/>
      <c r="H317" s="41"/>
      <c r="I317" s="57"/>
      <c r="J317" s="36"/>
      <c r="K317" s="57"/>
      <c r="L317" s="57"/>
      <c r="M317" s="57"/>
      <c r="N317" s="42"/>
      <c r="O317" s="57"/>
      <c r="P317" s="43"/>
      <c r="Q317" s="41"/>
      <c r="R317" s="43"/>
      <c r="S317" s="36"/>
      <c r="T317" s="16">
        <f t="shared" si="8"/>
        <v>0</v>
      </c>
      <c r="U317" s="16">
        <f t="shared" si="9"/>
        <v>0</v>
      </c>
      <c r="V317" s="133"/>
    </row>
    <row r="318" spans="1:22" s="56" customFormat="1">
      <c r="A318" s="58"/>
      <c r="B318" s="36"/>
      <c r="C318" s="58"/>
      <c r="D318" s="57"/>
      <c r="E318" s="57"/>
      <c r="F318" s="41"/>
      <c r="G318" s="41"/>
      <c r="H318" s="41"/>
      <c r="I318" s="57"/>
      <c r="J318" s="36"/>
      <c r="K318" s="57"/>
      <c r="L318" s="57"/>
      <c r="M318" s="57"/>
      <c r="N318" s="42"/>
      <c r="O318" s="57"/>
      <c r="P318" s="43"/>
      <c r="Q318" s="41"/>
      <c r="R318" s="43"/>
      <c r="S318" s="36"/>
      <c r="T318" s="16">
        <f t="shared" si="8"/>
        <v>0</v>
      </c>
      <c r="U318" s="16">
        <f t="shared" si="9"/>
        <v>0</v>
      </c>
      <c r="V318" s="133"/>
    </row>
    <row r="319" spans="1:22" s="56" customFormat="1">
      <c r="A319" s="58"/>
      <c r="B319" s="36"/>
      <c r="C319" s="58"/>
      <c r="D319" s="57"/>
      <c r="E319" s="57"/>
      <c r="F319" s="41"/>
      <c r="G319" s="41"/>
      <c r="H319" s="41"/>
      <c r="I319" s="57"/>
      <c r="J319" s="36"/>
      <c r="K319" s="57"/>
      <c r="L319" s="57"/>
      <c r="M319" s="57"/>
      <c r="N319" s="42"/>
      <c r="O319" s="57"/>
      <c r="P319" s="43"/>
      <c r="Q319" s="41"/>
      <c r="R319" s="43"/>
      <c r="S319" s="36"/>
      <c r="T319" s="16">
        <f t="shared" si="8"/>
        <v>0</v>
      </c>
      <c r="U319" s="16">
        <f t="shared" si="9"/>
        <v>0</v>
      </c>
      <c r="V319" s="133"/>
    </row>
    <row r="320" spans="1:22" s="56" customFormat="1">
      <c r="A320" s="58"/>
      <c r="B320" s="36"/>
      <c r="C320" s="58"/>
      <c r="D320" s="57"/>
      <c r="E320" s="57"/>
      <c r="F320" s="41"/>
      <c r="G320" s="41"/>
      <c r="H320" s="41"/>
      <c r="I320" s="57"/>
      <c r="J320" s="36"/>
      <c r="K320" s="57"/>
      <c r="L320" s="57"/>
      <c r="M320" s="57"/>
      <c r="N320" s="42"/>
      <c r="O320" s="57"/>
      <c r="P320" s="43"/>
      <c r="Q320" s="41"/>
      <c r="R320" s="43"/>
      <c r="S320" s="36"/>
      <c r="T320" s="16">
        <f t="shared" si="8"/>
        <v>0</v>
      </c>
      <c r="U320" s="16">
        <f t="shared" si="9"/>
        <v>0</v>
      </c>
      <c r="V320" s="133"/>
    </row>
    <row r="321" spans="1:22" s="56" customFormat="1">
      <c r="A321" s="58"/>
      <c r="B321" s="36"/>
      <c r="C321" s="58"/>
      <c r="D321" s="57"/>
      <c r="E321" s="57"/>
      <c r="F321" s="41"/>
      <c r="G321" s="41"/>
      <c r="H321" s="41"/>
      <c r="I321" s="57"/>
      <c r="J321" s="36"/>
      <c r="K321" s="57"/>
      <c r="L321" s="57"/>
      <c r="M321" s="57"/>
      <c r="N321" s="42"/>
      <c r="O321" s="57"/>
      <c r="P321" s="43"/>
      <c r="Q321" s="41"/>
      <c r="R321" s="43"/>
      <c r="S321" s="36"/>
      <c r="T321" s="16">
        <f t="shared" si="8"/>
        <v>0</v>
      </c>
      <c r="U321" s="16">
        <f t="shared" si="9"/>
        <v>0</v>
      </c>
      <c r="V321" s="133"/>
    </row>
    <row r="322" spans="1:22" s="56" customFormat="1">
      <c r="A322" s="58"/>
      <c r="B322" s="36"/>
      <c r="C322" s="58"/>
      <c r="D322" s="57"/>
      <c r="E322" s="57"/>
      <c r="F322" s="41"/>
      <c r="G322" s="41"/>
      <c r="H322" s="41"/>
      <c r="I322" s="57"/>
      <c r="J322" s="36"/>
      <c r="K322" s="57"/>
      <c r="L322" s="57"/>
      <c r="M322" s="57"/>
      <c r="N322" s="42"/>
      <c r="O322" s="57"/>
      <c r="P322" s="43"/>
      <c r="Q322" s="41"/>
      <c r="R322" s="43"/>
      <c r="S322" s="36"/>
      <c r="T322" s="16">
        <f t="shared" si="8"/>
        <v>0</v>
      </c>
      <c r="U322" s="16">
        <f t="shared" si="9"/>
        <v>0</v>
      </c>
      <c r="V322" s="133"/>
    </row>
    <row r="323" spans="1:22" s="56" customFormat="1">
      <c r="A323" s="58"/>
      <c r="B323" s="36"/>
      <c r="C323" s="58"/>
      <c r="D323" s="57"/>
      <c r="E323" s="57"/>
      <c r="F323" s="41"/>
      <c r="G323" s="41"/>
      <c r="H323" s="41"/>
      <c r="I323" s="57"/>
      <c r="J323" s="36"/>
      <c r="K323" s="57"/>
      <c r="L323" s="57"/>
      <c r="M323" s="57"/>
      <c r="N323" s="42"/>
      <c r="O323" s="57"/>
      <c r="P323" s="43"/>
      <c r="Q323" s="41"/>
      <c r="R323" s="43"/>
      <c r="S323" s="36"/>
      <c r="T323" s="16">
        <f t="shared" si="8"/>
        <v>0</v>
      </c>
      <c r="U323" s="16">
        <f t="shared" si="9"/>
        <v>0</v>
      </c>
      <c r="V323" s="133"/>
    </row>
    <row r="324" spans="1:22" s="56" customFormat="1">
      <c r="A324" s="58"/>
      <c r="B324" s="36"/>
      <c r="C324" s="58"/>
      <c r="D324" s="57"/>
      <c r="E324" s="57"/>
      <c r="F324" s="41"/>
      <c r="G324" s="41"/>
      <c r="H324" s="41"/>
      <c r="I324" s="57"/>
      <c r="J324" s="36"/>
      <c r="K324" s="57"/>
      <c r="L324" s="57"/>
      <c r="M324" s="57"/>
      <c r="N324" s="42"/>
      <c r="O324" s="57"/>
      <c r="P324" s="43"/>
      <c r="Q324" s="41"/>
      <c r="R324" s="43"/>
      <c r="S324" s="36"/>
      <c r="T324" s="16">
        <f t="shared" si="8"/>
        <v>0</v>
      </c>
      <c r="U324" s="16">
        <f t="shared" si="9"/>
        <v>0</v>
      </c>
      <c r="V324" s="133"/>
    </row>
    <row r="325" spans="1:22" s="56" customFormat="1">
      <c r="A325" s="58"/>
      <c r="B325" s="36"/>
      <c r="C325" s="58"/>
      <c r="D325" s="57"/>
      <c r="E325" s="57"/>
      <c r="F325" s="41"/>
      <c r="G325" s="41"/>
      <c r="H325" s="41"/>
      <c r="I325" s="57"/>
      <c r="J325" s="36"/>
      <c r="K325" s="57"/>
      <c r="L325" s="57"/>
      <c r="M325" s="57"/>
      <c r="N325" s="42"/>
      <c r="O325" s="57"/>
      <c r="P325" s="43"/>
      <c r="Q325" s="41"/>
      <c r="R325" s="43"/>
      <c r="S325" s="36"/>
      <c r="T325" s="16">
        <f t="shared" ref="T325:T388" si="10">IF(OR($J325="Accepted",ISBLANK($J325)),IF(AND($G325="Legacy Data",$Q325="Legacy Data"),1,IF(OR($G325="Legacy Data",$Q325="Legacy Data"),1,0)),IF(OR($N325="Agree with original translator",ISBLANK($N325)),IF(AND($G325="Source Text Data",$Q325="Legacy Data"),1,IF(AND($G325="Legacy Data",$Q325="Legacy Data"),1,IF($Q325="Legacy Data",1,0))),IF(AND($G325="Legacy Data",$Q325="Legacy Data"),1,IF(OR($Q325="Legacy Data",ISBLANK($Q325)),IF($G325&lt;&gt;"Legacy Data",IF(AND($G325="Source Text Data",$Q325="Legacy Data"),1,0),1),0))))</f>
        <v>0</v>
      </c>
      <c r="U325" s="16">
        <f t="shared" ref="U325:U388" si="11">IF(OR($J325="Accepted",ISBLANK($J325)),IF(AND($G325="Source Text Data",$Q325="Source Text Data"),1,IF(OR($G325="Source Text Data",$Q325="Source Text Data"),1,0)),IF(OR($N325="Agree with original translator",ISBLANK($N325)),IF(AND($G325="Legacy Data",$Q325="Source Text Data"),1,IF(AND($G325="Source Text Data",$Q325="Source Text Data"),1,IF($Q325="Source Text Data",1,0))),IF(AND($G325="Source Text Data",$Q325="Source Text Data"),1,IF(OR($Q325="Source Text Data",ISBLANK($Q325)),IF($G325&lt;&gt;"Source Text Data",IF(AND($G325="Legacy Data",$Q325="Source Text Data"),1,0),1),0))))</f>
        <v>0</v>
      </c>
      <c r="V325" s="133"/>
    </row>
    <row r="326" spans="1:22" s="56" customFormat="1">
      <c r="A326" s="58"/>
      <c r="B326" s="36"/>
      <c r="C326" s="58"/>
      <c r="D326" s="57"/>
      <c r="E326" s="57"/>
      <c r="F326" s="41"/>
      <c r="G326" s="41"/>
      <c r="H326" s="41"/>
      <c r="I326" s="57"/>
      <c r="J326" s="36"/>
      <c r="K326" s="57"/>
      <c r="L326" s="57"/>
      <c r="M326" s="57"/>
      <c r="N326" s="42"/>
      <c r="O326" s="57"/>
      <c r="P326" s="43"/>
      <c r="Q326" s="41"/>
      <c r="R326" s="43"/>
      <c r="S326" s="36"/>
      <c r="T326" s="16">
        <f t="shared" si="10"/>
        <v>0</v>
      </c>
      <c r="U326" s="16">
        <f t="shared" si="11"/>
        <v>0</v>
      </c>
      <c r="V326" s="133"/>
    </row>
    <row r="327" spans="1:22" s="56" customFormat="1">
      <c r="A327" s="58"/>
      <c r="B327" s="36"/>
      <c r="C327" s="58"/>
      <c r="D327" s="57"/>
      <c r="E327" s="57"/>
      <c r="F327" s="41"/>
      <c r="G327" s="41"/>
      <c r="H327" s="41"/>
      <c r="I327" s="57"/>
      <c r="J327" s="36"/>
      <c r="K327" s="57"/>
      <c r="L327" s="57"/>
      <c r="M327" s="57"/>
      <c r="N327" s="42"/>
      <c r="O327" s="57"/>
      <c r="P327" s="43"/>
      <c r="Q327" s="41"/>
      <c r="R327" s="43"/>
      <c r="S327" s="36"/>
      <c r="T327" s="16">
        <f t="shared" si="10"/>
        <v>0</v>
      </c>
      <c r="U327" s="16">
        <f t="shared" si="11"/>
        <v>0</v>
      </c>
      <c r="V327" s="133"/>
    </row>
    <row r="328" spans="1:22" s="56" customFormat="1">
      <c r="A328" s="58"/>
      <c r="B328" s="36"/>
      <c r="C328" s="58"/>
      <c r="D328" s="57"/>
      <c r="E328" s="57"/>
      <c r="F328" s="41"/>
      <c r="G328" s="41"/>
      <c r="H328" s="41"/>
      <c r="I328" s="57"/>
      <c r="J328" s="36"/>
      <c r="K328" s="57"/>
      <c r="L328" s="57"/>
      <c r="M328" s="57"/>
      <c r="N328" s="42"/>
      <c r="O328" s="57"/>
      <c r="P328" s="43"/>
      <c r="Q328" s="41"/>
      <c r="R328" s="43"/>
      <c r="S328" s="36"/>
      <c r="T328" s="16">
        <f t="shared" si="10"/>
        <v>0</v>
      </c>
      <c r="U328" s="16">
        <f t="shared" si="11"/>
        <v>0</v>
      </c>
      <c r="V328" s="133"/>
    </row>
    <row r="329" spans="1:22" s="56" customFormat="1">
      <c r="A329" s="58"/>
      <c r="B329" s="36"/>
      <c r="C329" s="58"/>
      <c r="D329" s="57"/>
      <c r="E329" s="57"/>
      <c r="F329" s="41"/>
      <c r="G329" s="41"/>
      <c r="H329" s="41"/>
      <c r="I329" s="57"/>
      <c r="J329" s="36"/>
      <c r="K329" s="57"/>
      <c r="L329" s="57"/>
      <c r="M329" s="57"/>
      <c r="N329" s="42"/>
      <c r="O329" s="57"/>
      <c r="P329" s="43"/>
      <c r="Q329" s="41"/>
      <c r="R329" s="43"/>
      <c r="S329" s="36"/>
      <c r="T329" s="16">
        <f t="shared" si="10"/>
        <v>0</v>
      </c>
      <c r="U329" s="16">
        <f t="shared" si="11"/>
        <v>0</v>
      </c>
      <c r="V329" s="133"/>
    </row>
    <row r="330" spans="1:22" s="56" customFormat="1">
      <c r="A330" s="58"/>
      <c r="B330" s="36"/>
      <c r="C330" s="58"/>
      <c r="D330" s="57"/>
      <c r="E330" s="57"/>
      <c r="F330" s="41"/>
      <c r="G330" s="41"/>
      <c r="H330" s="41"/>
      <c r="I330" s="57"/>
      <c r="J330" s="36"/>
      <c r="K330" s="57"/>
      <c r="L330" s="57"/>
      <c r="M330" s="57"/>
      <c r="N330" s="42"/>
      <c r="O330" s="57"/>
      <c r="P330" s="43"/>
      <c r="Q330" s="41"/>
      <c r="R330" s="43"/>
      <c r="S330" s="36"/>
      <c r="T330" s="16">
        <f t="shared" si="10"/>
        <v>0</v>
      </c>
      <c r="U330" s="16">
        <f t="shared" si="11"/>
        <v>0</v>
      </c>
      <c r="V330" s="133"/>
    </row>
    <row r="331" spans="1:22" s="56" customFormat="1">
      <c r="A331" s="58"/>
      <c r="B331" s="36"/>
      <c r="C331" s="58"/>
      <c r="D331" s="57"/>
      <c r="E331" s="57"/>
      <c r="F331" s="41"/>
      <c r="G331" s="41"/>
      <c r="H331" s="41"/>
      <c r="I331" s="57"/>
      <c r="J331" s="36"/>
      <c r="K331" s="57"/>
      <c r="L331" s="57"/>
      <c r="M331" s="57"/>
      <c r="N331" s="42"/>
      <c r="O331" s="57"/>
      <c r="P331" s="43"/>
      <c r="Q331" s="41"/>
      <c r="R331" s="43"/>
      <c r="S331" s="36"/>
      <c r="T331" s="16">
        <f t="shared" si="10"/>
        <v>0</v>
      </c>
      <c r="U331" s="16">
        <f t="shared" si="11"/>
        <v>0</v>
      </c>
      <c r="V331" s="133"/>
    </row>
    <row r="332" spans="1:22" s="56" customFormat="1">
      <c r="A332" s="58"/>
      <c r="B332" s="36"/>
      <c r="C332" s="58"/>
      <c r="D332" s="57"/>
      <c r="E332" s="57"/>
      <c r="F332" s="41"/>
      <c r="G332" s="41"/>
      <c r="H332" s="41"/>
      <c r="I332" s="57"/>
      <c r="J332" s="36"/>
      <c r="K332" s="57"/>
      <c r="L332" s="57"/>
      <c r="M332" s="57"/>
      <c r="N332" s="42"/>
      <c r="O332" s="57"/>
      <c r="P332" s="43"/>
      <c r="Q332" s="41"/>
      <c r="R332" s="43"/>
      <c r="S332" s="36"/>
      <c r="T332" s="16">
        <f t="shared" si="10"/>
        <v>0</v>
      </c>
      <c r="U332" s="16">
        <f t="shared" si="11"/>
        <v>0</v>
      </c>
      <c r="V332" s="133"/>
    </row>
    <row r="333" spans="1:22" s="56" customFormat="1">
      <c r="A333" s="58"/>
      <c r="B333" s="36"/>
      <c r="C333" s="58"/>
      <c r="D333" s="57"/>
      <c r="E333" s="57"/>
      <c r="F333" s="41"/>
      <c r="G333" s="41"/>
      <c r="H333" s="41"/>
      <c r="I333" s="57"/>
      <c r="J333" s="36"/>
      <c r="K333" s="57"/>
      <c r="L333" s="57"/>
      <c r="M333" s="57"/>
      <c r="N333" s="42"/>
      <c r="O333" s="57"/>
      <c r="P333" s="43"/>
      <c r="Q333" s="41"/>
      <c r="R333" s="43"/>
      <c r="S333" s="36"/>
      <c r="T333" s="16">
        <f t="shared" si="10"/>
        <v>0</v>
      </c>
      <c r="U333" s="16">
        <f t="shared" si="11"/>
        <v>0</v>
      </c>
      <c r="V333" s="133"/>
    </row>
    <row r="334" spans="1:22" s="56" customFormat="1">
      <c r="A334" s="58"/>
      <c r="B334" s="36"/>
      <c r="C334" s="58"/>
      <c r="D334" s="57"/>
      <c r="E334" s="57"/>
      <c r="F334" s="41"/>
      <c r="G334" s="41"/>
      <c r="H334" s="41"/>
      <c r="I334" s="57"/>
      <c r="J334" s="36"/>
      <c r="K334" s="57"/>
      <c r="L334" s="57"/>
      <c r="M334" s="57"/>
      <c r="N334" s="42"/>
      <c r="O334" s="57"/>
      <c r="P334" s="43"/>
      <c r="Q334" s="41"/>
      <c r="R334" s="43"/>
      <c r="S334" s="36"/>
      <c r="T334" s="16">
        <f t="shared" si="10"/>
        <v>0</v>
      </c>
      <c r="U334" s="16">
        <f t="shared" si="11"/>
        <v>0</v>
      </c>
      <c r="V334" s="133"/>
    </row>
    <row r="335" spans="1:22" s="56" customFormat="1">
      <c r="A335" s="58"/>
      <c r="B335" s="36"/>
      <c r="C335" s="58"/>
      <c r="D335" s="57"/>
      <c r="E335" s="57"/>
      <c r="F335" s="41"/>
      <c r="G335" s="41"/>
      <c r="H335" s="41"/>
      <c r="I335" s="57"/>
      <c r="J335" s="36"/>
      <c r="K335" s="57"/>
      <c r="L335" s="57"/>
      <c r="M335" s="57"/>
      <c r="N335" s="42"/>
      <c r="O335" s="57"/>
      <c r="P335" s="43"/>
      <c r="Q335" s="41"/>
      <c r="R335" s="43"/>
      <c r="S335" s="36"/>
      <c r="T335" s="16">
        <f t="shared" si="10"/>
        <v>0</v>
      </c>
      <c r="U335" s="16">
        <f t="shared" si="11"/>
        <v>0</v>
      </c>
      <c r="V335" s="133"/>
    </row>
    <row r="336" spans="1:22" s="56" customFormat="1">
      <c r="A336" s="58"/>
      <c r="B336" s="36"/>
      <c r="C336" s="58"/>
      <c r="D336" s="57"/>
      <c r="E336" s="57"/>
      <c r="F336" s="41"/>
      <c r="G336" s="41"/>
      <c r="H336" s="41"/>
      <c r="I336" s="57"/>
      <c r="J336" s="36"/>
      <c r="K336" s="57"/>
      <c r="L336" s="57"/>
      <c r="M336" s="57"/>
      <c r="N336" s="42"/>
      <c r="O336" s="57"/>
      <c r="P336" s="43"/>
      <c r="Q336" s="41"/>
      <c r="R336" s="43"/>
      <c r="S336" s="36"/>
      <c r="T336" s="16">
        <f t="shared" si="10"/>
        <v>0</v>
      </c>
      <c r="U336" s="16">
        <f t="shared" si="11"/>
        <v>0</v>
      </c>
      <c r="V336" s="133"/>
    </row>
    <row r="337" spans="1:22" s="56" customFormat="1">
      <c r="A337" s="58"/>
      <c r="B337" s="36"/>
      <c r="C337" s="58"/>
      <c r="D337" s="57"/>
      <c r="E337" s="57"/>
      <c r="F337" s="41"/>
      <c r="G337" s="41"/>
      <c r="H337" s="41"/>
      <c r="I337" s="57"/>
      <c r="J337" s="36"/>
      <c r="K337" s="57"/>
      <c r="L337" s="57"/>
      <c r="M337" s="57"/>
      <c r="N337" s="42"/>
      <c r="O337" s="57"/>
      <c r="P337" s="43"/>
      <c r="Q337" s="41"/>
      <c r="R337" s="43"/>
      <c r="S337" s="36"/>
      <c r="T337" s="16">
        <f t="shared" si="10"/>
        <v>0</v>
      </c>
      <c r="U337" s="16">
        <f t="shared" si="11"/>
        <v>0</v>
      </c>
      <c r="V337" s="133"/>
    </row>
    <row r="338" spans="1:22" s="56" customFormat="1">
      <c r="A338" s="58"/>
      <c r="B338" s="36"/>
      <c r="C338" s="58"/>
      <c r="D338" s="57"/>
      <c r="E338" s="57"/>
      <c r="F338" s="41"/>
      <c r="G338" s="41"/>
      <c r="H338" s="41"/>
      <c r="I338" s="57"/>
      <c r="J338" s="36"/>
      <c r="K338" s="57"/>
      <c r="L338" s="57"/>
      <c r="M338" s="57"/>
      <c r="N338" s="42"/>
      <c r="O338" s="57"/>
      <c r="P338" s="43"/>
      <c r="Q338" s="41"/>
      <c r="R338" s="43"/>
      <c r="S338" s="36"/>
      <c r="T338" s="16">
        <f t="shared" si="10"/>
        <v>0</v>
      </c>
      <c r="U338" s="16">
        <f t="shared" si="11"/>
        <v>0</v>
      </c>
      <c r="V338" s="133"/>
    </row>
    <row r="339" spans="1:22" s="56" customFormat="1">
      <c r="A339" s="58"/>
      <c r="B339" s="36"/>
      <c r="C339" s="58"/>
      <c r="D339" s="57"/>
      <c r="E339" s="57"/>
      <c r="F339" s="41"/>
      <c r="G339" s="41"/>
      <c r="H339" s="41"/>
      <c r="I339" s="57"/>
      <c r="J339" s="36"/>
      <c r="K339" s="57"/>
      <c r="L339" s="57"/>
      <c r="M339" s="57"/>
      <c r="N339" s="42"/>
      <c r="O339" s="57"/>
      <c r="P339" s="43"/>
      <c r="Q339" s="41"/>
      <c r="R339" s="43"/>
      <c r="S339" s="36"/>
      <c r="T339" s="16">
        <f t="shared" si="10"/>
        <v>0</v>
      </c>
      <c r="U339" s="16">
        <f t="shared" si="11"/>
        <v>0</v>
      </c>
      <c r="V339" s="133"/>
    </row>
    <row r="340" spans="1:22" s="56" customFormat="1">
      <c r="A340" s="58"/>
      <c r="B340" s="36"/>
      <c r="C340" s="58"/>
      <c r="D340" s="57"/>
      <c r="E340" s="57"/>
      <c r="F340" s="41"/>
      <c r="G340" s="41"/>
      <c r="H340" s="41"/>
      <c r="I340" s="57"/>
      <c r="J340" s="36"/>
      <c r="K340" s="57"/>
      <c r="L340" s="57"/>
      <c r="M340" s="57"/>
      <c r="N340" s="42"/>
      <c r="O340" s="57"/>
      <c r="P340" s="43"/>
      <c r="Q340" s="41"/>
      <c r="R340" s="43"/>
      <c r="S340" s="36"/>
      <c r="T340" s="16">
        <f t="shared" si="10"/>
        <v>0</v>
      </c>
      <c r="U340" s="16">
        <f t="shared" si="11"/>
        <v>0</v>
      </c>
      <c r="V340" s="133"/>
    </row>
    <row r="341" spans="1:22" s="56" customFormat="1">
      <c r="A341" s="58"/>
      <c r="B341" s="36"/>
      <c r="C341" s="58"/>
      <c r="D341" s="57"/>
      <c r="E341" s="57"/>
      <c r="F341" s="41"/>
      <c r="G341" s="41"/>
      <c r="H341" s="41"/>
      <c r="I341" s="57"/>
      <c r="J341" s="36"/>
      <c r="K341" s="57"/>
      <c r="L341" s="57"/>
      <c r="M341" s="57"/>
      <c r="N341" s="42"/>
      <c r="O341" s="57"/>
      <c r="P341" s="43"/>
      <c r="Q341" s="41"/>
      <c r="R341" s="43"/>
      <c r="S341" s="36"/>
      <c r="T341" s="16">
        <f t="shared" si="10"/>
        <v>0</v>
      </c>
      <c r="U341" s="16">
        <f t="shared" si="11"/>
        <v>0</v>
      </c>
      <c r="V341" s="133"/>
    </row>
    <row r="342" spans="1:22" s="56" customFormat="1">
      <c r="A342" s="58"/>
      <c r="B342" s="36"/>
      <c r="C342" s="58"/>
      <c r="D342" s="57"/>
      <c r="E342" s="57"/>
      <c r="F342" s="41"/>
      <c r="G342" s="41"/>
      <c r="H342" s="41"/>
      <c r="I342" s="57"/>
      <c r="J342" s="36"/>
      <c r="K342" s="57"/>
      <c r="L342" s="57"/>
      <c r="M342" s="57"/>
      <c r="N342" s="42"/>
      <c r="O342" s="57"/>
      <c r="P342" s="43"/>
      <c r="Q342" s="41"/>
      <c r="R342" s="43"/>
      <c r="S342" s="36"/>
      <c r="T342" s="16">
        <f t="shared" si="10"/>
        <v>0</v>
      </c>
      <c r="U342" s="16">
        <f t="shared" si="11"/>
        <v>0</v>
      </c>
      <c r="V342" s="133"/>
    </row>
    <row r="343" spans="1:22" s="56" customFormat="1">
      <c r="A343" s="58"/>
      <c r="B343" s="36"/>
      <c r="C343" s="58"/>
      <c r="D343" s="57"/>
      <c r="E343" s="57"/>
      <c r="F343" s="41"/>
      <c r="G343" s="41"/>
      <c r="H343" s="41"/>
      <c r="I343" s="57"/>
      <c r="J343" s="36"/>
      <c r="K343" s="57"/>
      <c r="L343" s="57"/>
      <c r="M343" s="57"/>
      <c r="N343" s="42"/>
      <c r="O343" s="57"/>
      <c r="P343" s="43"/>
      <c r="Q343" s="41"/>
      <c r="R343" s="43"/>
      <c r="S343" s="36"/>
      <c r="T343" s="16">
        <f t="shared" si="10"/>
        <v>0</v>
      </c>
      <c r="U343" s="16">
        <f t="shared" si="11"/>
        <v>0</v>
      </c>
      <c r="V343" s="133"/>
    </row>
    <row r="344" spans="1:22" s="56" customFormat="1">
      <c r="A344" s="58"/>
      <c r="B344" s="36"/>
      <c r="C344" s="58"/>
      <c r="D344" s="57"/>
      <c r="E344" s="57"/>
      <c r="F344" s="41"/>
      <c r="G344" s="41"/>
      <c r="H344" s="41"/>
      <c r="I344" s="57"/>
      <c r="J344" s="36"/>
      <c r="K344" s="57"/>
      <c r="L344" s="57"/>
      <c r="M344" s="57"/>
      <c r="N344" s="42"/>
      <c r="O344" s="57"/>
      <c r="P344" s="43"/>
      <c r="Q344" s="41"/>
      <c r="R344" s="43"/>
      <c r="S344" s="36"/>
      <c r="T344" s="16">
        <f t="shared" si="10"/>
        <v>0</v>
      </c>
      <c r="U344" s="16">
        <f t="shared" si="11"/>
        <v>0</v>
      </c>
      <c r="V344" s="133"/>
    </row>
    <row r="345" spans="1:22" s="56" customFormat="1">
      <c r="A345" s="58"/>
      <c r="B345" s="36"/>
      <c r="C345" s="58"/>
      <c r="D345" s="57"/>
      <c r="E345" s="57"/>
      <c r="F345" s="41"/>
      <c r="G345" s="41"/>
      <c r="H345" s="41"/>
      <c r="I345" s="57"/>
      <c r="J345" s="36"/>
      <c r="K345" s="57"/>
      <c r="L345" s="57"/>
      <c r="M345" s="57"/>
      <c r="N345" s="42"/>
      <c r="O345" s="57"/>
      <c r="P345" s="43"/>
      <c r="Q345" s="41"/>
      <c r="R345" s="43"/>
      <c r="S345" s="36"/>
      <c r="T345" s="16">
        <f t="shared" si="10"/>
        <v>0</v>
      </c>
      <c r="U345" s="16">
        <f t="shared" si="11"/>
        <v>0</v>
      </c>
      <c r="V345" s="133"/>
    </row>
    <row r="346" spans="1:22" s="56" customFormat="1">
      <c r="A346" s="58"/>
      <c r="B346" s="36"/>
      <c r="C346" s="58"/>
      <c r="D346" s="57"/>
      <c r="E346" s="57"/>
      <c r="F346" s="41"/>
      <c r="G346" s="41"/>
      <c r="H346" s="41"/>
      <c r="I346" s="57"/>
      <c r="J346" s="36"/>
      <c r="K346" s="57"/>
      <c r="L346" s="57"/>
      <c r="M346" s="57"/>
      <c r="N346" s="42"/>
      <c r="O346" s="57"/>
      <c r="P346" s="43"/>
      <c r="Q346" s="41"/>
      <c r="R346" s="43"/>
      <c r="S346" s="36"/>
      <c r="T346" s="16">
        <f t="shared" si="10"/>
        <v>0</v>
      </c>
      <c r="U346" s="16">
        <f t="shared" si="11"/>
        <v>0</v>
      </c>
      <c r="V346" s="133"/>
    </row>
    <row r="347" spans="1:22" s="56" customFormat="1">
      <c r="A347" s="58"/>
      <c r="B347" s="36"/>
      <c r="C347" s="58"/>
      <c r="D347" s="57"/>
      <c r="E347" s="57"/>
      <c r="F347" s="41"/>
      <c r="G347" s="41"/>
      <c r="H347" s="41"/>
      <c r="I347" s="57"/>
      <c r="J347" s="36"/>
      <c r="K347" s="57"/>
      <c r="L347" s="57"/>
      <c r="M347" s="57"/>
      <c r="N347" s="42"/>
      <c r="O347" s="57"/>
      <c r="P347" s="43"/>
      <c r="Q347" s="41"/>
      <c r="R347" s="43"/>
      <c r="S347" s="36"/>
      <c r="T347" s="16">
        <f t="shared" si="10"/>
        <v>0</v>
      </c>
      <c r="U347" s="16">
        <f t="shared" si="11"/>
        <v>0</v>
      </c>
      <c r="V347" s="133"/>
    </row>
    <row r="348" spans="1:22" s="56" customFormat="1">
      <c r="A348" s="58"/>
      <c r="B348" s="36"/>
      <c r="C348" s="58"/>
      <c r="D348" s="57"/>
      <c r="E348" s="57"/>
      <c r="F348" s="41"/>
      <c r="G348" s="41"/>
      <c r="H348" s="41"/>
      <c r="I348" s="57"/>
      <c r="J348" s="36"/>
      <c r="K348" s="57"/>
      <c r="L348" s="57"/>
      <c r="M348" s="57"/>
      <c r="N348" s="42"/>
      <c r="O348" s="57"/>
      <c r="P348" s="43"/>
      <c r="Q348" s="41"/>
      <c r="R348" s="43"/>
      <c r="S348" s="36"/>
      <c r="T348" s="16">
        <f t="shared" si="10"/>
        <v>0</v>
      </c>
      <c r="U348" s="16">
        <f t="shared" si="11"/>
        <v>0</v>
      </c>
      <c r="V348" s="133"/>
    </row>
    <row r="349" spans="1:22" s="56" customFormat="1">
      <c r="A349" s="58"/>
      <c r="B349" s="36"/>
      <c r="C349" s="58"/>
      <c r="D349" s="57"/>
      <c r="E349" s="57"/>
      <c r="F349" s="41"/>
      <c r="G349" s="41"/>
      <c r="H349" s="41"/>
      <c r="I349" s="57"/>
      <c r="J349" s="36"/>
      <c r="K349" s="57"/>
      <c r="L349" s="57"/>
      <c r="M349" s="57"/>
      <c r="N349" s="42"/>
      <c r="O349" s="57"/>
      <c r="P349" s="43"/>
      <c r="Q349" s="41"/>
      <c r="R349" s="43"/>
      <c r="S349" s="36"/>
      <c r="T349" s="16">
        <f t="shared" si="10"/>
        <v>0</v>
      </c>
      <c r="U349" s="16">
        <f t="shared" si="11"/>
        <v>0</v>
      </c>
      <c r="V349" s="133"/>
    </row>
    <row r="350" spans="1:22" s="56" customFormat="1">
      <c r="A350" s="58"/>
      <c r="B350" s="36"/>
      <c r="C350" s="58"/>
      <c r="D350" s="57"/>
      <c r="E350" s="57"/>
      <c r="F350" s="41"/>
      <c r="G350" s="41"/>
      <c r="H350" s="41"/>
      <c r="I350" s="57"/>
      <c r="J350" s="36"/>
      <c r="K350" s="57"/>
      <c r="L350" s="57"/>
      <c r="M350" s="57"/>
      <c r="N350" s="42"/>
      <c r="O350" s="57"/>
      <c r="P350" s="43"/>
      <c r="Q350" s="41"/>
      <c r="R350" s="43"/>
      <c r="S350" s="36"/>
      <c r="T350" s="16">
        <f t="shared" si="10"/>
        <v>0</v>
      </c>
      <c r="U350" s="16">
        <f t="shared" si="11"/>
        <v>0</v>
      </c>
      <c r="V350" s="133"/>
    </row>
    <row r="351" spans="1:22" s="56" customFormat="1">
      <c r="A351" s="58"/>
      <c r="B351" s="36"/>
      <c r="C351" s="58"/>
      <c r="D351" s="57"/>
      <c r="E351" s="57"/>
      <c r="F351" s="41"/>
      <c r="G351" s="41"/>
      <c r="H351" s="41"/>
      <c r="I351" s="57"/>
      <c r="J351" s="36"/>
      <c r="K351" s="57"/>
      <c r="L351" s="57"/>
      <c r="M351" s="57"/>
      <c r="N351" s="42"/>
      <c r="O351" s="57"/>
      <c r="P351" s="43"/>
      <c r="Q351" s="41"/>
      <c r="R351" s="43"/>
      <c r="S351" s="36"/>
      <c r="T351" s="16">
        <f t="shared" si="10"/>
        <v>0</v>
      </c>
      <c r="U351" s="16">
        <f t="shared" si="11"/>
        <v>0</v>
      </c>
      <c r="V351" s="133"/>
    </row>
    <row r="352" spans="1:22" s="56" customFormat="1">
      <c r="A352" s="58"/>
      <c r="B352" s="36"/>
      <c r="C352" s="58"/>
      <c r="D352" s="57"/>
      <c r="E352" s="57"/>
      <c r="F352" s="41"/>
      <c r="G352" s="41"/>
      <c r="H352" s="41"/>
      <c r="I352" s="57"/>
      <c r="J352" s="36"/>
      <c r="K352" s="57"/>
      <c r="L352" s="57"/>
      <c r="M352" s="57"/>
      <c r="N352" s="42"/>
      <c r="O352" s="57"/>
      <c r="P352" s="43"/>
      <c r="Q352" s="41"/>
      <c r="R352" s="43"/>
      <c r="S352" s="36"/>
      <c r="T352" s="16">
        <f t="shared" si="10"/>
        <v>0</v>
      </c>
      <c r="U352" s="16">
        <f t="shared" si="11"/>
        <v>0</v>
      </c>
      <c r="V352" s="133"/>
    </row>
    <row r="353" spans="1:22" s="56" customFormat="1">
      <c r="A353" s="58"/>
      <c r="B353" s="36"/>
      <c r="C353" s="58"/>
      <c r="D353" s="57"/>
      <c r="E353" s="57"/>
      <c r="F353" s="41"/>
      <c r="G353" s="41"/>
      <c r="H353" s="41"/>
      <c r="I353" s="57"/>
      <c r="J353" s="36"/>
      <c r="K353" s="57"/>
      <c r="L353" s="57"/>
      <c r="M353" s="57"/>
      <c r="N353" s="42"/>
      <c r="O353" s="57"/>
      <c r="P353" s="43"/>
      <c r="Q353" s="41"/>
      <c r="R353" s="43"/>
      <c r="S353" s="36"/>
      <c r="T353" s="16">
        <f t="shared" si="10"/>
        <v>0</v>
      </c>
      <c r="U353" s="16">
        <f t="shared" si="11"/>
        <v>0</v>
      </c>
      <c r="V353" s="133"/>
    </row>
    <row r="354" spans="1:22" s="56" customFormat="1">
      <c r="A354" s="58"/>
      <c r="B354" s="36"/>
      <c r="C354" s="58"/>
      <c r="D354" s="57"/>
      <c r="E354" s="57"/>
      <c r="F354" s="41"/>
      <c r="G354" s="41"/>
      <c r="H354" s="41"/>
      <c r="I354" s="57"/>
      <c r="J354" s="36"/>
      <c r="K354" s="57"/>
      <c r="L354" s="57"/>
      <c r="M354" s="57"/>
      <c r="N354" s="42"/>
      <c r="O354" s="57"/>
      <c r="P354" s="43"/>
      <c r="Q354" s="41"/>
      <c r="R354" s="43"/>
      <c r="S354" s="36"/>
      <c r="T354" s="16">
        <f t="shared" si="10"/>
        <v>0</v>
      </c>
      <c r="U354" s="16">
        <f t="shared" si="11"/>
        <v>0</v>
      </c>
      <c r="V354" s="133"/>
    </row>
    <row r="355" spans="1:22" s="56" customFormat="1">
      <c r="A355" s="58"/>
      <c r="B355" s="36"/>
      <c r="C355" s="58"/>
      <c r="D355" s="57"/>
      <c r="E355" s="57"/>
      <c r="F355" s="41"/>
      <c r="G355" s="41"/>
      <c r="H355" s="41"/>
      <c r="I355" s="57"/>
      <c r="J355" s="36"/>
      <c r="K355" s="57"/>
      <c r="L355" s="57"/>
      <c r="M355" s="57"/>
      <c r="N355" s="42"/>
      <c r="O355" s="57"/>
      <c r="P355" s="43"/>
      <c r="Q355" s="41"/>
      <c r="R355" s="43"/>
      <c r="S355" s="36"/>
      <c r="T355" s="16">
        <f t="shared" si="10"/>
        <v>0</v>
      </c>
      <c r="U355" s="16">
        <f t="shared" si="11"/>
        <v>0</v>
      </c>
      <c r="V355" s="133"/>
    </row>
    <row r="356" spans="1:22" s="56" customFormat="1">
      <c r="A356" s="58"/>
      <c r="B356" s="36"/>
      <c r="C356" s="58"/>
      <c r="D356" s="57"/>
      <c r="E356" s="57"/>
      <c r="F356" s="41"/>
      <c r="G356" s="41"/>
      <c r="H356" s="41"/>
      <c r="I356" s="57"/>
      <c r="J356" s="36"/>
      <c r="K356" s="57"/>
      <c r="L356" s="57"/>
      <c r="M356" s="57"/>
      <c r="N356" s="42"/>
      <c r="O356" s="57"/>
      <c r="P356" s="43"/>
      <c r="Q356" s="41"/>
      <c r="R356" s="43"/>
      <c r="S356" s="36"/>
      <c r="T356" s="16">
        <f t="shared" si="10"/>
        <v>0</v>
      </c>
      <c r="U356" s="16">
        <f t="shared" si="11"/>
        <v>0</v>
      </c>
      <c r="V356" s="133"/>
    </row>
    <row r="357" spans="1:22" s="56" customFormat="1">
      <c r="A357" s="58"/>
      <c r="B357" s="36"/>
      <c r="C357" s="58"/>
      <c r="D357" s="57"/>
      <c r="E357" s="57"/>
      <c r="F357" s="41"/>
      <c r="G357" s="41"/>
      <c r="H357" s="41"/>
      <c r="I357" s="57"/>
      <c r="J357" s="36"/>
      <c r="K357" s="57"/>
      <c r="L357" s="57"/>
      <c r="M357" s="57"/>
      <c r="N357" s="42"/>
      <c r="O357" s="57"/>
      <c r="P357" s="43"/>
      <c r="Q357" s="41"/>
      <c r="R357" s="43"/>
      <c r="S357" s="36"/>
      <c r="T357" s="16">
        <f t="shared" si="10"/>
        <v>0</v>
      </c>
      <c r="U357" s="16">
        <f t="shared" si="11"/>
        <v>0</v>
      </c>
      <c r="V357" s="133"/>
    </row>
    <row r="358" spans="1:22" s="56" customFormat="1">
      <c r="A358" s="58"/>
      <c r="B358" s="36"/>
      <c r="C358" s="58"/>
      <c r="D358" s="57"/>
      <c r="E358" s="57"/>
      <c r="F358" s="41"/>
      <c r="G358" s="41"/>
      <c r="H358" s="41"/>
      <c r="I358" s="57"/>
      <c r="J358" s="36"/>
      <c r="K358" s="57"/>
      <c r="L358" s="57"/>
      <c r="M358" s="57"/>
      <c r="N358" s="42"/>
      <c r="O358" s="57"/>
      <c r="P358" s="43"/>
      <c r="Q358" s="41"/>
      <c r="R358" s="43"/>
      <c r="S358" s="36"/>
      <c r="T358" s="16">
        <f t="shared" si="10"/>
        <v>0</v>
      </c>
      <c r="U358" s="16">
        <f t="shared" si="11"/>
        <v>0</v>
      </c>
      <c r="V358" s="133"/>
    </row>
    <row r="359" spans="1:22" s="56" customFormat="1">
      <c r="A359" s="58"/>
      <c r="B359" s="36"/>
      <c r="C359" s="58"/>
      <c r="D359" s="57"/>
      <c r="E359" s="57"/>
      <c r="F359" s="41"/>
      <c r="G359" s="41"/>
      <c r="H359" s="41"/>
      <c r="I359" s="57"/>
      <c r="J359" s="36"/>
      <c r="K359" s="57"/>
      <c r="L359" s="57"/>
      <c r="M359" s="57"/>
      <c r="N359" s="42"/>
      <c r="O359" s="57"/>
      <c r="P359" s="43"/>
      <c r="Q359" s="41"/>
      <c r="R359" s="43"/>
      <c r="S359" s="36"/>
      <c r="T359" s="16">
        <f t="shared" si="10"/>
        <v>0</v>
      </c>
      <c r="U359" s="16">
        <f t="shared" si="11"/>
        <v>0</v>
      </c>
      <c r="V359" s="133"/>
    </row>
    <row r="360" spans="1:22" s="56" customFormat="1">
      <c r="A360" s="58"/>
      <c r="B360" s="36"/>
      <c r="C360" s="58"/>
      <c r="D360" s="57"/>
      <c r="E360" s="57"/>
      <c r="F360" s="41"/>
      <c r="G360" s="41"/>
      <c r="H360" s="41"/>
      <c r="I360" s="57"/>
      <c r="J360" s="36"/>
      <c r="K360" s="57"/>
      <c r="L360" s="57"/>
      <c r="M360" s="57"/>
      <c r="N360" s="42"/>
      <c r="O360" s="57"/>
      <c r="P360" s="43"/>
      <c r="Q360" s="41"/>
      <c r="R360" s="43"/>
      <c r="S360" s="36"/>
      <c r="T360" s="16">
        <f t="shared" si="10"/>
        <v>0</v>
      </c>
      <c r="U360" s="16">
        <f t="shared" si="11"/>
        <v>0</v>
      </c>
      <c r="V360" s="133"/>
    </row>
    <row r="361" spans="1:22" s="56" customFormat="1">
      <c r="A361" s="58"/>
      <c r="B361" s="36"/>
      <c r="C361" s="58"/>
      <c r="D361" s="57"/>
      <c r="E361" s="57"/>
      <c r="F361" s="41"/>
      <c r="G361" s="41"/>
      <c r="H361" s="41"/>
      <c r="I361" s="57"/>
      <c r="J361" s="36"/>
      <c r="K361" s="57"/>
      <c r="L361" s="57"/>
      <c r="M361" s="57"/>
      <c r="N361" s="42"/>
      <c r="O361" s="57"/>
      <c r="P361" s="43"/>
      <c r="Q361" s="41"/>
      <c r="R361" s="43"/>
      <c r="S361" s="36"/>
      <c r="T361" s="16">
        <f t="shared" si="10"/>
        <v>0</v>
      </c>
      <c r="U361" s="16">
        <f t="shared" si="11"/>
        <v>0</v>
      </c>
      <c r="V361" s="133"/>
    </row>
    <row r="362" spans="1:22" s="56" customFormat="1">
      <c r="A362" s="58"/>
      <c r="B362" s="36"/>
      <c r="C362" s="58"/>
      <c r="D362" s="57"/>
      <c r="E362" s="57"/>
      <c r="F362" s="41"/>
      <c r="G362" s="41"/>
      <c r="H362" s="41"/>
      <c r="I362" s="57"/>
      <c r="J362" s="36"/>
      <c r="K362" s="57"/>
      <c r="L362" s="57"/>
      <c r="M362" s="57"/>
      <c r="N362" s="42"/>
      <c r="O362" s="57"/>
      <c r="P362" s="43"/>
      <c r="Q362" s="41"/>
      <c r="R362" s="43"/>
      <c r="S362" s="36"/>
      <c r="T362" s="16">
        <f t="shared" si="10"/>
        <v>0</v>
      </c>
      <c r="U362" s="16">
        <f t="shared" si="11"/>
        <v>0</v>
      </c>
      <c r="V362" s="133"/>
    </row>
    <row r="363" spans="1:22" s="56" customFormat="1">
      <c r="A363" s="58"/>
      <c r="B363" s="36"/>
      <c r="C363" s="58"/>
      <c r="D363" s="57"/>
      <c r="E363" s="57"/>
      <c r="F363" s="41"/>
      <c r="G363" s="41"/>
      <c r="H363" s="41"/>
      <c r="I363" s="57"/>
      <c r="J363" s="36"/>
      <c r="K363" s="57"/>
      <c r="L363" s="57"/>
      <c r="M363" s="57"/>
      <c r="N363" s="42"/>
      <c r="O363" s="57"/>
      <c r="P363" s="43"/>
      <c r="Q363" s="41"/>
      <c r="R363" s="43"/>
      <c r="S363" s="36"/>
      <c r="T363" s="16">
        <f t="shared" si="10"/>
        <v>0</v>
      </c>
      <c r="U363" s="16">
        <f t="shared" si="11"/>
        <v>0</v>
      </c>
      <c r="V363" s="133"/>
    </row>
    <row r="364" spans="1:22" s="56" customFormat="1">
      <c r="A364" s="58"/>
      <c r="B364" s="36"/>
      <c r="C364" s="58"/>
      <c r="D364" s="57"/>
      <c r="E364" s="57"/>
      <c r="F364" s="41"/>
      <c r="G364" s="41"/>
      <c r="H364" s="41"/>
      <c r="I364" s="57"/>
      <c r="J364" s="36"/>
      <c r="K364" s="57"/>
      <c r="L364" s="57"/>
      <c r="M364" s="57"/>
      <c r="N364" s="42"/>
      <c r="O364" s="57"/>
      <c r="P364" s="43"/>
      <c r="Q364" s="41"/>
      <c r="R364" s="43"/>
      <c r="S364" s="36"/>
      <c r="T364" s="16">
        <f t="shared" si="10"/>
        <v>0</v>
      </c>
      <c r="U364" s="16">
        <f t="shared" si="11"/>
        <v>0</v>
      </c>
      <c r="V364" s="133"/>
    </row>
    <row r="365" spans="1:22" s="56" customFormat="1">
      <c r="A365" s="58"/>
      <c r="B365" s="36"/>
      <c r="C365" s="58"/>
      <c r="D365" s="57"/>
      <c r="E365" s="57"/>
      <c r="F365" s="41"/>
      <c r="G365" s="41"/>
      <c r="H365" s="41"/>
      <c r="I365" s="57"/>
      <c r="J365" s="36"/>
      <c r="K365" s="57"/>
      <c r="L365" s="57"/>
      <c r="M365" s="57"/>
      <c r="N365" s="42"/>
      <c r="O365" s="57"/>
      <c r="P365" s="43"/>
      <c r="Q365" s="41"/>
      <c r="R365" s="43"/>
      <c r="S365" s="36"/>
      <c r="T365" s="16">
        <f t="shared" si="10"/>
        <v>0</v>
      </c>
      <c r="U365" s="16">
        <f t="shared" si="11"/>
        <v>0</v>
      </c>
      <c r="V365" s="133"/>
    </row>
    <row r="366" spans="1:22" s="56" customFormat="1">
      <c r="A366" s="58"/>
      <c r="B366" s="36"/>
      <c r="C366" s="58"/>
      <c r="D366" s="57"/>
      <c r="E366" s="57"/>
      <c r="F366" s="41"/>
      <c r="G366" s="41"/>
      <c r="H366" s="41"/>
      <c r="I366" s="57"/>
      <c r="J366" s="36"/>
      <c r="K366" s="57"/>
      <c r="L366" s="57"/>
      <c r="M366" s="57"/>
      <c r="N366" s="42"/>
      <c r="O366" s="57"/>
      <c r="P366" s="43"/>
      <c r="Q366" s="41"/>
      <c r="R366" s="43"/>
      <c r="S366" s="36"/>
      <c r="T366" s="16">
        <f t="shared" si="10"/>
        <v>0</v>
      </c>
      <c r="U366" s="16">
        <f t="shared" si="11"/>
        <v>0</v>
      </c>
      <c r="V366" s="133"/>
    </row>
    <row r="367" spans="1:22" s="56" customFormat="1">
      <c r="A367" s="58"/>
      <c r="B367" s="36"/>
      <c r="C367" s="58"/>
      <c r="D367" s="57"/>
      <c r="E367" s="57"/>
      <c r="F367" s="41"/>
      <c r="G367" s="41"/>
      <c r="H367" s="41"/>
      <c r="I367" s="57"/>
      <c r="J367" s="36"/>
      <c r="K367" s="57"/>
      <c r="L367" s="57"/>
      <c r="M367" s="57"/>
      <c r="N367" s="42"/>
      <c r="O367" s="57"/>
      <c r="P367" s="43"/>
      <c r="Q367" s="41"/>
      <c r="R367" s="43"/>
      <c r="S367" s="36"/>
      <c r="T367" s="16">
        <f t="shared" si="10"/>
        <v>0</v>
      </c>
      <c r="U367" s="16">
        <f t="shared" si="11"/>
        <v>0</v>
      </c>
      <c r="V367" s="133"/>
    </row>
    <row r="368" spans="1:22" s="56" customFormat="1">
      <c r="A368" s="58"/>
      <c r="B368" s="36"/>
      <c r="C368" s="58"/>
      <c r="D368" s="57"/>
      <c r="E368" s="57"/>
      <c r="F368" s="41"/>
      <c r="G368" s="41"/>
      <c r="H368" s="41"/>
      <c r="I368" s="57"/>
      <c r="J368" s="36"/>
      <c r="K368" s="57"/>
      <c r="L368" s="57"/>
      <c r="M368" s="57"/>
      <c r="N368" s="42"/>
      <c r="O368" s="57"/>
      <c r="P368" s="43"/>
      <c r="Q368" s="41"/>
      <c r="R368" s="43"/>
      <c r="S368" s="36"/>
      <c r="T368" s="16">
        <f t="shared" si="10"/>
        <v>0</v>
      </c>
      <c r="U368" s="16">
        <f t="shared" si="11"/>
        <v>0</v>
      </c>
      <c r="V368" s="133"/>
    </row>
    <row r="369" spans="1:22" s="56" customFormat="1">
      <c r="A369" s="58"/>
      <c r="B369" s="36"/>
      <c r="C369" s="58"/>
      <c r="D369" s="57"/>
      <c r="E369" s="57"/>
      <c r="F369" s="41"/>
      <c r="G369" s="41"/>
      <c r="H369" s="41"/>
      <c r="I369" s="57"/>
      <c r="J369" s="36"/>
      <c r="K369" s="57"/>
      <c r="L369" s="57"/>
      <c r="M369" s="57"/>
      <c r="N369" s="42"/>
      <c r="O369" s="57"/>
      <c r="P369" s="43"/>
      <c r="Q369" s="41"/>
      <c r="R369" s="43"/>
      <c r="S369" s="36"/>
      <c r="T369" s="16">
        <f t="shared" si="10"/>
        <v>0</v>
      </c>
      <c r="U369" s="16">
        <f t="shared" si="11"/>
        <v>0</v>
      </c>
      <c r="V369" s="133"/>
    </row>
    <row r="370" spans="1:22" s="56" customFormat="1">
      <c r="A370" s="58"/>
      <c r="B370" s="36"/>
      <c r="C370" s="58"/>
      <c r="D370" s="57"/>
      <c r="E370" s="57"/>
      <c r="F370" s="41"/>
      <c r="G370" s="41"/>
      <c r="H370" s="41"/>
      <c r="I370" s="57"/>
      <c r="J370" s="36"/>
      <c r="K370" s="57"/>
      <c r="L370" s="57"/>
      <c r="M370" s="57"/>
      <c r="N370" s="42"/>
      <c r="O370" s="57"/>
      <c r="P370" s="43"/>
      <c r="Q370" s="41"/>
      <c r="R370" s="43"/>
      <c r="S370" s="36"/>
      <c r="T370" s="16">
        <f t="shared" si="10"/>
        <v>0</v>
      </c>
      <c r="U370" s="16">
        <f t="shared" si="11"/>
        <v>0</v>
      </c>
      <c r="V370" s="133"/>
    </row>
    <row r="371" spans="1:22" s="56" customFormat="1">
      <c r="A371" s="58"/>
      <c r="B371" s="36"/>
      <c r="C371" s="58"/>
      <c r="D371" s="57"/>
      <c r="E371" s="57"/>
      <c r="F371" s="41"/>
      <c r="G371" s="41"/>
      <c r="H371" s="41"/>
      <c r="I371" s="57"/>
      <c r="J371" s="36"/>
      <c r="K371" s="57"/>
      <c r="L371" s="57"/>
      <c r="M371" s="57"/>
      <c r="N371" s="42"/>
      <c r="O371" s="57"/>
      <c r="P371" s="43"/>
      <c r="Q371" s="41"/>
      <c r="R371" s="43"/>
      <c r="S371" s="36"/>
      <c r="T371" s="16">
        <f t="shared" si="10"/>
        <v>0</v>
      </c>
      <c r="U371" s="16">
        <f t="shared" si="11"/>
        <v>0</v>
      </c>
      <c r="V371" s="133"/>
    </row>
    <row r="372" spans="1:22" s="56" customFormat="1">
      <c r="A372" s="58"/>
      <c r="B372" s="36"/>
      <c r="C372" s="58"/>
      <c r="D372" s="57"/>
      <c r="E372" s="57"/>
      <c r="F372" s="41"/>
      <c r="G372" s="41"/>
      <c r="H372" s="41"/>
      <c r="I372" s="57"/>
      <c r="J372" s="36"/>
      <c r="K372" s="57"/>
      <c r="L372" s="57"/>
      <c r="M372" s="57"/>
      <c r="N372" s="42"/>
      <c r="O372" s="57"/>
      <c r="P372" s="43"/>
      <c r="Q372" s="41"/>
      <c r="R372" s="43"/>
      <c r="S372" s="36"/>
      <c r="T372" s="16">
        <f t="shared" si="10"/>
        <v>0</v>
      </c>
      <c r="U372" s="16">
        <f t="shared" si="11"/>
        <v>0</v>
      </c>
      <c r="V372" s="133"/>
    </row>
    <row r="373" spans="1:22" s="56" customFormat="1">
      <c r="A373" s="58"/>
      <c r="B373" s="36"/>
      <c r="C373" s="58"/>
      <c r="D373" s="57"/>
      <c r="E373" s="57"/>
      <c r="F373" s="41"/>
      <c r="G373" s="41"/>
      <c r="H373" s="41"/>
      <c r="I373" s="57"/>
      <c r="J373" s="36"/>
      <c r="K373" s="57"/>
      <c r="L373" s="57"/>
      <c r="M373" s="57"/>
      <c r="N373" s="42"/>
      <c r="O373" s="57"/>
      <c r="P373" s="43"/>
      <c r="Q373" s="41"/>
      <c r="R373" s="43"/>
      <c r="S373" s="36"/>
      <c r="T373" s="16">
        <f t="shared" si="10"/>
        <v>0</v>
      </c>
      <c r="U373" s="16">
        <f t="shared" si="11"/>
        <v>0</v>
      </c>
      <c r="V373" s="133"/>
    </row>
    <row r="374" spans="1:22" s="56" customFormat="1">
      <c r="A374" s="58"/>
      <c r="B374" s="36"/>
      <c r="C374" s="58"/>
      <c r="D374" s="57"/>
      <c r="E374" s="57"/>
      <c r="F374" s="41"/>
      <c r="G374" s="41"/>
      <c r="H374" s="41"/>
      <c r="I374" s="57"/>
      <c r="J374" s="36"/>
      <c r="K374" s="57"/>
      <c r="L374" s="57"/>
      <c r="M374" s="57"/>
      <c r="N374" s="42"/>
      <c r="O374" s="57"/>
      <c r="P374" s="43"/>
      <c r="Q374" s="41"/>
      <c r="R374" s="43"/>
      <c r="S374" s="36"/>
      <c r="T374" s="16">
        <f t="shared" si="10"/>
        <v>0</v>
      </c>
      <c r="U374" s="16">
        <f t="shared" si="11"/>
        <v>0</v>
      </c>
      <c r="V374" s="133"/>
    </row>
    <row r="375" spans="1:22" s="56" customFormat="1">
      <c r="A375" s="58"/>
      <c r="B375" s="36"/>
      <c r="C375" s="58"/>
      <c r="D375" s="57"/>
      <c r="E375" s="57"/>
      <c r="F375" s="41"/>
      <c r="G375" s="41"/>
      <c r="H375" s="41"/>
      <c r="I375" s="57"/>
      <c r="J375" s="36"/>
      <c r="K375" s="57"/>
      <c r="L375" s="57"/>
      <c r="M375" s="57"/>
      <c r="N375" s="42"/>
      <c r="O375" s="57"/>
      <c r="P375" s="43"/>
      <c r="Q375" s="41"/>
      <c r="R375" s="43"/>
      <c r="S375" s="36"/>
      <c r="T375" s="16">
        <f t="shared" si="10"/>
        <v>0</v>
      </c>
      <c r="U375" s="16">
        <f t="shared" si="11"/>
        <v>0</v>
      </c>
      <c r="V375" s="133"/>
    </row>
    <row r="376" spans="1:22" s="56" customFormat="1">
      <c r="A376" s="58"/>
      <c r="B376" s="36"/>
      <c r="C376" s="58"/>
      <c r="D376" s="57"/>
      <c r="E376" s="57"/>
      <c r="F376" s="41"/>
      <c r="G376" s="41"/>
      <c r="H376" s="41"/>
      <c r="I376" s="57"/>
      <c r="J376" s="36"/>
      <c r="K376" s="57"/>
      <c r="L376" s="57"/>
      <c r="M376" s="57"/>
      <c r="N376" s="42"/>
      <c r="O376" s="57"/>
      <c r="P376" s="43"/>
      <c r="Q376" s="41"/>
      <c r="R376" s="43"/>
      <c r="S376" s="36"/>
      <c r="T376" s="16">
        <f t="shared" si="10"/>
        <v>0</v>
      </c>
      <c r="U376" s="16">
        <f t="shared" si="11"/>
        <v>0</v>
      </c>
      <c r="V376" s="133"/>
    </row>
    <row r="377" spans="1:22" s="56" customFormat="1">
      <c r="A377" s="58"/>
      <c r="B377" s="36"/>
      <c r="C377" s="58"/>
      <c r="D377" s="57"/>
      <c r="E377" s="57"/>
      <c r="F377" s="41"/>
      <c r="G377" s="41"/>
      <c r="H377" s="41"/>
      <c r="I377" s="57"/>
      <c r="J377" s="36"/>
      <c r="K377" s="57"/>
      <c r="L377" s="57"/>
      <c r="M377" s="57"/>
      <c r="N377" s="42"/>
      <c r="O377" s="57"/>
      <c r="P377" s="43"/>
      <c r="Q377" s="41"/>
      <c r="R377" s="43"/>
      <c r="S377" s="36"/>
      <c r="T377" s="16">
        <f t="shared" si="10"/>
        <v>0</v>
      </c>
      <c r="U377" s="16">
        <f t="shared" si="11"/>
        <v>0</v>
      </c>
      <c r="V377" s="133"/>
    </row>
    <row r="378" spans="1:22" s="56" customFormat="1">
      <c r="A378" s="58"/>
      <c r="B378" s="36"/>
      <c r="C378" s="58"/>
      <c r="D378" s="57"/>
      <c r="E378" s="57"/>
      <c r="F378" s="41"/>
      <c r="G378" s="41"/>
      <c r="H378" s="41"/>
      <c r="I378" s="57"/>
      <c r="J378" s="36"/>
      <c r="K378" s="57"/>
      <c r="L378" s="57"/>
      <c r="M378" s="57"/>
      <c r="N378" s="42"/>
      <c r="O378" s="57"/>
      <c r="P378" s="43"/>
      <c r="Q378" s="41"/>
      <c r="R378" s="43"/>
      <c r="S378" s="36"/>
      <c r="T378" s="16">
        <f t="shared" si="10"/>
        <v>0</v>
      </c>
      <c r="U378" s="16">
        <f t="shared" si="11"/>
        <v>0</v>
      </c>
      <c r="V378" s="133"/>
    </row>
    <row r="379" spans="1:22" s="56" customFormat="1">
      <c r="A379" s="58"/>
      <c r="B379" s="36"/>
      <c r="C379" s="58"/>
      <c r="D379" s="57"/>
      <c r="E379" s="57"/>
      <c r="F379" s="41"/>
      <c r="G379" s="41"/>
      <c r="H379" s="41"/>
      <c r="I379" s="57"/>
      <c r="J379" s="36"/>
      <c r="K379" s="57"/>
      <c r="L379" s="57"/>
      <c r="M379" s="57"/>
      <c r="N379" s="42"/>
      <c r="O379" s="57"/>
      <c r="P379" s="43"/>
      <c r="Q379" s="41"/>
      <c r="R379" s="43"/>
      <c r="S379" s="36"/>
      <c r="T379" s="16">
        <f t="shared" si="10"/>
        <v>0</v>
      </c>
      <c r="U379" s="16">
        <f t="shared" si="11"/>
        <v>0</v>
      </c>
      <c r="V379" s="133"/>
    </row>
    <row r="380" spans="1:22" s="56" customFormat="1">
      <c r="A380" s="58"/>
      <c r="B380" s="36"/>
      <c r="C380" s="58"/>
      <c r="D380" s="57"/>
      <c r="E380" s="57"/>
      <c r="F380" s="41"/>
      <c r="G380" s="41"/>
      <c r="H380" s="41"/>
      <c r="I380" s="57"/>
      <c r="J380" s="36"/>
      <c r="K380" s="57"/>
      <c r="L380" s="57"/>
      <c r="M380" s="57"/>
      <c r="N380" s="42"/>
      <c r="O380" s="57"/>
      <c r="P380" s="43"/>
      <c r="Q380" s="41"/>
      <c r="R380" s="43"/>
      <c r="S380" s="36"/>
      <c r="T380" s="16">
        <f t="shared" si="10"/>
        <v>0</v>
      </c>
      <c r="U380" s="16">
        <f t="shared" si="11"/>
        <v>0</v>
      </c>
      <c r="V380" s="133"/>
    </row>
    <row r="381" spans="1:22" s="56" customFormat="1">
      <c r="A381" s="58"/>
      <c r="B381" s="36"/>
      <c r="C381" s="58"/>
      <c r="D381" s="57"/>
      <c r="E381" s="57"/>
      <c r="F381" s="41"/>
      <c r="G381" s="41"/>
      <c r="H381" s="41"/>
      <c r="I381" s="57"/>
      <c r="J381" s="36"/>
      <c r="K381" s="57"/>
      <c r="L381" s="57"/>
      <c r="M381" s="57"/>
      <c r="N381" s="42"/>
      <c r="O381" s="57"/>
      <c r="P381" s="43"/>
      <c r="Q381" s="41"/>
      <c r="R381" s="43"/>
      <c r="S381" s="36"/>
      <c r="T381" s="16">
        <f t="shared" si="10"/>
        <v>0</v>
      </c>
      <c r="U381" s="16">
        <f t="shared" si="11"/>
        <v>0</v>
      </c>
      <c r="V381" s="133"/>
    </row>
    <row r="382" spans="1:22" s="56" customFormat="1">
      <c r="A382" s="58"/>
      <c r="B382" s="36"/>
      <c r="C382" s="58"/>
      <c r="D382" s="57"/>
      <c r="E382" s="57"/>
      <c r="F382" s="41"/>
      <c r="G382" s="41"/>
      <c r="H382" s="41"/>
      <c r="I382" s="57"/>
      <c r="J382" s="36"/>
      <c r="K382" s="57"/>
      <c r="L382" s="57"/>
      <c r="M382" s="57"/>
      <c r="N382" s="42"/>
      <c r="O382" s="57"/>
      <c r="P382" s="43"/>
      <c r="Q382" s="41"/>
      <c r="R382" s="43"/>
      <c r="S382" s="36"/>
      <c r="T382" s="16">
        <f t="shared" si="10"/>
        <v>0</v>
      </c>
      <c r="U382" s="16">
        <f t="shared" si="11"/>
        <v>0</v>
      </c>
      <c r="V382" s="133"/>
    </row>
    <row r="383" spans="1:22" s="56" customFormat="1">
      <c r="A383" s="58"/>
      <c r="B383" s="36"/>
      <c r="C383" s="58"/>
      <c r="D383" s="57"/>
      <c r="E383" s="57"/>
      <c r="F383" s="41"/>
      <c r="G383" s="41"/>
      <c r="H383" s="41"/>
      <c r="I383" s="57"/>
      <c r="J383" s="36"/>
      <c r="K383" s="57"/>
      <c r="L383" s="57"/>
      <c r="M383" s="57"/>
      <c r="N383" s="42"/>
      <c r="O383" s="57"/>
      <c r="P383" s="43"/>
      <c r="Q383" s="41"/>
      <c r="R383" s="43"/>
      <c r="S383" s="36"/>
      <c r="T383" s="16">
        <f t="shared" si="10"/>
        <v>0</v>
      </c>
      <c r="U383" s="16">
        <f t="shared" si="11"/>
        <v>0</v>
      </c>
      <c r="V383" s="133"/>
    </row>
    <row r="384" spans="1:22" s="56" customFormat="1">
      <c r="A384" s="58"/>
      <c r="B384" s="36"/>
      <c r="C384" s="58"/>
      <c r="D384" s="57"/>
      <c r="E384" s="57"/>
      <c r="F384" s="41"/>
      <c r="G384" s="41"/>
      <c r="H384" s="41"/>
      <c r="I384" s="57"/>
      <c r="J384" s="36"/>
      <c r="K384" s="57"/>
      <c r="L384" s="57"/>
      <c r="M384" s="57"/>
      <c r="N384" s="42"/>
      <c r="O384" s="57"/>
      <c r="P384" s="43"/>
      <c r="Q384" s="41"/>
      <c r="R384" s="43"/>
      <c r="S384" s="36"/>
      <c r="T384" s="16">
        <f t="shared" si="10"/>
        <v>0</v>
      </c>
      <c r="U384" s="16">
        <f t="shared" si="11"/>
        <v>0</v>
      </c>
      <c r="V384" s="133"/>
    </row>
    <row r="385" spans="1:22" s="56" customFormat="1">
      <c r="A385" s="58"/>
      <c r="B385" s="36"/>
      <c r="C385" s="58"/>
      <c r="D385" s="57"/>
      <c r="E385" s="57"/>
      <c r="F385" s="41"/>
      <c r="G385" s="41"/>
      <c r="H385" s="41"/>
      <c r="I385" s="57"/>
      <c r="J385" s="36"/>
      <c r="K385" s="57"/>
      <c r="L385" s="57"/>
      <c r="M385" s="57"/>
      <c r="N385" s="42"/>
      <c r="O385" s="57"/>
      <c r="P385" s="43"/>
      <c r="Q385" s="41"/>
      <c r="R385" s="43"/>
      <c r="S385" s="36"/>
      <c r="T385" s="16">
        <f t="shared" si="10"/>
        <v>0</v>
      </c>
      <c r="U385" s="16">
        <f t="shared" si="11"/>
        <v>0</v>
      </c>
      <c r="V385" s="133"/>
    </row>
    <row r="386" spans="1:22" s="56" customFormat="1">
      <c r="A386" s="58"/>
      <c r="B386" s="36"/>
      <c r="C386" s="58"/>
      <c r="D386" s="57"/>
      <c r="E386" s="57"/>
      <c r="F386" s="41"/>
      <c r="G386" s="41"/>
      <c r="H386" s="41"/>
      <c r="I386" s="57"/>
      <c r="J386" s="36"/>
      <c r="K386" s="57"/>
      <c r="L386" s="57"/>
      <c r="M386" s="57"/>
      <c r="N386" s="42"/>
      <c r="O386" s="57"/>
      <c r="P386" s="43"/>
      <c r="Q386" s="41"/>
      <c r="R386" s="43"/>
      <c r="S386" s="36"/>
      <c r="T386" s="16">
        <f t="shared" si="10"/>
        <v>0</v>
      </c>
      <c r="U386" s="16">
        <f t="shared" si="11"/>
        <v>0</v>
      </c>
      <c r="V386" s="133"/>
    </row>
    <row r="387" spans="1:22" s="56" customFormat="1">
      <c r="A387" s="58"/>
      <c r="B387" s="36"/>
      <c r="C387" s="58"/>
      <c r="D387" s="57"/>
      <c r="E387" s="57"/>
      <c r="F387" s="41"/>
      <c r="G387" s="41"/>
      <c r="H387" s="41"/>
      <c r="I387" s="57"/>
      <c r="J387" s="36"/>
      <c r="K387" s="57"/>
      <c r="L387" s="57"/>
      <c r="M387" s="57"/>
      <c r="N387" s="42"/>
      <c r="O387" s="57"/>
      <c r="P387" s="43"/>
      <c r="Q387" s="41"/>
      <c r="R387" s="43"/>
      <c r="S387" s="36"/>
      <c r="T387" s="16">
        <f t="shared" si="10"/>
        <v>0</v>
      </c>
      <c r="U387" s="16">
        <f t="shared" si="11"/>
        <v>0</v>
      </c>
      <c r="V387" s="133"/>
    </row>
    <row r="388" spans="1:22" s="56" customFormat="1">
      <c r="A388" s="58"/>
      <c r="B388" s="36"/>
      <c r="C388" s="58"/>
      <c r="D388" s="57"/>
      <c r="E388" s="57"/>
      <c r="F388" s="41"/>
      <c r="G388" s="41"/>
      <c r="H388" s="41"/>
      <c r="I388" s="57"/>
      <c r="J388" s="36"/>
      <c r="K388" s="57"/>
      <c r="L388" s="57"/>
      <c r="M388" s="57"/>
      <c r="N388" s="42"/>
      <c r="O388" s="57"/>
      <c r="P388" s="43"/>
      <c r="Q388" s="41"/>
      <c r="R388" s="43"/>
      <c r="S388" s="36"/>
      <c r="T388" s="16">
        <f t="shared" si="10"/>
        <v>0</v>
      </c>
      <c r="U388" s="16">
        <f t="shared" si="11"/>
        <v>0</v>
      </c>
      <c r="V388" s="133"/>
    </row>
    <row r="389" spans="1:22" s="56" customFormat="1">
      <c r="A389" s="58"/>
      <c r="B389" s="36"/>
      <c r="C389" s="58"/>
      <c r="D389" s="57"/>
      <c r="E389" s="57"/>
      <c r="F389" s="41"/>
      <c r="G389" s="41"/>
      <c r="H389" s="41"/>
      <c r="I389" s="57"/>
      <c r="J389" s="36"/>
      <c r="K389" s="57"/>
      <c r="L389" s="57"/>
      <c r="M389" s="57"/>
      <c r="N389" s="42"/>
      <c r="O389" s="57"/>
      <c r="P389" s="43"/>
      <c r="Q389" s="41"/>
      <c r="R389" s="43"/>
      <c r="S389" s="36"/>
      <c r="T389" s="16">
        <f t="shared" ref="T389:T452" si="12">IF(OR($J389="Accepted",ISBLANK($J389)),IF(AND($G389="Legacy Data",$Q389="Legacy Data"),1,IF(OR($G389="Legacy Data",$Q389="Legacy Data"),1,0)),IF(OR($N389="Agree with original translator",ISBLANK($N389)),IF(AND($G389="Source Text Data",$Q389="Legacy Data"),1,IF(AND($G389="Legacy Data",$Q389="Legacy Data"),1,IF($Q389="Legacy Data",1,0))),IF(AND($G389="Legacy Data",$Q389="Legacy Data"),1,IF(OR($Q389="Legacy Data",ISBLANK($Q389)),IF($G389&lt;&gt;"Legacy Data",IF(AND($G389="Source Text Data",$Q389="Legacy Data"),1,0),1),0))))</f>
        <v>0</v>
      </c>
      <c r="U389" s="16">
        <f t="shared" ref="U389:U452" si="13">IF(OR($J389="Accepted",ISBLANK($J389)),IF(AND($G389="Source Text Data",$Q389="Source Text Data"),1,IF(OR($G389="Source Text Data",$Q389="Source Text Data"),1,0)),IF(OR($N389="Agree with original translator",ISBLANK($N389)),IF(AND($G389="Legacy Data",$Q389="Source Text Data"),1,IF(AND($G389="Source Text Data",$Q389="Source Text Data"),1,IF($Q389="Source Text Data",1,0))),IF(AND($G389="Source Text Data",$Q389="Source Text Data"),1,IF(OR($Q389="Source Text Data",ISBLANK($Q389)),IF($G389&lt;&gt;"Source Text Data",IF(AND($G389="Legacy Data",$Q389="Source Text Data"),1,0),1),0))))</f>
        <v>0</v>
      </c>
      <c r="V389" s="133"/>
    </row>
    <row r="390" spans="1:22" s="56" customFormat="1">
      <c r="A390" s="58"/>
      <c r="B390" s="36"/>
      <c r="C390" s="58"/>
      <c r="D390" s="57"/>
      <c r="E390" s="57"/>
      <c r="F390" s="41"/>
      <c r="G390" s="41"/>
      <c r="H390" s="41"/>
      <c r="I390" s="57"/>
      <c r="J390" s="36"/>
      <c r="K390" s="57"/>
      <c r="L390" s="57"/>
      <c r="M390" s="57"/>
      <c r="N390" s="42"/>
      <c r="O390" s="57"/>
      <c r="P390" s="43"/>
      <c r="Q390" s="41"/>
      <c r="R390" s="43"/>
      <c r="S390" s="36"/>
      <c r="T390" s="16">
        <f t="shared" si="12"/>
        <v>0</v>
      </c>
      <c r="U390" s="16">
        <f t="shared" si="13"/>
        <v>0</v>
      </c>
      <c r="V390" s="133"/>
    </row>
    <row r="391" spans="1:22" s="56" customFormat="1">
      <c r="A391" s="58"/>
      <c r="B391" s="36"/>
      <c r="C391" s="58"/>
      <c r="D391" s="57"/>
      <c r="E391" s="57"/>
      <c r="F391" s="41"/>
      <c r="G391" s="41"/>
      <c r="H391" s="41"/>
      <c r="I391" s="57"/>
      <c r="J391" s="36"/>
      <c r="K391" s="57"/>
      <c r="L391" s="57"/>
      <c r="M391" s="57"/>
      <c r="N391" s="42"/>
      <c r="O391" s="57"/>
      <c r="P391" s="43"/>
      <c r="Q391" s="41"/>
      <c r="R391" s="43"/>
      <c r="S391" s="36"/>
      <c r="T391" s="16">
        <f t="shared" si="12"/>
        <v>0</v>
      </c>
      <c r="U391" s="16">
        <f t="shared" si="13"/>
        <v>0</v>
      </c>
      <c r="V391" s="133"/>
    </row>
    <row r="392" spans="1:22" s="56" customFormat="1">
      <c r="A392" s="58"/>
      <c r="B392" s="36"/>
      <c r="C392" s="58"/>
      <c r="D392" s="57"/>
      <c r="E392" s="57"/>
      <c r="F392" s="41"/>
      <c r="G392" s="41"/>
      <c r="H392" s="41"/>
      <c r="I392" s="57"/>
      <c r="J392" s="36"/>
      <c r="K392" s="57"/>
      <c r="L392" s="57"/>
      <c r="M392" s="57"/>
      <c r="N392" s="42"/>
      <c r="O392" s="57"/>
      <c r="P392" s="43"/>
      <c r="Q392" s="41"/>
      <c r="R392" s="43"/>
      <c r="S392" s="36"/>
      <c r="T392" s="16">
        <f t="shared" si="12"/>
        <v>0</v>
      </c>
      <c r="U392" s="16">
        <f t="shared" si="13"/>
        <v>0</v>
      </c>
      <c r="V392" s="133"/>
    </row>
    <row r="393" spans="1:22" s="56" customFormat="1">
      <c r="A393" s="58"/>
      <c r="B393" s="36"/>
      <c r="C393" s="58"/>
      <c r="D393" s="57"/>
      <c r="E393" s="57"/>
      <c r="F393" s="41"/>
      <c r="G393" s="41"/>
      <c r="H393" s="41"/>
      <c r="I393" s="57"/>
      <c r="J393" s="36"/>
      <c r="K393" s="57"/>
      <c r="L393" s="57"/>
      <c r="M393" s="57"/>
      <c r="N393" s="42"/>
      <c r="O393" s="57"/>
      <c r="P393" s="43"/>
      <c r="Q393" s="41"/>
      <c r="R393" s="43"/>
      <c r="S393" s="36"/>
      <c r="T393" s="16">
        <f t="shared" si="12"/>
        <v>0</v>
      </c>
      <c r="U393" s="16">
        <f t="shared" si="13"/>
        <v>0</v>
      </c>
      <c r="V393" s="133"/>
    </row>
    <row r="394" spans="1:22" s="56" customFormat="1">
      <c r="A394" s="58"/>
      <c r="B394" s="36"/>
      <c r="C394" s="58"/>
      <c r="D394" s="57"/>
      <c r="E394" s="57"/>
      <c r="F394" s="41"/>
      <c r="G394" s="41"/>
      <c r="H394" s="41"/>
      <c r="I394" s="57"/>
      <c r="J394" s="36"/>
      <c r="K394" s="57"/>
      <c r="L394" s="57"/>
      <c r="M394" s="57"/>
      <c r="N394" s="42"/>
      <c r="O394" s="57"/>
      <c r="P394" s="43"/>
      <c r="Q394" s="41"/>
      <c r="R394" s="43"/>
      <c r="S394" s="36"/>
      <c r="T394" s="16">
        <f t="shared" si="12"/>
        <v>0</v>
      </c>
      <c r="U394" s="16">
        <f t="shared" si="13"/>
        <v>0</v>
      </c>
      <c r="V394" s="133"/>
    </row>
    <row r="395" spans="1:22" s="56" customFormat="1">
      <c r="A395" s="58"/>
      <c r="B395" s="36"/>
      <c r="C395" s="58"/>
      <c r="D395" s="57"/>
      <c r="E395" s="57"/>
      <c r="F395" s="41"/>
      <c r="G395" s="41"/>
      <c r="H395" s="41"/>
      <c r="I395" s="57"/>
      <c r="J395" s="36"/>
      <c r="K395" s="57"/>
      <c r="L395" s="57"/>
      <c r="M395" s="57"/>
      <c r="N395" s="42"/>
      <c r="O395" s="57"/>
      <c r="P395" s="43"/>
      <c r="Q395" s="41"/>
      <c r="R395" s="43"/>
      <c r="S395" s="36"/>
      <c r="T395" s="16">
        <f t="shared" si="12"/>
        <v>0</v>
      </c>
      <c r="U395" s="16">
        <f t="shared" si="13"/>
        <v>0</v>
      </c>
      <c r="V395" s="133"/>
    </row>
    <row r="396" spans="1:22" s="56" customFormat="1">
      <c r="A396" s="58"/>
      <c r="B396" s="36"/>
      <c r="C396" s="58"/>
      <c r="D396" s="57"/>
      <c r="E396" s="57"/>
      <c r="F396" s="41"/>
      <c r="G396" s="41"/>
      <c r="H396" s="41"/>
      <c r="I396" s="57"/>
      <c r="J396" s="36"/>
      <c r="K396" s="57"/>
      <c r="L396" s="57"/>
      <c r="M396" s="57"/>
      <c r="N396" s="42"/>
      <c r="O396" s="57"/>
      <c r="P396" s="43"/>
      <c r="Q396" s="41"/>
      <c r="R396" s="43"/>
      <c r="S396" s="36"/>
      <c r="T396" s="16">
        <f t="shared" si="12"/>
        <v>0</v>
      </c>
      <c r="U396" s="16">
        <f t="shared" si="13"/>
        <v>0</v>
      </c>
      <c r="V396" s="133"/>
    </row>
    <row r="397" spans="1:22" s="56" customFormat="1">
      <c r="A397" s="58"/>
      <c r="B397" s="36"/>
      <c r="C397" s="58"/>
      <c r="D397" s="57"/>
      <c r="E397" s="57"/>
      <c r="F397" s="41"/>
      <c r="G397" s="41"/>
      <c r="H397" s="41"/>
      <c r="I397" s="57"/>
      <c r="J397" s="36"/>
      <c r="K397" s="57"/>
      <c r="L397" s="57"/>
      <c r="M397" s="57"/>
      <c r="N397" s="42"/>
      <c r="O397" s="57"/>
      <c r="P397" s="43"/>
      <c r="Q397" s="41"/>
      <c r="R397" s="43"/>
      <c r="S397" s="36"/>
      <c r="T397" s="16">
        <f t="shared" si="12"/>
        <v>0</v>
      </c>
      <c r="U397" s="16">
        <f t="shared" si="13"/>
        <v>0</v>
      </c>
      <c r="V397" s="133"/>
    </row>
    <row r="398" spans="1:22" s="56" customFormat="1">
      <c r="A398" s="58"/>
      <c r="B398" s="36"/>
      <c r="C398" s="58"/>
      <c r="D398" s="57"/>
      <c r="E398" s="57"/>
      <c r="F398" s="41"/>
      <c r="G398" s="41"/>
      <c r="H398" s="41"/>
      <c r="I398" s="57"/>
      <c r="J398" s="36"/>
      <c r="K398" s="57"/>
      <c r="L398" s="57"/>
      <c r="M398" s="57"/>
      <c r="N398" s="42"/>
      <c r="O398" s="57"/>
      <c r="P398" s="43"/>
      <c r="Q398" s="41"/>
      <c r="R398" s="43"/>
      <c r="S398" s="36"/>
      <c r="T398" s="16">
        <f t="shared" si="12"/>
        <v>0</v>
      </c>
      <c r="U398" s="16">
        <f t="shared" si="13"/>
        <v>0</v>
      </c>
      <c r="V398" s="133"/>
    </row>
    <row r="399" spans="1:22" s="56" customFormat="1">
      <c r="A399" s="58"/>
      <c r="B399" s="36"/>
      <c r="C399" s="58"/>
      <c r="D399" s="57"/>
      <c r="E399" s="57"/>
      <c r="F399" s="41"/>
      <c r="G399" s="41"/>
      <c r="H399" s="41"/>
      <c r="I399" s="57"/>
      <c r="J399" s="36"/>
      <c r="K399" s="57"/>
      <c r="L399" s="57"/>
      <c r="M399" s="57"/>
      <c r="N399" s="42"/>
      <c r="O399" s="57"/>
      <c r="P399" s="43"/>
      <c r="Q399" s="41"/>
      <c r="R399" s="43"/>
      <c r="S399" s="36"/>
      <c r="T399" s="16">
        <f t="shared" si="12"/>
        <v>0</v>
      </c>
      <c r="U399" s="16">
        <f t="shared" si="13"/>
        <v>0</v>
      </c>
      <c r="V399" s="133"/>
    </row>
    <row r="400" spans="1:22" s="56" customFormat="1">
      <c r="A400" s="58"/>
      <c r="B400" s="36"/>
      <c r="C400" s="58"/>
      <c r="D400" s="57"/>
      <c r="E400" s="57"/>
      <c r="F400" s="41"/>
      <c r="G400" s="41"/>
      <c r="H400" s="41"/>
      <c r="I400" s="57"/>
      <c r="J400" s="36"/>
      <c r="K400" s="57"/>
      <c r="L400" s="57"/>
      <c r="M400" s="57"/>
      <c r="N400" s="42"/>
      <c r="O400" s="57"/>
      <c r="P400" s="43"/>
      <c r="Q400" s="41"/>
      <c r="R400" s="43"/>
      <c r="S400" s="36"/>
      <c r="T400" s="16">
        <f t="shared" si="12"/>
        <v>0</v>
      </c>
      <c r="U400" s="16">
        <f t="shared" si="13"/>
        <v>0</v>
      </c>
      <c r="V400" s="133"/>
    </row>
    <row r="401" spans="1:22" s="56" customFormat="1">
      <c r="A401" s="58"/>
      <c r="B401" s="36"/>
      <c r="C401" s="58"/>
      <c r="D401" s="57"/>
      <c r="E401" s="57"/>
      <c r="F401" s="41"/>
      <c r="G401" s="41"/>
      <c r="H401" s="41"/>
      <c r="I401" s="57"/>
      <c r="J401" s="36"/>
      <c r="K401" s="57"/>
      <c r="L401" s="57"/>
      <c r="M401" s="57"/>
      <c r="N401" s="42"/>
      <c r="O401" s="57"/>
      <c r="P401" s="43"/>
      <c r="Q401" s="41"/>
      <c r="R401" s="43"/>
      <c r="S401" s="36"/>
      <c r="T401" s="16">
        <f t="shared" si="12"/>
        <v>0</v>
      </c>
      <c r="U401" s="16">
        <f t="shared" si="13"/>
        <v>0</v>
      </c>
      <c r="V401" s="133"/>
    </row>
    <row r="402" spans="1:22" s="56" customFormat="1">
      <c r="A402" s="58"/>
      <c r="B402" s="36"/>
      <c r="C402" s="58"/>
      <c r="D402" s="57"/>
      <c r="E402" s="57"/>
      <c r="F402" s="41"/>
      <c r="G402" s="41"/>
      <c r="H402" s="41"/>
      <c r="I402" s="57"/>
      <c r="J402" s="36"/>
      <c r="K402" s="57"/>
      <c r="L402" s="57"/>
      <c r="M402" s="57"/>
      <c r="N402" s="42"/>
      <c r="O402" s="57"/>
      <c r="P402" s="43"/>
      <c r="Q402" s="41"/>
      <c r="R402" s="43"/>
      <c r="S402" s="36"/>
      <c r="T402" s="16">
        <f t="shared" si="12"/>
        <v>0</v>
      </c>
      <c r="U402" s="16">
        <f t="shared" si="13"/>
        <v>0</v>
      </c>
      <c r="V402" s="133"/>
    </row>
    <row r="403" spans="1:22" s="56" customFormat="1">
      <c r="A403" s="58"/>
      <c r="B403" s="36"/>
      <c r="C403" s="58"/>
      <c r="D403" s="57"/>
      <c r="E403" s="57"/>
      <c r="F403" s="41"/>
      <c r="G403" s="41"/>
      <c r="H403" s="41"/>
      <c r="I403" s="57"/>
      <c r="J403" s="36"/>
      <c r="K403" s="57"/>
      <c r="L403" s="57"/>
      <c r="M403" s="57"/>
      <c r="N403" s="42"/>
      <c r="O403" s="57"/>
      <c r="P403" s="43"/>
      <c r="Q403" s="41"/>
      <c r="R403" s="43"/>
      <c r="S403" s="36"/>
      <c r="T403" s="16">
        <f t="shared" si="12"/>
        <v>0</v>
      </c>
      <c r="U403" s="16">
        <f t="shared" si="13"/>
        <v>0</v>
      </c>
      <c r="V403" s="133"/>
    </row>
    <row r="404" spans="1:22" s="56" customFormat="1">
      <c r="A404" s="58"/>
      <c r="B404" s="36"/>
      <c r="C404" s="58"/>
      <c r="D404" s="57"/>
      <c r="E404" s="57"/>
      <c r="F404" s="41"/>
      <c r="G404" s="41"/>
      <c r="H404" s="41"/>
      <c r="I404" s="57"/>
      <c r="J404" s="36"/>
      <c r="K404" s="57"/>
      <c r="L404" s="57"/>
      <c r="M404" s="57"/>
      <c r="N404" s="42"/>
      <c r="O404" s="57"/>
      <c r="P404" s="43"/>
      <c r="Q404" s="41"/>
      <c r="R404" s="43"/>
      <c r="S404" s="36"/>
      <c r="T404" s="16">
        <f t="shared" si="12"/>
        <v>0</v>
      </c>
      <c r="U404" s="16">
        <f t="shared" si="13"/>
        <v>0</v>
      </c>
      <c r="V404" s="133"/>
    </row>
    <row r="405" spans="1:22" s="56" customFormat="1">
      <c r="A405" s="58"/>
      <c r="B405" s="36"/>
      <c r="C405" s="58"/>
      <c r="D405" s="57"/>
      <c r="E405" s="57"/>
      <c r="F405" s="41"/>
      <c r="G405" s="41"/>
      <c r="H405" s="41"/>
      <c r="I405" s="57"/>
      <c r="J405" s="36"/>
      <c r="K405" s="57"/>
      <c r="L405" s="57"/>
      <c r="M405" s="57"/>
      <c r="N405" s="42"/>
      <c r="O405" s="57"/>
      <c r="P405" s="43"/>
      <c r="Q405" s="41"/>
      <c r="R405" s="43"/>
      <c r="S405" s="36"/>
      <c r="T405" s="16">
        <f t="shared" si="12"/>
        <v>0</v>
      </c>
      <c r="U405" s="16">
        <f t="shared" si="13"/>
        <v>0</v>
      </c>
      <c r="V405" s="133"/>
    </row>
    <row r="406" spans="1:22" s="56" customFormat="1">
      <c r="A406" s="58"/>
      <c r="B406" s="36"/>
      <c r="C406" s="58"/>
      <c r="D406" s="57"/>
      <c r="E406" s="57"/>
      <c r="F406" s="41"/>
      <c r="G406" s="41"/>
      <c r="H406" s="41"/>
      <c r="I406" s="57"/>
      <c r="J406" s="36"/>
      <c r="K406" s="57"/>
      <c r="L406" s="57"/>
      <c r="M406" s="57"/>
      <c r="N406" s="42"/>
      <c r="O406" s="57"/>
      <c r="P406" s="43"/>
      <c r="Q406" s="41"/>
      <c r="R406" s="43"/>
      <c r="S406" s="36"/>
      <c r="T406" s="16">
        <f t="shared" si="12"/>
        <v>0</v>
      </c>
      <c r="U406" s="16">
        <f t="shared" si="13"/>
        <v>0</v>
      </c>
      <c r="V406" s="133"/>
    </row>
    <row r="407" spans="1:22" s="56" customFormat="1">
      <c r="A407" s="58"/>
      <c r="B407" s="36"/>
      <c r="C407" s="58"/>
      <c r="D407" s="57"/>
      <c r="E407" s="57"/>
      <c r="F407" s="41"/>
      <c r="G407" s="41"/>
      <c r="H407" s="41"/>
      <c r="I407" s="57"/>
      <c r="J407" s="36"/>
      <c r="K407" s="57"/>
      <c r="L407" s="57"/>
      <c r="M407" s="57"/>
      <c r="N407" s="42"/>
      <c r="O407" s="57"/>
      <c r="P407" s="43"/>
      <c r="Q407" s="41"/>
      <c r="R407" s="43"/>
      <c r="S407" s="36"/>
      <c r="T407" s="16">
        <f t="shared" si="12"/>
        <v>0</v>
      </c>
      <c r="U407" s="16">
        <f t="shared" si="13"/>
        <v>0</v>
      </c>
      <c r="V407" s="133"/>
    </row>
    <row r="408" spans="1:22" s="56" customFormat="1">
      <c r="A408" s="58"/>
      <c r="B408" s="36"/>
      <c r="C408" s="58"/>
      <c r="D408" s="57"/>
      <c r="E408" s="57"/>
      <c r="F408" s="41"/>
      <c r="G408" s="41"/>
      <c r="H408" s="41"/>
      <c r="I408" s="57"/>
      <c r="J408" s="36"/>
      <c r="K408" s="57"/>
      <c r="L408" s="57"/>
      <c r="M408" s="57"/>
      <c r="N408" s="42"/>
      <c r="O408" s="57"/>
      <c r="P408" s="43"/>
      <c r="Q408" s="41"/>
      <c r="R408" s="43"/>
      <c r="S408" s="36"/>
      <c r="T408" s="16">
        <f t="shared" si="12"/>
        <v>0</v>
      </c>
      <c r="U408" s="16">
        <f t="shared" si="13"/>
        <v>0</v>
      </c>
      <c r="V408" s="133"/>
    </row>
    <row r="409" spans="1:22" s="56" customFormat="1">
      <c r="A409" s="58"/>
      <c r="B409" s="36"/>
      <c r="C409" s="58"/>
      <c r="D409" s="57"/>
      <c r="E409" s="57"/>
      <c r="F409" s="41"/>
      <c r="G409" s="41"/>
      <c r="H409" s="41"/>
      <c r="I409" s="57"/>
      <c r="J409" s="36"/>
      <c r="K409" s="57"/>
      <c r="L409" s="57"/>
      <c r="M409" s="57"/>
      <c r="N409" s="42"/>
      <c r="O409" s="57"/>
      <c r="P409" s="43"/>
      <c r="Q409" s="41"/>
      <c r="R409" s="43"/>
      <c r="S409" s="36"/>
      <c r="T409" s="16">
        <f t="shared" si="12"/>
        <v>0</v>
      </c>
      <c r="U409" s="16">
        <f t="shared" si="13"/>
        <v>0</v>
      </c>
      <c r="V409" s="133"/>
    </row>
    <row r="410" spans="1:22" s="56" customFormat="1">
      <c r="A410" s="58"/>
      <c r="B410" s="36"/>
      <c r="C410" s="58"/>
      <c r="D410" s="57"/>
      <c r="E410" s="57"/>
      <c r="F410" s="41"/>
      <c r="G410" s="41"/>
      <c r="H410" s="41"/>
      <c r="I410" s="57"/>
      <c r="J410" s="36"/>
      <c r="K410" s="57"/>
      <c r="L410" s="57"/>
      <c r="M410" s="57"/>
      <c r="N410" s="42"/>
      <c r="O410" s="57"/>
      <c r="P410" s="43"/>
      <c r="Q410" s="41"/>
      <c r="R410" s="43"/>
      <c r="S410" s="36"/>
      <c r="T410" s="16">
        <f t="shared" si="12"/>
        <v>0</v>
      </c>
      <c r="U410" s="16">
        <f t="shared" si="13"/>
        <v>0</v>
      </c>
      <c r="V410" s="133"/>
    </row>
    <row r="411" spans="1:22" s="56" customFormat="1">
      <c r="A411" s="58"/>
      <c r="B411" s="36"/>
      <c r="C411" s="58"/>
      <c r="D411" s="57"/>
      <c r="E411" s="57"/>
      <c r="F411" s="41"/>
      <c r="G411" s="41"/>
      <c r="H411" s="41"/>
      <c r="I411" s="57"/>
      <c r="J411" s="36"/>
      <c r="K411" s="57"/>
      <c r="L411" s="57"/>
      <c r="M411" s="57"/>
      <c r="N411" s="42"/>
      <c r="O411" s="57"/>
      <c r="P411" s="43"/>
      <c r="Q411" s="41"/>
      <c r="R411" s="43"/>
      <c r="S411" s="36"/>
      <c r="T411" s="16">
        <f t="shared" si="12"/>
        <v>0</v>
      </c>
      <c r="U411" s="16">
        <f t="shared" si="13"/>
        <v>0</v>
      </c>
      <c r="V411" s="133"/>
    </row>
    <row r="412" spans="1:22" s="56" customFormat="1">
      <c r="A412" s="58"/>
      <c r="B412" s="36"/>
      <c r="C412" s="58"/>
      <c r="D412" s="57"/>
      <c r="E412" s="57"/>
      <c r="F412" s="41"/>
      <c r="G412" s="41"/>
      <c r="H412" s="41"/>
      <c r="I412" s="57"/>
      <c r="J412" s="36"/>
      <c r="K412" s="57"/>
      <c r="L412" s="57"/>
      <c r="M412" s="57"/>
      <c r="N412" s="42"/>
      <c r="O412" s="57"/>
      <c r="P412" s="43"/>
      <c r="Q412" s="41"/>
      <c r="R412" s="43"/>
      <c r="S412" s="36"/>
      <c r="T412" s="16">
        <f t="shared" si="12"/>
        <v>0</v>
      </c>
      <c r="U412" s="16">
        <f t="shared" si="13"/>
        <v>0</v>
      </c>
      <c r="V412" s="133"/>
    </row>
    <row r="413" spans="1:22" s="56" customFormat="1">
      <c r="A413" s="58"/>
      <c r="B413" s="36"/>
      <c r="C413" s="58"/>
      <c r="D413" s="57"/>
      <c r="E413" s="57"/>
      <c r="F413" s="41"/>
      <c r="G413" s="41"/>
      <c r="H413" s="41"/>
      <c r="I413" s="57"/>
      <c r="J413" s="36"/>
      <c r="K413" s="57"/>
      <c r="L413" s="57"/>
      <c r="M413" s="57"/>
      <c r="N413" s="42"/>
      <c r="O413" s="57"/>
      <c r="P413" s="43"/>
      <c r="Q413" s="41"/>
      <c r="R413" s="43"/>
      <c r="S413" s="36"/>
      <c r="T413" s="16">
        <f t="shared" si="12"/>
        <v>0</v>
      </c>
      <c r="U413" s="16">
        <f t="shared" si="13"/>
        <v>0</v>
      </c>
      <c r="V413" s="133"/>
    </row>
    <row r="414" spans="1:22" s="56" customFormat="1">
      <c r="A414" s="58"/>
      <c r="B414" s="36"/>
      <c r="C414" s="58"/>
      <c r="D414" s="57"/>
      <c r="E414" s="57"/>
      <c r="F414" s="41"/>
      <c r="G414" s="41"/>
      <c r="H414" s="41"/>
      <c r="I414" s="57"/>
      <c r="J414" s="36"/>
      <c r="K414" s="57"/>
      <c r="L414" s="57"/>
      <c r="M414" s="57"/>
      <c r="N414" s="42"/>
      <c r="O414" s="57"/>
      <c r="P414" s="43"/>
      <c r="Q414" s="41"/>
      <c r="R414" s="43"/>
      <c r="S414" s="36"/>
      <c r="T414" s="16">
        <f t="shared" si="12"/>
        <v>0</v>
      </c>
      <c r="U414" s="16">
        <f t="shared" si="13"/>
        <v>0</v>
      </c>
      <c r="V414" s="133"/>
    </row>
    <row r="415" spans="1:22" s="56" customFormat="1">
      <c r="A415" s="58"/>
      <c r="B415" s="36"/>
      <c r="C415" s="58"/>
      <c r="D415" s="57"/>
      <c r="E415" s="57"/>
      <c r="F415" s="41"/>
      <c r="G415" s="41"/>
      <c r="H415" s="41"/>
      <c r="I415" s="57"/>
      <c r="J415" s="36"/>
      <c r="K415" s="57"/>
      <c r="L415" s="57"/>
      <c r="M415" s="57"/>
      <c r="N415" s="42"/>
      <c r="O415" s="57"/>
      <c r="P415" s="43"/>
      <c r="Q415" s="41"/>
      <c r="R415" s="43"/>
      <c r="S415" s="36"/>
      <c r="T415" s="16">
        <f t="shared" si="12"/>
        <v>0</v>
      </c>
      <c r="U415" s="16">
        <f t="shared" si="13"/>
        <v>0</v>
      </c>
      <c r="V415" s="133"/>
    </row>
    <row r="416" spans="1:22" s="56" customFormat="1">
      <c r="A416" s="58"/>
      <c r="B416" s="36"/>
      <c r="C416" s="58"/>
      <c r="D416" s="57"/>
      <c r="E416" s="57"/>
      <c r="F416" s="41"/>
      <c r="G416" s="41"/>
      <c r="H416" s="41"/>
      <c r="I416" s="57"/>
      <c r="J416" s="36"/>
      <c r="K416" s="57"/>
      <c r="L416" s="57"/>
      <c r="M416" s="57"/>
      <c r="N416" s="42"/>
      <c r="O416" s="57"/>
      <c r="P416" s="43"/>
      <c r="Q416" s="41"/>
      <c r="R416" s="43"/>
      <c r="S416" s="36"/>
      <c r="T416" s="16">
        <f t="shared" si="12"/>
        <v>0</v>
      </c>
      <c r="U416" s="16">
        <f t="shared" si="13"/>
        <v>0</v>
      </c>
      <c r="V416" s="133"/>
    </row>
    <row r="417" spans="1:22" s="56" customFormat="1">
      <c r="A417" s="58"/>
      <c r="B417" s="36"/>
      <c r="C417" s="58"/>
      <c r="D417" s="57"/>
      <c r="E417" s="57"/>
      <c r="F417" s="41"/>
      <c r="G417" s="41"/>
      <c r="H417" s="41"/>
      <c r="I417" s="57"/>
      <c r="J417" s="36"/>
      <c r="K417" s="57"/>
      <c r="L417" s="57"/>
      <c r="M417" s="57"/>
      <c r="N417" s="42"/>
      <c r="O417" s="57"/>
      <c r="P417" s="43"/>
      <c r="Q417" s="41"/>
      <c r="R417" s="43"/>
      <c r="S417" s="36"/>
      <c r="T417" s="16">
        <f t="shared" si="12"/>
        <v>0</v>
      </c>
      <c r="U417" s="16">
        <f t="shared" si="13"/>
        <v>0</v>
      </c>
      <c r="V417" s="133"/>
    </row>
    <row r="418" spans="1:22" s="56" customFormat="1">
      <c r="A418" s="58"/>
      <c r="B418" s="36"/>
      <c r="C418" s="58"/>
      <c r="D418" s="57"/>
      <c r="E418" s="57"/>
      <c r="F418" s="41"/>
      <c r="G418" s="41"/>
      <c r="H418" s="41"/>
      <c r="I418" s="57"/>
      <c r="J418" s="36"/>
      <c r="K418" s="57"/>
      <c r="L418" s="57"/>
      <c r="M418" s="57"/>
      <c r="N418" s="42"/>
      <c r="O418" s="57"/>
      <c r="P418" s="43"/>
      <c r="Q418" s="41"/>
      <c r="R418" s="43"/>
      <c r="S418" s="36"/>
      <c r="T418" s="16">
        <f t="shared" si="12"/>
        <v>0</v>
      </c>
      <c r="U418" s="16">
        <f t="shared" si="13"/>
        <v>0</v>
      </c>
      <c r="V418" s="133"/>
    </row>
    <row r="419" spans="1:22" s="56" customFormat="1">
      <c r="A419" s="58"/>
      <c r="B419" s="36"/>
      <c r="C419" s="58"/>
      <c r="D419" s="57"/>
      <c r="E419" s="57"/>
      <c r="F419" s="41"/>
      <c r="G419" s="41"/>
      <c r="H419" s="41"/>
      <c r="I419" s="57"/>
      <c r="J419" s="36"/>
      <c r="K419" s="57"/>
      <c r="L419" s="57"/>
      <c r="M419" s="57"/>
      <c r="N419" s="42"/>
      <c r="O419" s="57"/>
      <c r="P419" s="43"/>
      <c r="Q419" s="41"/>
      <c r="R419" s="43"/>
      <c r="S419" s="36"/>
      <c r="T419" s="16">
        <f t="shared" si="12"/>
        <v>0</v>
      </c>
      <c r="U419" s="16">
        <f t="shared" si="13"/>
        <v>0</v>
      </c>
      <c r="V419" s="133"/>
    </row>
    <row r="420" spans="1:22" s="56" customFormat="1">
      <c r="A420" s="58"/>
      <c r="B420" s="36"/>
      <c r="C420" s="58"/>
      <c r="D420" s="57"/>
      <c r="E420" s="57"/>
      <c r="F420" s="41"/>
      <c r="G420" s="41"/>
      <c r="H420" s="41"/>
      <c r="I420" s="57"/>
      <c r="J420" s="36"/>
      <c r="K420" s="57"/>
      <c r="L420" s="57"/>
      <c r="M420" s="57"/>
      <c r="N420" s="42"/>
      <c r="O420" s="57"/>
      <c r="P420" s="43"/>
      <c r="Q420" s="41"/>
      <c r="R420" s="43"/>
      <c r="S420" s="36"/>
      <c r="T420" s="16">
        <f t="shared" si="12"/>
        <v>0</v>
      </c>
      <c r="U420" s="16">
        <f t="shared" si="13"/>
        <v>0</v>
      </c>
      <c r="V420" s="133"/>
    </row>
    <row r="421" spans="1:22" s="56" customFormat="1">
      <c r="A421" s="58"/>
      <c r="B421" s="36"/>
      <c r="C421" s="58"/>
      <c r="D421" s="57"/>
      <c r="E421" s="57"/>
      <c r="F421" s="41"/>
      <c r="G421" s="41"/>
      <c r="H421" s="41"/>
      <c r="I421" s="57"/>
      <c r="J421" s="36"/>
      <c r="K421" s="57"/>
      <c r="L421" s="57"/>
      <c r="M421" s="57"/>
      <c r="N421" s="42"/>
      <c r="O421" s="57"/>
      <c r="P421" s="43"/>
      <c r="Q421" s="41"/>
      <c r="R421" s="43"/>
      <c r="S421" s="36"/>
      <c r="T421" s="16">
        <f t="shared" si="12"/>
        <v>0</v>
      </c>
      <c r="U421" s="16">
        <f t="shared" si="13"/>
        <v>0</v>
      </c>
      <c r="V421" s="133"/>
    </row>
    <row r="422" spans="1:22" s="56" customFormat="1">
      <c r="A422" s="58"/>
      <c r="B422" s="36"/>
      <c r="C422" s="58"/>
      <c r="D422" s="57"/>
      <c r="E422" s="57"/>
      <c r="F422" s="41"/>
      <c r="G422" s="41"/>
      <c r="H422" s="41"/>
      <c r="I422" s="57"/>
      <c r="J422" s="36"/>
      <c r="K422" s="57"/>
      <c r="L422" s="57"/>
      <c r="M422" s="57"/>
      <c r="N422" s="42"/>
      <c r="O422" s="57"/>
      <c r="P422" s="43"/>
      <c r="Q422" s="41"/>
      <c r="R422" s="43"/>
      <c r="S422" s="36"/>
      <c r="T422" s="16">
        <f t="shared" si="12"/>
        <v>0</v>
      </c>
      <c r="U422" s="16">
        <f t="shared" si="13"/>
        <v>0</v>
      </c>
      <c r="V422" s="133"/>
    </row>
    <row r="423" spans="1:22" s="56" customFormat="1">
      <c r="A423" s="58"/>
      <c r="B423" s="36"/>
      <c r="C423" s="58"/>
      <c r="D423" s="57"/>
      <c r="E423" s="57"/>
      <c r="F423" s="41"/>
      <c r="G423" s="41"/>
      <c r="H423" s="41"/>
      <c r="I423" s="57"/>
      <c r="J423" s="36"/>
      <c r="K423" s="57"/>
      <c r="L423" s="57"/>
      <c r="M423" s="57"/>
      <c r="N423" s="42"/>
      <c r="O423" s="57"/>
      <c r="P423" s="43"/>
      <c r="Q423" s="41"/>
      <c r="R423" s="43"/>
      <c r="S423" s="36"/>
      <c r="T423" s="16">
        <f t="shared" si="12"/>
        <v>0</v>
      </c>
      <c r="U423" s="16">
        <f t="shared" si="13"/>
        <v>0</v>
      </c>
      <c r="V423" s="133"/>
    </row>
    <row r="424" spans="1:22" s="56" customFormat="1">
      <c r="A424" s="58"/>
      <c r="B424" s="36"/>
      <c r="C424" s="58"/>
      <c r="D424" s="57"/>
      <c r="E424" s="57"/>
      <c r="F424" s="41"/>
      <c r="G424" s="41"/>
      <c r="H424" s="41"/>
      <c r="I424" s="57"/>
      <c r="J424" s="36"/>
      <c r="K424" s="57"/>
      <c r="L424" s="57"/>
      <c r="M424" s="57"/>
      <c r="N424" s="42"/>
      <c r="O424" s="57"/>
      <c r="P424" s="43"/>
      <c r="Q424" s="41"/>
      <c r="R424" s="43"/>
      <c r="S424" s="36"/>
      <c r="T424" s="16">
        <f t="shared" si="12"/>
        <v>0</v>
      </c>
      <c r="U424" s="16">
        <f t="shared" si="13"/>
        <v>0</v>
      </c>
      <c r="V424" s="133"/>
    </row>
    <row r="425" spans="1:22" s="56" customFormat="1">
      <c r="A425" s="58"/>
      <c r="B425" s="36"/>
      <c r="C425" s="58"/>
      <c r="D425" s="57"/>
      <c r="E425" s="57"/>
      <c r="F425" s="41"/>
      <c r="G425" s="41"/>
      <c r="H425" s="41"/>
      <c r="I425" s="57"/>
      <c r="J425" s="36"/>
      <c r="K425" s="57"/>
      <c r="L425" s="57"/>
      <c r="M425" s="57"/>
      <c r="N425" s="42"/>
      <c r="O425" s="57"/>
      <c r="P425" s="43"/>
      <c r="Q425" s="41"/>
      <c r="R425" s="43"/>
      <c r="S425" s="36"/>
      <c r="T425" s="16">
        <f t="shared" si="12"/>
        <v>0</v>
      </c>
      <c r="U425" s="16">
        <f t="shared" si="13"/>
        <v>0</v>
      </c>
      <c r="V425" s="133"/>
    </row>
    <row r="426" spans="1:22" s="56" customFormat="1">
      <c r="A426" s="58"/>
      <c r="B426" s="36"/>
      <c r="C426" s="58"/>
      <c r="D426" s="57"/>
      <c r="E426" s="57"/>
      <c r="F426" s="41"/>
      <c r="G426" s="41"/>
      <c r="H426" s="41"/>
      <c r="I426" s="57"/>
      <c r="J426" s="36"/>
      <c r="K426" s="57"/>
      <c r="L426" s="57"/>
      <c r="M426" s="57"/>
      <c r="N426" s="42"/>
      <c r="O426" s="57"/>
      <c r="P426" s="43"/>
      <c r="Q426" s="41"/>
      <c r="R426" s="43"/>
      <c r="S426" s="36"/>
      <c r="T426" s="16">
        <f t="shared" si="12"/>
        <v>0</v>
      </c>
      <c r="U426" s="16">
        <f t="shared" si="13"/>
        <v>0</v>
      </c>
      <c r="V426" s="133"/>
    </row>
    <row r="427" spans="1:22" s="56" customFormat="1">
      <c r="A427" s="58"/>
      <c r="B427" s="36"/>
      <c r="C427" s="58"/>
      <c r="D427" s="57"/>
      <c r="E427" s="57"/>
      <c r="F427" s="41"/>
      <c r="G427" s="41"/>
      <c r="H427" s="41"/>
      <c r="I427" s="57"/>
      <c r="J427" s="36"/>
      <c r="K427" s="57"/>
      <c r="L427" s="57"/>
      <c r="M427" s="57"/>
      <c r="N427" s="42"/>
      <c r="O427" s="57"/>
      <c r="P427" s="43"/>
      <c r="Q427" s="41"/>
      <c r="R427" s="43"/>
      <c r="S427" s="36"/>
      <c r="T427" s="16">
        <f t="shared" si="12"/>
        <v>0</v>
      </c>
      <c r="U427" s="16">
        <f t="shared" si="13"/>
        <v>0</v>
      </c>
      <c r="V427" s="133"/>
    </row>
    <row r="428" spans="1:22" s="56" customFormat="1">
      <c r="A428" s="58"/>
      <c r="B428" s="36"/>
      <c r="C428" s="58"/>
      <c r="D428" s="57"/>
      <c r="E428" s="57"/>
      <c r="F428" s="41"/>
      <c r="G428" s="41"/>
      <c r="H428" s="41"/>
      <c r="I428" s="57"/>
      <c r="J428" s="36"/>
      <c r="K428" s="57"/>
      <c r="L428" s="57"/>
      <c r="M428" s="57"/>
      <c r="N428" s="42"/>
      <c r="O428" s="57"/>
      <c r="P428" s="43"/>
      <c r="Q428" s="41"/>
      <c r="R428" s="43"/>
      <c r="S428" s="36"/>
      <c r="T428" s="16">
        <f t="shared" si="12"/>
        <v>0</v>
      </c>
      <c r="U428" s="16">
        <f t="shared" si="13"/>
        <v>0</v>
      </c>
      <c r="V428" s="133"/>
    </row>
    <row r="429" spans="1:22" s="56" customFormat="1">
      <c r="A429" s="58"/>
      <c r="B429" s="36"/>
      <c r="C429" s="58"/>
      <c r="D429" s="57"/>
      <c r="E429" s="57"/>
      <c r="F429" s="41"/>
      <c r="G429" s="41"/>
      <c r="H429" s="41"/>
      <c r="I429" s="57"/>
      <c r="J429" s="36"/>
      <c r="K429" s="57"/>
      <c r="L429" s="57"/>
      <c r="M429" s="57"/>
      <c r="N429" s="42"/>
      <c r="O429" s="57"/>
      <c r="P429" s="43"/>
      <c r="Q429" s="41"/>
      <c r="R429" s="43"/>
      <c r="S429" s="36"/>
      <c r="T429" s="16">
        <f t="shared" si="12"/>
        <v>0</v>
      </c>
      <c r="U429" s="16">
        <f t="shared" si="13"/>
        <v>0</v>
      </c>
      <c r="V429" s="133"/>
    </row>
    <row r="430" spans="1:22" s="56" customFormat="1">
      <c r="A430" s="58"/>
      <c r="B430" s="36"/>
      <c r="C430" s="58"/>
      <c r="D430" s="57"/>
      <c r="E430" s="57"/>
      <c r="F430" s="41"/>
      <c r="G430" s="41"/>
      <c r="H430" s="41"/>
      <c r="I430" s="57"/>
      <c r="J430" s="36"/>
      <c r="K430" s="57"/>
      <c r="L430" s="57"/>
      <c r="M430" s="57"/>
      <c r="N430" s="42"/>
      <c r="O430" s="57"/>
      <c r="P430" s="43"/>
      <c r="Q430" s="41"/>
      <c r="R430" s="43"/>
      <c r="S430" s="36"/>
      <c r="T430" s="16">
        <f t="shared" si="12"/>
        <v>0</v>
      </c>
      <c r="U430" s="16">
        <f t="shared" si="13"/>
        <v>0</v>
      </c>
      <c r="V430" s="133"/>
    </row>
    <row r="431" spans="1:22" s="56" customFormat="1">
      <c r="A431" s="58"/>
      <c r="B431" s="36"/>
      <c r="C431" s="58"/>
      <c r="D431" s="57"/>
      <c r="E431" s="57"/>
      <c r="F431" s="41"/>
      <c r="G431" s="41"/>
      <c r="H431" s="41"/>
      <c r="I431" s="57"/>
      <c r="J431" s="36"/>
      <c r="K431" s="57"/>
      <c r="L431" s="57"/>
      <c r="M431" s="57"/>
      <c r="N431" s="42"/>
      <c r="O431" s="57"/>
      <c r="P431" s="43"/>
      <c r="Q431" s="41"/>
      <c r="R431" s="43"/>
      <c r="S431" s="36"/>
      <c r="T431" s="16">
        <f t="shared" si="12"/>
        <v>0</v>
      </c>
      <c r="U431" s="16">
        <f t="shared" si="13"/>
        <v>0</v>
      </c>
      <c r="V431" s="133"/>
    </row>
    <row r="432" spans="1:22" s="56" customFormat="1">
      <c r="A432" s="58"/>
      <c r="B432" s="36"/>
      <c r="C432" s="58"/>
      <c r="D432" s="57"/>
      <c r="E432" s="57"/>
      <c r="F432" s="41"/>
      <c r="G432" s="41"/>
      <c r="H432" s="41"/>
      <c r="I432" s="57"/>
      <c r="J432" s="36"/>
      <c r="K432" s="57"/>
      <c r="L432" s="57"/>
      <c r="M432" s="57"/>
      <c r="N432" s="42"/>
      <c r="O432" s="57"/>
      <c r="P432" s="43"/>
      <c r="Q432" s="41"/>
      <c r="R432" s="43"/>
      <c r="S432" s="36"/>
      <c r="T432" s="16">
        <f t="shared" si="12"/>
        <v>0</v>
      </c>
      <c r="U432" s="16">
        <f t="shared" si="13"/>
        <v>0</v>
      </c>
      <c r="V432" s="133"/>
    </row>
    <row r="433" spans="1:22" s="56" customFormat="1">
      <c r="A433" s="58"/>
      <c r="B433" s="36"/>
      <c r="C433" s="58"/>
      <c r="D433" s="57"/>
      <c r="E433" s="57"/>
      <c r="F433" s="41"/>
      <c r="G433" s="41"/>
      <c r="H433" s="41"/>
      <c r="I433" s="57"/>
      <c r="J433" s="36"/>
      <c r="K433" s="57"/>
      <c r="L433" s="57"/>
      <c r="M433" s="57"/>
      <c r="N433" s="42"/>
      <c r="O433" s="57"/>
      <c r="P433" s="43"/>
      <c r="Q433" s="41"/>
      <c r="R433" s="43"/>
      <c r="S433" s="36"/>
      <c r="T433" s="16">
        <f t="shared" si="12"/>
        <v>0</v>
      </c>
      <c r="U433" s="16">
        <f t="shared" si="13"/>
        <v>0</v>
      </c>
      <c r="V433" s="133"/>
    </row>
    <row r="434" spans="1:22" s="56" customFormat="1">
      <c r="A434" s="58"/>
      <c r="B434" s="36"/>
      <c r="C434" s="58"/>
      <c r="D434" s="57"/>
      <c r="E434" s="57"/>
      <c r="F434" s="41"/>
      <c r="G434" s="41"/>
      <c r="H434" s="41"/>
      <c r="I434" s="57"/>
      <c r="J434" s="36"/>
      <c r="K434" s="57"/>
      <c r="L434" s="57"/>
      <c r="M434" s="57"/>
      <c r="N434" s="42"/>
      <c r="O434" s="57"/>
      <c r="P434" s="43"/>
      <c r="Q434" s="41"/>
      <c r="R434" s="43"/>
      <c r="S434" s="36"/>
      <c r="T434" s="16">
        <f t="shared" si="12"/>
        <v>0</v>
      </c>
      <c r="U434" s="16">
        <f t="shared" si="13"/>
        <v>0</v>
      </c>
      <c r="V434" s="133"/>
    </row>
    <row r="435" spans="1:22" s="56" customFormat="1">
      <c r="A435" s="58"/>
      <c r="B435" s="36"/>
      <c r="C435" s="58"/>
      <c r="D435" s="57"/>
      <c r="E435" s="57"/>
      <c r="F435" s="41"/>
      <c r="G435" s="41"/>
      <c r="H435" s="41"/>
      <c r="I435" s="57"/>
      <c r="J435" s="36"/>
      <c r="K435" s="57"/>
      <c r="L435" s="57"/>
      <c r="M435" s="57"/>
      <c r="N435" s="42"/>
      <c r="O435" s="57"/>
      <c r="P435" s="43"/>
      <c r="Q435" s="41"/>
      <c r="R435" s="43"/>
      <c r="S435" s="36"/>
      <c r="T435" s="16">
        <f t="shared" si="12"/>
        <v>0</v>
      </c>
      <c r="U435" s="16">
        <f t="shared" si="13"/>
        <v>0</v>
      </c>
      <c r="V435" s="133"/>
    </row>
    <row r="436" spans="1:22" s="56" customFormat="1">
      <c r="A436" s="58"/>
      <c r="B436" s="36"/>
      <c r="C436" s="58"/>
      <c r="D436" s="57"/>
      <c r="E436" s="57"/>
      <c r="F436" s="41"/>
      <c r="G436" s="41"/>
      <c r="H436" s="41"/>
      <c r="I436" s="57"/>
      <c r="J436" s="36"/>
      <c r="K436" s="57"/>
      <c r="L436" s="57"/>
      <c r="M436" s="57"/>
      <c r="N436" s="42"/>
      <c r="O436" s="57"/>
      <c r="P436" s="43"/>
      <c r="Q436" s="41"/>
      <c r="R436" s="43"/>
      <c r="S436" s="36"/>
      <c r="T436" s="16">
        <f t="shared" si="12"/>
        <v>0</v>
      </c>
      <c r="U436" s="16">
        <f t="shared" si="13"/>
        <v>0</v>
      </c>
      <c r="V436" s="133"/>
    </row>
    <row r="437" spans="1:22" s="56" customFormat="1">
      <c r="A437" s="58"/>
      <c r="B437" s="36"/>
      <c r="C437" s="58"/>
      <c r="D437" s="57"/>
      <c r="E437" s="57"/>
      <c r="F437" s="41"/>
      <c r="G437" s="41"/>
      <c r="H437" s="41"/>
      <c r="I437" s="57"/>
      <c r="J437" s="36"/>
      <c r="K437" s="57"/>
      <c r="L437" s="57"/>
      <c r="M437" s="57"/>
      <c r="N437" s="42"/>
      <c r="O437" s="57"/>
      <c r="P437" s="43"/>
      <c r="Q437" s="41"/>
      <c r="R437" s="43"/>
      <c r="S437" s="36"/>
      <c r="T437" s="16">
        <f t="shared" si="12"/>
        <v>0</v>
      </c>
      <c r="U437" s="16">
        <f t="shared" si="13"/>
        <v>0</v>
      </c>
      <c r="V437" s="133"/>
    </row>
    <row r="438" spans="1:22" s="56" customFormat="1">
      <c r="A438" s="58"/>
      <c r="B438" s="36"/>
      <c r="C438" s="58"/>
      <c r="D438" s="57"/>
      <c r="E438" s="57"/>
      <c r="F438" s="41"/>
      <c r="G438" s="41"/>
      <c r="H438" s="41"/>
      <c r="I438" s="57"/>
      <c r="J438" s="36"/>
      <c r="K438" s="57"/>
      <c r="L438" s="57"/>
      <c r="M438" s="57"/>
      <c r="N438" s="42"/>
      <c r="O438" s="57"/>
      <c r="P438" s="43"/>
      <c r="Q438" s="41"/>
      <c r="R438" s="43"/>
      <c r="S438" s="36"/>
      <c r="T438" s="16">
        <f t="shared" si="12"/>
        <v>0</v>
      </c>
      <c r="U438" s="16">
        <f t="shared" si="13"/>
        <v>0</v>
      </c>
      <c r="V438" s="133"/>
    </row>
    <row r="439" spans="1:22" s="56" customFormat="1">
      <c r="A439" s="58"/>
      <c r="B439" s="36"/>
      <c r="C439" s="58"/>
      <c r="D439" s="57"/>
      <c r="E439" s="57"/>
      <c r="F439" s="41"/>
      <c r="G439" s="41"/>
      <c r="H439" s="41"/>
      <c r="I439" s="57"/>
      <c r="J439" s="36"/>
      <c r="K439" s="57"/>
      <c r="L439" s="57"/>
      <c r="M439" s="57"/>
      <c r="N439" s="42"/>
      <c r="O439" s="57"/>
      <c r="P439" s="43"/>
      <c r="Q439" s="41"/>
      <c r="R439" s="43"/>
      <c r="S439" s="36"/>
      <c r="T439" s="16">
        <f t="shared" si="12"/>
        <v>0</v>
      </c>
      <c r="U439" s="16">
        <f t="shared" si="13"/>
        <v>0</v>
      </c>
      <c r="V439" s="133"/>
    </row>
    <row r="440" spans="1:22" s="56" customFormat="1">
      <c r="A440" s="58"/>
      <c r="B440" s="36"/>
      <c r="C440" s="58"/>
      <c r="D440" s="57"/>
      <c r="E440" s="57"/>
      <c r="F440" s="41"/>
      <c r="G440" s="41"/>
      <c r="H440" s="41"/>
      <c r="I440" s="57"/>
      <c r="J440" s="36"/>
      <c r="K440" s="57"/>
      <c r="L440" s="57"/>
      <c r="M440" s="57"/>
      <c r="N440" s="42"/>
      <c r="O440" s="57"/>
      <c r="P440" s="43"/>
      <c r="Q440" s="41"/>
      <c r="R440" s="43"/>
      <c r="S440" s="36"/>
      <c r="T440" s="16">
        <f t="shared" si="12"/>
        <v>0</v>
      </c>
      <c r="U440" s="16">
        <f t="shared" si="13"/>
        <v>0</v>
      </c>
      <c r="V440" s="133"/>
    </row>
    <row r="441" spans="1:22" s="56" customFormat="1">
      <c r="A441" s="58"/>
      <c r="B441" s="36"/>
      <c r="C441" s="58"/>
      <c r="D441" s="57"/>
      <c r="E441" s="57"/>
      <c r="F441" s="41"/>
      <c r="G441" s="41"/>
      <c r="H441" s="41"/>
      <c r="I441" s="57"/>
      <c r="J441" s="36"/>
      <c r="K441" s="57"/>
      <c r="L441" s="57"/>
      <c r="M441" s="57"/>
      <c r="N441" s="42"/>
      <c r="O441" s="57"/>
      <c r="P441" s="43"/>
      <c r="Q441" s="41"/>
      <c r="R441" s="43"/>
      <c r="S441" s="36"/>
      <c r="T441" s="16">
        <f t="shared" si="12"/>
        <v>0</v>
      </c>
      <c r="U441" s="16">
        <f t="shared" si="13"/>
        <v>0</v>
      </c>
      <c r="V441" s="133"/>
    </row>
    <row r="442" spans="1:22" s="56" customFormat="1">
      <c r="A442" s="58"/>
      <c r="B442" s="36"/>
      <c r="C442" s="58"/>
      <c r="D442" s="57"/>
      <c r="E442" s="57"/>
      <c r="F442" s="41"/>
      <c r="G442" s="41"/>
      <c r="H442" s="41"/>
      <c r="I442" s="57"/>
      <c r="J442" s="36"/>
      <c r="K442" s="57"/>
      <c r="L442" s="57"/>
      <c r="M442" s="57"/>
      <c r="N442" s="42"/>
      <c r="O442" s="57"/>
      <c r="P442" s="43"/>
      <c r="Q442" s="41"/>
      <c r="R442" s="43"/>
      <c r="S442" s="36"/>
      <c r="T442" s="16">
        <f t="shared" si="12"/>
        <v>0</v>
      </c>
      <c r="U442" s="16">
        <f t="shared" si="13"/>
        <v>0</v>
      </c>
      <c r="V442" s="133"/>
    </row>
    <row r="443" spans="1:22" s="56" customFormat="1">
      <c r="A443" s="58"/>
      <c r="B443" s="36"/>
      <c r="C443" s="58"/>
      <c r="D443" s="57"/>
      <c r="E443" s="57"/>
      <c r="F443" s="41"/>
      <c r="G443" s="41"/>
      <c r="H443" s="41"/>
      <c r="I443" s="57"/>
      <c r="J443" s="36"/>
      <c r="K443" s="57"/>
      <c r="L443" s="57"/>
      <c r="M443" s="57"/>
      <c r="N443" s="42"/>
      <c r="O443" s="57"/>
      <c r="P443" s="43"/>
      <c r="Q443" s="41"/>
      <c r="R443" s="43"/>
      <c r="S443" s="36"/>
      <c r="T443" s="16">
        <f t="shared" si="12"/>
        <v>0</v>
      </c>
      <c r="U443" s="16">
        <f t="shared" si="13"/>
        <v>0</v>
      </c>
      <c r="V443" s="133"/>
    </row>
    <row r="444" spans="1:22" s="56" customFormat="1">
      <c r="A444" s="58"/>
      <c r="B444" s="36"/>
      <c r="C444" s="58"/>
      <c r="D444" s="57"/>
      <c r="E444" s="57"/>
      <c r="F444" s="41"/>
      <c r="G444" s="41"/>
      <c r="H444" s="41"/>
      <c r="I444" s="57"/>
      <c r="J444" s="36"/>
      <c r="K444" s="57"/>
      <c r="L444" s="57"/>
      <c r="M444" s="57"/>
      <c r="N444" s="42"/>
      <c r="O444" s="57"/>
      <c r="P444" s="43"/>
      <c r="Q444" s="41"/>
      <c r="R444" s="43"/>
      <c r="S444" s="36"/>
      <c r="T444" s="16">
        <f t="shared" si="12"/>
        <v>0</v>
      </c>
      <c r="U444" s="16">
        <f t="shared" si="13"/>
        <v>0</v>
      </c>
      <c r="V444" s="133"/>
    </row>
    <row r="445" spans="1:22" s="56" customFormat="1">
      <c r="A445" s="58"/>
      <c r="B445" s="36"/>
      <c r="C445" s="58"/>
      <c r="D445" s="57"/>
      <c r="E445" s="57"/>
      <c r="F445" s="41"/>
      <c r="G445" s="41"/>
      <c r="H445" s="41"/>
      <c r="I445" s="57"/>
      <c r="J445" s="36"/>
      <c r="K445" s="57"/>
      <c r="L445" s="57"/>
      <c r="M445" s="57"/>
      <c r="N445" s="42"/>
      <c r="O445" s="57"/>
      <c r="P445" s="43"/>
      <c r="Q445" s="41"/>
      <c r="R445" s="43"/>
      <c r="S445" s="36"/>
      <c r="T445" s="16">
        <f t="shared" si="12"/>
        <v>0</v>
      </c>
      <c r="U445" s="16">
        <f t="shared" si="13"/>
        <v>0</v>
      </c>
      <c r="V445" s="133"/>
    </row>
    <row r="446" spans="1:22" s="56" customFormat="1">
      <c r="A446" s="58"/>
      <c r="B446" s="36"/>
      <c r="C446" s="58"/>
      <c r="D446" s="57"/>
      <c r="E446" s="57"/>
      <c r="F446" s="41"/>
      <c r="G446" s="41"/>
      <c r="H446" s="41"/>
      <c r="I446" s="57"/>
      <c r="J446" s="36"/>
      <c r="K446" s="57"/>
      <c r="L446" s="57"/>
      <c r="M446" s="57"/>
      <c r="N446" s="42"/>
      <c r="O446" s="57"/>
      <c r="P446" s="43"/>
      <c r="Q446" s="41"/>
      <c r="R446" s="43"/>
      <c r="S446" s="36"/>
      <c r="T446" s="16">
        <f t="shared" si="12"/>
        <v>0</v>
      </c>
      <c r="U446" s="16">
        <f t="shared" si="13"/>
        <v>0</v>
      </c>
      <c r="V446" s="133"/>
    </row>
    <row r="447" spans="1:22" s="56" customFormat="1">
      <c r="A447" s="58"/>
      <c r="B447" s="36"/>
      <c r="C447" s="58"/>
      <c r="D447" s="57"/>
      <c r="E447" s="57"/>
      <c r="F447" s="41"/>
      <c r="G447" s="41"/>
      <c r="H447" s="41"/>
      <c r="I447" s="57"/>
      <c r="J447" s="36"/>
      <c r="K447" s="57"/>
      <c r="L447" s="57"/>
      <c r="M447" s="57"/>
      <c r="N447" s="42"/>
      <c r="O447" s="57"/>
      <c r="P447" s="43"/>
      <c r="Q447" s="41"/>
      <c r="R447" s="43"/>
      <c r="S447" s="36"/>
      <c r="T447" s="16">
        <f t="shared" si="12"/>
        <v>0</v>
      </c>
      <c r="U447" s="16">
        <f t="shared" si="13"/>
        <v>0</v>
      </c>
      <c r="V447" s="133"/>
    </row>
    <row r="448" spans="1:22" s="56" customFormat="1">
      <c r="A448" s="58"/>
      <c r="B448" s="36"/>
      <c r="C448" s="58"/>
      <c r="D448" s="57"/>
      <c r="E448" s="57"/>
      <c r="F448" s="41"/>
      <c r="G448" s="41"/>
      <c r="H448" s="41"/>
      <c r="I448" s="57"/>
      <c r="J448" s="36"/>
      <c r="K448" s="57"/>
      <c r="L448" s="57"/>
      <c r="M448" s="57"/>
      <c r="N448" s="42"/>
      <c r="O448" s="57"/>
      <c r="P448" s="43"/>
      <c r="Q448" s="41"/>
      <c r="R448" s="43"/>
      <c r="S448" s="36"/>
      <c r="T448" s="16">
        <f t="shared" si="12"/>
        <v>0</v>
      </c>
      <c r="U448" s="16">
        <f t="shared" si="13"/>
        <v>0</v>
      </c>
      <c r="V448" s="133"/>
    </row>
    <row r="449" spans="1:22" s="56" customFormat="1">
      <c r="A449" s="58"/>
      <c r="B449" s="36"/>
      <c r="C449" s="58"/>
      <c r="D449" s="57"/>
      <c r="E449" s="57"/>
      <c r="F449" s="41"/>
      <c r="G449" s="41"/>
      <c r="H449" s="41"/>
      <c r="I449" s="57"/>
      <c r="J449" s="36"/>
      <c r="K449" s="57"/>
      <c r="L449" s="57"/>
      <c r="M449" s="57"/>
      <c r="N449" s="42"/>
      <c r="O449" s="57"/>
      <c r="P449" s="43"/>
      <c r="Q449" s="41"/>
      <c r="R449" s="43"/>
      <c r="S449" s="36"/>
      <c r="T449" s="16">
        <f t="shared" si="12"/>
        <v>0</v>
      </c>
      <c r="U449" s="16">
        <f t="shared" si="13"/>
        <v>0</v>
      </c>
      <c r="V449" s="133"/>
    </row>
    <row r="450" spans="1:22" s="56" customFormat="1">
      <c r="A450" s="58"/>
      <c r="B450" s="36"/>
      <c r="C450" s="58"/>
      <c r="D450" s="57"/>
      <c r="E450" s="57"/>
      <c r="F450" s="41"/>
      <c r="G450" s="41"/>
      <c r="H450" s="41"/>
      <c r="I450" s="57"/>
      <c r="J450" s="36"/>
      <c r="K450" s="57"/>
      <c r="L450" s="57"/>
      <c r="M450" s="57"/>
      <c r="N450" s="42"/>
      <c r="O450" s="57"/>
      <c r="P450" s="43"/>
      <c r="Q450" s="41"/>
      <c r="R450" s="43"/>
      <c r="S450" s="36"/>
      <c r="T450" s="16">
        <f t="shared" si="12"/>
        <v>0</v>
      </c>
      <c r="U450" s="16">
        <f t="shared" si="13"/>
        <v>0</v>
      </c>
      <c r="V450" s="133"/>
    </row>
    <row r="451" spans="1:22" s="56" customFormat="1">
      <c r="A451" s="58"/>
      <c r="B451" s="36"/>
      <c r="C451" s="58"/>
      <c r="D451" s="57"/>
      <c r="E451" s="57"/>
      <c r="F451" s="41"/>
      <c r="G451" s="41"/>
      <c r="H451" s="41"/>
      <c r="I451" s="57"/>
      <c r="J451" s="36"/>
      <c r="K451" s="57"/>
      <c r="L451" s="57"/>
      <c r="M451" s="57"/>
      <c r="N451" s="42"/>
      <c r="O451" s="57"/>
      <c r="P451" s="43"/>
      <c r="Q451" s="41"/>
      <c r="R451" s="43"/>
      <c r="S451" s="36"/>
      <c r="T451" s="16">
        <f t="shared" si="12"/>
        <v>0</v>
      </c>
      <c r="U451" s="16">
        <f t="shared" si="13"/>
        <v>0</v>
      </c>
      <c r="V451" s="133"/>
    </row>
    <row r="452" spans="1:22" s="56" customFormat="1">
      <c r="A452" s="58"/>
      <c r="B452" s="36"/>
      <c r="C452" s="58"/>
      <c r="D452" s="57"/>
      <c r="E452" s="57"/>
      <c r="F452" s="41"/>
      <c r="G452" s="41"/>
      <c r="H452" s="41"/>
      <c r="I452" s="57"/>
      <c r="J452" s="36"/>
      <c r="K452" s="57"/>
      <c r="L452" s="57"/>
      <c r="M452" s="57"/>
      <c r="N452" s="42"/>
      <c r="O452" s="57"/>
      <c r="P452" s="43"/>
      <c r="Q452" s="41"/>
      <c r="R452" s="43"/>
      <c r="S452" s="36"/>
      <c r="T452" s="16">
        <f t="shared" si="12"/>
        <v>0</v>
      </c>
      <c r="U452" s="16">
        <f t="shared" si="13"/>
        <v>0</v>
      </c>
      <c r="V452" s="133"/>
    </row>
    <row r="453" spans="1:22" s="56" customFormat="1">
      <c r="A453" s="58"/>
      <c r="B453" s="36"/>
      <c r="C453" s="58"/>
      <c r="D453" s="57"/>
      <c r="E453" s="57"/>
      <c r="F453" s="41"/>
      <c r="G453" s="41"/>
      <c r="H453" s="41"/>
      <c r="I453" s="57"/>
      <c r="J453" s="36"/>
      <c r="K453" s="57"/>
      <c r="L453" s="57"/>
      <c r="M453" s="57"/>
      <c r="N453" s="42"/>
      <c r="O453" s="57"/>
      <c r="P453" s="43"/>
      <c r="Q453" s="41"/>
      <c r="R453" s="43"/>
      <c r="S453" s="36"/>
      <c r="T453" s="16">
        <f t="shared" ref="T453:T516" si="14">IF(OR($J453="Accepted",ISBLANK($J453)),IF(AND($G453="Legacy Data",$Q453="Legacy Data"),1,IF(OR($G453="Legacy Data",$Q453="Legacy Data"),1,0)),IF(OR($N453="Agree with original translator",ISBLANK($N453)),IF(AND($G453="Source Text Data",$Q453="Legacy Data"),1,IF(AND($G453="Legacy Data",$Q453="Legacy Data"),1,IF($Q453="Legacy Data",1,0))),IF(AND($G453="Legacy Data",$Q453="Legacy Data"),1,IF(OR($Q453="Legacy Data",ISBLANK($Q453)),IF($G453&lt;&gt;"Legacy Data",IF(AND($G453="Source Text Data",$Q453="Legacy Data"),1,0),1),0))))</f>
        <v>0</v>
      </c>
      <c r="U453" s="16">
        <f t="shared" ref="U453:U516" si="15">IF(OR($J453="Accepted",ISBLANK($J453)),IF(AND($G453="Source Text Data",$Q453="Source Text Data"),1,IF(OR($G453="Source Text Data",$Q453="Source Text Data"),1,0)),IF(OR($N453="Agree with original translator",ISBLANK($N453)),IF(AND($G453="Legacy Data",$Q453="Source Text Data"),1,IF(AND($G453="Source Text Data",$Q453="Source Text Data"),1,IF($Q453="Source Text Data",1,0))),IF(AND($G453="Source Text Data",$Q453="Source Text Data"),1,IF(OR($Q453="Source Text Data",ISBLANK($Q453)),IF($G453&lt;&gt;"Source Text Data",IF(AND($G453="Legacy Data",$Q453="Source Text Data"),1,0),1),0))))</f>
        <v>0</v>
      </c>
      <c r="V453" s="133"/>
    </row>
    <row r="454" spans="1:22" s="56" customFormat="1">
      <c r="A454" s="58"/>
      <c r="B454" s="36"/>
      <c r="C454" s="58"/>
      <c r="D454" s="57"/>
      <c r="E454" s="57"/>
      <c r="F454" s="41"/>
      <c r="G454" s="41"/>
      <c r="H454" s="41"/>
      <c r="I454" s="57"/>
      <c r="J454" s="36"/>
      <c r="K454" s="57"/>
      <c r="L454" s="57"/>
      <c r="M454" s="57"/>
      <c r="N454" s="42"/>
      <c r="O454" s="57"/>
      <c r="P454" s="43"/>
      <c r="Q454" s="41"/>
      <c r="R454" s="43"/>
      <c r="S454" s="36"/>
      <c r="T454" s="16">
        <f t="shared" si="14"/>
        <v>0</v>
      </c>
      <c r="U454" s="16">
        <f t="shared" si="15"/>
        <v>0</v>
      </c>
      <c r="V454" s="133"/>
    </row>
    <row r="455" spans="1:22" s="56" customFormat="1">
      <c r="A455" s="58"/>
      <c r="B455" s="36"/>
      <c r="C455" s="58"/>
      <c r="D455" s="57"/>
      <c r="E455" s="57"/>
      <c r="F455" s="41"/>
      <c r="G455" s="41"/>
      <c r="H455" s="41"/>
      <c r="I455" s="57"/>
      <c r="J455" s="36"/>
      <c r="K455" s="57"/>
      <c r="L455" s="57"/>
      <c r="M455" s="57"/>
      <c r="N455" s="42"/>
      <c r="O455" s="57"/>
      <c r="P455" s="43"/>
      <c r="Q455" s="41"/>
      <c r="R455" s="43"/>
      <c r="S455" s="36"/>
      <c r="T455" s="16">
        <f t="shared" si="14"/>
        <v>0</v>
      </c>
      <c r="U455" s="16">
        <f t="shared" si="15"/>
        <v>0</v>
      </c>
      <c r="V455" s="133"/>
    </row>
    <row r="456" spans="1:22" s="56" customFormat="1">
      <c r="A456" s="58"/>
      <c r="B456" s="36"/>
      <c r="C456" s="58"/>
      <c r="D456" s="57"/>
      <c r="E456" s="57"/>
      <c r="F456" s="41"/>
      <c r="G456" s="41"/>
      <c r="H456" s="41"/>
      <c r="I456" s="57"/>
      <c r="J456" s="36"/>
      <c r="K456" s="57"/>
      <c r="L456" s="57"/>
      <c r="M456" s="57"/>
      <c r="N456" s="42"/>
      <c r="O456" s="57"/>
      <c r="P456" s="43"/>
      <c r="Q456" s="41"/>
      <c r="R456" s="43"/>
      <c r="S456" s="36"/>
      <c r="T456" s="16">
        <f t="shared" si="14"/>
        <v>0</v>
      </c>
      <c r="U456" s="16">
        <f t="shared" si="15"/>
        <v>0</v>
      </c>
      <c r="V456" s="133"/>
    </row>
    <row r="457" spans="1:22" s="56" customFormat="1">
      <c r="A457" s="58"/>
      <c r="B457" s="36"/>
      <c r="C457" s="58"/>
      <c r="D457" s="57"/>
      <c r="E457" s="57"/>
      <c r="F457" s="41"/>
      <c r="G457" s="41"/>
      <c r="H457" s="41"/>
      <c r="I457" s="57"/>
      <c r="J457" s="36"/>
      <c r="K457" s="57"/>
      <c r="L457" s="57"/>
      <c r="M457" s="57"/>
      <c r="N457" s="42"/>
      <c r="O457" s="57"/>
      <c r="P457" s="43"/>
      <c r="Q457" s="41"/>
      <c r="R457" s="43"/>
      <c r="S457" s="36"/>
      <c r="T457" s="16">
        <f t="shared" si="14"/>
        <v>0</v>
      </c>
      <c r="U457" s="16">
        <f t="shared" si="15"/>
        <v>0</v>
      </c>
      <c r="V457" s="133"/>
    </row>
    <row r="458" spans="1:22" s="56" customFormat="1">
      <c r="A458" s="58"/>
      <c r="B458" s="36"/>
      <c r="C458" s="58"/>
      <c r="D458" s="57"/>
      <c r="E458" s="57"/>
      <c r="F458" s="41"/>
      <c r="G458" s="41"/>
      <c r="H458" s="41"/>
      <c r="I458" s="57"/>
      <c r="J458" s="36"/>
      <c r="K458" s="57"/>
      <c r="L458" s="57"/>
      <c r="M458" s="57"/>
      <c r="N458" s="42"/>
      <c r="O458" s="57"/>
      <c r="P458" s="43"/>
      <c r="Q458" s="41"/>
      <c r="R458" s="43"/>
      <c r="S458" s="36"/>
      <c r="T458" s="16">
        <f t="shared" si="14"/>
        <v>0</v>
      </c>
      <c r="U458" s="16">
        <f t="shared" si="15"/>
        <v>0</v>
      </c>
      <c r="V458" s="133"/>
    </row>
    <row r="459" spans="1:22" s="56" customFormat="1">
      <c r="A459" s="58"/>
      <c r="B459" s="36"/>
      <c r="C459" s="58"/>
      <c r="D459" s="57"/>
      <c r="E459" s="57"/>
      <c r="F459" s="41"/>
      <c r="G459" s="41"/>
      <c r="H459" s="41"/>
      <c r="I459" s="57"/>
      <c r="J459" s="36"/>
      <c r="K459" s="57"/>
      <c r="L459" s="57"/>
      <c r="M459" s="57"/>
      <c r="N459" s="42"/>
      <c r="O459" s="57"/>
      <c r="P459" s="43"/>
      <c r="Q459" s="41"/>
      <c r="R459" s="43"/>
      <c r="S459" s="36"/>
      <c r="T459" s="16">
        <f t="shared" si="14"/>
        <v>0</v>
      </c>
      <c r="U459" s="16">
        <f t="shared" si="15"/>
        <v>0</v>
      </c>
      <c r="V459" s="133"/>
    </row>
    <row r="460" spans="1:22" s="56" customFormat="1">
      <c r="A460" s="58"/>
      <c r="B460" s="36"/>
      <c r="C460" s="58"/>
      <c r="D460" s="57"/>
      <c r="E460" s="57"/>
      <c r="F460" s="41"/>
      <c r="G460" s="41"/>
      <c r="H460" s="41"/>
      <c r="I460" s="57"/>
      <c r="J460" s="36"/>
      <c r="K460" s="57"/>
      <c r="L460" s="57"/>
      <c r="M460" s="57"/>
      <c r="N460" s="42"/>
      <c r="O460" s="57"/>
      <c r="P460" s="43"/>
      <c r="Q460" s="41"/>
      <c r="R460" s="43"/>
      <c r="S460" s="36"/>
      <c r="T460" s="16">
        <f t="shared" si="14"/>
        <v>0</v>
      </c>
      <c r="U460" s="16">
        <f t="shared" si="15"/>
        <v>0</v>
      </c>
      <c r="V460" s="133"/>
    </row>
    <row r="461" spans="1:22" s="56" customFormat="1">
      <c r="A461" s="58"/>
      <c r="B461" s="36"/>
      <c r="C461" s="58"/>
      <c r="D461" s="57"/>
      <c r="E461" s="57"/>
      <c r="F461" s="41"/>
      <c r="G461" s="41"/>
      <c r="H461" s="41"/>
      <c r="I461" s="57"/>
      <c r="J461" s="36"/>
      <c r="K461" s="57"/>
      <c r="L461" s="57"/>
      <c r="M461" s="57"/>
      <c r="N461" s="42"/>
      <c r="O461" s="57"/>
      <c r="P461" s="43"/>
      <c r="Q461" s="41"/>
      <c r="R461" s="43"/>
      <c r="S461" s="36"/>
      <c r="T461" s="16">
        <f t="shared" si="14"/>
        <v>0</v>
      </c>
      <c r="U461" s="16">
        <f t="shared" si="15"/>
        <v>0</v>
      </c>
      <c r="V461" s="133"/>
    </row>
    <row r="462" spans="1:22" s="56" customFormat="1">
      <c r="A462" s="58"/>
      <c r="B462" s="36"/>
      <c r="C462" s="58"/>
      <c r="D462" s="57"/>
      <c r="E462" s="57"/>
      <c r="F462" s="41"/>
      <c r="G462" s="41"/>
      <c r="H462" s="41"/>
      <c r="I462" s="57"/>
      <c r="J462" s="36"/>
      <c r="K462" s="57"/>
      <c r="L462" s="57"/>
      <c r="M462" s="57"/>
      <c r="N462" s="42"/>
      <c r="O462" s="57"/>
      <c r="P462" s="43"/>
      <c r="Q462" s="41"/>
      <c r="R462" s="43"/>
      <c r="S462" s="36"/>
      <c r="T462" s="16">
        <f t="shared" si="14"/>
        <v>0</v>
      </c>
      <c r="U462" s="16">
        <f t="shared" si="15"/>
        <v>0</v>
      </c>
      <c r="V462" s="133"/>
    </row>
    <row r="463" spans="1:22" s="56" customFormat="1">
      <c r="A463" s="58"/>
      <c r="B463" s="36"/>
      <c r="C463" s="58"/>
      <c r="D463" s="57"/>
      <c r="E463" s="57"/>
      <c r="F463" s="41"/>
      <c r="G463" s="41"/>
      <c r="H463" s="41"/>
      <c r="I463" s="57"/>
      <c r="J463" s="36"/>
      <c r="K463" s="57"/>
      <c r="L463" s="57"/>
      <c r="M463" s="57"/>
      <c r="N463" s="42"/>
      <c r="O463" s="57"/>
      <c r="P463" s="43"/>
      <c r="Q463" s="41"/>
      <c r="R463" s="43"/>
      <c r="S463" s="36"/>
      <c r="T463" s="16">
        <f t="shared" si="14"/>
        <v>0</v>
      </c>
      <c r="U463" s="16">
        <f t="shared" si="15"/>
        <v>0</v>
      </c>
      <c r="V463" s="133"/>
    </row>
    <row r="464" spans="1:22" s="56" customFormat="1">
      <c r="A464" s="58"/>
      <c r="B464" s="36"/>
      <c r="C464" s="58"/>
      <c r="D464" s="57"/>
      <c r="E464" s="57"/>
      <c r="F464" s="41"/>
      <c r="G464" s="41"/>
      <c r="H464" s="41"/>
      <c r="I464" s="57"/>
      <c r="J464" s="36"/>
      <c r="K464" s="57"/>
      <c r="L464" s="57"/>
      <c r="M464" s="57"/>
      <c r="N464" s="42"/>
      <c r="O464" s="57"/>
      <c r="P464" s="43"/>
      <c r="Q464" s="41"/>
      <c r="R464" s="43"/>
      <c r="S464" s="36"/>
      <c r="T464" s="16">
        <f t="shared" si="14"/>
        <v>0</v>
      </c>
      <c r="U464" s="16">
        <f t="shared" si="15"/>
        <v>0</v>
      </c>
      <c r="V464" s="133"/>
    </row>
    <row r="465" spans="1:22" s="56" customFormat="1">
      <c r="A465" s="58"/>
      <c r="B465" s="36"/>
      <c r="C465" s="58"/>
      <c r="D465" s="57"/>
      <c r="E465" s="57"/>
      <c r="F465" s="41"/>
      <c r="G465" s="41"/>
      <c r="H465" s="41"/>
      <c r="I465" s="57"/>
      <c r="J465" s="36"/>
      <c r="K465" s="57"/>
      <c r="L465" s="57"/>
      <c r="M465" s="57"/>
      <c r="N465" s="42"/>
      <c r="O465" s="57"/>
      <c r="P465" s="43"/>
      <c r="Q465" s="41"/>
      <c r="R465" s="43"/>
      <c r="S465" s="36"/>
      <c r="T465" s="16">
        <f t="shared" si="14"/>
        <v>0</v>
      </c>
      <c r="U465" s="16">
        <f t="shared" si="15"/>
        <v>0</v>
      </c>
      <c r="V465" s="133"/>
    </row>
    <row r="466" spans="1:22" s="56" customFormat="1">
      <c r="A466" s="58"/>
      <c r="B466" s="36"/>
      <c r="C466" s="58"/>
      <c r="D466" s="57"/>
      <c r="E466" s="57"/>
      <c r="F466" s="41"/>
      <c r="G466" s="41"/>
      <c r="H466" s="41"/>
      <c r="I466" s="57"/>
      <c r="J466" s="36"/>
      <c r="K466" s="57"/>
      <c r="L466" s="57"/>
      <c r="M466" s="57"/>
      <c r="N466" s="42"/>
      <c r="O466" s="57"/>
      <c r="P466" s="43"/>
      <c r="Q466" s="41"/>
      <c r="R466" s="43"/>
      <c r="S466" s="36"/>
      <c r="T466" s="16">
        <f t="shared" si="14"/>
        <v>0</v>
      </c>
      <c r="U466" s="16">
        <f t="shared" si="15"/>
        <v>0</v>
      </c>
      <c r="V466" s="133"/>
    </row>
    <row r="467" spans="1:22" s="56" customFormat="1">
      <c r="A467" s="58"/>
      <c r="B467" s="36"/>
      <c r="C467" s="58"/>
      <c r="D467" s="57"/>
      <c r="E467" s="57"/>
      <c r="F467" s="41"/>
      <c r="G467" s="41"/>
      <c r="H467" s="41"/>
      <c r="I467" s="57"/>
      <c r="J467" s="36"/>
      <c r="K467" s="57"/>
      <c r="L467" s="57"/>
      <c r="M467" s="57"/>
      <c r="N467" s="42"/>
      <c r="O467" s="57"/>
      <c r="P467" s="43"/>
      <c r="Q467" s="41"/>
      <c r="R467" s="43"/>
      <c r="S467" s="36"/>
      <c r="T467" s="16">
        <f t="shared" si="14"/>
        <v>0</v>
      </c>
      <c r="U467" s="16">
        <f t="shared" si="15"/>
        <v>0</v>
      </c>
      <c r="V467" s="133"/>
    </row>
    <row r="468" spans="1:22" s="56" customFormat="1">
      <c r="A468" s="58"/>
      <c r="B468" s="36"/>
      <c r="C468" s="58"/>
      <c r="D468" s="57"/>
      <c r="E468" s="57"/>
      <c r="F468" s="41"/>
      <c r="G468" s="41"/>
      <c r="H468" s="41"/>
      <c r="I468" s="57"/>
      <c r="J468" s="36"/>
      <c r="K468" s="57"/>
      <c r="L468" s="57"/>
      <c r="M468" s="57"/>
      <c r="N468" s="42"/>
      <c r="O468" s="57"/>
      <c r="P468" s="43"/>
      <c r="Q468" s="41"/>
      <c r="R468" s="43"/>
      <c r="S468" s="36"/>
      <c r="T468" s="16">
        <f t="shared" si="14"/>
        <v>0</v>
      </c>
      <c r="U468" s="16">
        <f t="shared" si="15"/>
        <v>0</v>
      </c>
      <c r="V468" s="133"/>
    </row>
    <row r="469" spans="1:22" s="56" customFormat="1">
      <c r="A469" s="58"/>
      <c r="B469" s="36"/>
      <c r="C469" s="58"/>
      <c r="D469" s="57"/>
      <c r="E469" s="57"/>
      <c r="F469" s="41"/>
      <c r="G469" s="41"/>
      <c r="H469" s="41"/>
      <c r="I469" s="57"/>
      <c r="J469" s="36"/>
      <c r="K469" s="57"/>
      <c r="L469" s="57"/>
      <c r="M469" s="57"/>
      <c r="N469" s="42"/>
      <c r="O469" s="57"/>
      <c r="P469" s="43"/>
      <c r="Q469" s="41"/>
      <c r="R469" s="43"/>
      <c r="S469" s="36"/>
      <c r="T469" s="16">
        <f t="shared" si="14"/>
        <v>0</v>
      </c>
      <c r="U469" s="16">
        <f t="shared" si="15"/>
        <v>0</v>
      </c>
      <c r="V469" s="133"/>
    </row>
    <row r="470" spans="1:22" s="56" customFormat="1">
      <c r="A470" s="58"/>
      <c r="B470" s="36"/>
      <c r="C470" s="58"/>
      <c r="D470" s="57"/>
      <c r="E470" s="57"/>
      <c r="F470" s="41"/>
      <c r="G470" s="41"/>
      <c r="H470" s="41"/>
      <c r="I470" s="57"/>
      <c r="J470" s="36"/>
      <c r="K470" s="57"/>
      <c r="L470" s="57"/>
      <c r="M470" s="57"/>
      <c r="N470" s="42"/>
      <c r="O470" s="57"/>
      <c r="P470" s="43"/>
      <c r="Q470" s="41"/>
      <c r="R470" s="43"/>
      <c r="S470" s="36"/>
      <c r="T470" s="16">
        <f t="shared" si="14"/>
        <v>0</v>
      </c>
      <c r="U470" s="16">
        <f t="shared" si="15"/>
        <v>0</v>
      </c>
      <c r="V470" s="133"/>
    </row>
    <row r="471" spans="1:22" s="56" customFormat="1">
      <c r="A471" s="58"/>
      <c r="B471" s="36"/>
      <c r="C471" s="58"/>
      <c r="D471" s="57"/>
      <c r="E471" s="57"/>
      <c r="F471" s="41"/>
      <c r="G471" s="41"/>
      <c r="H471" s="41"/>
      <c r="I471" s="57"/>
      <c r="J471" s="36"/>
      <c r="K471" s="57"/>
      <c r="L471" s="57"/>
      <c r="M471" s="57"/>
      <c r="N471" s="42"/>
      <c r="O471" s="57"/>
      <c r="P471" s="43"/>
      <c r="Q471" s="41"/>
      <c r="R471" s="43"/>
      <c r="S471" s="36"/>
      <c r="T471" s="16">
        <f t="shared" si="14"/>
        <v>0</v>
      </c>
      <c r="U471" s="16">
        <f t="shared" si="15"/>
        <v>0</v>
      </c>
      <c r="V471" s="133"/>
    </row>
    <row r="472" spans="1:22" s="56" customFormat="1">
      <c r="A472" s="58"/>
      <c r="B472" s="36"/>
      <c r="C472" s="58"/>
      <c r="D472" s="57"/>
      <c r="E472" s="57"/>
      <c r="F472" s="41"/>
      <c r="G472" s="41"/>
      <c r="H472" s="41"/>
      <c r="I472" s="57"/>
      <c r="J472" s="36"/>
      <c r="K472" s="57"/>
      <c r="L472" s="57"/>
      <c r="M472" s="57"/>
      <c r="N472" s="42"/>
      <c r="O472" s="57"/>
      <c r="P472" s="43"/>
      <c r="Q472" s="41"/>
      <c r="R472" s="43"/>
      <c r="S472" s="36"/>
      <c r="T472" s="16">
        <f t="shared" si="14"/>
        <v>0</v>
      </c>
      <c r="U472" s="16">
        <f t="shared" si="15"/>
        <v>0</v>
      </c>
      <c r="V472" s="133"/>
    </row>
    <row r="473" spans="1:22" s="56" customFormat="1">
      <c r="A473" s="58"/>
      <c r="B473" s="36"/>
      <c r="C473" s="58"/>
      <c r="D473" s="57"/>
      <c r="E473" s="57"/>
      <c r="F473" s="41"/>
      <c r="G473" s="41"/>
      <c r="H473" s="41"/>
      <c r="I473" s="57"/>
      <c r="J473" s="36"/>
      <c r="K473" s="57"/>
      <c r="L473" s="57"/>
      <c r="M473" s="57"/>
      <c r="N473" s="42"/>
      <c r="O473" s="57"/>
      <c r="P473" s="43"/>
      <c r="Q473" s="41"/>
      <c r="R473" s="43"/>
      <c r="S473" s="36"/>
      <c r="T473" s="16">
        <f t="shared" si="14"/>
        <v>0</v>
      </c>
      <c r="U473" s="16">
        <f t="shared" si="15"/>
        <v>0</v>
      </c>
      <c r="V473" s="133"/>
    </row>
    <row r="474" spans="1:22" s="56" customFormat="1">
      <c r="A474" s="58"/>
      <c r="B474" s="36"/>
      <c r="C474" s="58"/>
      <c r="D474" s="57"/>
      <c r="E474" s="57"/>
      <c r="F474" s="41"/>
      <c r="G474" s="41"/>
      <c r="H474" s="41"/>
      <c r="I474" s="57"/>
      <c r="J474" s="36"/>
      <c r="K474" s="57"/>
      <c r="L474" s="57"/>
      <c r="M474" s="57"/>
      <c r="N474" s="42"/>
      <c r="O474" s="57"/>
      <c r="P474" s="43"/>
      <c r="Q474" s="41"/>
      <c r="R474" s="43"/>
      <c r="S474" s="36"/>
      <c r="T474" s="16">
        <f t="shared" si="14"/>
        <v>0</v>
      </c>
      <c r="U474" s="16">
        <f t="shared" si="15"/>
        <v>0</v>
      </c>
      <c r="V474" s="133"/>
    </row>
    <row r="475" spans="1:22" s="56" customFormat="1">
      <c r="A475" s="58"/>
      <c r="B475" s="36"/>
      <c r="C475" s="58"/>
      <c r="D475" s="57"/>
      <c r="E475" s="57"/>
      <c r="F475" s="41"/>
      <c r="G475" s="41"/>
      <c r="H475" s="41"/>
      <c r="I475" s="57"/>
      <c r="J475" s="36"/>
      <c r="K475" s="57"/>
      <c r="L475" s="57"/>
      <c r="M475" s="57"/>
      <c r="N475" s="42"/>
      <c r="O475" s="57"/>
      <c r="P475" s="43"/>
      <c r="Q475" s="41"/>
      <c r="R475" s="43"/>
      <c r="S475" s="36"/>
      <c r="T475" s="16">
        <f t="shared" si="14"/>
        <v>0</v>
      </c>
      <c r="U475" s="16">
        <f t="shared" si="15"/>
        <v>0</v>
      </c>
      <c r="V475" s="133"/>
    </row>
    <row r="476" spans="1:22" s="56" customFormat="1">
      <c r="A476" s="58"/>
      <c r="B476" s="36"/>
      <c r="C476" s="58"/>
      <c r="D476" s="57"/>
      <c r="E476" s="57"/>
      <c r="F476" s="41"/>
      <c r="G476" s="41"/>
      <c r="H476" s="41"/>
      <c r="I476" s="57"/>
      <c r="J476" s="36"/>
      <c r="K476" s="57"/>
      <c r="L476" s="57"/>
      <c r="M476" s="57"/>
      <c r="N476" s="42"/>
      <c r="O476" s="57"/>
      <c r="P476" s="43"/>
      <c r="Q476" s="41"/>
      <c r="R476" s="43"/>
      <c r="S476" s="36"/>
      <c r="T476" s="16">
        <f t="shared" si="14"/>
        <v>0</v>
      </c>
      <c r="U476" s="16">
        <f t="shared" si="15"/>
        <v>0</v>
      </c>
      <c r="V476" s="133"/>
    </row>
    <row r="477" spans="1:22" s="56" customFormat="1">
      <c r="A477" s="58"/>
      <c r="B477" s="36"/>
      <c r="C477" s="58"/>
      <c r="D477" s="57"/>
      <c r="E477" s="57"/>
      <c r="F477" s="41"/>
      <c r="G477" s="41"/>
      <c r="H477" s="41"/>
      <c r="I477" s="57"/>
      <c r="J477" s="36"/>
      <c r="K477" s="57"/>
      <c r="L477" s="57"/>
      <c r="M477" s="57"/>
      <c r="N477" s="42"/>
      <c r="O477" s="57"/>
      <c r="P477" s="43"/>
      <c r="Q477" s="41"/>
      <c r="R477" s="43"/>
      <c r="S477" s="36"/>
      <c r="T477" s="16">
        <f t="shared" si="14"/>
        <v>0</v>
      </c>
      <c r="U477" s="16">
        <f t="shared" si="15"/>
        <v>0</v>
      </c>
      <c r="V477" s="133"/>
    </row>
    <row r="478" spans="1:22" s="56" customFormat="1">
      <c r="A478" s="58"/>
      <c r="B478" s="36"/>
      <c r="C478" s="58"/>
      <c r="D478" s="57"/>
      <c r="E478" s="57"/>
      <c r="F478" s="41"/>
      <c r="G478" s="41"/>
      <c r="H478" s="41"/>
      <c r="I478" s="57"/>
      <c r="J478" s="36"/>
      <c r="K478" s="57"/>
      <c r="L478" s="57"/>
      <c r="M478" s="57"/>
      <c r="N478" s="42"/>
      <c r="O478" s="57"/>
      <c r="P478" s="43"/>
      <c r="Q478" s="41"/>
      <c r="R478" s="43"/>
      <c r="S478" s="36"/>
      <c r="T478" s="16">
        <f t="shared" si="14"/>
        <v>0</v>
      </c>
      <c r="U478" s="16">
        <f t="shared" si="15"/>
        <v>0</v>
      </c>
      <c r="V478" s="133"/>
    </row>
    <row r="479" spans="1:22" s="56" customFormat="1">
      <c r="A479" s="58"/>
      <c r="B479" s="36"/>
      <c r="C479" s="58"/>
      <c r="D479" s="57"/>
      <c r="E479" s="57"/>
      <c r="F479" s="41"/>
      <c r="G479" s="41"/>
      <c r="H479" s="41"/>
      <c r="I479" s="57"/>
      <c r="J479" s="36"/>
      <c r="K479" s="57"/>
      <c r="L479" s="57"/>
      <c r="M479" s="57"/>
      <c r="N479" s="42"/>
      <c r="O479" s="57"/>
      <c r="P479" s="43"/>
      <c r="Q479" s="41"/>
      <c r="R479" s="43"/>
      <c r="S479" s="36"/>
      <c r="T479" s="16">
        <f t="shared" si="14"/>
        <v>0</v>
      </c>
      <c r="U479" s="16">
        <f t="shared" si="15"/>
        <v>0</v>
      </c>
      <c r="V479" s="133"/>
    </row>
    <row r="480" spans="1:22" s="56" customFormat="1">
      <c r="A480" s="58"/>
      <c r="B480" s="36"/>
      <c r="C480" s="58"/>
      <c r="D480" s="57"/>
      <c r="E480" s="57"/>
      <c r="F480" s="41"/>
      <c r="G480" s="41"/>
      <c r="H480" s="41"/>
      <c r="I480" s="57"/>
      <c r="J480" s="36"/>
      <c r="K480" s="57"/>
      <c r="L480" s="57"/>
      <c r="M480" s="57"/>
      <c r="N480" s="42"/>
      <c r="O480" s="57"/>
      <c r="P480" s="43"/>
      <c r="Q480" s="41"/>
      <c r="R480" s="43"/>
      <c r="S480" s="36"/>
      <c r="T480" s="16">
        <f t="shared" si="14"/>
        <v>0</v>
      </c>
      <c r="U480" s="16">
        <f t="shared" si="15"/>
        <v>0</v>
      </c>
      <c r="V480" s="133"/>
    </row>
    <row r="481" spans="1:22" s="56" customFormat="1">
      <c r="A481" s="58"/>
      <c r="B481" s="36"/>
      <c r="C481" s="58"/>
      <c r="D481" s="57"/>
      <c r="E481" s="57"/>
      <c r="F481" s="41"/>
      <c r="G481" s="41"/>
      <c r="H481" s="41"/>
      <c r="I481" s="57"/>
      <c r="J481" s="36"/>
      <c r="K481" s="57"/>
      <c r="L481" s="57"/>
      <c r="M481" s="57"/>
      <c r="N481" s="42"/>
      <c r="O481" s="57"/>
      <c r="P481" s="43"/>
      <c r="Q481" s="41"/>
      <c r="R481" s="43"/>
      <c r="S481" s="36"/>
      <c r="T481" s="16">
        <f t="shared" si="14"/>
        <v>0</v>
      </c>
      <c r="U481" s="16">
        <f t="shared" si="15"/>
        <v>0</v>
      </c>
      <c r="V481" s="133"/>
    </row>
    <row r="482" spans="1:22" s="56" customFormat="1">
      <c r="A482" s="58"/>
      <c r="B482" s="36"/>
      <c r="C482" s="58"/>
      <c r="D482" s="57"/>
      <c r="E482" s="57"/>
      <c r="F482" s="41"/>
      <c r="G482" s="41"/>
      <c r="H482" s="41"/>
      <c r="I482" s="57"/>
      <c r="J482" s="36"/>
      <c r="K482" s="57"/>
      <c r="L482" s="57"/>
      <c r="M482" s="57"/>
      <c r="N482" s="42"/>
      <c r="O482" s="57"/>
      <c r="P482" s="43"/>
      <c r="Q482" s="41"/>
      <c r="R482" s="43"/>
      <c r="S482" s="36"/>
      <c r="T482" s="16">
        <f t="shared" si="14"/>
        <v>0</v>
      </c>
      <c r="U482" s="16">
        <f t="shared" si="15"/>
        <v>0</v>
      </c>
      <c r="V482" s="133"/>
    </row>
    <row r="483" spans="1:22" s="56" customFormat="1">
      <c r="A483" s="58"/>
      <c r="B483" s="36"/>
      <c r="C483" s="58"/>
      <c r="D483" s="57"/>
      <c r="E483" s="57"/>
      <c r="F483" s="41"/>
      <c r="G483" s="41"/>
      <c r="H483" s="41"/>
      <c r="I483" s="57"/>
      <c r="J483" s="36"/>
      <c r="K483" s="57"/>
      <c r="L483" s="57"/>
      <c r="M483" s="57"/>
      <c r="N483" s="42"/>
      <c r="O483" s="57"/>
      <c r="P483" s="43"/>
      <c r="Q483" s="41"/>
      <c r="R483" s="43"/>
      <c r="S483" s="36"/>
      <c r="T483" s="16">
        <f t="shared" si="14"/>
        <v>0</v>
      </c>
      <c r="U483" s="16">
        <f t="shared" si="15"/>
        <v>0</v>
      </c>
      <c r="V483" s="133"/>
    </row>
    <row r="484" spans="1:22" s="56" customFormat="1">
      <c r="A484" s="58"/>
      <c r="B484" s="36"/>
      <c r="C484" s="58"/>
      <c r="D484" s="57"/>
      <c r="E484" s="57"/>
      <c r="F484" s="41"/>
      <c r="G484" s="41"/>
      <c r="H484" s="41"/>
      <c r="I484" s="57"/>
      <c r="J484" s="36"/>
      <c r="K484" s="57"/>
      <c r="L484" s="57"/>
      <c r="M484" s="57"/>
      <c r="N484" s="42"/>
      <c r="O484" s="57"/>
      <c r="P484" s="43"/>
      <c r="Q484" s="41"/>
      <c r="R484" s="43"/>
      <c r="S484" s="36"/>
      <c r="T484" s="16">
        <f t="shared" si="14"/>
        <v>0</v>
      </c>
      <c r="U484" s="16">
        <f t="shared" si="15"/>
        <v>0</v>
      </c>
      <c r="V484" s="133"/>
    </row>
    <row r="485" spans="1:22" s="56" customFormat="1">
      <c r="A485" s="58"/>
      <c r="B485" s="36"/>
      <c r="C485" s="58"/>
      <c r="D485" s="57"/>
      <c r="E485" s="57"/>
      <c r="F485" s="41"/>
      <c r="G485" s="41"/>
      <c r="H485" s="41"/>
      <c r="I485" s="57"/>
      <c r="J485" s="36"/>
      <c r="K485" s="57"/>
      <c r="L485" s="57"/>
      <c r="M485" s="57"/>
      <c r="N485" s="42"/>
      <c r="O485" s="57"/>
      <c r="P485" s="43"/>
      <c r="Q485" s="41"/>
      <c r="R485" s="43"/>
      <c r="S485" s="36"/>
      <c r="T485" s="16">
        <f t="shared" si="14"/>
        <v>0</v>
      </c>
      <c r="U485" s="16">
        <f t="shared" si="15"/>
        <v>0</v>
      </c>
      <c r="V485" s="133"/>
    </row>
    <row r="486" spans="1:22" s="56" customFormat="1">
      <c r="A486" s="58"/>
      <c r="B486" s="36"/>
      <c r="C486" s="58"/>
      <c r="D486" s="57"/>
      <c r="E486" s="57"/>
      <c r="F486" s="41"/>
      <c r="G486" s="41"/>
      <c r="H486" s="41"/>
      <c r="I486" s="57"/>
      <c r="J486" s="36"/>
      <c r="K486" s="57"/>
      <c r="L486" s="57"/>
      <c r="M486" s="57"/>
      <c r="N486" s="42"/>
      <c r="O486" s="57"/>
      <c r="P486" s="43"/>
      <c r="Q486" s="41"/>
      <c r="R486" s="43"/>
      <c r="S486" s="36"/>
      <c r="T486" s="16">
        <f t="shared" si="14"/>
        <v>0</v>
      </c>
      <c r="U486" s="16">
        <f t="shared" si="15"/>
        <v>0</v>
      </c>
      <c r="V486" s="133"/>
    </row>
    <row r="487" spans="1:22" s="56" customFormat="1">
      <c r="A487" s="58"/>
      <c r="B487" s="36"/>
      <c r="C487" s="58"/>
      <c r="D487" s="57"/>
      <c r="E487" s="57"/>
      <c r="F487" s="41"/>
      <c r="G487" s="41"/>
      <c r="H487" s="41"/>
      <c r="I487" s="57"/>
      <c r="J487" s="36"/>
      <c r="K487" s="57"/>
      <c r="L487" s="57"/>
      <c r="M487" s="57"/>
      <c r="N487" s="42"/>
      <c r="O487" s="57"/>
      <c r="P487" s="43"/>
      <c r="Q487" s="41"/>
      <c r="R487" s="43"/>
      <c r="S487" s="36"/>
      <c r="T487" s="16">
        <f t="shared" si="14"/>
        <v>0</v>
      </c>
      <c r="U487" s="16">
        <f t="shared" si="15"/>
        <v>0</v>
      </c>
      <c r="V487" s="133"/>
    </row>
    <row r="488" spans="1:22" s="56" customFormat="1">
      <c r="A488" s="58"/>
      <c r="B488" s="36"/>
      <c r="C488" s="58"/>
      <c r="D488" s="57"/>
      <c r="E488" s="57"/>
      <c r="F488" s="41"/>
      <c r="G488" s="41"/>
      <c r="H488" s="41"/>
      <c r="I488" s="57"/>
      <c r="J488" s="36"/>
      <c r="K488" s="57"/>
      <c r="L488" s="57"/>
      <c r="M488" s="57"/>
      <c r="N488" s="42"/>
      <c r="O488" s="57"/>
      <c r="P488" s="43"/>
      <c r="Q488" s="41"/>
      <c r="R488" s="43"/>
      <c r="S488" s="36"/>
      <c r="T488" s="16">
        <f t="shared" si="14"/>
        <v>0</v>
      </c>
      <c r="U488" s="16">
        <f t="shared" si="15"/>
        <v>0</v>
      </c>
      <c r="V488" s="133"/>
    </row>
    <row r="489" spans="1:22" s="56" customFormat="1">
      <c r="A489" s="58"/>
      <c r="B489" s="36"/>
      <c r="C489" s="58"/>
      <c r="D489" s="57"/>
      <c r="E489" s="57"/>
      <c r="F489" s="41"/>
      <c r="G489" s="41"/>
      <c r="H489" s="41"/>
      <c r="I489" s="57"/>
      <c r="J489" s="36"/>
      <c r="K489" s="57"/>
      <c r="L489" s="57"/>
      <c r="M489" s="57"/>
      <c r="N489" s="42"/>
      <c r="O489" s="57"/>
      <c r="P489" s="43"/>
      <c r="Q489" s="41"/>
      <c r="R489" s="43"/>
      <c r="S489" s="36"/>
      <c r="T489" s="16">
        <f t="shared" si="14"/>
        <v>0</v>
      </c>
      <c r="U489" s="16">
        <f t="shared" si="15"/>
        <v>0</v>
      </c>
      <c r="V489" s="133"/>
    </row>
    <row r="490" spans="1:22" s="56" customFormat="1">
      <c r="A490" s="58"/>
      <c r="B490" s="36"/>
      <c r="C490" s="58"/>
      <c r="D490" s="57"/>
      <c r="E490" s="57"/>
      <c r="F490" s="41"/>
      <c r="G490" s="41"/>
      <c r="H490" s="41"/>
      <c r="I490" s="57"/>
      <c r="J490" s="36"/>
      <c r="K490" s="57"/>
      <c r="L490" s="57"/>
      <c r="M490" s="57"/>
      <c r="N490" s="42"/>
      <c r="O490" s="57"/>
      <c r="P490" s="43"/>
      <c r="Q490" s="41"/>
      <c r="R490" s="43"/>
      <c r="S490" s="36"/>
      <c r="T490" s="16">
        <f t="shared" si="14"/>
        <v>0</v>
      </c>
      <c r="U490" s="16">
        <f t="shared" si="15"/>
        <v>0</v>
      </c>
      <c r="V490" s="133"/>
    </row>
    <row r="491" spans="1:22" s="56" customFormat="1">
      <c r="A491" s="58"/>
      <c r="B491" s="36"/>
      <c r="C491" s="58"/>
      <c r="D491" s="57"/>
      <c r="E491" s="57"/>
      <c r="F491" s="41"/>
      <c r="G491" s="41"/>
      <c r="H491" s="41"/>
      <c r="I491" s="57"/>
      <c r="J491" s="36"/>
      <c r="K491" s="57"/>
      <c r="L491" s="57"/>
      <c r="M491" s="57"/>
      <c r="N491" s="42"/>
      <c r="O491" s="57"/>
      <c r="P491" s="43"/>
      <c r="Q491" s="41"/>
      <c r="R491" s="43"/>
      <c r="S491" s="36"/>
      <c r="T491" s="16">
        <f t="shared" si="14"/>
        <v>0</v>
      </c>
      <c r="U491" s="16">
        <f t="shared" si="15"/>
        <v>0</v>
      </c>
      <c r="V491" s="133"/>
    </row>
    <row r="492" spans="1:22" s="56" customFormat="1">
      <c r="A492" s="58"/>
      <c r="B492" s="36"/>
      <c r="C492" s="58"/>
      <c r="D492" s="57"/>
      <c r="E492" s="57"/>
      <c r="F492" s="41"/>
      <c r="G492" s="41"/>
      <c r="H492" s="41"/>
      <c r="I492" s="57"/>
      <c r="J492" s="36"/>
      <c r="K492" s="57"/>
      <c r="L492" s="57"/>
      <c r="M492" s="57"/>
      <c r="N492" s="42"/>
      <c r="O492" s="57"/>
      <c r="P492" s="43"/>
      <c r="Q492" s="41"/>
      <c r="R492" s="43"/>
      <c r="S492" s="36"/>
      <c r="T492" s="16">
        <f t="shared" si="14"/>
        <v>0</v>
      </c>
      <c r="U492" s="16">
        <f t="shared" si="15"/>
        <v>0</v>
      </c>
      <c r="V492" s="133"/>
    </row>
    <row r="493" spans="1:22" s="56" customFormat="1">
      <c r="A493" s="58"/>
      <c r="B493" s="36"/>
      <c r="C493" s="58"/>
      <c r="D493" s="57"/>
      <c r="E493" s="57"/>
      <c r="F493" s="41"/>
      <c r="G493" s="41"/>
      <c r="H493" s="41"/>
      <c r="I493" s="57"/>
      <c r="J493" s="36"/>
      <c r="K493" s="57"/>
      <c r="L493" s="57"/>
      <c r="M493" s="57"/>
      <c r="N493" s="42"/>
      <c r="O493" s="57"/>
      <c r="P493" s="43"/>
      <c r="Q493" s="41"/>
      <c r="R493" s="43"/>
      <c r="S493" s="36"/>
      <c r="T493" s="16">
        <f t="shared" si="14"/>
        <v>0</v>
      </c>
      <c r="U493" s="16">
        <f t="shared" si="15"/>
        <v>0</v>
      </c>
      <c r="V493" s="133"/>
    </row>
    <row r="494" spans="1:22" s="56" customFormat="1">
      <c r="A494" s="58"/>
      <c r="B494" s="36"/>
      <c r="C494" s="58"/>
      <c r="D494" s="57"/>
      <c r="E494" s="57"/>
      <c r="F494" s="41"/>
      <c r="G494" s="41"/>
      <c r="H494" s="41"/>
      <c r="I494" s="57"/>
      <c r="J494" s="36"/>
      <c r="K494" s="57"/>
      <c r="L494" s="57"/>
      <c r="M494" s="57"/>
      <c r="N494" s="42"/>
      <c r="O494" s="57"/>
      <c r="P494" s="43"/>
      <c r="Q494" s="41"/>
      <c r="R494" s="43"/>
      <c r="S494" s="36"/>
      <c r="T494" s="16">
        <f t="shared" si="14"/>
        <v>0</v>
      </c>
      <c r="U494" s="16">
        <f t="shared" si="15"/>
        <v>0</v>
      </c>
      <c r="V494" s="133"/>
    </row>
    <row r="495" spans="1:22" s="56" customFormat="1">
      <c r="A495" s="58"/>
      <c r="B495" s="36"/>
      <c r="C495" s="58"/>
      <c r="D495" s="57"/>
      <c r="E495" s="57"/>
      <c r="F495" s="41"/>
      <c r="G495" s="41"/>
      <c r="H495" s="41"/>
      <c r="I495" s="57"/>
      <c r="J495" s="36"/>
      <c r="K495" s="57"/>
      <c r="L495" s="57"/>
      <c r="M495" s="57"/>
      <c r="N495" s="42"/>
      <c r="O495" s="57"/>
      <c r="P495" s="43"/>
      <c r="Q495" s="41"/>
      <c r="R495" s="43"/>
      <c r="S495" s="36"/>
      <c r="T495" s="16">
        <f t="shared" si="14"/>
        <v>0</v>
      </c>
      <c r="U495" s="16">
        <f t="shared" si="15"/>
        <v>0</v>
      </c>
      <c r="V495" s="133"/>
    </row>
    <row r="496" spans="1:22" s="56" customFormat="1">
      <c r="A496" s="58"/>
      <c r="B496" s="36"/>
      <c r="C496" s="58"/>
      <c r="D496" s="57"/>
      <c r="E496" s="57"/>
      <c r="F496" s="41"/>
      <c r="G496" s="41"/>
      <c r="H496" s="41"/>
      <c r="I496" s="57"/>
      <c r="J496" s="36"/>
      <c r="K496" s="57"/>
      <c r="L496" s="57"/>
      <c r="M496" s="57"/>
      <c r="N496" s="42"/>
      <c r="O496" s="57"/>
      <c r="P496" s="43"/>
      <c r="Q496" s="41"/>
      <c r="R496" s="43"/>
      <c r="S496" s="36"/>
      <c r="T496" s="16">
        <f t="shared" si="14"/>
        <v>0</v>
      </c>
      <c r="U496" s="16">
        <f t="shared" si="15"/>
        <v>0</v>
      </c>
      <c r="V496" s="133"/>
    </row>
    <row r="497" spans="1:22" s="56" customFormat="1">
      <c r="A497" s="58"/>
      <c r="B497" s="36"/>
      <c r="C497" s="58"/>
      <c r="D497" s="57"/>
      <c r="E497" s="57"/>
      <c r="F497" s="41"/>
      <c r="G497" s="41"/>
      <c r="H497" s="41"/>
      <c r="I497" s="57"/>
      <c r="J497" s="36"/>
      <c r="K497" s="57"/>
      <c r="L497" s="57"/>
      <c r="M497" s="57"/>
      <c r="N497" s="42"/>
      <c r="O497" s="57"/>
      <c r="P497" s="43"/>
      <c r="Q497" s="41"/>
      <c r="R497" s="43"/>
      <c r="S497" s="36"/>
      <c r="T497" s="16">
        <f t="shared" si="14"/>
        <v>0</v>
      </c>
      <c r="U497" s="16">
        <f t="shared" si="15"/>
        <v>0</v>
      </c>
      <c r="V497" s="133"/>
    </row>
    <row r="498" spans="1:22" s="56" customFormat="1">
      <c r="A498" s="58"/>
      <c r="B498" s="36"/>
      <c r="C498" s="58"/>
      <c r="D498" s="57"/>
      <c r="E498" s="57"/>
      <c r="F498" s="41"/>
      <c r="G498" s="41"/>
      <c r="H498" s="41"/>
      <c r="I498" s="57"/>
      <c r="J498" s="36"/>
      <c r="K498" s="57"/>
      <c r="L498" s="57"/>
      <c r="M498" s="57"/>
      <c r="N498" s="42"/>
      <c r="O498" s="57"/>
      <c r="P498" s="43"/>
      <c r="Q498" s="41"/>
      <c r="R498" s="43"/>
      <c r="S498" s="36"/>
      <c r="T498" s="16">
        <f t="shared" si="14"/>
        <v>0</v>
      </c>
      <c r="U498" s="16">
        <f t="shared" si="15"/>
        <v>0</v>
      </c>
      <c r="V498" s="133"/>
    </row>
    <row r="499" spans="1:22" s="56" customFormat="1">
      <c r="A499" s="58"/>
      <c r="B499" s="36"/>
      <c r="C499" s="58"/>
      <c r="D499" s="57"/>
      <c r="E499" s="57"/>
      <c r="F499" s="41"/>
      <c r="G499" s="41"/>
      <c r="H499" s="41"/>
      <c r="I499" s="57"/>
      <c r="J499" s="36"/>
      <c r="K499" s="57"/>
      <c r="L499" s="57"/>
      <c r="M499" s="57"/>
      <c r="N499" s="42"/>
      <c r="O499" s="57"/>
      <c r="P499" s="43"/>
      <c r="Q499" s="41"/>
      <c r="R499" s="43"/>
      <c r="S499" s="36"/>
      <c r="T499" s="16">
        <f t="shared" si="14"/>
        <v>0</v>
      </c>
      <c r="U499" s="16">
        <f t="shared" si="15"/>
        <v>0</v>
      </c>
      <c r="V499" s="133"/>
    </row>
    <row r="500" spans="1:22" s="56" customFormat="1">
      <c r="A500" s="58"/>
      <c r="B500" s="36"/>
      <c r="C500" s="58"/>
      <c r="D500" s="57"/>
      <c r="E500" s="57"/>
      <c r="F500" s="41"/>
      <c r="G500" s="41"/>
      <c r="H500" s="41"/>
      <c r="I500" s="57"/>
      <c r="J500" s="36"/>
      <c r="K500" s="57"/>
      <c r="L500" s="57"/>
      <c r="M500" s="57"/>
      <c r="N500" s="42"/>
      <c r="O500" s="57"/>
      <c r="P500" s="43"/>
      <c r="Q500" s="41"/>
      <c r="R500" s="43"/>
      <c r="S500" s="36"/>
      <c r="T500" s="16">
        <f t="shared" si="14"/>
        <v>0</v>
      </c>
      <c r="U500" s="16">
        <f t="shared" si="15"/>
        <v>0</v>
      </c>
      <c r="V500" s="133"/>
    </row>
    <row r="501" spans="1:22" s="56" customFormat="1">
      <c r="A501" s="58"/>
      <c r="B501" s="36"/>
      <c r="C501" s="58"/>
      <c r="D501" s="57"/>
      <c r="E501" s="57"/>
      <c r="F501" s="41"/>
      <c r="G501" s="41"/>
      <c r="H501" s="41"/>
      <c r="I501" s="57"/>
      <c r="J501" s="36"/>
      <c r="K501" s="57"/>
      <c r="L501" s="57"/>
      <c r="M501" s="57"/>
      <c r="N501" s="42"/>
      <c r="O501" s="57"/>
      <c r="P501" s="43"/>
      <c r="Q501" s="41"/>
      <c r="R501" s="43"/>
      <c r="S501" s="36"/>
      <c r="T501" s="16">
        <f t="shared" si="14"/>
        <v>0</v>
      </c>
      <c r="U501" s="16">
        <f t="shared" si="15"/>
        <v>0</v>
      </c>
      <c r="V501" s="133"/>
    </row>
    <row r="502" spans="1:22" s="56" customFormat="1">
      <c r="A502" s="58"/>
      <c r="B502" s="36"/>
      <c r="C502" s="58"/>
      <c r="D502" s="57"/>
      <c r="E502" s="57"/>
      <c r="F502" s="41"/>
      <c r="G502" s="41"/>
      <c r="H502" s="41"/>
      <c r="I502" s="57"/>
      <c r="J502" s="36"/>
      <c r="K502" s="57"/>
      <c r="L502" s="57"/>
      <c r="M502" s="57"/>
      <c r="N502" s="42"/>
      <c r="O502" s="57"/>
      <c r="P502" s="43"/>
      <c r="Q502" s="41"/>
      <c r="R502" s="43"/>
      <c r="S502" s="36"/>
      <c r="T502" s="16">
        <f t="shared" si="14"/>
        <v>0</v>
      </c>
      <c r="U502" s="16">
        <f t="shared" si="15"/>
        <v>0</v>
      </c>
      <c r="V502" s="133"/>
    </row>
    <row r="503" spans="1:22" s="56" customFormat="1">
      <c r="A503" s="58"/>
      <c r="B503" s="36"/>
      <c r="C503" s="58"/>
      <c r="D503" s="57"/>
      <c r="E503" s="57"/>
      <c r="F503" s="41"/>
      <c r="G503" s="41"/>
      <c r="H503" s="41"/>
      <c r="I503" s="57"/>
      <c r="J503" s="36"/>
      <c r="K503" s="57"/>
      <c r="L503" s="57"/>
      <c r="M503" s="57"/>
      <c r="N503" s="42"/>
      <c r="O503" s="57"/>
      <c r="P503" s="43"/>
      <c r="Q503" s="41"/>
      <c r="R503" s="43"/>
      <c r="S503" s="36"/>
      <c r="T503" s="16">
        <f t="shared" si="14"/>
        <v>0</v>
      </c>
      <c r="U503" s="16">
        <f t="shared" si="15"/>
        <v>0</v>
      </c>
      <c r="V503" s="133"/>
    </row>
    <row r="504" spans="1:22" s="56" customFormat="1">
      <c r="A504" s="58"/>
      <c r="B504" s="36"/>
      <c r="C504" s="58"/>
      <c r="D504" s="57"/>
      <c r="E504" s="57"/>
      <c r="F504" s="41"/>
      <c r="G504" s="41"/>
      <c r="H504" s="41"/>
      <c r="I504" s="57"/>
      <c r="J504" s="36"/>
      <c r="K504" s="57"/>
      <c r="L504" s="57"/>
      <c r="M504" s="57"/>
      <c r="N504" s="42"/>
      <c r="O504" s="57"/>
      <c r="P504" s="43"/>
      <c r="Q504" s="41"/>
      <c r="R504" s="43"/>
      <c r="S504" s="36"/>
      <c r="T504" s="16">
        <f t="shared" si="14"/>
        <v>0</v>
      </c>
      <c r="U504" s="16">
        <f t="shared" si="15"/>
        <v>0</v>
      </c>
      <c r="V504" s="133"/>
    </row>
    <row r="505" spans="1:22" s="56" customFormat="1">
      <c r="A505" s="58"/>
      <c r="B505" s="36"/>
      <c r="C505" s="58"/>
      <c r="D505" s="57"/>
      <c r="E505" s="57"/>
      <c r="F505" s="41"/>
      <c r="G505" s="41"/>
      <c r="H505" s="41"/>
      <c r="I505" s="57"/>
      <c r="J505" s="36"/>
      <c r="K505" s="57"/>
      <c r="L505" s="57"/>
      <c r="M505" s="57"/>
      <c r="N505" s="42"/>
      <c r="O505" s="57"/>
      <c r="P505" s="43"/>
      <c r="Q505" s="41"/>
      <c r="R505" s="43"/>
      <c r="S505" s="36"/>
      <c r="T505" s="16">
        <f t="shared" si="14"/>
        <v>0</v>
      </c>
      <c r="U505" s="16">
        <f t="shared" si="15"/>
        <v>0</v>
      </c>
      <c r="V505" s="133"/>
    </row>
    <row r="506" spans="1:22" s="56" customFormat="1">
      <c r="A506" s="58"/>
      <c r="B506" s="36"/>
      <c r="C506" s="58"/>
      <c r="D506" s="57"/>
      <c r="E506" s="57"/>
      <c r="F506" s="41"/>
      <c r="G506" s="41"/>
      <c r="H506" s="41"/>
      <c r="I506" s="57"/>
      <c r="J506" s="36"/>
      <c r="K506" s="57"/>
      <c r="L506" s="57"/>
      <c r="M506" s="57"/>
      <c r="N506" s="42"/>
      <c r="O506" s="57"/>
      <c r="P506" s="43"/>
      <c r="Q506" s="41"/>
      <c r="R506" s="43"/>
      <c r="S506" s="36"/>
      <c r="T506" s="16">
        <f t="shared" si="14"/>
        <v>0</v>
      </c>
      <c r="U506" s="16">
        <f t="shared" si="15"/>
        <v>0</v>
      </c>
      <c r="V506" s="133"/>
    </row>
    <row r="507" spans="1:22" s="56" customFormat="1">
      <c r="A507" s="58"/>
      <c r="B507" s="36"/>
      <c r="C507" s="58"/>
      <c r="D507" s="57"/>
      <c r="E507" s="57"/>
      <c r="F507" s="41"/>
      <c r="G507" s="41"/>
      <c r="H507" s="41"/>
      <c r="I507" s="57"/>
      <c r="J507" s="36"/>
      <c r="K507" s="57"/>
      <c r="L507" s="57"/>
      <c r="M507" s="57"/>
      <c r="N507" s="42"/>
      <c r="O507" s="57"/>
      <c r="P507" s="43"/>
      <c r="Q507" s="41"/>
      <c r="R507" s="43"/>
      <c r="S507" s="36"/>
      <c r="T507" s="16">
        <f t="shared" si="14"/>
        <v>0</v>
      </c>
      <c r="U507" s="16">
        <f t="shared" si="15"/>
        <v>0</v>
      </c>
      <c r="V507" s="133"/>
    </row>
    <row r="508" spans="1:22" s="56" customFormat="1">
      <c r="A508" s="58"/>
      <c r="B508" s="36"/>
      <c r="C508" s="58"/>
      <c r="D508" s="57"/>
      <c r="E508" s="57"/>
      <c r="F508" s="41"/>
      <c r="G508" s="41"/>
      <c r="H508" s="41"/>
      <c r="I508" s="57"/>
      <c r="J508" s="36"/>
      <c r="K508" s="57"/>
      <c r="L508" s="57"/>
      <c r="M508" s="57"/>
      <c r="N508" s="42"/>
      <c r="O508" s="57"/>
      <c r="P508" s="43"/>
      <c r="Q508" s="41"/>
      <c r="R508" s="43"/>
      <c r="S508" s="36"/>
      <c r="T508" s="16">
        <f t="shared" si="14"/>
        <v>0</v>
      </c>
      <c r="U508" s="16">
        <f t="shared" si="15"/>
        <v>0</v>
      </c>
      <c r="V508" s="133"/>
    </row>
    <row r="509" spans="1:22" s="56" customFormat="1">
      <c r="A509" s="58"/>
      <c r="B509" s="36"/>
      <c r="C509" s="58"/>
      <c r="D509" s="57"/>
      <c r="E509" s="57"/>
      <c r="F509" s="41"/>
      <c r="G509" s="41"/>
      <c r="H509" s="41"/>
      <c r="I509" s="57"/>
      <c r="J509" s="36"/>
      <c r="K509" s="57"/>
      <c r="L509" s="57"/>
      <c r="M509" s="57"/>
      <c r="N509" s="42"/>
      <c r="O509" s="57"/>
      <c r="P509" s="43"/>
      <c r="Q509" s="41"/>
      <c r="R509" s="43"/>
      <c r="S509" s="36"/>
      <c r="T509" s="16">
        <f t="shared" si="14"/>
        <v>0</v>
      </c>
      <c r="U509" s="16">
        <f t="shared" si="15"/>
        <v>0</v>
      </c>
      <c r="V509" s="133"/>
    </row>
    <row r="510" spans="1:22" s="56" customFormat="1">
      <c r="A510" s="58"/>
      <c r="B510" s="36"/>
      <c r="C510" s="58"/>
      <c r="D510" s="57"/>
      <c r="E510" s="57"/>
      <c r="F510" s="41"/>
      <c r="G510" s="41"/>
      <c r="H510" s="41"/>
      <c r="I510" s="57"/>
      <c r="J510" s="36"/>
      <c r="K510" s="57"/>
      <c r="L510" s="57"/>
      <c r="M510" s="57"/>
      <c r="N510" s="42"/>
      <c r="O510" s="57"/>
      <c r="P510" s="43"/>
      <c r="Q510" s="41"/>
      <c r="R510" s="43"/>
      <c r="S510" s="36"/>
      <c r="T510" s="16">
        <f t="shared" si="14"/>
        <v>0</v>
      </c>
      <c r="U510" s="16">
        <f t="shared" si="15"/>
        <v>0</v>
      </c>
      <c r="V510" s="133"/>
    </row>
    <row r="511" spans="1:22" s="56" customFormat="1">
      <c r="A511" s="58"/>
      <c r="B511" s="36"/>
      <c r="C511" s="58"/>
      <c r="D511" s="57"/>
      <c r="E511" s="57"/>
      <c r="F511" s="41"/>
      <c r="G511" s="41"/>
      <c r="H511" s="41"/>
      <c r="I511" s="57"/>
      <c r="J511" s="36"/>
      <c r="K511" s="57"/>
      <c r="L511" s="57"/>
      <c r="M511" s="57"/>
      <c r="N511" s="42"/>
      <c r="O511" s="57"/>
      <c r="P511" s="43"/>
      <c r="Q511" s="41"/>
      <c r="R511" s="43"/>
      <c r="S511" s="36"/>
      <c r="T511" s="16">
        <f t="shared" si="14"/>
        <v>0</v>
      </c>
      <c r="U511" s="16">
        <f t="shared" si="15"/>
        <v>0</v>
      </c>
      <c r="V511" s="133"/>
    </row>
    <row r="512" spans="1:22" s="56" customFormat="1">
      <c r="A512" s="58"/>
      <c r="B512" s="36"/>
      <c r="C512" s="58"/>
      <c r="D512" s="57"/>
      <c r="E512" s="57"/>
      <c r="F512" s="41"/>
      <c r="G512" s="41"/>
      <c r="H512" s="41"/>
      <c r="I512" s="57"/>
      <c r="J512" s="36"/>
      <c r="K512" s="57"/>
      <c r="L512" s="57"/>
      <c r="M512" s="57"/>
      <c r="N512" s="42"/>
      <c r="O512" s="57"/>
      <c r="P512" s="43"/>
      <c r="Q512" s="41"/>
      <c r="R512" s="43"/>
      <c r="S512" s="36"/>
      <c r="T512" s="16">
        <f t="shared" si="14"/>
        <v>0</v>
      </c>
      <c r="U512" s="16">
        <f t="shared" si="15"/>
        <v>0</v>
      </c>
      <c r="V512" s="133"/>
    </row>
    <row r="513" spans="1:22" s="56" customFormat="1">
      <c r="A513" s="58"/>
      <c r="B513" s="36"/>
      <c r="C513" s="58"/>
      <c r="D513" s="57"/>
      <c r="E513" s="57"/>
      <c r="F513" s="41"/>
      <c r="G513" s="41"/>
      <c r="H513" s="41"/>
      <c r="I513" s="57"/>
      <c r="J513" s="36"/>
      <c r="K513" s="57"/>
      <c r="L513" s="57"/>
      <c r="M513" s="57"/>
      <c r="N513" s="42"/>
      <c r="O513" s="57"/>
      <c r="P513" s="43"/>
      <c r="Q513" s="41"/>
      <c r="R513" s="43"/>
      <c r="S513" s="36"/>
      <c r="T513" s="16">
        <f t="shared" si="14"/>
        <v>0</v>
      </c>
      <c r="U513" s="16">
        <f t="shared" si="15"/>
        <v>0</v>
      </c>
      <c r="V513" s="133"/>
    </row>
    <row r="514" spans="1:22" s="56" customFormat="1">
      <c r="A514" s="58"/>
      <c r="B514" s="36"/>
      <c r="C514" s="58"/>
      <c r="D514" s="57"/>
      <c r="E514" s="57"/>
      <c r="F514" s="41"/>
      <c r="G514" s="41"/>
      <c r="H514" s="41"/>
      <c r="I514" s="57"/>
      <c r="J514" s="36"/>
      <c r="K514" s="57"/>
      <c r="L514" s="57"/>
      <c r="M514" s="57"/>
      <c r="N514" s="42"/>
      <c r="O514" s="57"/>
      <c r="P514" s="43"/>
      <c r="Q514" s="41"/>
      <c r="R514" s="43"/>
      <c r="S514" s="36"/>
      <c r="T514" s="16">
        <f t="shared" si="14"/>
        <v>0</v>
      </c>
      <c r="U514" s="16">
        <f t="shared" si="15"/>
        <v>0</v>
      </c>
      <c r="V514" s="133"/>
    </row>
    <row r="515" spans="1:22" s="56" customFormat="1">
      <c r="A515" s="58"/>
      <c r="B515" s="36"/>
      <c r="C515" s="58"/>
      <c r="D515" s="57"/>
      <c r="E515" s="57"/>
      <c r="F515" s="41"/>
      <c r="G515" s="41"/>
      <c r="H515" s="41"/>
      <c r="I515" s="57"/>
      <c r="J515" s="36"/>
      <c r="K515" s="57"/>
      <c r="L515" s="57"/>
      <c r="M515" s="57"/>
      <c r="N515" s="42"/>
      <c r="O515" s="57"/>
      <c r="P515" s="43"/>
      <c r="Q515" s="41"/>
      <c r="R515" s="43"/>
      <c r="S515" s="36"/>
      <c r="T515" s="16">
        <f t="shared" si="14"/>
        <v>0</v>
      </c>
      <c r="U515" s="16">
        <f t="shared" si="15"/>
        <v>0</v>
      </c>
      <c r="V515" s="133"/>
    </row>
    <row r="516" spans="1:22" s="56" customFormat="1">
      <c r="A516" s="58"/>
      <c r="B516" s="36"/>
      <c r="C516" s="58"/>
      <c r="D516" s="57"/>
      <c r="E516" s="57"/>
      <c r="F516" s="41"/>
      <c r="G516" s="41"/>
      <c r="H516" s="41"/>
      <c r="I516" s="57"/>
      <c r="J516" s="36"/>
      <c r="K516" s="57"/>
      <c r="L516" s="57"/>
      <c r="M516" s="57"/>
      <c r="N516" s="42"/>
      <c r="O516" s="57"/>
      <c r="P516" s="43"/>
      <c r="Q516" s="41"/>
      <c r="R516" s="43"/>
      <c r="S516" s="36"/>
      <c r="T516" s="16">
        <f t="shared" si="14"/>
        <v>0</v>
      </c>
      <c r="U516" s="16">
        <f t="shared" si="15"/>
        <v>0</v>
      </c>
      <c r="V516" s="133"/>
    </row>
    <row r="517" spans="1:22" s="56" customFormat="1">
      <c r="A517" s="58"/>
      <c r="B517" s="36"/>
      <c r="C517" s="58"/>
      <c r="D517" s="57"/>
      <c r="E517" s="57"/>
      <c r="F517" s="41"/>
      <c r="G517" s="41"/>
      <c r="H517" s="41"/>
      <c r="I517" s="57"/>
      <c r="J517" s="36"/>
      <c r="K517" s="57"/>
      <c r="L517" s="57"/>
      <c r="M517" s="57"/>
      <c r="N517" s="42"/>
      <c r="O517" s="57"/>
      <c r="P517" s="43"/>
      <c r="Q517" s="41"/>
      <c r="R517" s="43"/>
      <c r="S517" s="36"/>
      <c r="T517" s="16">
        <f t="shared" ref="T517:T580" si="16">IF(OR($J517="Accepted",ISBLANK($J517)),IF(AND($G517="Legacy Data",$Q517="Legacy Data"),1,IF(OR($G517="Legacy Data",$Q517="Legacy Data"),1,0)),IF(OR($N517="Agree with original translator",ISBLANK($N517)),IF(AND($G517="Source Text Data",$Q517="Legacy Data"),1,IF(AND($G517="Legacy Data",$Q517="Legacy Data"),1,IF($Q517="Legacy Data",1,0))),IF(AND($G517="Legacy Data",$Q517="Legacy Data"),1,IF(OR($Q517="Legacy Data",ISBLANK($Q517)),IF($G517&lt;&gt;"Legacy Data",IF(AND($G517="Source Text Data",$Q517="Legacy Data"),1,0),1),0))))</f>
        <v>0</v>
      </c>
      <c r="U517" s="16">
        <f t="shared" ref="U517:U580" si="17">IF(OR($J517="Accepted",ISBLANK($J517)),IF(AND($G517="Source Text Data",$Q517="Source Text Data"),1,IF(OR($G517="Source Text Data",$Q517="Source Text Data"),1,0)),IF(OR($N517="Agree with original translator",ISBLANK($N517)),IF(AND($G517="Legacy Data",$Q517="Source Text Data"),1,IF(AND($G517="Source Text Data",$Q517="Source Text Data"),1,IF($Q517="Source Text Data",1,0))),IF(AND($G517="Source Text Data",$Q517="Source Text Data"),1,IF(OR($Q517="Source Text Data",ISBLANK($Q517)),IF($G517&lt;&gt;"Source Text Data",IF(AND($G517="Legacy Data",$Q517="Source Text Data"),1,0),1),0))))</f>
        <v>0</v>
      </c>
      <c r="V517" s="133"/>
    </row>
    <row r="518" spans="1:22" s="56" customFormat="1">
      <c r="A518" s="58"/>
      <c r="B518" s="36"/>
      <c r="C518" s="58"/>
      <c r="D518" s="57"/>
      <c r="E518" s="57"/>
      <c r="F518" s="41"/>
      <c r="G518" s="41"/>
      <c r="H518" s="41"/>
      <c r="I518" s="57"/>
      <c r="J518" s="36"/>
      <c r="K518" s="57"/>
      <c r="L518" s="57"/>
      <c r="M518" s="57"/>
      <c r="N518" s="42"/>
      <c r="O518" s="57"/>
      <c r="P518" s="43"/>
      <c r="Q518" s="41"/>
      <c r="R518" s="43"/>
      <c r="S518" s="36"/>
      <c r="T518" s="16">
        <f t="shared" si="16"/>
        <v>0</v>
      </c>
      <c r="U518" s="16">
        <f t="shared" si="17"/>
        <v>0</v>
      </c>
      <c r="V518" s="133"/>
    </row>
    <row r="519" spans="1:22" s="56" customFormat="1">
      <c r="A519" s="58"/>
      <c r="B519" s="36"/>
      <c r="C519" s="58"/>
      <c r="D519" s="57"/>
      <c r="E519" s="57"/>
      <c r="F519" s="41"/>
      <c r="G519" s="41"/>
      <c r="H519" s="41"/>
      <c r="I519" s="57"/>
      <c r="J519" s="36"/>
      <c r="K519" s="57"/>
      <c r="L519" s="57"/>
      <c r="M519" s="57"/>
      <c r="N519" s="42"/>
      <c r="O519" s="57"/>
      <c r="P519" s="43"/>
      <c r="Q519" s="41"/>
      <c r="R519" s="43"/>
      <c r="S519" s="36"/>
      <c r="T519" s="16">
        <f t="shared" si="16"/>
        <v>0</v>
      </c>
      <c r="U519" s="16">
        <f t="shared" si="17"/>
        <v>0</v>
      </c>
      <c r="V519" s="133"/>
    </row>
    <row r="520" spans="1:22" s="56" customFormat="1">
      <c r="A520" s="58"/>
      <c r="B520" s="36"/>
      <c r="C520" s="58"/>
      <c r="D520" s="57"/>
      <c r="E520" s="57"/>
      <c r="F520" s="41"/>
      <c r="G520" s="41"/>
      <c r="H520" s="41"/>
      <c r="I520" s="57"/>
      <c r="J520" s="36"/>
      <c r="K520" s="57"/>
      <c r="L520" s="57"/>
      <c r="M520" s="57"/>
      <c r="N520" s="42"/>
      <c r="O520" s="57"/>
      <c r="P520" s="43"/>
      <c r="Q520" s="41"/>
      <c r="R520" s="43"/>
      <c r="S520" s="36"/>
      <c r="T520" s="16">
        <f t="shared" si="16"/>
        <v>0</v>
      </c>
      <c r="U520" s="16">
        <f t="shared" si="17"/>
        <v>0</v>
      </c>
      <c r="V520" s="133"/>
    </row>
    <row r="521" spans="1:22" s="56" customFormat="1">
      <c r="A521" s="58"/>
      <c r="B521" s="36"/>
      <c r="C521" s="58"/>
      <c r="D521" s="57"/>
      <c r="E521" s="57"/>
      <c r="F521" s="41"/>
      <c r="G521" s="41"/>
      <c r="H521" s="41"/>
      <c r="I521" s="57"/>
      <c r="J521" s="36"/>
      <c r="K521" s="57"/>
      <c r="L521" s="57"/>
      <c r="M521" s="57"/>
      <c r="N521" s="42"/>
      <c r="O521" s="57"/>
      <c r="P521" s="43"/>
      <c r="Q521" s="41"/>
      <c r="R521" s="43"/>
      <c r="S521" s="36"/>
      <c r="T521" s="16">
        <f t="shared" si="16"/>
        <v>0</v>
      </c>
      <c r="U521" s="16">
        <f t="shared" si="17"/>
        <v>0</v>
      </c>
      <c r="V521" s="133"/>
    </row>
    <row r="522" spans="1:22" s="56" customFormat="1">
      <c r="A522" s="58"/>
      <c r="B522" s="36"/>
      <c r="C522" s="58"/>
      <c r="D522" s="57"/>
      <c r="E522" s="57"/>
      <c r="F522" s="41"/>
      <c r="G522" s="41"/>
      <c r="H522" s="41"/>
      <c r="I522" s="57"/>
      <c r="J522" s="36"/>
      <c r="K522" s="57"/>
      <c r="L522" s="57"/>
      <c r="M522" s="57"/>
      <c r="N522" s="42"/>
      <c r="O522" s="57"/>
      <c r="P522" s="43"/>
      <c r="Q522" s="41"/>
      <c r="R522" s="43"/>
      <c r="S522" s="36"/>
      <c r="T522" s="16">
        <f t="shared" si="16"/>
        <v>0</v>
      </c>
      <c r="U522" s="16">
        <f t="shared" si="17"/>
        <v>0</v>
      </c>
      <c r="V522" s="133"/>
    </row>
    <row r="523" spans="1:22" s="56" customFormat="1">
      <c r="A523" s="58"/>
      <c r="B523" s="36"/>
      <c r="C523" s="58"/>
      <c r="D523" s="57"/>
      <c r="E523" s="57"/>
      <c r="F523" s="41"/>
      <c r="G523" s="41"/>
      <c r="H523" s="41"/>
      <c r="I523" s="57"/>
      <c r="J523" s="36"/>
      <c r="K523" s="57"/>
      <c r="L523" s="57"/>
      <c r="M523" s="57"/>
      <c r="N523" s="42"/>
      <c r="O523" s="57"/>
      <c r="P523" s="43"/>
      <c r="Q523" s="41"/>
      <c r="R523" s="43"/>
      <c r="S523" s="36"/>
      <c r="T523" s="16">
        <f t="shared" si="16"/>
        <v>0</v>
      </c>
      <c r="U523" s="16">
        <f t="shared" si="17"/>
        <v>0</v>
      </c>
      <c r="V523" s="133"/>
    </row>
    <row r="524" spans="1:22" s="56" customFormat="1">
      <c r="A524" s="58"/>
      <c r="B524" s="36"/>
      <c r="C524" s="58"/>
      <c r="D524" s="57"/>
      <c r="E524" s="57"/>
      <c r="F524" s="41"/>
      <c r="G524" s="41"/>
      <c r="H524" s="41"/>
      <c r="I524" s="57"/>
      <c r="J524" s="36"/>
      <c r="K524" s="57"/>
      <c r="L524" s="57"/>
      <c r="M524" s="57"/>
      <c r="N524" s="42"/>
      <c r="O524" s="57"/>
      <c r="P524" s="43"/>
      <c r="Q524" s="41"/>
      <c r="R524" s="43"/>
      <c r="S524" s="36"/>
      <c r="T524" s="16">
        <f t="shared" si="16"/>
        <v>0</v>
      </c>
      <c r="U524" s="16">
        <f t="shared" si="17"/>
        <v>0</v>
      </c>
      <c r="V524" s="133"/>
    </row>
    <row r="525" spans="1:22" s="56" customFormat="1">
      <c r="A525" s="58"/>
      <c r="B525" s="36"/>
      <c r="C525" s="58"/>
      <c r="D525" s="57"/>
      <c r="E525" s="57"/>
      <c r="F525" s="41"/>
      <c r="G525" s="41"/>
      <c r="H525" s="41"/>
      <c r="I525" s="57"/>
      <c r="J525" s="36"/>
      <c r="K525" s="57"/>
      <c r="L525" s="57"/>
      <c r="M525" s="57"/>
      <c r="N525" s="42"/>
      <c r="O525" s="57"/>
      <c r="P525" s="43"/>
      <c r="Q525" s="41"/>
      <c r="R525" s="43"/>
      <c r="S525" s="36"/>
      <c r="T525" s="16">
        <f t="shared" si="16"/>
        <v>0</v>
      </c>
      <c r="U525" s="16">
        <f t="shared" si="17"/>
        <v>0</v>
      </c>
      <c r="V525" s="133"/>
    </row>
    <row r="526" spans="1:22" s="56" customFormat="1">
      <c r="A526" s="58"/>
      <c r="B526" s="36"/>
      <c r="C526" s="58"/>
      <c r="D526" s="57"/>
      <c r="E526" s="57"/>
      <c r="F526" s="41"/>
      <c r="G526" s="41"/>
      <c r="H526" s="41"/>
      <c r="I526" s="57"/>
      <c r="J526" s="36"/>
      <c r="K526" s="57"/>
      <c r="L526" s="57"/>
      <c r="M526" s="57"/>
      <c r="N526" s="42"/>
      <c r="O526" s="57"/>
      <c r="P526" s="43"/>
      <c r="Q526" s="41"/>
      <c r="R526" s="43"/>
      <c r="S526" s="36"/>
      <c r="T526" s="16">
        <f t="shared" si="16"/>
        <v>0</v>
      </c>
      <c r="U526" s="16">
        <f t="shared" si="17"/>
        <v>0</v>
      </c>
      <c r="V526" s="133"/>
    </row>
    <row r="527" spans="1:22" s="56" customFormat="1">
      <c r="A527" s="58"/>
      <c r="B527" s="36"/>
      <c r="C527" s="58"/>
      <c r="D527" s="57"/>
      <c r="E527" s="57"/>
      <c r="F527" s="41"/>
      <c r="G527" s="41"/>
      <c r="H527" s="41"/>
      <c r="I527" s="57"/>
      <c r="J527" s="36"/>
      <c r="K527" s="57"/>
      <c r="L527" s="57"/>
      <c r="M527" s="57"/>
      <c r="N527" s="42"/>
      <c r="O527" s="57"/>
      <c r="P527" s="43"/>
      <c r="Q527" s="41"/>
      <c r="R527" s="43"/>
      <c r="S527" s="36"/>
      <c r="T527" s="16">
        <f t="shared" si="16"/>
        <v>0</v>
      </c>
      <c r="U527" s="16">
        <f t="shared" si="17"/>
        <v>0</v>
      </c>
      <c r="V527" s="133"/>
    </row>
    <row r="528" spans="1:22" s="56" customFormat="1">
      <c r="A528" s="58"/>
      <c r="B528" s="36"/>
      <c r="C528" s="58"/>
      <c r="D528" s="57"/>
      <c r="E528" s="57"/>
      <c r="F528" s="41"/>
      <c r="G528" s="41"/>
      <c r="H528" s="41"/>
      <c r="I528" s="57"/>
      <c r="J528" s="36"/>
      <c r="K528" s="57"/>
      <c r="L528" s="57"/>
      <c r="M528" s="57"/>
      <c r="N528" s="42"/>
      <c r="O528" s="57"/>
      <c r="P528" s="43"/>
      <c r="Q528" s="41"/>
      <c r="R528" s="43"/>
      <c r="S528" s="36"/>
      <c r="T528" s="16">
        <f t="shared" si="16"/>
        <v>0</v>
      </c>
      <c r="U528" s="16">
        <f t="shared" si="17"/>
        <v>0</v>
      </c>
      <c r="V528" s="133"/>
    </row>
    <row r="529" spans="1:22" s="56" customFormat="1">
      <c r="A529" s="58"/>
      <c r="B529" s="36"/>
      <c r="C529" s="58"/>
      <c r="D529" s="57"/>
      <c r="E529" s="57"/>
      <c r="F529" s="41"/>
      <c r="G529" s="41"/>
      <c r="H529" s="41"/>
      <c r="I529" s="57"/>
      <c r="J529" s="36"/>
      <c r="K529" s="57"/>
      <c r="L529" s="57"/>
      <c r="M529" s="57"/>
      <c r="N529" s="42"/>
      <c r="O529" s="57"/>
      <c r="P529" s="43"/>
      <c r="Q529" s="41"/>
      <c r="R529" s="43"/>
      <c r="S529" s="36"/>
      <c r="T529" s="16">
        <f t="shared" si="16"/>
        <v>0</v>
      </c>
      <c r="U529" s="16">
        <f t="shared" si="17"/>
        <v>0</v>
      </c>
      <c r="V529" s="133"/>
    </row>
    <row r="530" spans="1:22" s="56" customFormat="1">
      <c r="A530" s="58"/>
      <c r="B530" s="36"/>
      <c r="C530" s="58"/>
      <c r="D530" s="57"/>
      <c r="E530" s="57"/>
      <c r="F530" s="41"/>
      <c r="G530" s="41"/>
      <c r="H530" s="41"/>
      <c r="I530" s="57"/>
      <c r="J530" s="36"/>
      <c r="K530" s="57"/>
      <c r="L530" s="57"/>
      <c r="M530" s="57"/>
      <c r="N530" s="42"/>
      <c r="O530" s="57"/>
      <c r="P530" s="43"/>
      <c r="Q530" s="41"/>
      <c r="R530" s="43"/>
      <c r="S530" s="36"/>
      <c r="T530" s="16">
        <f t="shared" si="16"/>
        <v>0</v>
      </c>
      <c r="U530" s="16">
        <f t="shared" si="17"/>
        <v>0</v>
      </c>
      <c r="V530" s="133"/>
    </row>
    <row r="531" spans="1:22" s="56" customFormat="1">
      <c r="A531" s="58"/>
      <c r="B531" s="36"/>
      <c r="C531" s="58"/>
      <c r="D531" s="57"/>
      <c r="E531" s="57"/>
      <c r="F531" s="41"/>
      <c r="G531" s="41"/>
      <c r="H531" s="41"/>
      <c r="I531" s="57"/>
      <c r="J531" s="36"/>
      <c r="K531" s="57"/>
      <c r="L531" s="57"/>
      <c r="M531" s="57"/>
      <c r="N531" s="42"/>
      <c r="O531" s="57"/>
      <c r="P531" s="43"/>
      <c r="Q531" s="41"/>
      <c r="R531" s="43"/>
      <c r="S531" s="36"/>
      <c r="T531" s="16">
        <f t="shared" si="16"/>
        <v>0</v>
      </c>
      <c r="U531" s="16">
        <f t="shared" si="17"/>
        <v>0</v>
      </c>
      <c r="V531" s="133"/>
    </row>
    <row r="532" spans="1:22" s="56" customFormat="1">
      <c r="A532" s="58"/>
      <c r="B532" s="36"/>
      <c r="C532" s="58"/>
      <c r="D532" s="57"/>
      <c r="E532" s="57"/>
      <c r="F532" s="41"/>
      <c r="G532" s="41"/>
      <c r="H532" s="41"/>
      <c r="I532" s="57"/>
      <c r="J532" s="36"/>
      <c r="K532" s="57"/>
      <c r="L532" s="57"/>
      <c r="M532" s="57"/>
      <c r="N532" s="42"/>
      <c r="O532" s="57"/>
      <c r="P532" s="43"/>
      <c r="Q532" s="41"/>
      <c r="R532" s="43"/>
      <c r="S532" s="36"/>
      <c r="T532" s="16">
        <f t="shared" si="16"/>
        <v>0</v>
      </c>
      <c r="U532" s="16">
        <f t="shared" si="17"/>
        <v>0</v>
      </c>
      <c r="V532" s="133"/>
    </row>
    <row r="533" spans="1:22" s="56" customFormat="1">
      <c r="A533" s="58"/>
      <c r="B533" s="36"/>
      <c r="C533" s="58"/>
      <c r="D533" s="57"/>
      <c r="E533" s="57"/>
      <c r="F533" s="41"/>
      <c r="G533" s="41"/>
      <c r="H533" s="41"/>
      <c r="I533" s="57"/>
      <c r="J533" s="36"/>
      <c r="K533" s="57"/>
      <c r="L533" s="57"/>
      <c r="M533" s="57"/>
      <c r="N533" s="42"/>
      <c r="O533" s="57"/>
      <c r="P533" s="43"/>
      <c r="Q533" s="41"/>
      <c r="R533" s="43"/>
      <c r="S533" s="36"/>
      <c r="T533" s="16">
        <f t="shared" si="16"/>
        <v>0</v>
      </c>
      <c r="U533" s="16">
        <f t="shared" si="17"/>
        <v>0</v>
      </c>
      <c r="V533" s="133"/>
    </row>
    <row r="534" spans="1:22" s="56" customFormat="1">
      <c r="A534" s="58"/>
      <c r="B534" s="36"/>
      <c r="C534" s="58"/>
      <c r="D534" s="57"/>
      <c r="E534" s="57"/>
      <c r="F534" s="41"/>
      <c r="G534" s="41"/>
      <c r="H534" s="41"/>
      <c r="I534" s="57"/>
      <c r="J534" s="36"/>
      <c r="K534" s="57"/>
      <c r="L534" s="57"/>
      <c r="M534" s="57"/>
      <c r="N534" s="42"/>
      <c r="O534" s="57"/>
      <c r="P534" s="43"/>
      <c r="Q534" s="41"/>
      <c r="R534" s="43"/>
      <c r="S534" s="36"/>
      <c r="T534" s="16">
        <f t="shared" si="16"/>
        <v>0</v>
      </c>
      <c r="U534" s="16">
        <f t="shared" si="17"/>
        <v>0</v>
      </c>
      <c r="V534" s="133"/>
    </row>
    <row r="535" spans="1:22" s="56" customFormat="1">
      <c r="A535" s="58"/>
      <c r="B535" s="36"/>
      <c r="C535" s="58"/>
      <c r="D535" s="57"/>
      <c r="E535" s="57"/>
      <c r="F535" s="41"/>
      <c r="G535" s="41"/>
      <c r="H535" s="41"/>
      <c r="I535" s="57"/>
      <c r="J535" s="36"/>
      <c r="K535" s="57"/>
      <c r="L535" s="57"/>
      <c r="M535" s="57"/>
      <c r="N535" s="42"/>
      <c r="O535" s="57"/>
      <c r="P535" s="43"/>
      <c r="Q535" s="41"/>
      <c r="R535" s="43"/>
      <c r="S535" s="36"/>
      <c r="T535" s="16">
        <f t="shared" si="16"/>
        <v>0</v>
      </c>
      <c r="U535" s="16">
        <f t="shared" si="17"/>
        <v>0</v>
      </c>
      <c r="V535" s="133"/>
    </row>
    <row r="536" spans="1:22" s="56" customFormat="1">
      <c r="A536" s="58"/>
      <c r="B536" s="36"/>
      <c r="C536" s="58"/>
      <c r="D536" s="57"/>
      <c r="E536" s="57"/>
      <c r="F536" s="41"/>
      <c r="G536" s="41"/>
      <c r="H536" s="41"/>
      <c r="I536" s="57"/>
      <c r="J536" s="36"/>
      <c r="K536" s="57"/>
      <c r="L536" s="57"/>
      <c r="M536" s="57"/>
      <c r="N536" s="42"/>
      <c r="O536" s="57"/>
      <c r="P536" s="43"/>
      <c r="Q536" s="41"/>
      <c r="R536" s="43"/>
      <c r="S536" s="36"/>
      <c r="T536" s="16">
        <f t="shared" si="16"/>
        <v>0</v>
      </c>
      <c r="U536" s="16">
        <f t="shared" si="17"/>
        <v>0</v>
      </c>
      <c r="V536" s="133"/>
    </row>
    <row r="537" spans="1:22" s="56" customFormat="1">
      <c r="A537" s="58"/>
      <c r="B537" s="36"/>
      <c r="C537" s="58"/>
      <c r="D537" s="57"/>
      <c r="E537" s="57"/>
      <c r="F537" s="41"/>
      <c r="G537" s="41"/>
      <c r="H537" s="41"/>
      <c r="I537" s="57"/>
      <c r="J537" s="36"/>
      <c r="K537" s="57"/>
      <c r="L537" s="57"/>
      <c r="M537" s="57"/>
      <c r="N537" s="42"/>
      <c r="O537" s="57"/>
      <c r="P537" s="43"/>
      <c r="Q537" s="41"/>
      <c r="R537" s="43"/>
      <c r="S537" s="36"/>
      <c r="T537" s="16">
        <f t="shared" si="16"/>
        <v>0</v>
      </c>
      <c r="U537" s="16">
        <f t="shared" si="17"/>
        <v>0</v>
      </c>
      <c r="V537" s="133"/>
    </row>
    <row r="538" spans="1:22" s="56" customFormat="1">
      <c r="A538" s="58"/>
      <c r="B538" s="36"/>
      <c r="C538" s="58"/>
      <c r="D538" s="57"/>
      <c r="E538" s="57"/>
      <c r="F538" s="41"/>
      <c r="G538" s="41"/>
      <c r="H538" s="41"/>
      <c r="I538" s="57"/>
      <c r="J538" s="36"/>
      <c r="K538" s="57"/>
      <c r="L538" s="57"/>
      <c r="M538" s="57"/>
      <c r="N538" s="42"/>
      <c r="O538" s="57"/>
      <c r="P538" s="43"/>
      <c r="Q538" s="41"/>
      <c r="R538" s="43"/>
      <c r="S538" s="36"/>
      <c r="T538" s="16">
        <f t="shared" si="16"/>
        <v>0</v>
      </c>
      <c r="U538" s="16">
        <f t="shared" si="17"/>
        <v>0</v>
      </c>
      <c r="V538" s="133"/>
    </row>
    <row r="539" spans="1:22" s="56" customFormat="1">
      <c r="A539" s="58"/>
      <c r="B539" s="36"/>
      <c r="C539" s="58"/>
      <c r="D539" s="57"/>
      <c r="E539" s="57"/>
      <c r="F539" s="41"/>
      <c r="G539" s="41"/>
      <c r="H539" s="41"/>
      <c r="I539" s="57"/>
      <c r="J539" s="36"/>
      <c r="K539" s="57"/>
      <c r="L539" s="57"/>
      <c r="M539" s="57"/>
      <c r="N539" s="42"/>
      <c r="O539" s="57"/>
      <c r="P539" s="43"/>
      <c r="Q539" s="41"/>
      <c r="R539" s="43"/>
      <c r="S539" s="36"/>
      <c r="T539" s="16">
        <f t="shared" si="16"/>
        <v>0</v>
      </c>
      <c r="U539" s="16">
        <f t="shared" si="17"/>
        <v>0</v>
      </c>
      <c r="V539" s="133"/>
    </row>
    <row r="540" spans="1:22" s="56" customFormat="1">
      <c r="A540" s="58"/>
      <c r="B540" s="36"/>
      <c r="C540" s="58"/>
      <c r="D540" s="57"/>
      <c r="E540" s="57"/>
      <c r="F540" s="41"/>
      <c r="G540" s="41"/>
      <c r="H540" s="41"/>
      <c r="I540" s="57"/>
      <c r="J540" s="36"/>
      <c r="K540" s="57"/>
      <c r="L540" s="57"/>
      <c r="M540" s="57"/>
      <c r="N540" s="42"/>
      <c r="O540" s="57"/>
      <c r="P540" s="43"/>
      <c r="Q540" s="41"/>
      <c r="R540" s="43"/>
      <c r="S540" s="36"/>
      <c r="T540" s="16">
        <f t="shared" si="16"/>
        <v>0</v>
      </c>
      <c r="U540" s="16">
        <f t="shared" si="17"/>
        <v>0</v>
      </c>
      <c r="V540" s="133"/>
    </row>
    <row r="541" spans="1:22" s="56" customFormat="1">
      <c r="A541" s="58"/>
      <c r="B541" s="36"/>
      <c r="C541" s="58"/>
      <c r="D541" s="57"/>
      <c r="E541" s="57"/>
      <c r="F541" s="41"/>
      <c r="G541" s="41"/>
      <c r="H541" s="41"/>
      <c r="I541" s="57"/>
      <c r="J541" s="36"/>
      <c r="K541" s="57"/>
      <c r="L541" s="57"/>
      <c r="M541" s="57"/>
      <c r="N541" s="42"/>
      <c r="O541" s="57"/>
      <c r="P541" s="43"/>
      <c r="Q541" s="41"/>
      <c r="R541" s="43"/>
      <c r="S541" s="36"/>
      <c r="T541" s="16">
        <f t="shared" si="16"/>
        <v>0</v>
      </c>
      <c r="U541" s="16">
        <f t="shared" si="17"/>
        <v>0</v>
      </c>
      <c r="V541" s="133"/>
    </row>
    <row r="542" spans="1:22" s="56" customFormat="1">
      <c r="A542" s="58"/>
      <c r="B542" s="36"/>
      <c r="C542" s="58"/>
      <c r="D542" s="57"/>
      <c r="E542" s="57"/>
      <c r="F542" s="41"/>
      <c r="G542" s="41"/>
      <c r="H542" s="41"/>
      <c r="I542" s="57"/>
      <c r="J542" s="36"/>
      <c r="K542" s="57"/>
      <c r="L542" s="57"/>
      <c r="M542" s="57"/>
      <c r="N542" s="42"/>
      <c r="O542" s="57"/>
      <c r="P542" s="43"/>
      <c r="Q542" s="41"/>
      <c r="R542" s="43"/>
      <c r="S542" s="36"/>
      <c r="T542" s="16">
        <f t="shared" si="16"/>
        <v>0</v>
      </c>
      <c r="U542" s="16">
        <f t="shared" si="17"/>
        <v>0</v>
      </c>
      <c r="V542" s="133"/>
    </row>
    <row r="543" spans="1:22" s="56" customFormat="1">
      <c r="A543" s="58"/>
      <c r="B543" s="36"/>
      <c r="C543" s="58"/>
      <c r="D543" s="57"/>
      <c r="E543" s="57"/>
      <c r="F543" s="41"/>
      <c r="G543" s="41"/>
      <c r="H543" s="41"/>
      <c r="I543" s="57"/>
      <c r="J543" s="36"/>
      <c r="K543" s="57"/>
      <c r="L543" s="57"/>
      <c r="M543" s="57"/>
      <c r="N543" s="42"/>
      <c r="O543" s="57"/>
      <c r="P543" s="43"/>
      <c r="Q543" s="41"/>
      <c r="R543" s="43"/>
      <c r="S543" s="36"/>
      <c r="T543" s="16">
        <f t="shared" si="16"/>
        <v>0</v>
      </c>
      <c r="U543" s="16">
        <f t="shared" si="17"/>
        <v>0</v>
      </c>
      <c r="V543" s="133"/>
    </row>
    <row r="544" spans="1:22" s="56" customFormat="1">
      <c r="A544" s="58"/>
      <c r="B544" s="36"/>
      <c r="C544" s="58"/>
      <c r="D544" s="57"/>
      <c r="E544" s="57"/>
      <c r="F544" s="41"/>
      <c r="G544" s="41"/>
      <c r="H544" s="41"/>
      <c r="I544" s="57"/>
      <c r="J544" s="36"/>
      <c r="K544" s="57"/>
      <c r="L544" s="57"/>
      <c r="M544" s="57"/>
      <c r="N544" s="42"/>
      <c r="O544" s="57"/>
      <c r="P544" s="43"/>
      <c r="Q544" s="41"/>
      <c r="R544" s="43"/>
      <c r="S544" s="36"/>
      <c r="T544" s="16">
        <f t="shared" si="16"/>
        <v>0</v>
      </c>
      <c r="U544" s="16">
        <f t="shared" si="17"/>
        <v>0</v>
      </c>
      <c r="V544" s="133"/>
    </row>
    <row r="545" spans="1:22" s="56" customFormat="1">
      <c r="A545" s="58"/>
      <c r="B545" s="36"/>
      <c r="C545" s="58"/>
      <c r="D545" s="57"/>
      <c r="E545" s="57"/>
      <c r="F545" s="41"/>
      <c r="G545" s="41"/>
      <c r="H545" s="41"/>
      <c r="I545" s="57"/>
      <c r="J545" s="36"/>
      <c r="K545" s="57"/>
      <c r="L545" s="57"/>
      <c r="M545" s="57"/>
      <c r="N545" s="42"/>
      <c r="O545" s="57"/>
      <c r="P545" s="43"/>
      <c r="Q545" s="41"/>
      <c r="R545" s="43"/>
      <c r="S545" s="36"/>
      <c r="T545" s="16">
        <f t="shared" si="16"/>
        <v>0</v>
      </c>
      <c r="U545" s="16">
        <f t="shared" si="17"/>
        <v>0</v>
      </c>
      <c r="V545" s="133"/>
    </row>
    <row r="546" spans="1:22" s="56" customFormat="1">
      <c r="A546" s="58"/>
      <c r="B546" s="36"/>
      <c r="C546" s="58"/>
      <c r="D546" s="57"/>
      <c r="E546" s="57"/>
      <c r="F546" s="41"/>
      <c r="G546" s="41"/>
      <c r="H546" s="41"/>
      <c r="I546" s="57"/>
      <c r="J546" s="36"/>
      <c r="K546" s="57"/>
      <c r="L546" s="57"/>
      <c r="M546" s="57"/>
      <c r="N546" s="42"/>
      <c r="O546" s="57"/>
      <c r="P546" s="43"/>
      <c r="Q546" s="41"/>
      <c r="R546" s="43"/>
      <c r="S546" s="36"/>
      <c r="T546" s="16">
        <f t="shared" si="16"/>
        <v>0</v>
      </c>
      <c r="U546" s="16">
        <f t="shared" si="17"/>
        <v>0</v>
      </c>
      <c r="V546" s="133"/>
    </row>
    <row r="547" spans="1:22" s="56" customFormat="1">
      <c r="A547" s="58"/>
      <c r="B547" s="36"/>
      <c r="C547" s="58"/>
      <c r="D547" s="57"/>
      <c r="E547" s="57"/>
      <c r="F547" s="41"/>
      <c r="G547" s="41"/>
      <c r="H547" s="41"/>
      <c r="I547" s="57"/>
      <c r="J547" s="36"/>
      <c r="K547" s="57"/>
      <c r="L547" s="57"/>
      <c r="M547" s="57"/>
      <c r="N547" s="42"/>
      <c r="O547" s="57"/>
      <c r="P547" s="43"/>
      <c r="Q547" s="41"/>
      <c r="R547" s="43"/>
      <c r="S547" s="36"/>
      <c r="T547" s="16">
        <f t="shared" si="16"/>
        <v>0</v>
      </c>
      <c r="U547" s="16">
        <f t="shared" si="17"/>
        <v>0</v>
      </c>
      <c r="V547" s="133"/>
    </row>
    <row r="548" spans="1:22" s="56" customFormat="1">
      <c r="A548" s="58"/>
      <c r="B548" s="36"/>
      <c r="C548" s="58"/>
      <c r="D548" s="57"/>
      <c r="E548" s="57"/>
      <c r="F548" s="41"/>
      <c r="G548" s="41"/>
      <c r="H548" s="41"/>
      <c r="I548" s="57"/>
      <c r="J548" s="36"/>
      <c r="K548" s="57"/>
      <c r="L548" s="57"/>
      <c r="M548" s="57"/>
      <c r="N548" s="42"/>
      <c r="O548" s="57"/>
      <c r="P548" s="43"/>
      <c r="Q548" s="41"/>
      <c r="R548" s="43"/>
      <c r="S548" s="36"/>
      <c r="T548" s="16">
        <f t="shared" si="16"/>
        <v>0</v>
      </c>
      <c r="U548" s="16">
        <f t="shared" si="17"/>
        <v>0</v>
      </c>
      <c r="V548" s="133"/>
    </row>
    <row r="549" spans="1:22" s="56" customFormat="1">
      <c r="A549" s="58"/>
      <c r="B549" s="36"/>
      <c r="C549" s="58"/>
      <c r="D549" s="57"/>
      <c r="E549" s="57"/>
      <c r="F549" s="41"/>
      <c r="G549" s="41"/>
      <c r="H549" s="41"/>
      <c r="I549" s="57"/>
      <c r="J549" s="36"/>
      <c r="K549" s="57"/>
      <c r="L549" s="57"/>
      <c r="M549" s="57"/>
      <c r="N549" s="42"/>
      <c r="O549" s="57"/>
      <c r="P549" s="43"/>
      <c r="Q549" s="41"/>
      <c r="R549" s="43"/>
      <c r="S549" s="36"/>
      <c r="T549" s="16">
        <f t="shared" si="16"/>
        <v>0</v>
      </c>
      <c r="U549" s="16">
        <f t="shared" si="17"/>
        <v>0</v>
      </c>
      <c r="V549" s="133"/>
    </row>
    <row r="550" spans="1:22" s="56" customFormat="1">
      <c r="A550" s="58"/>
      <c r="B550" s="36"/>
      <c r="C550" s="58"/>
      <c r="D550" s="57"/>
      <c r="E550" s="57"/>
      <c r="F550" s="41"/>
      <c r="G550" s="41"/>
      <c r="H550" s="41"/>
      <c r="I550" s="57"/>
      <c r="J550" s="36"/>
      <c r="K550" s="57"/>
      <c r="L550" s="57"/>
      <c r="M550" s="57"/>
      <c r="N550" s="42"/>
      <c r="O550" s="57"/>
      <c r="P550" s="43"/>
      <c r="Q550" s="41"/>
      <c r="R550" s="43"/>
      <c r="S550" s="36"/>
      <c r="T550" s="16">
        <f t="shared" si="16"/>
        <v>0</v>
      </c>
      <c r="U550" s="16">
        <f t="shared" si="17"/>
        <v>0</v>
      </c>
      <c r="V550" s="133"/>
    </row>
    <row r="551" spans="1:22" s="56" customFormat="1">
      <c r="A551" s="58"/>
      <c r="B551" s="36"/>
      <c r="C551" s="58"/>
      <c r="D551" s="57"/>
      <c r="E551" s="57"/>
      <c r="F551" s="41"/>
      <c r="G551" s="41"/>
      <c r="H551" s="41"/>
      <c r="I551" s="57"/>
      <c r="J551" s="36"/>
      <c r="K551" s="57"/>
      <c r="L551" s="57"/>
      <c r="M551" s="57"/>
      <c r="N551" s="42"/>
      <c r="O551" s="57"/>
      <c r="P551" s="43"/>
      <c r="Q551" s="41"/>
      <c r="R551" s="43"/>
      <c r="S551" s="36"/>
      <c r="T551" s="16">
        <f t="shared" si="16"/>
        <v>0</v>
      </c>
      <c r="U551" s="16">
        <f t="shared" si="17"/>
        <v>0</v>
      </c>
      <c r="V551" s="133"/>
    </row>
    <row r="552" spans="1:22" s="56" customFormat="1">
      <c r="A552" s="58"/>
      <c r="B552" s="36"/>
      <c r="C552" s="58"/>
      <c r="D552" s="57"/>
      <c r="E552" s="57"/>
      <c r="F552" s="41"/>
      <c r="G552" s="41"/>
      <c r="H552" s="41"/>
      <c r="I552" s="57"/>
      <c r="J552" s="36"/>
      <c r="K552" s="57"/>
      <c r="L552" s="57"/>
      <c r="M552" s="57"/>
      <c r="N552" s="42"/>
      <c r="O552" s="57"/>
      <c r="P552" s="43"/>
      <c r="Q552" s="41"/>
      <c r="R552" s="43"/>
      <c r="S552" s="36"/>
      <c r="T552" s="16">
        <f t="shared" si="16"/>
        <v>0</v>
      </c>
      <c r="U552" s="16">
        <f t="shared" si="17"/>
        <v>0</v>
      </c>
      <c r="V552" s="133"/>
    </row>
    <row r="553" spans="1:22" s="56" customFormat="1">
      <c r="A553" s="58"/>
      <c r="B553" s="36"/>
      <c r="C553" s="58"/>
      <c r="D553" s="57"/>
      <c r="E553" s="57"/>
      <c r="F553" s="41"/>
      <c r="G553" s="41"/>
      <c r="H553" s="41"/>
      <c r="I553" s="57"/>
      <c r="J553" s="36"/>
      <c r="K553" s="57"/>
      <c r="L553" s="57"/>
      <c r="M553" s="57"/>
      <c r="N553" s="42"/>
      <c r="O553" s="57"/>
      <c r="P553" s="43"/>
      <c r="Q553" s="41"/>
      <c r="R553" s="43"/>
      <c r="S553" s="36"/>
      <c r="T553" s="16">
        <f t="shared" si="16"/>
        <v>0</v>
      </c>
      <c r="U553" s="16">
        <f t="shared" si="17"/>
        <v>0</v>
      </c>
      <c r="V553" s="133"/>
    </row>
    <row r="554" spans="1:22" s="56" customFormat="1">
      <c r="A554" s="58"/>
      <c r="B554" s="36"/>
      <c r="C554" s="58"/>
      <c r="D554" s="57"/>
      <c r="E554" s="57"/>
      <c r="F554" s="41"/>
      <c r="G554" s="41"/>
      <c r="H554" s="41"/>
      <c r="I554" s="57"/>
      <c r="J554" s="36"/>
      <c r="K554" s="57"/>
      <c r="L554" s="57"/>
      <c r="M554" s="57"/>
      <c r="N554" s="42"/>
      <c r="O554" s="57"/>
      <c r="P554" s="43"/>
      <c r="Q554" s="41"/>
      <c r="R554" s="43"/>
      <c r="S554" s="36"/>
      <c r="T554" s="16">
        <f t="shared" si="16"/>
        <v>0</v>
      </c>
      <c r="U554" s="16">
        <f t="shared" si="17"/>
        <v>0</v>
      </c>
      <c r="V554" s="133"/>
    </row>
    <row r="555" spans="1:22" s="56" customFormat="1">
      <c r="A555" s="58"/>
      <c r="B555" s="36"/>
      <c r="C555" s="58"/>
      <c r="D555" s="57"/>
      <c r="E555" s="57"/>
      <c r="F555" s="41"/>
      <c r="G555" s="41"/>
      <c r="H555" s="41"/>
      <c r="I555" s="57"/>
      <c r="J555" s="36"/>
      <c r="K555" s="57"/>
      <c r="L555" s="57"/>
      <c r="M555" s="57"/>
      <c r="N555" s="42"/>
      <c r="O555" s="57"/>
      <c r="P555" s="43"/>
      <c r="Q555" s="41"/>
      <c r="R555" s="43"/>
      <c r="S555" s="36"/>
      <c r="T555" s="16">
        <f t="shared" si="16"/>
        <v>0</v>
      </c>
      <c r="U555" s="16">
        <f t="shared" si="17"/>
        <v>0</v>
      </c>
      <c r="V555" s="133"/>
    </row>
    <row r="556" spans="1:22" s="56" customFormat="1">
      <c r="A556" s="58"/>
      <c r="B556" s="36"/>
      <c r="C556" s="58"/>
      <c r="D556" s="57"/>
      <c r="E556" s="57"/>
      <c r="F556" s="41"/>
      <c r="G556" s="41"/>
      <c r="H556" s="41"/>
      <c r="I556" s="57"/>
      <c r="J556" s="36"/>
      <c r="K556" s="57"/>
      <c r="L556" s="57"/>
      <c r="M556" s="57"/>
      <c r="N556" s="42"/>
      <c r="O556" s="57"/>
      <c r="P556" s="43"/>
      <c r="Q556" s="41"/>
      <c r="R556" s="43"/>
      <c r="S556" s="36"/>
      <c r="T556" s="16">
        <f t="shared" si="16"/>
        <v>0</v>
      </c>
      <c r="U556" s="16">
        <f t="shared" si="17"/>
        <v>0</v>
      </c>
      <c r="V556" s="133"/>
    </row>
    <row r="557" spans="1:22" s="56" customFormat="1">
      <c r="A557" s="58"/>
      <c r="B557" s="36"/>
      <c r="C557" s="58"/>
      <c r="D557" s="57"/>
      <c r="E557" s="57"/>
      <c r="F557" s="41"/>
      <c r="G557" s="41"/>
      <c r="H557" s="41"/>
      <c r="I557" s="57"/>
      <c r="J557" s="36"/>
      <c r="K557" s="57"/>
      <c r="L557" s="57"/>
      <c r="M557" s="57"/>
      <c r="N557" s="42"/>
      <c r="O557" s="57"/>
      <c r="P557" s="43"/>
      <c r="Q557" s="41"/>
      <c r="R557" s="43"/>
      <c r="S557" s="36"/>
      <c r="T557" s="16">
        <f t="shared" si="16"/>
        <v>0</v>
      </c>
      <c r="U557" s="16">
        <f t="shared" si="17"/>
        <v>0</v>
      </c>
      <c r="V557" s="133"/>
    </row>
    <row r="558" spans="1:22" s="56" customFormat="1">
      <c r="A558" s="58"/>
      <c r="B558" s="36"/>
      <c r="C558" s="58"/>
      <c r="D558" s="57"/>
      <c r="E558" s="57"/>
      <c r="F558" s="41"/>
      <c r="G558" s="41"/>
      <c r="H558" s="41"/>
      <c r="I558" s="57"/>
      <c r="J558" s="36"/>
      <c r="K558" s="57"/>
      <c r="L558" s="57"/>
      <c r="M558" s="57"/>
      <c r="N558" s="42"/>
      <c r="O558" s="57"/>
      <c r="P558" s="43"/>
      <c r="Q558" s="41"/>
      <c r="R558" s="43"/>
      <c r="S558" s="36"/>
      <c r="T558" s="16">
        <f t="shared" si="16"/>
        <v>0</v>
      </c>
      <c r="U558" s="16">
        <f t="shared" si="17"/>
        <v>0</v>
      </c>
      <c r="V558" s="133"/>
    </row>
    <row r="559" spans="1:22" s="56" customFormat="1">
      <c r="A559" s="58"/>
      <c r="B559" s="36"/>
      <c r="C559" s="58"/>
      <c r="D559" s="57"/>
      <c r="E559" s="57"/>
      <c r="F559" s="41"/>
      <c r="G559" s="41"/>
      <c r="H559" s="41"/>
      <c r="I559" s="57"/>
      <c r="J559" s="36"/>
      <c r="K559" s="57"/>
      <c r="L559" s="57"/>
      <c r="M559" s="57"/>
      <c r="N559" s="42"/>
      <c r="O559" s="57"/>
      <c r="P559" s="43"/>
      <c r="Q559" s="41"/>
      <c r="R559" s="43"/>
      <c r="S559" s="36"/>
      <c r="T559" s="16">
        <f t="shared" si="16"/>
        <v>0</v>
      </c>
      <c r="U559" s="16">
        <f t="shared" si="17"/>
        <v>0</v>
      </c>
      <c r="V559" s="133"/>
    </row>
    <row r="560" spans="1:22" s="56" customFormat="1">
      <c r="A560" s="58"/>
      <c r="B560" s="36"/>
      <c r="C560" s="58"/>
      <c r="D560" s="57"/>
      <c r="E560" s="57"/>
      <c r="F560" s="41"/>
      <c r="G560" s="41"/>
      <c r="H560" s="41"/>
      <c r="I560" s="57"/>
      <c r="J560" s="36"/>
      <c r="K560" s="57"/>
      <c r="L560" s="57"/>
      <c r="M560" s="57"/>
      <c r="N560" s="42"/>
      <c r="O560" s="57"/>
      <c r="P560" s="43"/>
      <c r="Q560" s="41"/>
      <c r="R560" s="43"/>
      <c r="S560" s="36"/>
      <c r="T560" s="16">
        <f t="shared" si="16"/>
        <v>0</v>
      </c>
      <c r="U560" s="16">
        <f t="shared" si="17"/>
        <v>0</v>
      </c>
      <c r="V560" s="133"/>
    </row>
    <row r="561" spans="1:22" s="56" customFormat="1">
      <c r="A561" s="58"/>
      <c r="B561" s="36"/>
      <c r="C561" s="58"/>
      <c r="D561" s="57"/>
      <c r="E561" s="57"/>
      <c r="F561" s="41"/>
      <c r="G561" s="41"/>
      <c r="H561" s="41"/>
      <c r="I561" s="57"/>
      <c r="J561" s="36"/>
      <c r="K561" s="57"/>
      <c r="L561" s="57"/>
      <c r="M561" s="57"/>
      <c r="N561" s="42"/>
      <c r="O561" s="57"/>
      <c r="P561" s="43"/>
      <c r="Q561" s="41"/>
      <c r="R561" s="43"/>
      <c r="S561" s="36"/>
      <c r="T561" s="16">
        <f t="shared" si="16"/>
        <v>0</v>
      </c>
      <c r="U561" s="16">
        <f t="shared" si="17"/>
        <v>0</v>
      </c>
      <c r="V561" s="133"/>
    </row>
    <row r="562" spans="1:22" s="56" customFormat="1">
      <c r="A562" s="58"/>
      <c r="B562" s="36"/>
      <c r="C562" s="58"/>
      <c r="D562" s="57"/>
      <c r="E562" s="57"/>
      <c r="F562" s="41"/>
      <c r="G562" s="41"/>
      <c r="H562" s="41"/>
      <c r="I562" s="57"/>
      <c r="J562" s="36"/>
      <c r="K562" s="57"/>
      <c r="L562" s="57"/>
      <c r="M562" s="57"/>
      <c r="N562" s="42"/>
      <c r="O562" s="57"/>
      <c r="P562" s="43"/>
      <c r="Q562" s="41"/>
      <c r="R562" s="43"/>
      <c r="S562" s="36"/>
      <c r="T562" s="16">
        <f t="shared" si="16"/>
        <v>0</v>
      </c>
      <c r="U562" s="16">
        <f t="shared" si="17"/>
        <v>0</v>
      </c>
      <c r="V562" s="133"/>
    </row>
    <row r="563" spans="1:22" s="56" customFormat="1">
      <c r="A563" s="58"/>
      <c r="B563" s="36"/>
      <c r="C563" s="58"/>
      <c r="D563" s="57"/>
      <c r="E563" s="57"/>
      <c r="F563" s="41"/>
      <c r="G563" s="41"/>
      <c r="H563" s="41"/>
      <c r="I563" s="57"/>
      <c r="J563" s="36"/>
      <c r="K563" s="57"/>
      <c r="L563" s="57"/>
      <c r="M563" s="57"/>
      <c r="N563" s="42"/>
      <c r="O563" s="57"/>
      <c r="P563" s="43"/>
      <c r="Q563" s="41"/>
      <c r="R563" s="43"/>
      <c r="S563" s="36"/>
      <c r="T563" s="16">
        <f t="shared" si="16"/>
        <v>0</v>
      </c>
      <c r="U563" s="16">
        <f t="shared" si="17"/>
        <v>0</v>
      </c>
      <c r="V563" s="133"/>
    </row>
    <row r="564" spans="1:22" s="56" customFormat="1">
      <c r="A564" s="58"/>
      <c r="B564" s="36"/>
      <c r="C564" s="58"/>
      <c r="D564" s="57"/>
      <c r="E564" s="57"/>
      <c r="F564" s="41"/>
      <c r="G564" s="41"/>
      <c r="H564" s="41"/>
      <c r="I564" s="57"/>
      <c r="J564" s="36"/>
      <c r="K564" s="57"/>
      <c r="L564" s="57"/>
      <c r="M564" s="57"/>
      <c r="N564" s="42"/>
      <c r="O564" s="57"/>
      <c r="P564" s="43"/>
      <c r="Q564" s="41"/>
      <c r="R564" s="43"/>
      <c r="S564" s="36"/>
      <c r="T564" s="16">
        <f t="shared" si="16"/>
        <v>0</v>
      </c>
      <c r="U564" s="16">
        <f t="shared" si="17"/>
        <v>0</v>
      </c>
      <c r="V564" s="133"/>
    </row>
    <row r="565" spans="1:22" s="56" customFormat="1">
      <c r="A565" s="58"/>
      <c r="B565" s="36"/>
      <c r="C565" s="58"/>
      <c r="D565" s="57"/>
      <c r="E565" s="57"/>
      <c r="F565" s="41"/>
      <c r="G565" s="41"/>
      <c r="H565" s="41"/>
      <c r="I565" s="57"/>
      <c r="J565" s="36"/>
      <c r="K565" s="57"/>
      <c r="L565" s="57"/>
      <c r="M565" s="57"/>
      <c r="N565" s="42"/>
      <c r="O565" s="57"/>
      <c r="P565" s="43"/>
      <c r="Q565" s="41"/>
      <c r="R565" s="43"/>
      <c r="S565" s="36"/>
      <c r="T565" s="16">
        <f t="shared" si="16"/>
        <v>0</v>
      </c>
      <c r="U565" s="16">
        <f t="shared" si="17"/>
        <v>0</v>
      </c>
      <c r="V565" s="133"/>
    </row>
    <row r="566" spans="1:22" s="56" customFormat="1">
      <c r="A566" s="58"/>
      <c r="B566" s="36"/>
      <c r="C566" s="58"/>
      <c r="D566" s="57"/>
      <c r="E566" s="57"/>
      <c r="F566" s="41"/>
      <c r="G566" s="41"/>
      <c r="H566" s="41"/>
      <c r="I566" s="57"/>
      <c r="J566" s="36"/>
      <c r="K566" s="57"/>
      <c r="L566" s="57"/>
      <c r="M566" s="57"/>
      <c r="N566" s="42"/>
      <c r="O566" s="57"/>
      <c r="P566" s="43"/>
      <c r="Q566" s="41"/>
      <c r="R566" s="43"/>
      <c r="S566" s="36"/>
      <c r="T566" s="16">
        <f t="shared" si="16"/>
        <v>0</v>
      </c>
      <c r="U566" s="16">
        <f t="shared" si="17"/>
        <v>0</v>
      </c>
      <c r="V566" s="133"/>
    </row>
    <row r="567" spans="1:22" s="56" customFormat="1">
      <c r="A567" s="58"/>
      <c r="B567" s="36"/>
      <c r="C567" s="58"/>
      <c r="D567" s="57"/>
      <c r="E567" s="57"/>
      <c r="F567" s="41"/>
      <c r="G567" s="41"/>
      <c r="H567" s="41"/>
      <c r="I567" s="57"/>
      <c r="J567" s="36"/>
      <c r="K567" s="57"/>
      <c r="L567" s="57"/>
      <c r="M567" s="57"/>
      <c r="N567" s="42"/>
      <c r="O567" s="57"/>
      <c r="P567" s="43"/>
      <c r="Q567" s="41"/>
      <c r="R567" s="43"/>
      <c r="S567" s="36"/>
      <c r="T567" s="16">
        <f t="shared" si="16"/>
        <v>0</v>
      </c>
      <c r="U567" s="16">
        <f t="shared" si="17"/>
        <v>0</v>
      </c>
      <c r="V567" s="133"/>
    </row>
    <row r="568" spans="1:22" s="56" customFormat="1">
      <c r="A568" s="58"/>
      <c r="B568" s="36"/>
      <c r="C568" s="58"/>
      <c r="D568" s="57"/>
      <c r="E568" s="57"/>
      <c r="F568" s="41"/>
      <c r="G568" s="41"/>
      <c r="H568" s="41"/>
      <c r="I568" s="57"/>
      <c r="J568" s="36"/>
      <c r="K568" s="57"/>
      <c r="L568" s="57"/>
      <c r="M568" s="57"/>
      <c r="N568" s="42"/>
      <c r="O568" s="57"/>
      <c r="P568" s="43"/>
      <c r="Q568" s="41"/>
      <c r="R568" s="43"/>
      <c r="S568" s="36"/>
      <c r="T568" s="16">
        <f t="shared" si="16"/>
        <v>0</v>
      </c>
      <c r="U568" s="16">
        <f t="shared" si="17"/>
        <v>0</v>
      </c>
      <c r="V568" s="133"/>
    </row>
    <row r="569" spans="1:22" s="56" customFormat="1">
      <c r="A569" s="58"/>
      <c r="B569" s="36"/>
      <c r="C569" s="58"/>
      <c r="D569" s="57"/>
      <c r="E569" s="57"/>
      <c r="F569" s="41"/>
      <c r="G569" s="41"/>
      <c r="H569" s="41"/>
      <c r="I569" s="57"/>
      <c r="J569" s="36"/>
      <c r="K569" s="57"/>
      <c r="L569" s="57"/>
      <c r="M569" s="57"/>
      <c r="N569" s="42"/>
      <c r="O569" s="57"/>
      <c r="P569" s="43"/>
      <c r="Q569" s="41"/>
      <c r="R569" s="43"/>
      <c r="S569" s="36"/>
      <c r="T569" s="16">
        <f t="shared" si="16"/>
        <v>0</v>
      </c>
      <c r="U569" s="16">
        <f t="shared" si="17"/>
        <v>0</v>
      </c>
      <c r="V569" s="133"/>
    </row>
    <row r="570" spans="1:22" s="56" customFormat="1">
      <c r="A570" s="58"/>
      <c r="B570" s="36"/>
      <c r="C570" s="58"/>
      <c r="D570" s="57"/>
      <c r="E570" s="57"/>
      <c r="F570" s="41"/>
      <c r="G570" s="41"/>
      <c r="H570" s="41"/>
      <c r="I570" s="57"/>
      <c r="J570" s="36"/>
      <c r="K570" s="57"/>
      <c r="L570" s="57"/>
      <c r="M570" s="57"/>
      <c r="N570" s="42"/>
      <c r="O570" s="57"/>
      <c r="P570" s="43"/>
      <c r="Q570" s="41"/>
      <c r="R570" s="43"/>
      <c r="S570" s="36"/>
      <c r="T570" s="16">
        <f t="shared" si="16"/>
        <v>0</v>
      </c>
      <c r="U570" s="16">
        <f t="shared" si="17"/>
        <v>0</v>
      </c>
      <c r="V570" s="133"/>
    </row>
    <row r="571" spans="1:22" s="56" customFormat="1">
      <c r="A571" s="58"/>
      <c r="B571" s="36"/>
      <c r="C571" s="58"/>
      <c r="D571" s="57"/>
      <c r="E571" s="57"/>
      <c r="F571" s="41"/>
      <c r="G571" s="41"/>
      <c r="H571" s="41"/>
      <c r="I571" s="57"/>
      <c r="J571" s="36"/>
      <c r="K571" s="57"/>
      <c r="L571" s="57"/>
      <c r="M571" s="57"/>
      <c r="N571" s="42"/>
      <c r="O571" s="57"/>
      <c r="P571" s="43"/>
      <c r="Q571" s="41"/>
      <c r="R571" s="43"/>
      <c r="S571" s="36"/>
      <c r="T571" s="16">
        <f t="shared" si="16"/>
        <v>0</v>
      </c>
      <c r="U571" s="16">
        <f t="shared" si="17"/>
        <v>0</v>
      </c>
      <c r="V571" s="133"/>
    </row>
    <row r="572" spans="1:22" s="56" customFormat="1">
      <c r="A572" s="58"/>
      <c r="B572" s="36"/>
      <c r="C572" s="58"/>
      <c r="D572" s="57"/>
      <c r="E572" s="57"/>
      <c r="F572" s="41"/>
      <c r="G572" s="41"/>
      <c r="H572" s="41"/>
      <c r="I572" s="57"/>
      <c r="J572" s="36"/>
      <c r="K572" s="57"/>
      <c r="L572" s="57"/>
      <c r="M572" s="57"/>
      <c r="N572" s="42"/>
      <c r="O572" s="57"/>
      <c r="P572" s="43"/>
      <c r="Q572" s="41"/>
      <c r="R572" s="43"/>
      <c r="S572" s="36"/>
      <c r="T572" s="16">
        <f t="shared" si="16"/>
        <v>0</v>
      </c>
      <c r="U572" s="16">
        <f t="shared" si="17"/>
        <v>0</v>
      </c>
      <c r="V572" s="133"/>
    </row>
    <row r="573" spans="1:22" s="56" customFormat="1">
      <c r="A573" s="58"/>
      <c r="B573" s="36"/>
      <c r="C573" s="58"/>
      <c r="D573" s="57"/>
      <c r="E573" s="57"/>
      <c r="F573" s="41"/>
      <c r="G573" s="41"/>
      <c r="H573" s="41"/>
      <c r="I573" s="57"/>
      <c r="J573" s="36"/>
      <c r="K573" s="57"/>
      <c r="L573" s="57"/>
      <c r="M573" s="57"/>
      <c r="N573" s="42"/>
      <c r="O573" s="57"/>
      <c r="P573" s="43"/>
      <c r="Q573" s="41"/>
      <c r="R573" s="43"/>
      <c r="S573" s="36"/>
      <c r="T573" s="16">
        <f t="shared" si="16"/>
        <v>0</v>
      </c>
      <c r="U573" s="16">
        <f t="shared" si="17"/>
        <v>0</v>
      </c>
      <c r="V573" s="133"/>
    </row>
    <row r="574" spans="1:22" s="56" customFormat="1">
      <c r="A574" s="58"/>
      <c r="B574" s="36"/>
      <c r="C574" s="58"/>
      <c r="D574" s="57"/>
      <c r="E574" s="57"/>
      <c r="F574" s="41"/>
      <c r="G574" s="41"/>
      <c r="H574" s="41"/>
      <c r="I574" s="57"/>
      <c r="J574" s="36"/>
      <c r="K574" s="57"/>
      <c r="L574" s="57"/>
      <c r="M574" s="57"/>
      <c r="N574" s="42"/>
      <c r="O574" s="57"/>
      <c r="P574" s="43"/>
      <c r="Q574" s="41"/>
      <c r="R574" s="43"/>
      <c r="S574" s="36"/>
      <c r="T574" s="16">
        <f t="shared" si="16"/>
        <v>0</v>
      </c>
      <c r="U574" s="16">
        <f t="shared" si="17"/>
        <v>0</v>
      </c>
      <c r="V574" s="133"/>
    </row>
    <row r="575" spans="1:22" s="56" customFormat="1">
      <c r="A575" s="58"/>
      <c r="B575" s="36"/>
      <c r="C575" s="58"/>
      <c r="D575" s="57"/>
      <c r="E575" s="57"/>
      <c r="F575" s="41"/>
      <c r="G575" s="41"/>
      <c r="H575" s="41"/>
      <c r="I575" s="57"/>
      <c r="J575" s="36"/>
      <c r="K575" s="57"/>
      <c r="L575" s="57"/>
      <c r="M575" s="57"/>
      <c r="N575" s="42"/>
      <c r="O575" s="57"/>
      <c r="P575" s="43"/>
      <c r="Q575" s="41"/>
      <c r="R575" s="43"/>
      <c r="S575" s="36"/>
      <c r="T575" s="16">
        <f t="shared" si="16"/>
        <v>0</v>
      </c>
      <c r="U575" s="16">
        <f t="shared" si="17"/>
        <v>0</v>
      </c>
      <c r="V575" s="133"/>
    </row>
    <row r="576" spans="1:22" s="56" customFormat="1">
      <c r="A576" s="58"/>
      <c r="B576" s="36"/>
      <c r="C576" s="58"/>
      <c r="D576" s="57"/>
      <c r="E576" s="57"/>
      <c r="F576" s="41"/>
      <c r="G576" s="41"/>
      <c r="H576" s="41"/>
      <c r="I576" s="57"/>
      <c r="J576" s="36"/>
      <c r="K576" s="57"/>
      <c r="L576" s="57"/>
      <c r="M576" s="57"/>
      <c r="N576" s="42"/>
      <c r="O576" s="57"/>
      <c r="P576" s="43"/>
      <c r="Q576" s="41"/>
      <c r="R576" s="43"/>
      <c r="S576" s="36"/>
      <c r="T576" s="16">
        <f t="shared" si="16"/>
        <v>0</v>
      </c>
      <c r="U576" s="16">
        <f t="shared" si="17"/>
        <v>0</v>
      </c>
      <c r="V576" s="133"/>
    </row>
    <row r="577" spans="1:22" s="56" customFormat="1">
      <c r="A577" s="58"/>
      <c r="B577" s="36"/>
      <c r="C577" s="58"/>
      <c r="D577" s="57"/>
      <c r="E577" s="57"/>
      <c r="F577" s="41"/>
      <c r="G577" s="41"/>
      <c r="H577" s="41"/>
      <c r="I577" s="57"/>
      <c r="J577" s="36"/>
      <c r="K577" s="57"/>
      <c r="L577" s="57"/>
      <c r="M577" s="57"/>
      <c r="N577" s="42"/>
      <c r="O577" s="57"/>
      <c r="P577" s="43"/>
      <c r="Q577" s="41"/>
      <c r="R577" s="43"/>
      <c r="S577" s="36"/>
      <c r="T577" s="16">
        <f t="shared" si="16"/>
        <v>0</v>
      </c>
      <c r="U577" s="16">
        <f t="shared" si="17"/>
        <v>0</v>
      </c>
      <c r="V577" s="133"/>
    </row>
    <row r="578" spans="1:22" s="56" customFormat="1">
      <c r="A578" s="58"/>
      <c r="B578" s="36"/>
      <c r="C578" s="58"/>
      <c r="D578" s="57"/>
      <c r="E578" s="57"/>
      <c r="F578" s="41"/>
      <c r="G578" s="41"/>
      <c r="H578" s="41"/>
      <c r="I578" s="57"/>
      <c r="J578" s="36"/>
      <c r="K578" s="57"/>
      <c r="L578" s="57"/>
      <c r="M578" s="57"/>
      <c r="N578" s="42"/>
      <c r="O578" s="57"/>
      <c r="P578" s="43"/>
      <c r="Q578" s="41"/>
      <c r="R578" s="43"/>
      <c r="S578" s="36"/>
      <c r="T578" s="16">
        <f t="shared" si="16"/>
        <v>0</v>
      </c>
      <c r="U578" s="16">
        <f t="shared" si="17"/>
        <v>0</v>
      </c>
      <c r="V578" s="133"/>
    </row>
    <row r="579" spans="1:22" s="56" customFormat="1">
      <c r="A579" s="58"/>
      <c r="B579" s="36"/>
      <c r="C579" s="58"/>
      <c r="D579" s="57"/>
      <c r="E579" s="57"/>
      <c r="F579" s="41"/>
      <c r="G579" s="41"/>
      <c r="H579" s="41"/>
      <c r="I579" s="57"/>
      <c r="J579" s="36"/>
      <c r="K579" s="57"/>
      <c r="L579" s="57"/>
      <c r="M579" s="57"/>
      <c r="N579" s="42"/>
      <c r="O579" s="57"/>
      <c r="P579" s="43"/>
      <c r="Q579" s="41"/>
      <c r="R579" s="43"/>
      <c r="S579" s="36"/>
      <c r="T579" s="16">
        <f t="shared" si="16"/>
        <v>0</v>
      </c>
      <c r="U579" s="16">
        <f t="shared" si="17"/>
        <v>0</v>
      </c>
      <c r="V579" s="133"/>
    </row>
    <row r="580" spans="1:22" s="56" customFormat="1">
      <c r="A580" s="58"/>
      <c r="B580" s="36"/>
      <c r="C580" s="58"/>
      <c r="D580" s="57"/>
      <c r="E580" s="57"/>
      <c r="F580" s="41"/>
      <c r="G580" s="41"/>
      <c r="H580" s="41"/>
      <c r="I580" s="57"/>
      <c r="J580" s="36"/>
      <c r="K580" s="57"/>
      <c r="L580" s="57"/>
      <c r="M580" s="57"/>
      <c r="N580" s="42"/>
      <c r="O580" s="57"/>
      <c r="P580" s="43"/>
      <c r="Q580" s="41"/>
      <c r="R580" s="43"/>
      <c r="S580" s="36"/>
      <c r="T580" s="16">
        <f t="shared" si="16"/>
        <v>0</v>
      </c>
      <c r="U580" s="16">
        <f t="shared" si="17"/>
        <v>0</v>
      </c>
      <c r="V580" s="133"/>
    </row>
    <row r="581" spans="1:22" s="56" customFormat="1">
      <c r="A581" s="58"/>
      <c r="B581" s="36"/>
      <c r="C581" s="58"/>
      <c r="D581" s="57"/>
      <c r="E581" s="57"/>
      <c r="F581" s="41"/>
      <c r="G581" s="41"/>
      <c r="H581" s="41"/>
      <c r="I581" s="57"/>
      <c r="J581" s="36"/>
      <c r="K581" s="57"/>
      <c r="L581" s="57"/>
      <c r="M581" s="57"/>
      <c r="N581" s="42"/>
      <c r="O581" s="57"/>
      <c r="P581" s="43"/>
      <c r="Q581" s="41"/>
      <c r="R581" s="43"/>
      <c r="S581" s="36"/>
      <c r="T581" s="16">
        <f t="shared" ref="T581:T644" si="18">IF(OR($J581="Accepted",ISBLANK($J581)),IF(AND($G581="Legacy Data",$Q581="Legacy Data"),1,IF(OR($G581="Legacy Data",$Q581="Legacy Data"),1,0)),IF(OR($N581="Agree with original translator",ISBLANK($N581)),IF(AND($G581="Source Text Data",$Q581="Legacy Data"),1,IF(AND($G581="Legacy Data",$Q581="Legacy Data"),1,IF($Q581="Legacy Data",1,0))),IF(AND($G581="Legacy Data",$Q581="Legacy Data"),1,IF(OR($Q581="Legacy Data",ISBLANK($Q581)),IF($G581&lt;&gt;"Legacy Data",IF(AND($G581="Source Text Data",$Q581="Legacy Data"),1,0),1),0))))</f>
        <v>0</v>
      </c>
      <c r="U581" s="16">
        <f t="shared" ref="U581:U644" si="19">IF(OR($J581="Accepted",ISBLANK($J581)),IF(AND($G581="Source Text Data",$Q581="Source Text Data"),1,IF(OR($G581="Source Text Data",$Q581="Source Text Data"),1,0)),IF(OR($N581="Agree with original translator",ISBLANK($N581)),IF(AND($G581="Legacy Data",$Q581="Source Text Data"),1,IF(AND($G581="Source Text Data",$Q581="Source Text Data"),1,IF($Q581="Source Text Data",1,0))),IF(AND($G581="Source Text Data",$Q581="Source Text Data"),1,IF(OR($Q581="Source Text Data",ISBLANK($Q581)),IF($G581&lt;&gt;"Source Text Data",IF(AND($G581="Legacy Data",$Q581="Source Text Data"),1,0),1),0))))</f>
        <v>0</v>
      </c>
      <c r="V581" s="133"/>
    </row>
    <row r="582" spans="1:22" s="56" customFormat="1">
      <c r="A582" s="58"/>
      <c r="B582" s="36"/>
      <c r="C582" s="58"/>
      <c r="D582" s="57"/>
      <c r="E582" s="57"/>
      <c r="F582" s="41"/>
      <c r="G582" s="41"/>
      <c r="H582" s="41"/>
      <c r="I582" s="57"/>
      <c r="J582" s="36"/>
      <c r="K582" s="57"/>
      <c r="L582" s="57"/>
      <c r="M582" s="57"/>
      <c r="N582" s="42"/>
      <c r="O582" s="57"/>
      <c r="P582" s="43"/>
      <c r="Q582" s="41"/>
      <c r="R582" s="43"/>
      <c r="S582" s="36"/>
      <c r="T582" s="16">
        <f t="shared" si="18"/>
        <v>0</v>
      </c>
      <c r="U582" s="16">
        <f t="shared" si="19"/>
        <v>0</v>
      </c>
      <c r="V582" s="133"/>
    </row>
    <row r="583" spans="1:22" s="56" customFormat="1">
      <c r="A583" s="58"/>
      <c r="B583" s="36"/>
      <c r="C583" s="58"/>
      <c r="D583" s="57"/>
      <c r="E583" s="57"/>
      <c r="F583" s="41"/>
      <c r="G583" s="41"/>
      <c r="H583" s="41"/>
      <c r="I583" s="57"/>
      <c r="J583" s="36"/>
      <c r="K583" s="57"/>
      <c r="L583" s="57"/>
      <c r="M583" s="57"/>
      <c r="N583" s="42"/>
      <c r="O583" s="57"/>
      <c r="P583" s="43"/>
      <c r="Q583" s="41"/>
      <c r="R583" s="43"/>
      <c r="S583" s="36"/>
      <c r="T583" s="16">
        <f t="shared" si="18"/>
        <v>0</v>
      </c>
      <c r="U583" s="16">
        <f t="shared" si="19"/>
        <v>0</v>
      </c>
      <c r="V583" s="133"/>
    </row>
    <row r="584" spans="1:22" s="56" customFormat="1">
      <c r="A584" s="58"/>
      <c r="B584" s="36"/>
      <c r="C584" s="58"/>
      <c r="D584" s="57"/>
      <c r="E584" s="57"/>
      <c r="F584" s="41"/>
      <c r="G584" s="41"/>
      <c r="H584" s="41"/>
      <c r="I584" s="57"/>
      <c r="J584" s="36"/>
      <c r="K584" s="57"/>
      <c r="L584" s="57"/>
      <c r="M584" s="57"/>
      <c r="N584" s="42"/>
      <c r="O584" s="57"/>
      <c r="P584" s="43"/>
      <c r="Q584" s="41"/>
      <c r="R584" s="43"/>
      <c r="S584" s="36"/>
      <c r="T584" s="16">
        <f t="shared" si="18"/>
        <v>0</v>
      </c>
      <c r="U584" s="16">
        <f t="shared" si="19"/>
        <v>0</v>
      </c>
      <c r="V584" s="133"/>
    </row>
    <row r="585" spans="1:22" s="56" customFormat="1">
      <c r="A585" s="58"/>
      <c r="B585" s="36"/>
      <c r="C585" s="58"/>
      <c r="D585" s="57"/>
      <c r="E585" s="57"/>
      <c r="F585" s="41"/>
      <c r="G585" s="41"/>
      <c r="H585" s="41"/>
      <c r="I585" s="57"/>
      <c r="J585" s="36"/>
      <c r="K585" s="57"/>
      <c r="L585" s="57"/>
      <c r="M585" s="57"/>
      <c r="N585" s="42"/>
      <c r="O585" s="57"/>
      <c r="P585" s="43"/>
      <c r="Q585" s="41"/>
      <c r="R585" s="43"/>
      <c r="S585" s="36"/>
      <c r="T585" s="16">
        <f t="shared" si="18"/>
        <v>0</v>
      </c>
      <c r="U585" s="16">
        <f t="shared" si="19"/>
        <v>0</v>
      </c>
      <c r="V585" s="133"/>
    </row>
    <row r="586" spans="1:22" s="56" customFormat="1">
      <c r="A586" s="58"/>
      <c r="B586" s="36"/>
      <c r="C586" s="58"/>
      <c r="D586" s="57"/>
      <c r="E586" s="57"/>
      <c r="F586" s="41"/>
      <c r="G586" s="41"/>
      <c r="H586" s="41"/>
      <c r="I586" s="57"/>
      <c r="J586" s="36"/>
      <c r="K586" s="57"/>
      <c r="L586" s="57"/>
      <c r="M586" s="57"/>
      <c r="N586" s="42"/>
      <c r="O586" s="57"/>
      <c r="P586" s="43"/>
      <c r="Q586" s="41"/>
      <c r="R586" s="43"/>
      <c r="S586" s="36"/>
      <c r="T586" s="16">
        <f t="shared" si="18"/>
        <v>0</v>
      </c>
      <c r="U586" s="16">
        <f t="shared" si="19"/>
        <v>0</v>
      </c>
      <c r="V586" s="133"/>
    </row>
    <row r="587" spans="1:22" s="56" customFormat="1">
      <c r="A587" s="58"/>
      <c r="B587" s="36"/>
      <c r="C587" s="58"/>
      <c r="D587" s="57"/>
      <c r="E587" s="57"/>
      <c r="F587" s="41"/>
      <c r="G587" s="41"/>
      <c r="H587" s="41"/>
      <c r="I587" s="57"/>
      <c r="J587" s="36"/>
      <c r="K587" s="57"/>
      <c r="L587" s="57"/>
      <c r="M587" s="57"/>
      <c r="N587" s="42"/>
      <c r="O587" s="57"/>
      <c r="P587" s="43"/>
      <c r="Q587" s="41"/>
      <c r="R587" s="43"/>
      <c r="S587" s="36"/>
      <c r="T587" s="16">
        <f t="shared" si="18"/>
        <v>0</v>
      </c>
      <c r="U587" s="16">
        <f t="shared" si="19"/>
        <v>0</v>
      </c>
      <c r="V587" s="133"/>
    </row>
    <row r="588" spans="1:22" s="56" customFormat="1">
      <c r="A588" s="58"/>
      <c r="B588" s="36"/>
      <c r="C588" s="58"/>
      <c r="D588" s="57"/>
      <c r="E588" s="57"/>
      <c r="F588" s="41"/>
      <c r="G588" s="41"/>
      <c r="H588" s="41"/>
      <c r="I588" s="57"/>
      <c r="J588" s="36"/>
      <c r="K588" s="57"/>
      <c r="L588" s="57"/>
      <c r="M588" s="57"/>
      <c r="N588" s="42"/>
      <c r="O588" s="57"/>
      <c r="P588" s="43"/>
      <c r="Q588" s="41"/>
      <c r="R588" s="43"/>
      <c r="S588" s="36"/>
      <c r="T588" s="16">
        <f t="shared" si="18"/>
        <v>0</v>
      </c>
      <c r="U588" s="16">
        <f t="shared" si="19"/>
        <v>0</v>
      </c>
      <c r="V588" s="133"/>
    </row>
    <row r="589" spans="1:22" s="56" customFormat="1">
      <c r="A589" s="58"/>
      <c r="B589" s="36"/>
      <c r="C589" s="58"/>
      <c r="D589" s="57"/>
      <c r="E589" s="57"/>
      <c r="F589" s="41"/>
      <c r="G589" s="41"/>
      <c r="H589" s="41"/>
      <c r="I589" s="57"/>
      <c r="J589" s="36"/>
      <c r="K589" s="57"/>
      <c r="L589" s="57"/>
      <c r="M589" s="57"/>
      <c r="N589" s="42"/>
      <c r="O589" s="57"/>
      <c r="P589" s="43"/>
      <c r="Q589" s="41"/>
      <c r="R589" s="43"/>
      <c r="S589" s="36"/>
      <c r="T589" s="16">
        <f t="shared" si="18"/>
        <v>0</v>
      </c>
      <c r="U589" s="16">
        <f t="shared" si="19"/>
        <v>0</v>
      </c>
      <c r="V589" s="133"/>
    </row>
    <row r="590" spans="1:22" s="56" customFormat="1">
      <c r="A590" s="58"/>
      <c r="B590" s="36"/>
      <c r="C590" s="58"/>
      <c r="D590" s="57"/>
      <c r="E590" s="57"/>
      <c r="F590" s="41"/>
      <c r="G590" s="41"/>
      <c r="H590" s="41"/>
      <c r="I590" s="57"/>
      <c r="J590" s="36"/>
      <c r="K590" s="57"/>
      <c r="L590" s="57"/>
      <c r="M590" s="57"/>
      <c r="N590" s="42"/>
      <c r="O590" s="57"/>
      <c r="P590" s="43"/>
      <c r="Q590" s="41"/>
      <c r="R590" s="43"/>
      <c r="S590" s="36"/>
      <c r="T590" s="16">
        <f t="shared" si="18"/>
        <v>0</v>
      </c>
      <c r="U590" s="16">
        <f t="shared" si="19"/>
        <v>0</v>
      </c>
      <c r="V590" s="133"/>
    </row>
    <row r="591" spans="1:22" s="56" customFormat="1">
      <c r="A591" s="58"/>
      <c r="B591" s="36"/>
      <c r="C591" s="58"/>
      <c r="D591" s="57"/>
      <c r="E591" s="57"/>
      <c r="F591" s="41"/>
      <c r="G591" s="41"/>
      <c r="H591" s="41"/>
      <c r="I591" s="57"/>
      <c r="J591" s="36"/>
      <c r="K591" s="57"/>
      <c r="L591" s="57"/>
      <c r="M591" s="57"/>
      <c r="N591" s="42"/>
      <c r="O591" s="57"/>
      <c r="P591" s="43"/>
      <c r="Q591" s="41"/>
      <c r="R591" s="43"/>
      <c r="S591" s="36"/>
      <c r="T591" s="16">
        <f t="shared" si="18"/>
        <v>0</v>
      </c>
      <c r="U591" s="16">
        <f t="shared" si="19"/>
        <v>0</v>
      </c>
      <c r="V591" s="133"/>
    </row>
    <row r="592" spans="1:22" s="56" customFormat="1">
      <c r="A592" s="58"/>
      <c r="B592" s="36"/>
      <c r="C592" s="58"/>
      <c r="D592" s="57"/>
      <c r="E592" s="57"/>
      <c r="F592" s="41"/>
      <c r="G592" s="41"/>
      <c r="H592" s="41"/>
      <c r="I592" s="57"/>
      <c r="J592" s="36"/>
      <c r="K592" s="57"/>
      <c r="L592" s="57"/>
      <c r="M592" s="57"/>
      <c r="N592" s="42"/>
      <c r="O592" s="57"/>
      <c r="P592" s="43"/>
      <c r="Q592" s="41"/>
      <c r="R592" s="43"/>
      <c r="S592" s="36"/>
      <c r="T592" s="16">
        <f t="shared" si="18"/>
        <v>0</v>
      </c>
      <c r="U592" s="16">
        <f t="shared" si="19"/>
        <v>0</v>
      </c>
      <c r="V592" s="133"/>
    </row>
    <row r="593" spans="1:22" s="56" customFormat="1">
      <c r="A593" s="58"/>
      <c r="B593" s="36"/>
      <c r="C593" s="58"/>
      <c r="D593" s="57"/>
      <c r="E593" s="57"/>
      <c r="F593" s="41"/>
      <c r="G593" s="41"/>
      <c r="H593" s="41"/>
      <c r="I593" s="57"/>
      <c r="J593" s="36"/>
      <c r="K593" s="57"/>
      <c r="L593" s="57"/>
      <c r="M593" s="57"/>
      <c r="N593" s="42"/>
      <c r="O593" s="57"/>
      <c r="P593" s="43"/>
      <c r="Q593" s="41"/>
      <c r="R593" s="43"/>
      <c r="S593" s="36"/>
      <c r="T593" s="16">
        <f t="shared" si="18"/>
        <v>0</v>
      </c>
      <c r="U593" s="16">
        <f t="shared" si="19"/>
        <v>0</v>
      </c>
      <c r="V593" s="133"/>
    </row>
    <row r="594" spans="1:22" s="56" customFormat="1">
      <c r="A594" s="58"/>
      <c r="B594" s="36"/>
      <c r="C594" s="58"/>
      <c r="D594" s="57"/>
      <c r="E594" s="57"/>
      <c r="F594" s="41"/>
      <c r="G594" s="41"/>
      <c r="H594" s="41"/>
      <c r="I594" s="57"/>
      <c r="J594" s="36"/>
      <c r="K594" s="57"/>
      <c r="L594" s="57"/>
      <c r="M594" s="57"/>
      <c r="N594" s="42"/>
      <c r="O594" s="57"/>
      <c r="P594" s="43"/>
      <c r="Q594" s="41"/>
      <c r="R594" s="43"/>
      <c r="S594" s="36"/>
      <c r="T594" s="16">
        <f t="shared" si="18"/>
        <v>0</v>
      </c>
      <c r="U594" s="16">
        <f t="shared" si="19"/>
        <v>0</v>
      </c>
      <c r="V594" s="133"/>
    </row>
    <row r="595" spans="1:22" s="56" customFormat="1">
      <c r="A595" s="58"/>
      <c r="B595" s="36"/>
      <c r="C595" s="58"/>
      <c r="D595" s="57"/>
      <c r="E595" s="57"/>
      <c r="F595" s="41"/>
      <c r="G595" s="41"/>
      <c r="H595" s="41"/>
      <c r="I595" s="57"/>
      <c r="J595" s="36"/>
      <c r="K595" s="57"/>
      <c r="L595" s="57"/>
      <c r="M595" s="57"/>
      <c r="N595" s="42"/>
      <c r="O595" s="57"/>
      <c r="P595" s="43"/>
      <c r="Q595" s="41"/>
      <c r="R595" s="43"/>
      <c r="S595" s="36"/>
      <c r="T595" s="16">
        <f t="shared" si="18"/>
        <v>0</v>
      </c>
      <c r="U595" s="16">
        <f t="shared" si="19"/>
        <v>0</v>
      </c>
      <c r="V595" s="133"/>
    </row>
    <row r="596" spans="1:22" s="56" customFormat="1">
      <c r="A596" s="58"/>
      <c r="B596" s="36"/>
      <c r="C596" s="58"/>
      <c r="D596" s="57"/>
      <c r="E596" s="57"/>
      <c r="F596" s="41"/>
      <c r="G596" s="41"/>
      <c r="H596" s="41"/>
      <c r="I596" s="57"/>
      <c r="J596" s="36"/>
      <c r="K596" s="57"/>
      <c r="L596" s="57"/>
      <c r="M596" s="57"/>
      <c r="N596" s="42"/>
      <c r="O596" s="57"/>
      <c r="P596" s="43"/>
      <c r="Q596" s="41"/>
      <c r="R596" s="43"/>
      <c r="S596" s="36"/>
      <c r="T596" s="16">
        <f t="shared" si="18"/>
        <v>0</v>
      </c>
      <c r="U596" s="16">
        <f t="shared" si="19"/>
        <v>0</v>
      </c>
      <c r="V596" s="133"/>
    </row>
    <row r="597" spans="1:22" s="56" customFormat="1">
      <c r="A597" s="58"/>
      <c r="B597" s="36"/>
      <c r="C597" s="58"/>
      <c r="D597" s="57"/>
      <c r="E597" s="57"/>
      <c r="F597" s="41"/>
      <c r="G597" s="41"/>
      <c r="H597" s="41"/>
      <c r="I597" s="57"/>
      <c r="J597" s="36"/>
      <c r="K597" s="57"/>
      <c r="L597" s="57"/>
      <c r="M597" s="57"/>
      <c r="N597" s="42"/>
      <c r="O597" s="57"/>
      <c r="P597" s="43"/>
      <c r="Q597" s="41"/>
      <c r="R597" s="43"/>
      <c r="S597" s="36"/>
      <c r="T597" s="16">
        <f t="shared" si="18"/>
        <v>0</v>
      </c>
      <c r="U597" s="16">
        <f t="shared" si="19"/>
        <v>0</v>
      </c>
      <c r="V597" s="133"/>
    </row>
    <row r="598" spans="1:22" s="56" customFormat="1">
      <c r="A598" s="58"/>
      <c r="B598" s="36"/>
      <c r="C598" s="58"/>
      <c r="D598" s="57"/>
      <c r="E598" s="57"/>
      <c r="F598" s="41"/>
      <c r="G598" s="41"/>
      <c r="H598" s="41"/>
      <c r="I598" s="57"/>
      <c r="J598" s="36"/>
      <c r="K598" s="57"/>
      <c r="L598" s="57"/>
      <c r="M598" s="57"/>
      <c r="N598" s="42"/>
      <c r="O598" s="57"/>
      <c r="P598" s="43"/>
      <c r="Q598" s="41"/>
      <c r="R598" s="43"/>
      <c r="S598" s="36"/>
      <c r="T598" s="16">
        <f t="shared" si="18"/>
        <v>0</v>
      </c>
      <c r="U598" s="16">
        <f t="shared" si="19"/>
        <v>0</v>
      </c>
      <c r="V598" s="133"/>
    </row>
    <row r="599" spans="1:22" s="56" customFormat="1">
      <c r="A599" s="58"/>
      <c r="B599" s="36"/>
      <c r="C599" s="58"/>
      <c r="D599" s="57"/>
      <c r="E599" s="57"/>
      <c r="F599" s="41"/>
      <c r="G599" s="41"/>
      <c r="H599" s="41"/>
      <c r="I599" s="57"/>
      <c r="J599" s="36"/>
      <c r="K599" s="57"/>
      <c r="L599" s="57"/>
      <c r="M599" s="57"/>
      <c r="N599" s="42"/>
      <c r="O599" s="57"/>
      <c r="P599" s="43"/>
      <c r="Q599" s="41"/>
      <c r="R599" s="43"/>
      <c r="S599" s="36"/>
      <c r="T599" s="16">
        <f t="shared" si="18"/>
        <v>0</v>
      </c>
      <c r="U599" s="16">
        <f t="shared" si="19"/>
        <v>0</v>
      </c>
      <c r="V599" s="133"/>
    </row>
    <row r="600" spans="1:22" s="56" customFormat="1">
      <c r="A600" s="58"/>
      <c r="B600" s="36"/>
      <c r="C600" s="58"/>
      <c r="D600" s="57"/>
      <c r="E600" s="57"/>
      <c r="F600" s="41"/>
      <c r="G600" s="41"/>
      <c r="H600" s="41"/>
      <c r="I600" s="57"/>
      <c r="J600" s="36"/>
      <c r="K600" s="57"/>
      <c r="L600" s="57"/>
      <c r="M600" s="57"/>
      <c r="N600" s="42"/>
      <c r="O600" s="57"/>
      <c r="P600" s="43"/>
      <c r="Q600" s="41"/>
      <c r="R600" s="43"/>
      <c r="S600" s="36"/>
      <c r="T600" s="16">
        <f t="shared" si="18"/>
        <v>0</v>
      </c>
      <c r="U600" s="16">
        <f t="shared" si="19"/>
        <v>0</v>
      </c>
      <c r="V600" s="133"/>
    </row>
    <row r="601" spans="1:22" s="56" customFormat="1">
      <c r="A601" s="58"/>
      <c r="B601" s="36"/>
      <c r="C601" s="58"/>
      <c r="D601" s="57"/>
      <c r="E601" s="57"/>
      <c r="F601" s="41"/>
      <c r="G601" s="41"/>
      <c r="H601" s="41"/>
      <c r="I601" s="57"/>
      <c r="J601" s="36"/>
      <c r="K601" s="57"/>
      <c r="L601" s="57"/>
      <c r="M601" s="57"/>
      <c r="N601" s="42"/>
      <c r="O601" s="57"/>
      <c r="P601" s="43"/>
      <c r="Q601" s="41"/>
      <c r="R601" s="43"/>
      <c r="S601" s="36"/>
      <c r="T601" s="16">
        <f t="shared" si="18"/>
        <v>0</v>
      </c>
      <c r="U601" s="16">
        <f t="shared" si="19"/>
        <v>0</v>
      </c>
      <c r="V601" s="133"/>
    </row>
    <row r="602" spans="1:22" s="56" customFormat="1">
      <c r="A602" s="58"/>
      <c r="B602" s="36"/>
      <c r="C602" s="58"/>
      <c r="D602" s="57"/>
      <c r="E602" s="57"/>
      <c r="F602" s="41"/>
      <c r="G602" s="41"/>
      <c r="H602" s="41"/>
      <c r="I602" s="57"/>
      <c r="J602" s="36"/>
      <c r="K602" s="57"/>
      <c r="L602" s="57"/>
      <c r="M602" s="57"/>
      <c r="N602" s="42"/>
      <c r="O602" s="57"/>
      <c r="P602" s="43"/>
      <c r="Q602" s="41"/>
      <c r="R602" s="43"/>
      <c r="S602" s="36"/>
      <c r="T602" s="16">
        <f t="shared" si="18"/>
        <v>0</v>
      </c>
      <c r="U602" s="16">
        <f t="shared" si="19"/>
        <v>0</v>
      </c>
      <c r="V602" s="133"/>
    </row>
    <row r="603" spans="1:22" s="56" customFormat="1">
      <c r="A603" s="58"/>
      <c r="B603" s="36"/>
      <c r="C603" s="58"/>
      <c r="D603" s="57"/>
      <c r="E603" s="57"/>
      <c r="F603" s="41"/>
      <c r="G603" s="41"/>
      <c r="H603" s="41"/>
      <c r="I603" s="57"/>
      <c r="J603" s="36"/>
      <c r="K603" s="57"/>
      <c r="L603" s="57"/>
      <c r="M603" s="57"/>
      <c r="N603" s="42"/>
      <c r="O603" s="57"/>
      <c r="P603" s="43"/>
      <c r="Q603" s="41"/>
      <c r="R603" s="43"/>
      <c r="S603" s="36"/>
      <c r="T603" s="16">
        <f t="shared" si="18"/>
        <v>0</v>
      </c>
      <c r="U603" s="16">
        <f t="shared" si="19"/>
        <v>0</v>
      </c>
      <c r="V603" s="133"/>
    </row>
    <row r="604" spans="1:22" s="56" customFormat="1">
      <c r="A604" s="58"/>
      <c r="B604" s="36"/>
      <c r="C604" s="58"/>
      <c r="D604" s="57"/>
      <c r="E604" s="57"/>
      <c r="F604" s="41"/>
      <c r="G604" s="41"/>
      <c r="H604" s="41"/>
      <c r="I604" s="57"/>
      <c r="J604" s="36"/>
      <c r="K604" s="57"/>
      <c r="L604" s="57"/>
      <c r="M604" s="57"/>
      <c r="N604" s="42"/>
      <c r="O604" s="57"/>
      <c r="P604" s="43"/>
      <c r="Q604" s="41"/>
      <c r="R604" s="43"/>
      <c r="S604" s="36"/>
      <c r="T604" s="16">
        <f t="shared" si="18"/>
        <v>0</v>
      </c>
      <c r="U604" s="16">
        <f t="shared" si="19"/>
        <v>0</v>
      </c>
      <c r="V604" s="133"/>
    </row>
    <row r="605" spans="1:22" s="56" customFormat="1">
      <c r="A605" s="58"/>
      <c r="B605" s="36"/>
      <c r="C605" s="58"/>
      <c r="D605" s="57"/>
      <c r="E605" s="57"/>
      <c r="F605" s="41"/>
      <c r="G605" s="41"/>
      <c r="H605" s="41"/>
      <c r="I605" s="57"/>
      <c r="J605" s="36"/>
      <c r="K605" s="57"/>
      <c r="L605" s="57"/>
      <c r="M605" s="57"/>
      <c r="N605" s="42"/>
      <c r="O605" s="57"/>
      <c r="P605" s="43"/>
      <c r="Q605" s="41"/>
      <c r="R605" s="43"/>
      <c r="S605" s="36"/>
      <c r="T605" s="16">
        <f t="shared" si="18"/>
        <v>0</v>
      </c>
      <c r="U605" s="16">
        <f t="shared" si="19"/>
        <v>0</v>
      </c>
      <c r="V605" s="133"/>
    </row>
    <row r="606" spans="1:22" s="56" customFormat="1">
      <c r="A606" s="58"/>
      <c r="B606" s="36"/>
      <c r="C606" s="58"/>
      <c r="D606" s="57"/>
      <c r="E606" s="57"/>
      <c r="F606" s="41"/>
      <c r="G606" s="41"/>
      <c r="H606" s="41"/>
      <c r="I606" s="57"/>
      <c r="J606" s="36"/>
      <c r="K606" s="57"/>
      <c r="L606" s="57"/>
      <c r="M606" s="57"/>
      <c r="N606" s="42"/>
      <c r="O606" s="57"/>
      <c r="P606" s="43"/>
      <c r="Q606" s="41"/>
      <c r="R606" s="43"/>
      <c r="S606" s="36"/>
      <c r="T606" s="16">
        <f t="shared" si="18"/>
        <v>0</v>
      </c>
      <c r="U606" s="16">
        <f t="shared" si="19"/>
        <v>0</v>
      </c>
      <c r="V606" s="133"/>
    </row>
    <row r="607" spans="1:22" s="56" customFormat="1">
      <c r="A607" s="58"/>
      <c r="B607" s="36"/>
      <c r="C607" s="58"/>
      <c r="D607" s="57"/>
      <c r="E607" s="57"/>
      <c r="F607" s="41"/>
      <c r="G607" s="41"/>
      <c r="H607" s="41"/>
      <c r="I607" s="57"/>
      <c r="J607" s="36"/>
      <c r="K607" s="57"/>
      <c r="L607" s="57"/>
      <c r="M607" s="57"/>
      <c r="N607" s="42"/>
      <c r="O607" s="57"/>
      <c r="P607" s="43"/>
      <c r="Q607" s="41"/>
      <c r="R607" s="43"/>
      <c r="S607" s="36"/>
      <c r="T607" s="16">
        <f t="shared" si="18"/>
        <v>0</v>
      </c>
      <c r="U607" s="16">
        <f t="shared" si="19"/>
        <v>0</v>
      </c>
      <c r="V607" s="133"/>
    </row>
    <row r="608" spans="1:22" s="56" customFormat="1">
      <c r="A608" s="58"/>
      <c r="B608" s="36"/>
      <c r="C608" s="58"/>
      <c r="D608" s="57"/>
      <c r="E608" s="57"/>
      <c r="F608" s="41"/>
      <c r="G608" s="41"/>
      <c r="H608" s="41"/>
      <c r="I608" s="57"/>
      <c r="J608" s="36"/>
      <c r="K608" s="57"/>
      <c r="L608" s="57"/>
      <c r="M608" s="57"/>
      <c r="N608" s="42"/>
      <c r="O608" s="57"/>
      <c r="P608" s="43"/>
      <c r="Q608" s="41"/>
      <c r="R608" s="43"/>
      <c r="S608" s="36"/>
      <c r="T608" s="16">
        <f t="shared" si="18"/>
        <v>0</v>
      </c>
      <c r="U608" s="16">
        <f t="shared" si="19"/>
        <v>0</v>
      </c>
      <c r="V608" s="133"/>
    </row>
    <row r="609" spans="1:22" s="56" customFormat="1">
      <c r="A609" s="58"/>
      <c r="B609" s="36"/>
      <c r="C609" s="58"/>
      <c r="D609" s="57"/>
      <c r="E609" s="57"/>
      <c r="F609" s="41"/>
      <c r="G609" s="41"/>
      <c r="H609" s="41"/>
      <c r="I609" s="57"/>
      <c r="J609" s="36"/>
      <c r="K609" s="57"/>
      <c r="L609" s="57"/>
      <c r="M609" s="57"/>
      <c r="N609" s="42"/>
      <c r="O609" s="57"/>
      <c r="P609" s="43"/>
      <c r="Q609" s="41"/>
      <c r="R609" s="43"/>
      <c r="S609" s="36"/>
      <c r="T609" s="16">
        <f t="shared" si="18"/>
        <v>0</v>
      </c>
      <c r="U609" s="16">
        <f t="shared" si="19"/>
        <v>0</v>
      </c>
      <c r="V609" s="133"/>
    </row>
    <row r="610" spans="1:22" s="56" customFormat="1">
      <c r="A610" s="58"/>
      <c r="B610" s="36"/>
      <c r="C610" s="58"/>
      <c r="D610" s="57"/>
      <c r="E610" s="57"/>
      <c r="F610" s="41"/>
      <c r="G610" s="41"/>
      <c r="H610" s="41"/>
      <c r="I610" s="57"/>
      <c r="J610" s="36"/>
      <c r="K610" s="57"/>
      <c r="L610" s="57"/>
      <c r="M610" s="57"/>
      <c r="N610" s="42"/>
      <c r="O610" s="57"/>
      <c r="P610" s="43"/>
      <c r="Q610" s="41"/>
      <c r="R610" s="43"/>
      <c r="S610" s="36"/>
      <c r="T610" s="16">
        <f t="shared" si="18"/>
        <v>0</v>
      </c>
      <c r="U610" s="16">
        <f t="shared" si="19"/>
        <v>0</v>
      </c>
      <c r="V610" s="133"/>
    </row>
    <row r="611" spans="1:22" s="56" customFormat="1">
      <c r="A611" s="58"/>
      <c r="B611" s="36"/>
      <c r="C611" s="58"/>
      <c r="D611" s="57"/>
      <c r="E611" s="57"/>
      <c r="F611" s="41"/>
      <c r="G611" s="41"/>
      <c r="H611" s="41"/>
      <c r="I611" s="57"/>
      <c r="J611" s="36"/>
      <c r="K611" s="57"/>
      <c r="L611" s="57"/>
      <c r="M611" s="57"/>
      <c r="N611" s="42"/>
      <c r="O611" s="57"/>
      <c r="P611" s="43"/>
      <c r="Q611" s="41"/>
      <c r="R611" s="43"/>
      <c r="S611" s="36"/>
      <c r="T611" s="16">
        <f t="shared" si="18"/>
        <v>0</v>
      </c>
      <c r="U611" s="16">
        <f t="shared" si="19"/>
        <v>0</v>
      </c>
      <c r="V611" s="133"/>
    </row>
    <row r="612" spans="1:22" s="56" customFormat="1">
      <c r="A612" s="58"/>
      <c r="B612" s="36"/>
      <c r="C612" s="58"/>
      <c r="D612" s="57"/>
      <c r="E612" s="57"/>
      <c r="F612" s="41"/>
      <c r="G612" s="41"/>
      <c r="H612" s="41"/>
      <c r="I612" s="57"/>
      <c r="J612" s="36"/>
      <c r="K612" s="57"/>
      <c r="L612" s="57"/>
      <c r="M612" s="57"/>
      <c r="N612" s="42"/>
      <c r="O612" s="57"/>
      <c r="P612" s="43"/>
      <c r="Q612" s="41"/>
      <c r="R612" s="43"/>
      <c r="S612" s="36"/>
      <c r="T612" s="16">
        <f t="shared" si="18"/>
        <v>0</v>
      </c>
      <c r="U612" s="16">
        <f t="shared" si="19"/>
        <v>0</v>
      </c>
      <c r="V612" s="133"/>
    </row>
    <row r="613" spans="1:22" s="56" customFormat="1">
      <c r="A613" s="58"/>
      <c r="B613" s="36"/>
      <c r="C613" s="58"/>
      <c r="D613" s="57"/>
      <c r="E613" s="57"/>
      <c r="F613" s="41"/>
      <c r="G613" s="41"/>
      <c r="H613" s="41"/>
      <c r="I613" s="57"/>
      <c r="J613" s="36"/>
      <c r="K613" s="57"/>
      <c r="L613" s="57"/>
      <c r="M613" s="57"/>
      <c r="N613" s="42"/>
      <c r="O613" s="57"/>
      <c r="P613" s="43"/>
      <c r="Q613" s="41"/>
      <c r="R613" s="43"/>
      <c r="S613" s="36"/>
      <c r="T613" s="16">
        <f t="shared" si="18"/>
        <v>0</v>
      </c>
      <c r="U613" s="16">
        <f t="shared" si="19"/>
        <v>0</v>
      </c>
      <c r="V613" s="133"/>
    </row>
    <row r="614" spans="1:22" s="56" customFormat="1">
      <c r="A614" s="58"/>
      <c r="B614" s="36"/>
      <c r="C614" s="58"/>
      <c r="D614" s="57"/>
      <c r="E614" s="57"/>
      <c r="F614" s="41"/>
      <c r="G614" s="41"/>
      <c r="H614" s="41"/>
      <c r="I614" s="57"/>
      <c r="J614" s="36"/>
      <c r="K614" s="57"/>
      <c r="L614" s="57"/>
      <c r="M614" s="57"/>
      <c r="N614" s="42"/>
      <c r="O614" s="57"/>
      <c r="P614" s="43"/>
      <c r="Q614" s="41"/>
      <c r="R614" s="43"/>
      <c r="S614" s="36"/>
      <c r="T614" s="16">
        <f t="shared" si="18"/>
        <v>0</v>
      </c>
      <c r="U614" s="16">
        <f t="shared" si="19"/>
        <v>0</v>
      </c>
      <c r="V614" s="133"/>
    </row>
    <row r="615" spans="1:22" s="56" customFormat="1">
      <c r="A615" s="58"/>
      <c r="B615" s="36"/>
      <c r="C615" s="58"/>
      <c r="D615" s="57"/>
      <c r="E615" s="57"/>
      <c r="F615" s="41"/>
      <c r="G615" s="41"/>
      <c r="H615" s="41"/>
      <c r="I615" s="57"/>
      <c r="J615" s="36"/>
      <c r="K615" s="57"/>
      <c r="L615" s="57"/>
      <c r="M615" s="57"/>
      <c r="N615" s="42"/>
      <c r="O615" s="57"/>
      <c r="P615" s="43"/>
      <c r="Q615" s="41"/>
      <c r="R615" s="43"/>
      <c r="S615" s="36"/>
      <c r="T615" s="16">
        <f t="shared" si="18"/>
        <v>0</v>
      </c>
      <c r="U615" s="16">
        <f t="shared" si="19"/>
        <v>0</v>
      </c>
      <c r="V615" s="133"/>
    </row>
    <row r="616" spans="1:22" s="56" customFormat="1">
      <c r="A616" s="58"/>
      <c r="B616" s="36"/>
      <c r="C616" s="58"/>
      <c r="D616" s="57"/>
      <c r="E616" s="57"/>
      <c r="F616" s="41"/>
      <c r="G616" s="41"/>
      <c r="H616" s="41"/>
      <c r="I616" s="57"/>
      <c r="J616" s="36"/>
      <c r="K616" s="57"/>
      <c r="L616" s="57"/>
      <c r="M616" s="57"/>
      <c r="N616" s="42"/>
      <c r="O616" s="57"/>
      <c r="P616" s="43"/>
      <c r="Q616" s="41"/>
      <c r="R616" s="43"/>
      <c r="S616" s="36"/>
      <c r="T616" s="16">
        <f t="shared" si="18"/>
        <v>0</v>
      </c>
      <c r="U616" s="16">
        <f t="shared" si="19"/>
        <v>0</v>
      </c>
      <c r="V616" s="133"/>
    </row>
    <row r="617" spans="1:22" s="56" customFormat="1">
      <c r="A617" s="58"/>
      <c r="B617" s="36"/>
      <c r="C617" s="58"/>
      <c r="D617" s="57"/>
      <c r="E617" s="57"/>
      <c r="F617" s="41"/>
      <c r="G617" s="41"/>
      <c r="H617" s="41"/>
      <c r="I617" s="57"/>
      <c r="J617" s="36"/>
      <c r="K617" s="57"/>
      <c r="L617" s="57"/>
      <c r="M617" s="57"/>
      <c r="N617" s="42"/>
      <c r="O617" s="57"/>
      <c r="P617" s="43"/>
      <c r="Q617" s="41"/>
      <c r="R617" s="43"/>
      <c r="S617" s="36"/>
      <c r="T617" s="16">
        <f t="shared" si="18"/>
        <v>0</v>
      </c>
      <c r="U617" s="16">
        <f t="shared" si="19"/>
        <v>0</v>
      </c>
      <c r="V617" s="133"/>
    </row>
    <row r="618" spans="1:22" s="56" customFormat="1">
      <c r="A618" s="58"/>
      <c r="B618" s="36"/>
      <c r="C618" s="58"/>
      <c r="D618" s="57"/>
      <c r="E618" s="57"/>
      <c r="F618" s="41"/>
      <c r="G618" s="41"/>
      <c r="H618" s="41"/>
      <c r="I618" s="57"/>
      <c r="J618" s="36"/>
      <c r="K618" s="57"/>
      <c r="L618" s="57"/>
      <c r="M618" s="57"/>
      <c r="N618" s="42"/>
      <c r="O618" s="57"/>
      <c r="P618" s="43"/>
      <c r="Q618" s="41"/>
      <c r="R618" s="43"/>
      <c r="S618" s="36"/>
      <c r="T618" s="16">
        <f t="shared" si="18"/>
        <v>0</v>
      </c>
      <c r="U618" s="16">
        <f t="shared" si="19"/>
        <v>0</v>
      </c>
      <c r="V618" s="133"/>
    </row>
    <row r="619" spans="1:22" s="56" customFormat="1">
      <c r="A619" s="58"/>
      <c r="B619" s="36"/>
      <c r="C619" s="58"/>
      <c r="D619" s="57"/>
      <c r="E619" s="57"/>
      <c r="F619" s="41"/>
      <c r="G619" s="41"/>
      <c r="H619" s="41"/>
      <c r="I619" s="57"/>
      <c r="J619" s="36"/>
      <c r="K619" s="57"/>
      <c r="L619" s="57"/>
      <c r="M619" s="57"/>
      <c r="N619" s="42"/>
      <c r="O619" s="57"/>
      <c r="P619" s="43"/>
      <c r="Q619" s="41"/>
      <c r="R619" s="43"/>
      <c r="S619" s="36"/>
      <c r="T619" s="16">
        <f t="shared" si="18"/>
        <v>0</v>
      </c>
      <c r="U619" s="16">
        <f t="shared" si="19"/>
        <v>0</v>
      </c>
      <c r="V619" s="133"/>
    </row>
    <row r="620" spans="1:22" s="56" customFormat="1">
      <c r="A620" s="58"/>
      <c r="B620" s="36"/>
      <c r="C620" s="58"/>
      <c r="D620" s="57"/>
      <c r="E620" s="57"/>
      <c r="F620" s="41"/>
      <c r="G620" s="41"/>
      <c r="H620" s="41"/>
      <c r="I620" s="57"/>
      <c r="J620" s="36"/>
      <c r="K620" s="57"/>
      <c r="L620" s="57"/>
      <c r="M620" s="57"/>
      <c r="N620" s="42"/>
      <c r="O620" s="57"/>
      <c r="P620" s="43"/>
      <c r="Q620" s="41"/>
      <c r="R620" s="43"/>
      <c r="S620" s="36"/>
      <c r="T620" s="16">
        <f t="shared" si="18"/>
        <v>0</v>
      </c>
      <c r="U620" s="16">
        <f t="shared" si="19"/>
        <v>0</v>
      </c>
      <c r="V620" s="133"/>
    </row>
    <row r="621" spans="1:22" s="56" customFormat="1">
      <c r="A621" s="58"/>
      <c r="B621" s="36"/>
      <c r="C621" s="58"/>
      <c r="D621" s="57"/>
      <c r="E621" s="57"/>
      <c r="F621" s="41"/>
      <c r="G621" s="41"/>
      <c r="H621" s="41"/>
      <c r="I621" s="57"/>
      <c r="J621" s="36"/>
      <c r="K621" s="57"/>
      <c r="L621" s="57"/>
      <c r="M621" s="57"/>
      <c r="N621" s="42"/>
      <c r="O621" s="57"/>
      <c r="P621" s="43"/>
      <c r="Q621" s="41"/>
      <c r="R621" s="43"/>
      <c r="S621" s="36"/>
      <c r="T621" s="16">
        <f t="shared" si="18"/>
        <v>0</v>
      </c>
      <c r="U621" s="16">
        <f t="shared" si="19"/>
        <v>0</v>
      </c>
      <c r="V621" s="133"/>
    </row>
    <row r="622" spans="1:22" s="56" customFormat="1">
      <c r="A622" s="58"/>
      <c r="B622" s="36"/>
      <c r="C622" s="58"/>
      <c r="D622" s="57"/>
      <c r="E622" s="57"/>
      <c r="F622" s="41"/>
      <c r="G622" s="41"/>
      <c r="H622" s="41"/>
      <c r="I622" s="57"/>
      <c r="J622" s="36"/>
      <c r="K622" s="57"/>
      <c r="L622" s="57"/>
      <c r="M622" s="57"/>
      <c r="N622" s="42"/>
      <c r="O622" s="57"/>
      <c r="P622" s="43"/>
      <c r="Q622" s="41"/>
      <c r="R622" s="43"/>
      <c r="S622" s="36"/>
      <c r="T622" s="16">
        <f t="shared" si="18"/>
        <v>0</v>
      </c>
      <c r="U622" s="16">
        <f t="shared" si="19"/>
        <v>0</v>
      </c>
      <c r="V622" s="133"/>
    </row>
    <row r="623" spans="1:22" s="56" customFormat="1">
      <c r="A623" s="58"/>
      <c r="B623" s="36"/>
      <c r="C623" s="58"/>
      <c r="D623" s="57"/>
      <c r="E623" s="57"/>
      <c r="F623" s="41"/>
      <c r="G623" s="41"/>
      <c r="H623" s="41"/>
      <c r="I623" s="57"/>
      <c r="J623" s="36"/>
      <c r="K623" s="57"/>
      <c r="L623" s="57"/>
      <c r="M623" s="57"/>
      <c r="N623" s="42"/>
      <c r="O623" s="57"/>
      <c r="P623" s="43"/>
      <c r="Q623" s="41"/>
      <c r="R623" s="43"/>
      <c r="S623" s="36"/>
      <c r="T623" s="16">
        <f t="shared" si="18"/>
        <v>0</v>
      </c>
      <c r="U623" s="16">
        <f t="shared" si="19"/>
        <v>0</v>
      </c>
      <c r="V623" s="133"/>
    </row>
    <row r="624" spans="1:22" s="56" customFormat="1">
      <c r="A624" s="58"/>
      <c r="B624" s="36"/>
      <c r="C624" s="58"/>
      <c r="D624" s="57"/>
      <c r="E624" s="57"/>
      <c r="F624" s="41"/>
      <c r="G624" s="41"/>
      <c r="H624" s="41"/>
      <c r="I624" s="57"/>
      <c r="J624" s="36"/>
      <c r="K624" s="57"/>
      <c r="L624" s="57"/>
      <c r="M624" s="57"/>
      <c r="N624" s="42"/>
      <c r="O624" s="57"/>
      <c r="P624" s="43"/>
      <c r="Q624" s="41"/>
      <c r="R624" s="43"/>
      <c r="S624" s="36"/>
      <c r="T624" s="16">
        <f t="shared" si="18"/>
        <v>0</v>
      </c>
      <c r="U624" s="16">
        <f t="shared" si="19"/>
        <v>0</v>
      </c>
      <c r="V624" s="133"/>
    </row>
    <row r="625" spans="1:22" s="56" customFormat="1">
      <c r="A625" s="58"/>
      <c r="B625" s="36"/>
      <c r="C625" s="58"/>
      <c r="D625" s="57"/>
      <c r="E625" s="57"/>
      <c r="F625" s="41"/>
      <c r="G625" s="41"/>
      <c r="H625" s="41"/>
      <c r="I625" s="57"/>
      <c r="J625" s="36"/>
      <c r="K625" s="57"/>
      <c r="L625" s="57"/>
      <c r="M625" s="57"/>
      <c r="N625" s="42"/>
      <c r="O625" s="57"/>
      <c r="P625" s="43"/>
      <c r="Q625" s="41"/>
      <c r="R625" s="43"/>
      <c r="S625" s="36"/>
      <c r="T625" s="16">
        <f t="shared" si="18"/>
        <v>0</v>
      </c>
      <c r="U625" s="16">
        <f t="shared" si="19"/>
        <v>0</v>
      </c>
      <c r="V625" s="133"/>
    </row>
    <row r="626" spans="1:22" s="56" customFormat="1">
      <c r="A626" s="58"/>
      <c r="B626" s="36"/>
      <c r="C626" s="58"/>
      <c r="D626" s="57"/>
      <c r="E626" s="57"/>
      <c r="F626" s="41"/>
      <c r="G626" s="41"/>
      <c r="H626" s="41"/>
      <c r="I626" s="57"/>
      <c r="J626" s="36"/>
      <c r="K626" s="57"/>
      <c r="L626" s="57"/>
      <c r="M626" s="57"/>
      <c r="N626" s="42"/>
      <c r="O626" s="57"/>
      <c r="P626" s="43"/>
      <c r="Q626" s="41"/>
      <c r="R626" s="43"/>
      <c r="S626" s="36"/>
      <c r="T626" s="16">
        <f t="shared" si="18"/>
        <v>0</v>
      </c>
      <c r="U626" s="16">
        <f t="shared" si="19"/>
        <v>0</v>
      </c>
      <c r="V626" s="133"/>
    </row>
    <row r="627" spans="1:22" s="56" customFormat="1">
      <c r="A627" s="58"/>
      <c r="B627" s="36"/>
      <c r="C627" s="58"/>
      <c r="D627" s="57"/>
      <c r="E627" s="57"/>
      <c r="F627" s="41"/>
      <c r="G627" s="41"/>
      <c r="H627" s="41"/>
      <c r="I627" s="57"/>
      <c r="J627" s="36"/>
      <c r="K627" s="57"/>
      <c r="L627" s="57"/>
      <c r="M627" s="57"/>
      <c r="N627" s="42"/>
      <c r="O627" s="57"/>
      <c r="P627" s="43"/>
      <c r="Q627" s="41"/>
      <c r="R627" s="43"/>
      <c r="S627" s="36"/>
      <c r="T627" s="16">
        <f t="shared" si="18"/>
        <v>0</v>
      </c>
      <c r="U627" s="16">
        <f t="shared" si="19"/>
        <v>0</v>
      </c>
      <c r="V627" s="133"/>
    </row>
    <row r="628" spans="1:22" s="56" customFormat="1">
      <c r="A628" s="58"/>
      <c r="B628" s="36"/>
      <c r="C628" s="58"/>
      <c r="D628" s="57"/>
      <c r="E628" s="57"/>
      <c r="F628" s="41"/>
      <c r="G628" s="41"/>
      <c r="H628" s="41"/>
      <c r="I628" s="57"/>
      <c r="J628" s="36"/>
      <c r="K628" s="57"/>
      <c r="L628" s="57"/>
      <c r="M628" s="57"/>
      <c r="N628" s="42"/>
      <c r="O628" s="57"/>
      <c r="P628" s="43"/>
      <c r="Q628" s="41"/>
      <c r="R628" s="43"/>
      <c r="S628" s="36"/>
      <c r="T628" s="16">
        <f t="shared" si="18"/>
        <v>0</v>
      </c>
      <c r="U628" s="16">
        <f t="shared" si="19"/>
        <v>0</v>
      </c>
      <c r="V628" s="133"/>
    </row>
    <row r="629" spans="1:22" s="56" customFormat="1">
      <c r="A629" s="58"/>
      <c r="B629" s="36"/>
      <c r="C629" s="58"/>
      <c r="D629" s="57"/>
      <c r="E629" s="57"/>
      <c r="F629" s="41"/>
      <c r="G629" s="41"/>
      <c r="H629" s="41"/>
      <c r="I629" s="57"/>
      <c r="J629" s="36"/>
      <c r="K629" s="57"/>
      <c r="L629" s="57"/>
      <c r="M629" s="57"/>
      <c r="N629" s="42"/>
      <c r="O629" s="57"/>
      <c r="P629" s="43"/>
      <c r="Q629" s="41"/>
      <c r="R629" s="43"/>
      <c r="S629" s="36"/>
      <c r="T629" s="16">
        <f t="shared" si="18"/>
        <v>0</v>
      </c>
      <c r="U629" s="16">
        <f t="shared" si="19"/>
        <v>0</v>
      </c>
      <c r="V629" s="133"/>
    </row>
    <row r="630" spans="1:22" s="56" customFormat="1">
      <c r="A630" s="58"/>
      <c r="B630" s="36"/>
      <c r="C630" s="58"/>
      <c r="D630" s="57"/>
      <c r="E630" s="57"/>
      <c r="F630" s="41"/>
      <c r="G630" s="41"/>
      <c r="H630" s="41"/>
      <c r="I630" s="57"/>
      <c r="J630" s="36"/>
      <c r="K630" s="57"/>
      <c r="L630" s="57"/>
      <c r="M630" s="57"/>
      <c r="N630" s="42"/>
      <c r="O630" s="57"/>
      <c r="P630" s="43"/>
      <c r="Q630" s="41"/>
      <c r="R630" s="43"/>
      <c r="S630" s="36"/>
      <c r="T630" s="16">
        <f t="shared" si="18"/>
        <v>0</v>
      </c>
      <c r="U630" s="16">
        <f t="shared" si="19"/>
        <v>0</v>
      </c>
      <c r="V630" s="133"/>
    </row>
    <row r="631" spans="1:22" s="56" customFormat="1">
      <c r="A631" s="58"/>
      <c r="B631" s="36"/>
      <c r="C631" s="58"/>
      <c r="D631" s="57"/>
      <c r="E631" s="57"/>
      <c r="F631" s="41"/>
      <c r="G631" s="41"/>
      <c r="H631" s="41"/>
      <c r="I631" s="57"/>
      <c r="J631" s="36"/>
      <c r="K631" s="57"/>
      <c r="L631" s="57"/>
      <c r="M631" s="57"/>
      <c r="N631" s="42"/>
      <c r="O631" s="57"/>
      <c r="P631" s="43"/>
      <c r="Q631" s="41"/>
      <c r="R631" s="43"/>
      <c r="S631" s="36"/>
      <c r="T631" s="16">
        <f t="shared" si="18"/>
        <v>0</v>
      </c>
      <c r="U631" s="16">
        <f t="shared" si="19"/>
        <v>0</v>
      </c>
      <c r="V631" s="133"/>
    </row>
    <row r="632" spans="1:22" s="56" customFormat="1">
      <c r="A632" s="58"/>
      <c r="B632" s="36"/>
      <c r="C632" s="58"/>
      <c r="D632" s="57"/>
      <c r="E632" s="57"/>
      <c r="F632" s="41"/>
      <c r="G632" s="41"/>
      <c r="H632" s="41"/>
      <c r="I632" s="57"/>
      <c r="J632" s="36"/>
      <c r="K632" s="57"/>
      <c r="L632" s="57"/>
      <c r="M632" s="57"/>
      <c r="N632" s="42"/>
      <c r="O632" s="57"/>
      <c r="P632" s="43"/>
      <c r="Q632" s="41"/>
      <c r="R632" s="43"/>
      <c r="S632" s="36"/>
      <c r="T632" s="16">
        <f t="shared" si="18"/>
        <v>0</v>
      </c>
      <c r="U632" s="16">
        <f t="shared" si="19"/>
        <v>0</v>
      </c>
      <c r="V632" s="133"/>
    </row>
    <row r="633" spans="1:22" s="56" customFormat="1">
      <c r="A633" s="58"/>
      <c r="B633" s="36"/>
      <c r="C633" s="58"/>
      <c r="D633" s="57"/>
      <c r="E633" s="57"/>
      <c r="F633" s="41"/>
      <c r="G633" s="41"/>
      <c r="H633" s="41"/>
      <c r="I633" s="57"/>
      <c r="J633" s="36"/>
      <c r="K633" s="57"/>
      <c r="L633" s="57"/>
      <c r="M633" s="57"/>
      <c r="N633" s="42"/>
      <c r="O633" s="57"/>
      <c r="P633" s="43"/>
      <c r="Q633" s="41"/>
      <c r="R633" s="43"/>
      <c r="S633" s="36"/>
      <c r="T633" s="16">
        <f t="shared" si="18"/>
        <v>0</v>
      </c>
      <c r="U633" s="16">
        <f t="shared" si="19"/>
        <v>0</v>
      </c>
      <c r="V633" s="133"/>
    </row>
    <row r="634" spans="1:22" s="56" customFormat="1">
      <c r="A634" s="58"/>
      <c r="B634" s="36"/>
      <c r="C634" s="58"/>
      <c r="D634" s="57"/>
      <c r="E634" s="57"/>
      <c r="F634" s="41"/>
      <c r="G634" s="41"/>
      <c r="H634" s="41"/>
      <c r="I634" s="57"/>
      <c r="J634" s="36"/>
      <c r="K634" s="57"/>
      <c r="L634" s="57"/>
      <c r="M634" s="57"/>
      <c r="N634" s="42"/>
      <c r="O634" s="57"/>
      <c r="P634" s="43"/>
      <c r="Q634" s="41"/>
      <c r="R634" s="43"/>
      <c r="S634" s="36"/>
      <c r="T634" s="16">
        <f t="shared" si="18"/>
        <v>0</v>
      </c>
      <c r="U634" s="16">
        <f t="shared" si="19"/>
        <v>0</v>
      </c>
      <c r="V634" s="133"/>
    </row>
    <row r="635" spans="1:22" s="56" customFormat="1">
      <c r="A635" s="58"/>
      <c r="B635" s="36"/>
      <c r="C635" s="58"/>
      <c r="D635" s="57"/>
      <c r="E635" s="57"/>
      <c r="F635" s="41"/>
      <c r="G635" s="41"/>
      <c r="H635" s="41"/>
      <c r="I635" s="57"/>
      <c r="J635" s="36"/>
      <c r="K635" s="57"/>
      <c r="L635" s="57"/>
      <c r="M635" s="57"/>
      <c r="N635" s="42"/>
      <c r="O635" s="57"/>
      <c r="P635" s="43"/>
      <c r="Q635" s="41"/>
      <c r="R635" s="43"/>
      <c r="S635" s="36"/>
      <c r="T635" s="16">
        <f t="shared" si="18"/>
        <v>0</v>
      </c>
      <c r="U635" s="16">
        <f t="shared" si="19"/>
        <v>0</v>
      </c>
      <c r="V635" s="133"/>
    </row>
    <row r="636" spans="1:22" s="56" customFormat="1">
      <c r="A636" s="58"/>
      <c r="B636" s="36"/>
      <c r="C636" s="58"/>
      <c r="D636" s="57"/>
      <c r="E636" s="57"/>
      <c r="F636" s="41"/>
      <c r="G636" s="41"/>
      <c r="H636" s="41"/>
      <c r="I636" s="57"/>
      <c r="J636" s="36"/>
      <c r="K636" s="57"/>
      <c r="L636" s="57"/>
      <c r="M636" s="57"/>
      <c r="N636" s="42"/>
      <c r="O636" s="57"/>
      <c r="P636" s="43"/>
      <c r="Q636" s="41"/>
      <c r="R636" s="43"/>
      <c r="S636" s="36"/>
      <c r="T636" s="16">
        <f t="shared" si="18"/>
        <v>0</v>
      </c>
      <c r="U636" s="16">
        <f t="shared" si="19"/>
        <v>0</v>
      </c>
      <c r="V636" s="133"/>
    </row>
    <row r="637" spans="1:22" s="56" customFormat="1">
      <c r="A637" s="58"/>
      <c r="B637" s="36"/>
      <c r="C637" s="58"/>
      <c r="D637" s="57"/>
      <c r="E637" s="57"/>
      <c r="F637" s="41"/>
      <c r="G637" s="41"/>
      <c r="H637" s="41"/>
      <c r="I637" s="57"/>
      <c r="J637" s="36"/>
      <c r="K637" s="57"/>
      <c r="L637" s="57"/>
      <c r="M637" s="57"/>
      <c r="N637" s="42"/>
      <c r="O637" s="57"/>
      <c r="P637" s="43"/>
      <c r="Q637" s="41"/>
      <c r="R637" s="43"/>
      <c r="S637" s="36"/>
      <c r="T637" s="16">
        <f t="shared" si="18"/>
        <v>0</v>
      </c>
      <c r="U637" s="16">
        <f t="shared" si="19"/>
        <v>0</v>
      </c>
      <c r="V637" s="133"/>
    </row>
    <row r="638" spans="1:22" s="56" customFormat="1">
      <c r="A638" s="58"/>
      <c r="B638" s="36"/>
      <c r="C638" s="58"/>
      <c r="D638" s="57"/>
      <c r="E638" s="57"/>
      <c r="F638" s="41"/>
      <c r="G638" s="41"/>
      <c r="H638" s="41"/>
      <c r="I638" s="57"/>
      <c r="J638" s="36"/>
      <c r="K638" s="57"/>
      <c r="L638" s="57"/>
      <c r="M638" s="57"/>
      <c r="N638" s="42"/>
      <c r="O638" s="57"/>
      <c r="P638" s="43"/>
      <c r="Q638" s="41"/>
      <c r="R638" s="43"/>
      <c r="S638" s="36"/>
      <c r="T638" s="16">
        <f t="shared" si="18"/>
        <v>0</v>
      </c>
      <c r="U638" s="16">
        <f t="shared" si="19"/>
        <v>0</v>
      </c>
      <c r="V638" s="133"/>
    </row>
    <row r="639" spans="1:22" s="56" customFormat="1">
      <c r="A639" s="58"/>
      <c r="B639" s="36"/>
      <c r="C639" s="58"/>
      <c r="D639" s="57"/>
      <c r="E639" s="57"/>
      <c r="F639" s="41"/>
      <c r="G639" s="41"/>
      <c r="H639" s="41"/>
      <c r="I639" s="57"/>
      <c r="J639" s="36"/>
      <c r="K639" s="57"/>
      <c r="L639" s="57"/>
      <c r="M639" s="57"/>
      <c r="N639" s="42"/>
      <c r="O639" s="57"/>
      <c r="P639" s="43"/>
      <c r="Q639" s="41"/>
      <c r="R639" s="43"/>
      <c r="S639" s="36"/>
      <c r="T639" s="16">
        <f t="shared" si="18"/>
        <v>0</v>
      </c>
      <c r="U639" s="16">
        <f t="shared" si="19"/>
        <v>0</v>
      </c>
      <c r="V639" s="133"/>
    </row>
    <row r="640" spans="1:22" s="56" customFormat="1">
      <c r="A640" s="58"/>
      <c r="B640" s="36"/>
      <c r="C640" s="58"/>
      <c r="D640" s="57"/>
      <c r="E640" s="57"/>
      <c r="F640" s="41"/>
      <c r="G640" s="41"/>
      <c r="H640" s="41"/>
      <c r="I640" s="57"/>
      <c r="J640" s="36"/>
      <c r="K640" s="57"/>
      <c r="L640" s="57"/>
      <c r="M640" s="57"/>
      <c r="N640" s="42"/>
      <c r="O640" s="57"/>
      <c r="P640" s="43"/>
      <c r="Q640" s="41"/>
      <c r="R640" s="43"/>
      <c r="S640" s="36"/>
      <c r="T640" s="16">
        <f t="shared" si="18"/>
        <v>0</v>
      </c>
      <c r="U640" s="16">
        <f t="shared" si="19"/>
        <v>0</v>
      </c>
      <c r="V640" s="133"/>
    </row>
    <row r="641" spans="1:22" s="56" customFormat="1">
      <c r="A641" s="58"/>
      <c r="B641" s="36"/>
      <c r="C641" s="58"/>
      <c r="D641" s="57"/>
      <c r="E641" s="57"/>
      <c r="F641" s="41"/>
      <c r="G641" s="41"/>
      <c r="H641" s="41"/>
      <c r="I641" s="57"/>
      <c r="J641" s="36"/>
      <c r="K641" s="57"/>
      <c r="L641" s="57"/>
      <c r="M641" s="57"/>
      <c r="N641" s="42"/>
      <c r="O641" s="57"/>
      <c r="P641" s="43"/>
      <c r="Q641" s="41"/>
      <c r="R641" s="43"/>
      <c r="S641" s="36"/>
      <c r="T641" s="16">
        <f t="shared" si="18"/>
        <v>0</v>
      </c>
      <c r="U641" s="16">
        <f t="shared" si="19"/>
        <v>0</v>
      </c>
      <c r="V641" s="133"/>
    </row>
    <row r="642" spans="1:22" s="56" customFormat="1">
      <c r="A642" s="58"/>
      <c r="B642" s="36"/>
      <c r="C642" s="58"/>
      <c r="D642" s="57"/>
      <c r="E642" s="57"/>
      <c r="F642" s="41"/>
      <c r="G642" s="41"/>
      <c r="H642" s="41"/>
      <c r="I642" s="57"/>
      <c r="J642" s="36"/>
      <c r="K642" s="57"/>
      <c r="L642" s="57"/>
      <c r="M642" s="57"/>
      <c r="N642" s="42"/>
      <c r="O642" s="57"/>
      <c r="P642" s="43"/>
      <c r="Q642" s="41"/>
      <c r="R642" s="43"/>
      <c r="S642" s="36"/>
      <c r="T642" s="16">
        <f t="shared" si="18"/>
        <v>0</v>
      </c>
      <c r="U642" s="16">
        <f t="shared" si="19"/>
        <v>0</v>
      </c>
      <c r="V642" s="133"/>
    </row>
    <row r="643" spans="1:22" s="56" customFormat="1">
      <c r="A643" s="58"/>
      <c r="B643" s="36"/>
      <c r="C643" s="58"/>
      <c r="D643" s="57"/>
      <c r="E643" s="57"/>
      <c r="F643" s="41"/>
      <c r="G643" s="41"/>
      <c r="H643" s="41"/>
      <c r="I643" s="57"/>
      <c r="J643" s="36"/>
      <c r="K643" s="57"/>
      <c r="L643" s="57"/>
      <c r="M643" s="57"/>
      <c r="N643" s="42"/>
      <c r="O643" s="57"/>
      <c r="P643" s="43"/>
      <c r="Q643" s="41"/>
      <c r="R643" s="43"/>
      <c r="S643" s="36"/>
      <c r="T643" s="16">
        <f t="shared" si="18"/>
        <v>0</v>
      </c>
      <c r="U643" s="16">
        <f t="shared" si="19"/>
        <v>0</v>
      </c>
      <c r="V643" s="133"/>
    </row>
    <row r="644" spans="1:22" s="56" customFormat="1">
      <c r="A644" s="58"/>
      <c r="B644" s="36"/>
      <c r="C644" s="58"/>
      <c r="D644" s="57"/>
      <c r="E644" s="57"/>
      <c r="F644" s="41"/>
      <c r="G644" s="41"/>
      <c r="H644" s="41"/>
      <c r="I644" s="57"/>
      <c r="J644" s="36"/>
      <c r="K644" s="57"/>
      <c r="L644" s="57"/>
      <c r="M644" s="57"/>
      <c r="N644" s="42"/>
      <c r="O644" s="57"/>
      <c r="P644" s="43"/>
      <c r="Q644" s="41"/>
      <c r="R644" s="43"/>
      <c r="S644" s="36"/>
      <c r="T644" s="16">
        <f t="shared" si="18"/>
        <v>0</v>
      </c>
      <c r="U644" s="16">
        <f t="shared" si="19"/>
        <v>0</v>
      </c>
      <c r="V644" s="133"/>
    </row>
    <row r="645" spans="1:22" s="56" customFormat="1">
      <c r="A645" s="58"/>
      <c r="B645" s="36"/>
      <c r="C645" s="58"/>
      <c r="D645" s="57"/>
      <c r="E645" s="57"/>
      <c r="F645" s="41"/>
      <c r="G645" s="41"/>
      <c r="H645" s="41"/>
      <c r="I645" s="57"/>
      <c r="J645" s="36"/>
      <c r="K645" s="57"/>
      <c r="L645" s="57"/>
      <c r="M645" s="57"/>
      <c r="N645" s="42"/>
      <c r="O645" s="57"/>
      <c r="P645" s="43"/>
      <c r="Q645" s="41"/>
      <c r="R645" s="43"/>
      <c r="S645" s="36"/>
      <c r="T645" s="16">
        <f t="shared" ref="T645:T708" si="20">IF(OR($J645="Accepted",ISBLANK($J645)),IF(AND($G645="Legacy Data",$Q645="Legacy Data"),1,IF(OR($G645="Legacy Data",$Q645="Legacy Data"),1,0)),IF(OR($N645="Agree with original translator",ISBLANK($N645)),IF(AND($G645="Source Text Data",$Q645="Legacy Data"),1,IF(AND($G645="Legacy Data",$Q645="Legacy Data"),1,IF($Q645="Legacy Data",1,0))),IF(AND($G645="Legacy Data",$Q645="Legacy Data"),1,IF(OR($Q645="Legacy Data",ISBLANK($Q645)),IF($G645&lt;&gt;"Legacy Data",IF(AND($G645="Source Text Data",$Q645="Legacy Data"),1,0),1),0))))</f>
        <v>0</v>
      </c>
      <c r="U645" s="16">
        <f t="shared" ref="U645:U708" si="21">IF(OR($J645="Accepted",ISBLANK($J645)),IF(AND($G645="Source Text Data",$Q645="Source Text Data"),1,IF(OR($G645="Source Text Data",$Q645="Source Text Data"),1,0)),IF(OR($N645="Agree with original translator",ISBLANK($N645)),IF(AND($G645="Legacy Data",$Q645="Source Text Data"),1,IF(AND($G645="Source Text Data",$Q645="Source Text Data"),1,IF($Q645="Source Text Data",1,0))),IF(AND($G645="Source Text Data",$Q645="Source Text Data"),1,IF(OR($Q645="Source Text Data",ISBLANK($Q645)),IF($G645&lt;&gt;"Source Text Data",IF(AND($G645="Legacy Data",$Q645="Source Text Data"),1,0),1),0))))</f>
        <v>0</v>
      </c>
      <c r="V645" s="133"/>
    </row>
    <row r="646" spans="1:22" s="56" customFormat="1">
      <c r="A646" s="58"/>
      <c r="B646" s="36"/>
      <c r="C646" s="58"/>
      <c r="D646" s="57"/>
      <c r="E646" s="57"/>
      <c r="F646" s="41"/>
      <c r="G646" s="41"/>
      <c r="H646" s="41"/>
      <c r="I646" s="57"/>
      <c r="J646" s="36"/>
      <c r="K646" s="57"/>
      <c r="L646" s="57"/>
      <c r="M646" s="57"/>
      <c r="N646" s="42"/>
      <c r="O646" s="57"/>
      <c r="P646" s="43"/>
      <c r="Q646" s="41"/>
      <c r="R646" s="43"/>
      <c r="S646" s="36"/>
      <c r="T646" s="16">
        <f t="shared" si="20"/>
        <v>0</v>
      </c>
      <c r="U646" s="16">
        <f t="shared" si="21"/>
        <v>0</v>
      </c>
      <c r="V646" s="133"/>
    </row>
    <row r="647" spans="1:22" s="56" customFormat="1">
      <c r="A647" s="58"/>
      <c r="B647" s="36"/>
      <c r="C647" s="58"/>
      <c r="D647" s="57"/>
      <c r="E647" s="57"/>
      <c r="F647" s="41"/>
      <c r="G647" s="41"/>
      <c r="H647" s="41"/>
      <c r="I647" s="57"/>
      <c r="J647" s="36"/>
      <c r="K647" s="57"/>
      <c r="L647" s="57"/>
      <c r="M647" s="57"/>
      <c r="N647" s="42"/>
      <c r="O647" s="57"/>
      <c r="P647" s="43"/>
      <c r="Q647" s="41"/>
      <c r="R647" s="43"/>
      <c r="S647" s="36"/>
      <c r="T647" s="16">
        <f t="shared" si="20"/>
        <v>0</v>
      </c>
      <c r="U647" s="16">
        <f t="shared" si="21"/>
        <v>0</v>
      </c>
      <c r="V647" s="133"/>
    </row>
    <row r="648" spans="1:22" s="56" customFormat="1">
      <c r="A648" s="58"/>
      <c r="B648" s="36"/>
      <c r="C648" s="58"/>
      <c r="D648" s="57"/>
      <c r="E648" s="57"/>
      <c r="F648" s="41"/>
      <c r="G648" s="41"/>
      <c r="H648" s="41"/>
      <c r="I648" s="57"/>
      <c r="J648" s="36"/>
      <c r="K648" s="57"/>
      <c r="L648" s="57"/>
      <c r="M648" s="57"/>
      <c r="N648" s="42"/>
      <c r="O648" s="57"/>
      <c r="P648" s="43"/>
      <c r="Q648" s="41"/>
      <c r="R648" s="43"/>
      <c r="S648" s="36"/>
      <c r="T648" s="16">
        <f t="shared" si="20"/>
        <v>0</v>
      </c>
      <c r="U648" s="16">
        <f t="shared" si="21"/>
        <v>0</v>
      </c>
      <c r="V648" s="133"/>
    </row>
    <row r="649" spans="1:22" s="56" customFormat="1">
      <c r="A649" s="58"/>
      <c r="B649" s="36"/>
      <c r="C649" s="58"/>
      <c r="D649" s="57"/>
      <c r="E649" s="57"/>
      <c r="F649" s="41"/>
      <c r="G649" s="41"/>
      <c r="H649" s="41"/>
      <c r="I649" s="57"/>
      <c r="J649" s="36"/>
      <c r="K649" s="57"/>
      <c r="L649" s="57"/>
      <c r="M649" s="57"/>
      <c r="N649" s="42"/>
      <c r="O649" s="57"/>
      <c r="P649" s="43"/>
      <c r="Q649" s="41"/>
      <c r="R649" s="43"/>
      <c r="S649" s="36"/>
      <c r="T649" s="16">
        <f t="shared" si="20"/>
        <v>0</v>
      </c>
      <c r="U649" s="16">
        <f t="shared" si="21"/>
        <v>0</v>
      </c>
      <c r="V649" s="133"/>
    </row>
    <row r="650" spans="1:22" s="56" customFormat="1">
      <c r="A650" s="58"/>
      <c r="B650" s="36"/>
      <c r="C650" s="58"/>
      <c r="D650" s="57"/>
      <c r="E650" s="57"/>
      <c r="F650" s="41"/>
      <c r="G650" s="41"/>
      <c r="H650" s="41"/>
      <c r="I650" s="57"/>
      <c r="J650" s="36"/>
      <c r="K650" s="57"/>
      <c r="L650" s="57"/>
      <c r="M650" s="57"/>
      <c r="N650" s="42"/>
      <c r="O650" s="57"/>
      <c r="P650" s="43"/>
      <c r="Q650" s="41"/>
      <c r="R650" s="43"/>
      <c r="S650" s="36"/>
      <c r="T650" s="16">
        <f t="shared" si="20"/>
        <v>0</v>
      </c>
      <c r="U650" s="16">
        <f t="shared" si="21"/>
        <v>0</v>
      </c>
      <c r="V650" s="133"/>
    </row>
    <row r="651" spans="1:22" s="56" customFormat="1">
      <c r="A651" s="58"/>
      <c r="B651" s="36"/>
      <c r="C651" s="58"/>
      <c r="D651" s="57"/>
      <c r="E651" s="57"/>
      <c r="F651" s="41"/>
      <c r="G651" s="41"/>
      <c r="H651" s="41"/>
      <c r="I651" s="57"/>
      <c r="J651" s="36"/>
      <c r="K651" s="57"/>
      <c r="L651" s="57"/>
      <c r="M651" s="57"/>
      <c r="N651" s="42"/>
      <c r="O651" s="57"/>
      <c r="P651" s="43"/>
      <c r="Q651" s="41"/>
      <c r="R651" s="43"/>
      <c r="S651" s="36"/>
      <c r="T651" s="16">
        <f t="shared" si="20"/>
        <v>0</v>
      </c>
      <c r="U651" s="16">
        <f t="shared" si="21"/>
        <v>0</v>
      </c>
      <c r="V651" s="133"/>
    </row>
    <row r="652" spans="1:22" s="56" customFormat="1">
      <c r="A652" s="58"/>
      <c r="B652" s="36"/>
      <c r="C652" s="58"/>
      <c r="D652" s="57"/>
      <c r="E652" s="57"/>
      <c r="F652" s="41"/>
      <c r="G652" s="41"/>
      <c r="H652" s="41"/>
      <c r="I652" s="57"/>
      <c r="J652" s="36"/>
      <c r="K652" s="57"/>
      <c r="L652" s="57"/>
      <c r="M652" s="57"/>
      <c r="N652" s="42"/>
      <c r="O652" s="57"/>
      <c r="P652" s="43"/>
      <c r="Q652" s="41"/>
      <c r="R652" s="43"/>
      <c r="S652" s="36"/>
      <c r="T652" s="16">
        <f t="shared" si="20"/>
        <v>0</v>
      </c>
      <c r="U652" s="16">
        <f t="shared" si="21"/>
        <v>0</v>
      </c>
      <c r="V652" s="133"/>
    </row>
    <row r="653" spans="1:22" s="56" customFormat="1">
      <c r="A653" s="58"/>
      <c r="B653" s="36"/>
      <c r="C653" s="58"/>
      <c r="D653" s="57"/>
      <c r="E653" s="57"/>
      <c r="F653" s="41"/>
      <c r="G653" s="41"/>
      <c r="H653" s="41"/>
      <c r="I653" s="57"/>
      <c r="J653" s="36"/>
      <c r="K653" s="57"/>
      <c r="L653" s="57"/>
      <c r="M653" s="57"/>
      <c r="N653" s="42"/>
      <c r="O653" s="57"/>
      <c r="P653" s="43"/>
      <c r="Q653" s="41"/>
      <c r="R653" s="43"/>
      <c r="S653" s="36"/>
      <c r="T653" s="16">
        <f t="shared" si="20"/>
        <v>0</v>
      </c>
      <c r="U653" s="16">
        <f t="shared" si="21"/>
        <v>0</v>
      </c>
      <c r="V653" s="133"/>
    </row>
    <row r="654" spans="1:22" s="56" customFormat="1">
      <c r="A654" s="58"/>
      <c r="B654" s="36"/>
      <c r="C654" s="58"/>
      <c r="D654" s="57"/>
      <c r="E654" s="57"/>
      <c r="F654" s="41"/>
      <c r="G654" s="41"/>
      <c r="H654" s="41"/>
      <c r="I654" s="57"/>
      <c r="J654" s="36"/>
      <c r="K654" s="57"/>
      <c r="L654" s="57"/>
      <c r="M654" s="57"/>
      <c r="N654" s="42"/>
      <c r="O654" s="57"/>
      <c r="P654" s="43"/>
      <c r="Q654" s="41"/>
      <c r="R654" s="43"/>
      <c r="S654" s="36"/>
      <c r="T654" s="16">
        <f t="shared" si="20"/>
        <v>0</v>
      </c>
      <c r="U654" s="16">
        <f t="shared" si="21"/>
        <v>0</v>
      </c>
      <c r="V654" s="133"/>
    </row>
    <row r="655" spans="1:22" s="56" customFormat="1">
      <c r="A655" s="58"/>
      <c r="B655" s="36"/>
      <c r="C655" s="58"/>
      <c r="D655" s="57"/>
      <c r="E655" s="57"/>
      <c r="F655" s="41"/>
      <c r="G655" s="41"/>
      <c r="H655" s="41"/>
      <c r="I655" s="57"/>
      <c r="J655" s="36"/>
      <c r="K655" s="57"/>
      <c r="L655" s="57"/>
      <c r="M655" s="57"/>
      <c r="N655" s="42"/>
      <c r="O655" s="57"/>
      <c r="P655" s="43"/>
      <c r="Q655" s="41"/>
      <c r="R655" s="43"/>
      <c r="S655" s="36"/>
      <c r="T655" s="16">
        <f t="shared" si="20"/>
        <v>0</v>
      </c>
      <c r="U655" s="16">
        <f t="shared" si="21"/>
        <v>0</v>
      </c>
      <c r="V655" s="133"/>
    </row>
    <row r="656" spans="1:22" s="56" customFormat="1">
      <c r="A656" s="58"/>
      <c r="B656" s="36"/>
      <c r="C656" s="58"/>
      <c r="D656" s="57"/>
      <c r="E656" s="57"/>
      <c r="F656" s="41"/>
      <c r="G656" s="41"/>
      <c r="H656" s="41"/>
      <c r="I656" s="57"/>
      <c r="J656" s="36"/>
      <c r="K656" s="57"/>
      <c r="L656" s="57"/>
      <c r="M656" s="57"/>
      <c r="N656" s="42"/>
      <c r="O656" s="57"/>
      <c r="P656" s="43"/>
      <c r="Q656" s="41"/>
      <c r="R656" s="43"/>
      <c r="S656" s="36"/>
      <c r="T656" s="16">
        <f t="shared" si="20"/>
        <v>0</v>
      </c>
      <c r="U656" s="16">
        <f t="shared" si="21"/>
        <v>0</v>
      </c>
      <c r="V656" s="133"/>
    </row>
    <row r="657" spans="1:22" s="56" customFormat="1">
      <c r="A657" s="58"/>
      <c r="B657" s="36"/>
      <c r="C657" s="58"/>
      <c r="D657" s="57"/>
      <c r="E657" s="57"/>
      <c r="F657" s="41"/>
      <c r="G657" s="41"/>
      <c r="H657" s="41"/>
      <c r="I657" s="57"/>
      <c r="J657" s="36"/>
      <c r="K657" s="57"/>
      <c r="L657" s="57"/>
      <c r="M657" s="57"/>
      <c r="N657" s="42"/>
      <c r="O657" s="57"/>
      <c r="P657" s="43"/>
      <c r="Q657" s="41"/>
      <c r="R657" s="43"/>
      <c r="S657" s="36"/>
      <c r="T657" s="16">
        <f t="shared" si="20"/>
        <v>0</v>
      </c>
      <c r="U657" s="16">
        <f t="shared" si="21"/>
        <v>0</v>
      </c>
      <c r="V657" s="133"/>
    </row>
    <row r="658" spans="1:22" s="56" customFormat="1">
      <c r="A658" s="58"/>
      <c r="B658" s="36"/>
      <c r="C658" s="58"/>
      <c r="D658" s="57"/>
      <c r="E658" s="57"/>
      <c r="F658" s="41"/>
      <c r="G658" s="41"/>
      <c r="H658" s="41"/>
      <c r="I658" s="57"/>
      <c r="J658" s="36"/>
      <c r="K658" s="57"/>
      <c r="L658" s="57"/>
      <c r="M658" s="57"/>
      <c r="N658" s="42"/>
      <c r="O658" s="57"/>
      <c r="P658" s="43"/>
      <c r="Q658" s="41"/>
      <c r="R658" s="43"/>
      <c r="S658" s="36"/>
      <c r="T658" s="16">
        <f t="shared" si="20"/>
        <v>0</v>
      </c>
      <c r="U658" s="16">
        <f t="shared" si="21"/>
        <v>0</v>
      </c>
      <c r="V658" s="133"/>
    </row>
    <row r="659" spans="1:22" s="56" customFormat="1">
      <c r="A659" s="58"/>
      <c r="B659" s="36"/>
      <c r="C659" s="58"/>
      <c r="D659" s="57"/>
      <c r="E659" s="57"/>
      <c r="F659" s="41"/>
      <c r="G659" s="41"/>
      <c r="H659" s="41"/>
      <c r="I659" s="57"/>
      <c r="J659" s="36"/>
      <c r="K659" s="57"/>
      <c r="L659" s="57"/>
      <c r="M659" s="57"/>
      <c r="N659" s="42"/>
      <c r="O659" s="57"/>
      <c r="P659" s="43"/>
      <c r="Q659" s="41"/>
      <c r="R659" s="43"/>
      <c r="S659" s="36"/>
      <c r="T659" s="16">
        <f t="shared" si="20"/>
        <v>0</v>
      </c>
      <c r="U659" s="16">
        <f t="shared" si="21"/>
        <v>0</v>
      </c>
      <c r="V659" s="133"/>
    </row>
    <row r="660" spans="1:22" s="56" customFormat="1">
      <c r="A660" s="58"/>
      <c r="B660" s="36"/>
      <c r="C660" s="58"/>
      <c r="D660" s="57"/>
      <c r="E660" s="57"/>
      <c r="F660" s="41"/>
      <c r="G660" s="41"/>
      <c r="H660" s="41"/>
      <c r="I660" s="57"/>
      <c r="J660" s="36"/>
      <c r="K660" s="57"/>
      <c r="L660" s="57"/>
      <c r="M660" s="57"/>
      <c r="N660" s="42"/>
      <c r="O660" s="57"/>
      <c r="P660" s="43"/>
      <c r="Q660" s="41"/>
      <c r="R660" s="43"/>
      <c r="S660" s="36"/>
      <c r="T660" s="16">
        <f t="shared" si="20"/>
        <v>0</v>
      </c>
      <c r="U660" s="16">
        <f t="shared" si="21"/>
        <v>0</v>
      </c>
      <c r="V660" s="133"/>
    </row>
    <row r="661" spans="1:22" s="56" customFormat="1">
      <c r="A661" s="58"/>
      <c r="B661" s="36"/>
      <c r="C661" s="58"/>
      <c r="D661" s="57"/>
      <c r="E661" s="57"/>
      <c r="F661" s="41"/>
      <c r="G661" s="41"/>
      <c r="H661" s="41"/>
      <c r="I661" s="57"/>
      <c r="J661" s="36"/>
      <c r="K661" s="57"/>
      <c r="L661" s="57"/>
      <c r="M661" s="57"/>
      <c r="N661" s="42"/>
      <c r="O661" s="57"/>
      <c r="P661" s="43"/>
      <c r="Q661" s="41"/>
      <c r="R661" s="43"/>
      <c r="S661" s="36"/>
      <c r="T661" s="16">
        <f t="shared" si="20"/>
        <v>0</v>
      </c>
      <c r="U661" s="16">
        <f t="shared" si="21"/>
        <v>0</v>
      </c>
      <c r="V661" s="133"/>
    </row>
    <row r="662" spans="1:22" s="56" customFormat="1">
      <c r="A662" s="58"/>
      <c r="B662" s="36"/>
      <c r="C662" s="58"/>
      <c r="D662" s="57"/>
      <c r="E662" s="57"/>
      <c r="F662" s="41"/>
      <c r="G662" s="41"/>
      <c r="H662" s="41"/>
      <c r="I662" s="57"/>
      <c r="J662" s="36"/>
      <c r="K662" s="57"/>
      <c r="L662" s="57"/>
      <c r="M662" s="57"/>
      <c r="N662" s="42"/>
      <c r="O662" s="57"/>
      <c r="P662" s="43"/>
      <c r="Q662" s="41"/>
      <c r="R662" s="43"/>
      <c r="S662" s="36"/>
      <c r="T662" s="16">
        <f t="shared" si="20"/>
        <v>0</v>
      </c>
      <c r="U662" s="16">
        <f t="shared" si="21"/>
        <v>0</v>
      </c>
      <c r="V662" s="133"/>
    </row>
    <row r="663" spans="1:22" s="56" customFormat="1">
      <c r="A663" s="58"/>
      <c r="B663" s="36"/>
      <c r="C663" s="58"/>
      <c r="D663" s="57"/>
      <c r="E663" s="57"/>
      <c r="F663" s="41"/>
      <c r="G663" s="41"/>
      <c r="H663" s="41"/>
      <c r="I663" s="57"/>
      <c r="J663" s="36"/>
      <c r="K663" s="57"/>
      <c r="L663" s="57"/>
      <c r="M663" s="57"/>
      <c r="N663" s="42"/>
      <c r="O663" s="57"/>
      <c r="P663" s="43"/>
      <c r="Q663" s="41"/>
      <c r="R663" s="43"/>
      <c r="S663" s="36"/>
      <c r="T663" s="16">
        <f t="shared" si="20"/>
        <v>0</v>
      </c>
      <c r="U663" s="16">
        <f t="shared" si="21"/>
        <v>0</v>
      </c>
      <c r="V663" s="133"/>
    </row>
    <row r="664" spans="1:22" s="56" customFormat="1">
      <c r="A664" s="58"/>
      <c r="B664" s="36"/>
      <c r="C664" s="58"/>
      <c r="D664" s="57"/>
      <c r="E664" s="57"/>
      <c r="F664" s="41"/>
      <c r="G664" s="41"/>
      <c r="H664" s="41"/>
      <c r="I664" s="57"/>
      <c r="J664" s="36"/>
      <c r="K664" s="57"/>
      <c r="L664" s="57"/>
      <c r="M664" s="57"/>
      <c r="N664" s="42"/>
      <c r="O664" s="57"/>
      <c r="P664" s="43"/>
      <c r="Q664" s="41"/>
      <c r="R664" s="43"/>
      <c r="S664" s="36"/>
      <c r="T664" s="16">
        <f t="shared" si="20"/>
        <v>0</v>
      </c>
      <c r="U664" s="16">
        <f t="shared" si="21"/>
        <v>0</v>
      </c>
      <c r="V664" s="133"/>
    </row>
    <row r="665" spans="1:22" s="56" customFormat="1">
      <c r="A665" s="58"/>
      <c r="B665" s="36"/>
      <c r="C665" s="58"/>
      <c r="D665" s="57"/>
      <c r="E665" s="57"/>
      <c r="F665" s="41"/>
      <c r="G665" s="41"/>
      <c r="H665" s="41"/>
      <c r="I665" s="57"/>
      <c r="J665" s="36"/>
      <c r="K665" s="57"/>
      <c r="L665" s="57"/>
      <c r="M665" s="57"/>
      <c r="N665" s="42"/>
      <c r="O665" s="57"/>
      <c r="P665" s="43"/>
      <c r="Q665" s="41"/>
      <c r="R665" s="43"/>
      <c r="S665" s="36"/>
      <c r="T665" s="16">
        <f t="shared" si="20"/>
        <v>0</v>
      </c>
      <c r="U665" s="16">
        <f t="shared" si="21"/>
        <v>0</v>
      </c>
      <c r="V665" s="133"/>
    </row>
    <row r="666" spans="1:22" s="56" customFormat="1">
      <c r="A666" s="58"/>
      <c r="B666" s="36"/>
      <c r="C666" s="58"/>
      <c r="D666" s="57"/>
      <c r="E666" s="57"/>
      <c r="F666" s="41"/>
      <c r="G666" s="41"/>
      <c r="H666" s="41"/>
      <c r="I666" s="57"/>
      <c r="J666" s="36"/>
      <c r="K666" s="57"/>
      <c r="L666" s="57"/>
      <c r="M666" s="57"/>
      <c r="N666" s="42"/>
      <c r="O666" s="57"/>
      <c r="P666" s="43"/>
      <c r="Q666" s="41"/>
      <c r="R666" s="43"/>
      <c r="S666" s="36"/>
      <c r="T666" s="16">
        <f t="shared" si="20"/>
        <v>0</v>
      </c>
      <c r="U666" s="16">
        <f t="shared" si="21"/>
        <v>0</v>
      </c>
      <c r="V666" s="133"/>
    </row>
    <row r="667" spans="1:22" s="56" customFormat="1">
      <c r="A667" s="58"/>
      <c r="B667" s="36"/>
      <c r="C667" s="58"/>
      <c r="D667" s="57"/>
      <c r="E667" s="57"/>
      <c r="F667" s="41"/>
      <c r="G667" s="41"/>
      <c r="H667" s="41"/>
      <c r="I667" s="57"/>
      <c r="J667" s="36"/>
      <c r="K667" s="57"/>
      <c r="L667" s="57"/>
      <c r="M667" s="57"/>
      <c r="N667" s="42"/>
      <c r="O667" s="57"/>
      <c r="P667" s="43"/>
      <c r="Q667" s="41"/>
      <c r="R667" s="43"/>
      <c r="S667" s="36"/>
      <c r="T667" s="16">
        <f t="shared" si="20"/>
        <v>0</v>
      </c>
      <c r="U667" s="16">
        <f t="shared" si="21"/>
        <v>0</v>
      </c>
      <c r="V667" s="133"/>
    </row>
    <row r="668" spans="1:22" s="56" customFormat="1">
      <c r="A668" s="58"/>
      <c r="B668" s="36"/>
      <c r="C668" s="58"/>
      <c r="D668" s="57"/>
      <c r="E668" s="57"/>
      <c r="F668" s="41"/>
      <c r="G668" s="41"/>
      <c r="H668" s="41"/>
      <c r="I668" s="57"/>
      <c r="J668" s="36"/>
      <c r="K668" s="57"/>
      <c r="L668" s="57"/>
      <c r="M668" s="57"/>
      <c r="N668" s="42"/>
      <c r="O668" s="57"/>
      <c r="P668" s="43"/>
      <c r="Q668" s="41"/>
      <c r="R668" s="43"/>
      <c r="S668" s="36"/>
      <c r="T668" s="16">
        <f t="shared" si="20"/>
        <v>0</v>
      </c>
      <c r="U668" s="16">
        <f t="shared" si="21"/>
        <v>0</v>
      </c>
      <c r="V668" s="133"/>
    </row>
    <row r="669" spans="1:22" s="56" customFormat="1">
      <c r="A669" s="58"/>
      <c r="B669" s="36"/>
      <c r="C669" s="58"/>
      <c r="D669" s="57"/>
      <c r="E669" s="57"/>
      <c r="F669" s="41"/>
      <c r="G669" s="41"/>
      <c r="H669" s="41"/>
      <c r="I669" s="57"/>
      <c r="J669" s="36"/>
      <c r="K669" s="57"/>
      <c r="L669" s="57"/>
      <c r="M669" s="57"/>
      <c r="N669" s="42"/>
      <c r="O669" s="57"/>
      <c r="P669" s="43"/>
      <c r="Q669" s="41"/>
      <c r="R669" s="43"/>
      <c r="S669" s="36"/>
      <c r="T669" s="16">
        <f t="shared" si="20"/>
        <v>0</v>
      </c>
      <c r="U669" s="16">
        <f t="shared" si="21"/>
        <v>0</v>
      </c>
      <c r="V669" s="133"/>
    </row>
    <row r="670" spans="1:22" s="56" customFormat="1">
      <c r="A670" s="58"/>
      <c r="B670" s="36"/>
      <c r="C670" s="58"/>
      <c r="D670" s="57"/>
      <c r="E670" s="57"/>
      <c r="F670" s="41"/>
      <c r="G670" s="41"/>
      <c r="H670" s="41"/>
      <c r="I670" s="57"/>
      <c r="J670" s="36"/>
      <c r="K670" s="57"/>
      <c r="L670" s="57"/>
      <c r="M670" s="57"/>
      <c r="N670" s="42"/>
      <c r="O670" s="57"/>
      <c r="P670" s="43"/>
      <c r="Q670" s="41"/>
      <c r="R670" s="43"/>
      <c r="S670" s="36"/>
      <c r="T670" s="16">
        <f t="shared" si="20"/>
        <v>0</v>
      </c>
      <c r="U670" s="16">
        <f t="shared" si="21"/>
        <v>0</v>
      </c>
      <c r="V670" s="133"/>
    </row>
    <row r="671" spans="1:22" s="56" customFormat="1">
      <c r="A671" s="58"/>
      <c r="B671" s="36"/>
      <c r="C671" s="58"/>
      <c r="D671" s="57"/>
      <c r="E671" s="57"/>
      <c r="F671" s="41"/>
      <c r="G671" s="41"/>
      <c r="H671" s="41"/>
      <c r="I671" s="57"/>
      <c r="J671" s="36"/>
      <c r="K671" s="57"/>
      <c r="L671" s="57"/>
      <c r="M671" s="57"/>
      <c r="N671" s="42"/>
      <c r="O671" s="57"/>
      <c r="P671" s="43"/>
      <c r="Q671" s="41"/>
      <c r="R671" s="43"/>
      <c r="S671" s="36"/>
      <c r="T671" s="16">
        <f t="shared" si="20"/>
        <v>0</v>
      </c>
      <c r="U671" s="16">
        <f t="shared" si="21"/>
        <v>0</v>
      </c>
      <c r="V671" s="133"/>
    </row>
    <row r="672" spans="1:22" s="56" customFormat="1">
      <c r="A672" s="58"/>
      <c r="B672" s="36"/>
      <c r="C672" s="58"/>
      <c r="D672" s="57"/>
      <c r="E672" s="57"/>
      <c r="F672" s="41"/>
      <c r="G672" s="41"/>
      <c r="H672" s="41"/>
      <c r="I672" s="57"/>
      <c r="J672" s="36"/>
      <c r="K672" s="57"/>
      <c r="L672" s="57"/>
      <c r="M672" s="57"/>
      <c r="N672" s="42"/>
      <c r="O672" s="57"/>
      <c r="P672" s="43"/>
      <c r="Q672" s="41"/>
      <c r="R672" s="43"/>
      <c r="S672" s="36"/>
      <c r="T672" s="16">
        <f t="shared" si="20"/>
        <v>0</v>
      </c>
      <c r="U672" s="16">
        <f t="shared" si="21"/>
        <v>0</v>
      </c>
      <c r="V672" s="133"/>
    </row>
    <row r="673" spans="1:22" s="56" customFormat="1">
      <c r="A673" s="58"/>
      <c r="B673" s="36"/>
      <c r="C673" s="58"/>
      <c r="D673" s="57"/>
      <c r="E673" s="57"/>
      <c r="F673" s="41"/>
      <c r="G673" s="41"/>
      <c r="H673" s="41"/>
      <c r="I673" s="57"/>
      <c r="J673" s="36"/>
      <c r="K673" s="57"/>
      <c r="L673" s="57"/>
      <c r="M673" s="57"/>
      <c r="N673" s="42"/>
      <c r="O673" s="57"/>
      <c r="P673" s="43"/>
      <c r="Q673" s="41"/>
      <c r="R673" s="43"/>
      <c r="S673" s="36"/>
      <c r="T673" s="16">
        <f t="shared" si="20"/>
        <v>0</v>
      </c>
      <c r="U673" s="16">
        <f t="shared" si="21"/>
        <v>0</v>
      </c>
      <c r="V673" s="133"/>
    </row>
    <row r="674" spans="1:22" s="56" customFormat="1">
      <c r="A674" s="58"/>
      <c r="B674" s="36"/>
      <c r="C674" s="58"/>
      <c r="D674" s="57"/>
      <c r="E674" s="57"/>
      <c r="F674" s="41"/>
      <c r="G674" s="41"/>
      <c r="H674" s="41"/>
      <c r="I674" s="57"/>
      <c r="J674" s="36"/>
      <c r="K674" s="57"/>
      <c r="L674" s="57"/>
      <c r="M674" s="57"/>
      <c r="N674" s="42"/>
      <c r="O674" s="57"/>
      <c r="P674" s="43"/>
      <c r="Q674" s="41"/>
      <c r="R674" s="43"/>
      <c r="S674" s="36"/>
      <c r="T674" s="16">
        <f t="shared" si="20"/>
        <v>0</v>
      </c>
      <c r="U674" s="16">
        <f t="shared" si="21"/>
        <v>0</v>
      </c>
      <c r="V674" s="133"/>
    </row>
    <row r="675" spans="1:22" s="56" customFormat="1">
      <c r="A675" s="58"/>
      <c r="B675" s="36"/>
      <c r="C675" s="58"/>
      <c r="D675" s="57"/>
      <c r="E675" s="57"/>
      <c r="F675" s="41"/>
      <c r="G675" s="41"/>
      <c r="H675" s="41"/>
      <c r="I675" s="57"/>
      <c r="J675" s="36"/>
      <c r="K675" s="57"/>
      <c r="L675" s="57"/>
      <c r="M675" s="57"/>
      <c r="N675" s="42"/>
      <c r="O675" s="57"/>
      <c r="P675" s="43"/>
      <c r="Q675" s="41"/>
      <c r="R675" s="43"/>
      <c r="S675" s="36"/>
      <c r="T675" s="16">
        <f t="shared" si="20"/>
        <v>0</v>
      </c>
      <c r="U675" s="16">
        <f t="shared" si="21"/>
        <v>0</v>
      </c>
      <c r="V675" s="133"/>
    </row>
    <row r="676" spans="1:22" s="56" customFormat="1">
      <c r="A676" s="58"/>
      <c r="B676" s="36"/>
      <c r="C676" s="58"/>
      <c r="D676" s="57"/>
      <c r="E676" s="57"/>
      <c r="F676" s="41"/>
      <c r="G676" s="41"/>
      <c r="H676" s="41"/>
      <c r="I676" s="57"/>
      <c r="J676" s="36"/>
      <c r="K676" s="57"/>
      <c r="L676" s="57"/>
      <c r="M676" s="57"/>
      <c r="N676" s="42"/>
      <c r="O676" s="57"/>
      <c r="P676" s="43"/>
      <c r="Q676" s="41"/>
      <c r="R676" s="43"/>
      <c r="S676" s="36"/>
      <c r="T676" s="16">
        <f t="shared" si="20"/>
        <v>0</v>
      </c>
      <c r="U676" s="16">
        <f t="shared" si="21"/>
        <v>0</v>
      </c>
      <c r="V676" s="133"/>
    </row>
    <row r="677" spans="1:22" s="56" customFormat="1">
      <c r="A677" s="58"/>
      <c r="B677" s="36"/>
      <c r="C677" s="58"/>
      <c r="D677" s="57"/>
      <c r="E677" s="57"/>
      <c r="F677" s="41"/>
      <c r="G677" s="41"/>
      <c r="H677" s="41"/>
      <c r="I677" s="57"/>
      <c r="J677" s="36"/>
      <c r="K677" s="57"/>
      <c r="L677" s="57"/>
      <c r="M677" s="57"/>
      <c r="N677" s="42"/>
      <c r="O677" s="57"/>
      <c r="P677" s="43"/>
      <c r="Q677" s="41"/>
      <c r="R677" s="43"/>
      <c r="S677" s="36"/>
      <c r="T677" s="16">
        <f t="shared" si="20"/>
        <v>0</v>
      </c>
      <c r="U677" s="16">
        <f t="shared" si="21"/>
        <v>0</v>
      </c>
      <c r="V677" s="133"/>
    </row>
    <row r="678" spans="1:22" s="56" customFormat="1">
      <c r="A678" s="58"/>
      <c r="B678" s="36"/>
      <c r="C678" s="58"/>
      <c r="D678" s="57"/>
      <c r="E678" s="57"/>
      <c r="F678" s="41"/>
      <c r="G678" s="41"/>
      <c r="H678" s="41"/>
      <c r="I678" s="57"/>
      <c r="J678" s="36"/>
      <c r="K678" s="57"/>
      <c r="L678" s="57"/>
      <c r="M678" s="57"/>
      <c r="N678" s="42"/>
      <c r="O678" s="57"/>
      <c r="P678" s="43"/>
      <c r="Q678" s="41"/>
      <c r="R678" s="43"/>
      <c r="S678" s="36"/>
      <c r="T678" s="16">
        <f t="shared" si="20"/>
        <v>0</v>
      </c>
      <c r="U678" s="16">
        <f t="shared" si="21"/>
        <v>0</v>
      </c>
      <c r="V678" s="133"/>
    </row>
    <row r="679" spans="1:22" s="56" customFormat="1">
      <c r="A679" s="58"/>
      <c r="B679" s="36"/>
      <c r="C679" s="58"/>
      <c r="D679" s="57"/>
      <c r="E679" s="57"/>
      <c r="F679" s="41"/>
      <c r="G679" s="41"/>
      <c r="H679" s="41"/>
      <c r="I679" s="57"/>
      <c r="J679" s="36"/>
      <c r="K679" s="57"/>
      <c r="L679" s="57"/>
      <c r="M679" s="57"/>
      <c r="N679" s="42"/>
      <c r="O679" s="57"/>
      <c r="P679" s="43"/>
      <c r="Q679" s="41"/>
      <c r="R679" s="43"/>
      <c r="S679" s="36"/>
      <c r="T679" s="16">
        <f t="shared" si="20"/>
        <v>0</v>
      </c>
      <c r="U679" s="16">
        <f t="shared" si="21"/>
        <v>0</v>
      </c>
      <c r="V679" s="133"/>
    </row>
    <row r="680" spans="1:22" s="56" customFormat="1">
      <c r="A680" s="58"/>
      <c r="B680" s="36"/>
      <c r="C680" s="58"/>
      <c r="D680" s="57"/>
      <c r="E680" s="57"/>
      <c r="F680" s="41"/>
      <c r="G680" s="41"/>
      <c r="H680" s="41"/>
      <c r="I680" s="57"/>
      <c r="J680" s="36"/>
      <c r="K680" s="57"/>
      <c r="L680" s="57"/>
      <c r="M680" s="57"/>
      <c r="N680" s="42"/>
      <c r="O680" s="57"/>
      <c r="P680" s="43"/>
      <c r="Q680" s="41"/>
      <c r="R680" s="43"/>
      <c r="S680" s="36"/>
      <c r="T680" s="16">
        <f t="shared" si="20"/>
        <v>0</v>
      </c>
      <c r="U680" s="16">
        <f t="shared" si="21"/>
        <v>0</v>
      </c>
      <c r="V680" s="133"/>
    </row>
    <row r="681" spans="1:22" s="56" customFormat="1">
      <c r="A681" s="58"/>
      <c r="B681" s="36"/>
      <c r="C681" s="58"/>
      <c r="D681" s="57"/>
      <c r="E681" s="57"/>
      <c r="F681" s="41"/>
      <c r="G681" s="41"/>
      <c r="H681" s="41"/>
      <c r="I681" s="57"/>
      <c r="J681" s="36"/>
      <c r="K681" s="57"/>
      <c r="L681" s="57"/>
      <c r="M681" s="57"/>
      <c r="N681" s="42"/>
      <c r="O681" s="57"/>
      <c r="P681" s="43"/>
      <c r="Q681" s="41"/>
      <c r="R681" s="43"/>
      <c r="S681" s="36"/>
      <c r="T681" s="16">
        <f t="shared" si="20"/>
        <v>0</v>
      </c>
      <c r="U681" s="16">
        <f t="shared" si="21"/>
        <v>0</v>
      </c>
      <c r="V681" s="133"/>
    </row>
    <row r="682" spans="1:22" s="56" customFormat="1">
      <c r="A682" s="58"/>
      <c r="B682" s="36"/>
      <c r="C682" s="58"/>
      <c r="D682" s="57"/>
      <c r="E682" s="57"/>
      <c r="F682" s="41"/>
      <c r="G682" s="41"/>
      <c r="H682" s="41"/>
      <c r="I682" s="57"/>
      <c r="J682" s="36"/>
      <c r="K682" s="57"/>
      <c r="L682" s="57"/>
      <c r="M682" s="57"/>
      <c r="N682" s="42"/>
      <c r="O682" s="57"/>
      <c r="P682" s="43"/>
      <c r="Q682" s="41"/>
      <c r="R682" s="43"/>
      <c r="S682" s="36"/>
      <c r="T682" s="16">
        <f t="shared" si="20"/>
        <v>0</v>
      </c>
      <c r="U682" s="16">
        <f t="shared" si="21"/>
        <v>0</v>
      </c>
      <c r="V682" s="133"/>
    </row>
    <row r="683" spans="1:22" s="56" customFormat="1">
      <c r="A683" s="58"/>
      <c r="B683" s="36"/>
      <c r="C683" s="58"/>
      <c r="D683" s="57"/>
      <c r="E683" s="57"/>
      <c r="F683" s="41"/>
      <c r="G683" s="41"/>
      <c r="H683" s="41"/>
      <c r="I683" s="57"/>
      <c r="J683" s="36"/>
      <c r="K683" s="57"/>
      <c r="L683" s="57"/>
      <c r="M683" s="57"/>
      <c r="N683" s="42"/>
      <c r="O683" s="57"/>
      <c r="P683" s="43"/>
      <c r="Q683" s="41"/>
      <c r="R683" s="43"/>
      <c r="S683" s="36"/>
      <c r="T683" s="16">
        <f t="shared" si="20"/>
        <v>0</v>
      </c>
      <c r="U683" s="16">
        <f t="shared" si="21"/>
        <v>0</v>
      </c>
      <c r="V683" s="133"/>
    </row>
    <row r="684" spans="1:22" s="56" customFormat="1">
      <c r="A684" s="58"/>
      <c r="B684" s="36"/>
      <c r="C684" s="58"/>
      <c r="D684" s="57"/>
      <c r="E684" s="57"/>
      <c r="F684" s="41"/>
      <c r="G684" s="41"/>
      <c r="H684" s="41"/>
      <c r="I684" s="57"/>
      <c r="J684" s="36"/>
      <c r="K684" s="57"/>
      <c r="L684" s="57"/>
      <c r="M684" s="57"/>
      <c r="N684" s="42"/>
      <c r="O684" s="57"/>
      <c r="P684" s="43"/>
      <c r="Q684" s="41"/>
      <c r="R684" s="43"/>
      <c r="S684" s="36"/>
      <c r="T684" s="16">
        <f t="shared" si="20"/>
        <v>0</v>
      </c>
      <c r="U684" s="16">
        <f t="shared" si="21"/>
        <v>0</v>
      </c>
      <c r="V684" s="133"/>
    </row>
    <row r="685" spans="1:22" s="56" customFormat="1">
      <c r="A685" s="58"/>
      <c r="B685" s="36"/>
      <c r="C685" s="58"/>
      <c r="D685" s="57"/>
      <c r="E685" s="57"/>
      <c r="F685" s="41"/>
      <c r="G685" s="41"/>
      <c r="H685" s="41"/>
      <c r="I685" s="57"/>
      <c r="J685" s="36"/>
      <c r="K685" s="57"/>
      <c r="L685" s="57"/>
      <c r="M685" s="57"/>
      <c r="N685" s="42"/>
      <c r="O685" s="57"/>
      <c r="P685" s="43"/>
      <c r="Q685" s="41"/>
      <c r="R685" s="43"/>
      <c r="S685" s="36"/>
      <c r="T685" s="16">
        <f t="shared" si="20"/>
        <v>0</v>
      </c>
      <c r="U685" s="16">
        <f t="shared" si="21"/>
        <v>0</v>
      </c>
      <c r="V685" s="133"/>
    </row>
    <row r="686" spans="1:22" s="56" customFormat="1">
      <c r="A686" s="58"/>
      <c r="B686" s="36"/>
      <c r="C686" s="58"/>
      <c r="D686" s="57"/>
      <c r="E686" s="57"/>
      <c r="F686" s="41"/>
      <c r="G686" s="41"/>
      <c r="H686" s="41"/>
      <c r="I686" s="57"/>
      <c r="J686" s="36"/>
      <c r="K686" s="57"/>
      <c r="L686" s="57"/>
      <c r="M686" s="57"/>
      <c r="N686" s="42"/>
      <c r="O686" s="57"/>
      <c r="P686" s="43"/>
      <c r="Q686" s="41"/>
      <c r="R686" s="43"/>
      <c r="S686" s="36"/>
      <c r="T686" s="16">
        <f t="shared" si="20"/>
        <v>0</v>
      </c>
      <c r="U686" s="16">
        <f t="shared" si="21"/>
        <v>0</v>
      </c>
      <c r="V686" s="133"/>
    </row>
    <row r="687" spans="1:22" s="56" customFormat="1">
      <c r="A687" s="58"/>
      <c r="B687" s="36"/>
      <c r="C687" s="58"/>
      <c r="D687" s="57"/>
      <c r="E687" s="57"/>
      <c r="F687" s="41"/>
      <c r="G687" s="41"/>
      <c r="H687" s="41"/>
      <c r="I687" s="57"/>
      <c r="J687" s="36"/>
      <c r="K687" s="57"/>
      <c r="L687" s="57"/>
      <c r="M687" s="57"/>
      <c r="N687" s="42"/>
      <c r="O687" s="57"/>
      <c r="P687" s="43"/>
      <c r="Q687" s="41"/>
      <c r="R687" s="43"/>
      <c r="S687" s="36"/>
      <c r="T687" s="16">
        <f t="shared" si="20"/>
        <v>0</v>
      </c>
      <c r="U687" s="16">
        <f t="shared" si="21"/>
        <v>0</v>
      </c>
      <c r="V687" s="133"/>
    </row>
    <row r="688" spans="1:22" s="56" customFormat="1">
      <c r="A688" s="58"/>
      <c r="B688" s="36"/>
      <c r="C688" s="58"/>
      <c r="D688" s="57"/>
      <c r="E688" s="57"/>
      <c r="F688" s="41"/>
      <c r="G688" s="41"/>
      <c r="H688" s="41"/>
      <c r="I688" s="57"/>
      <c r="J688" s="36"/>
      <c r="K688" s="57"/>
      <c r="L688" s="57"/>
      <c r="M688" s="57"/>
      <c r="N688" s="42"/>
      <c r="O688" s="57"/>
      <c r="P688" s="43"/>
      <c r="Q688" s="41"/>
      <c r="R688" s="43"/>
      <c r="S688" s="36"/>
      <c r="T688" s="16">
        <f t="shared" si="20"/>
        <v>0</v>
      </c>
      <c r="U688" s="16">
        <f t="shared" si="21"/>
        <v>0</v>
      </c>
      <c r="V688" s="133"/>
    </row>
    <row r="689" spans="1:22" s="56" customFormat="1">
      <c r="A689" s="58"/>
      <c r="B689" s="36"/>
      <c r="C689" s="58"/>
      <c r="D689" s="57"/>
      <c r="E689" s="57"/>
      <c r="F689" s="41"/>
      <c r="G689" s="41"/>
      <c r="H689" s="41"/>
      <c r="I689" s="57"/>
      <c r="J689" s="36"/>
      <c r="K689" s="57"/>
      <c r="L689" s="57"/>
      <c r="M689" s="57"/>
      <c r="N689" s="42"/>
      <c r="O689" s="57"/>
      <c r="P689" s="43"/>
      <c r="Q689" s="41"/>
      <c r="R689" s="43"/>
      <c r="S689" s="36"/>
      <c r="T689" s="16">
        <f t="shared" si="20"/>
        <v>0</v>
      </c>
      <c r="U689" s="16">
        <f t="shared" si="21"/>
        <v>0</v>
      </c>
      <c r="V689" s="133"/>
    </row>
    <row r="690" spans="1:22" s="56" customFormat="1">
      <c r="A690" s="58"/>
      <c r="B690" s="36"/>
      <c r="C690" s="58"/>
      <c r="D690" s="57"/>
      <c r="E690" s="57"/>
      <c r="F690" s="41"/>
      <c r="G690" s="41"/>
      <c r="H690" s="41"/>
      <c r="I690" s="57"/>
      <c r="J690" s="36"/>
      <c r="K690" s="57"/>
      <c r="L690" s="57"/>
      <c r="M690" s="57"/>
      <c r="N690" s="42"/>
      <c r="O690" s="57"/>
      <c r="P690" s="43"/>
      <c r="Q690" s="41"/>
      <c r="R690" s="43"/>
      <c r="S690" s="36"/>
      <c r="T690" s="16">
        <f t="shared" si="20"/>
        <v>0</v>
      </c>
      <c r="U690" s="16">
        <f t="shared" si="21"/>
        <v>0</v>
      </c>
      <c r="V690" s="133"/>
    </row>
    <row r="691" spans="1:22" s="56" customFormat="1">
      <c r="A691" s="58"/>
      <c r="B691" s="36"/>
      <c r="C691" s="58"/>
      <c r="D691" s="57"/>
      <c r="E691" s="57"/>
      <c r="F691" s="41"/>
      <c r="G691" s="41"/>
      <c r="H691" s="41"/>
      <c r="I691" s="57"/>
      <c r="J691" s="36"/>
      <c r="K691" s="57"/>
      <c r="L691" s="57"/>
      <c r="M691" s="57"/>
      <c r="N691" s="42"/>
      <c r="O691" s="57"/>
      <c r="P691" s="43"/>
      <c r="Q691" s="41"/>
      <c r="R691" s="43"/>
      <c r="S691" s="36"/>
      <c r="T691" s="16">
        <f t="shared" si="20"/>
        <v>0</v>
      </c>
      <c r="U691" s="16">
        <f t="shared" si="21"/>
        <v>0</v>
      </c>
      <c r="V691" s="133"/>
    </row>
    <row r="692" spans="1:22" s="56" customFormat="1">
      <c r="A692" s="58"/>
      <c r="B692" s="36"/>
      <c r="C692" s="58"/>
      <c r="D692" s="57"/>
      <c r="E692" s="57"/>
      <c r="F692" s="41"/>
      <c r="G692" s="41"/>
      <c r="H692" s="41"/>
      <c r="I692" s="57"/>
      <c r="J692" s="36"/>
      <c r="K692" s="57"/>
      <c r="L692" s="57"/>
      <c r="M692" s="57"/>
      <c r="N692" s="42"/>
      <c r="O692" s="57"/>
      <c r="P692" s="43"/>
      <c r="Q692" s="41"/>
      <c r="R692" s="43"/>
      <c r="S692" s="36"/>
      <c r="T692" s="16">
        <f t="shared" si="20"/>
        <v>0</v>
      </c>
      <c r="U692" s="16">
        <f t="shared" si="21"/>
        <v>0</v>
      </c>
      <c r="V692" s="133"/>
    </row>
    <row r="693" spans="1:22" s="56" customFormat="1">
      <c r="A693" s="58"/>
      <c r="B693" s="36"/>
      <c r="C693" s="58"/>
      <c r="D693" s="57"/>
      <c r="E693" s="57"/>
      <c r="F693" s="41"/>
      <c r="G693" s="41"/>
      <c r="H693" s="41"/>
      <c r="I693" s="57"/>
      <c r="J693" s="36"/>
      <c r="K693" s="57"/>
      <c r="L693" s="57"/>
      <c r="M693" s="57"/>
      <c r="N693" s="42"/>
      <c r="O693" s="57"/>
      <c r="P693" s="43"/>
      <c r="Q693" s="41"/>
      <c r="R693" s="43"/>
      <c r="S693" s="36"/>
      <c r="T693" s="16">
        <f t="shared" si="20"/>
        <v>0</v>
      </c>
      <c r="U693" s="16">
        <f t="shared" si="21"/>
        <v>0</v>
      </c>
      <c r="V693" s="133"/>
    </row>
    <row r="694" spans="1:22" s="56" customFormat="1">
      <c r="A694" s="58"/>
      <c r="B694" s="36"/>
      <c r="C694" s="58"/>
      <c r="D694" s="57"/>
      <c r="E694" s="57"/>
      <c r="F694" s="41"/>
      <c r="G694" s="41"/>
      <c r="H694" s="41"/>
      <c r="I694" s="57"/>
      <c r="J694" s="36"/>
      <c r="K694" s="57"/>
      <c r="L694" s="57"/>
      <c r="M694" s="57"/>
      <c r="N694" s="42"/>
      <c r="O694" s="57"/>
      <c r="P694" s="43"/>
      <c r="Q694" s="41"/>
      <c r="R694" s="43"/>
      <c r="S694" s="36"/>
      <c r="T694" s="16">
        <f t="shared" si="20"/>
        <v>0</v>
      </c>
      <c r="U694" s="16">
        <f t="shared" si="21"/>
        <v>0</v>
      </c>
      <c r="V694" s="133"/>
    </row>
    <row r="695" spans="1:22" s="56" customFormat="1">
      <c r="A695" s="58"/>
      <c r="B695" s="36"/>
      <c r="C695" s="58"/>
      <c r="D695" s="57"/>
      <c r="E695" s="57"/>
      <c r="F695" s="41"/>
      <c r="G695" s="41"/>
      <c r="H695" s="41"/>
      <c r="I695" s="57"/>
      <c r="J695" s="36"/>
      <c r="K695" s="57"/>
      <c r="L695" s="57"/>
      <c r="M695" s="57"/>
      <c r="N695" s="42"/>
      <c r="O695" s="57"/>
      <c r="P695" s="43"/>
      <c r="Q695" s="41"/>
      <c r="R695" s="43"/>
      <c r="S695" s="36"/>
      <c r="T695" s="16">
        <f t="shared" si="20"/>
        <v>0</v>
      </c>
      <c r="U695" s="16">
        <f t="shared" si="21"/>
        <v>0</v>
      </c>
      <c r="V695" s="133"/>
    </row>
    <row r="696" spans="1:22" s="56" customFormat="1">
      <c r="A696" s="58"/>
      <c r="B696" s="36"/>
      <c r="C696" s="58"/>
      <c r="D696" s="57"/>
      <c r="E696" s="57"/>
      <c r="F696" s="41"/>
      <c r="G696" s="41"/>
      <c r="H696" s="41"/>
      <c r="I696" s="57"/>
      <c r="J696" s="36"/>
      <c r="K696" s="57"/>
      <c r="L696" s="57"/>
      <c r="M696" s="57"/>
      <c r="N696" s="42"/>
      <c r="O696" s="57"/>
      <c r="P696" s="43"/>
      <c r="Q696" s="41"/>
      <c r="R696" s="43"/>
      <c r="S696" s="36"/>
      <c r="T696" s="16">
        <f t="shared" si="20"/>
        <v>0</v>
      </c>
      <c r="U696" s="16">
        <f t="shared" si="21"/>
        <v>0</v>
      </c>
      <c r="V696" s="133"/>
    </row>
    <row r="697" spans="1:22" s="56" customFormat="1">
      <c r="A697" s="58"/>
      <c r="B697" s="36"/>
      <c r="C697" s="58"/>
      <c r="D697" s="57"/>
      <c r="E697" s="57"/>
      <c r="F697" s="41"/>
      <c r="G697" s="41"/>
      <c r="H697" s="41"/>
      <c r="I697" s="57"/>
      <c r="J697" s="36"/>
      <c r="K697" s="57"/>
      <c r="L697" s="57"/>
      <c r="M697" s="57"/>
      <c r="N697" s="42"/>
      <c r="O697" s="57"/>
      <c r="P697" s="43"/>
      <c r="Q697" s="41"/>
      <c r="R697" s="43"/>
      <c r="S697" s="36"/>
      <c r="T697" s="16">
        <f t="shared" si="20"/>
        <v>0</v>
      </c>
      <c r="U697" s="16">
        <f t="shared" si="21"/>
        <v>0</v>
      </c>
      <c r="V697" s="133"/>
    </row>
    <row r="698" spans="1:22" s="56" customFormat="1">
      <c r="A698" s="58"/>
      <c r="B698" s="36"/>
      <c r="C698" s="58"/>
      <c r="D698" s="57"/>
      <c r="E698" s="57"/>
      <c r="F698" s="41"/>
      <c r="G698" s="41"/>
      <c r="H698" s="41"/>
      <c r="I698" s="57"/>
      <c r="J698" s="36"/>
      <c r="K698" s="57"/>
      <c r="L698" s="57"/>
      <c r="M698" s="57"/>
      <c r="N698" s="42"/>
      <c r="O698" s="57"/>
      <c r="P698" s="43"/>
      <c r="Q698" s="41"/>
      <c r="R698" s="43"/>
      <c r="S698" s="36"/>
      <c r="T698" s="16">
        <f t="shared" si="20"/>
        <v>0</v>
      </c>
      <c r="U698" s="16">
        <f t="shared" si="21"/>
        <v>0</v>
      </c>
      <c r="V698" s="133"/>
    </row>
    <row r="699" spans="1:22" s="56" customFormat="1">
      <c r="A699" s="58"/>
      <c r="B699" s="36"/>
      <c r="C699" s="58"/>
      <c r="D699" s="57"/>
      <c r="E699" s="57"/>
      <c r="F699" s="41"/>
      <c r="G699" s="41"/>
      <c r="H699" s="41"/>
      <c r="I699" s="57"/>
      <c r="J699" s="36"/>
      <c r="K699" s="57"/>
      <c r="L699" s="57"/>
      <c r="M699" s="57"/>
      <c r="N699" s="42"/>
      <c r="O699" s="57"/>
      <c r="P699" s="43"/>
      <c r="Q699" s="41"/>
      <c r="R699" s="43"/>
      <c r="S699" s="36"/>
      <c r="T699" s="16">
        <f t="shared" si="20"/>
        <v>0</v>
      </c>
      <c r="U699" s="16">
        <f t="shared" si="21"/>
        <v>0</v>
      </c>
      <c r="V699" s="133"/>
    </row>
    <row r="700" spans="1:22" s="56" customFormat="1">
      <c r="A700" s="58"/>
      <c r="B700" s="36"/>
      <c r="C700" s="58"/>
      <c r="D700" s="57"/>
      <c r="E700" s="57"/>
      <c r="F700" s="41"/>
      <c r="G700" s="41"/>
      <c r="H700" s="41"/>
      <c r="I700" s="57"/>
      <c r="J700" s="36"/>
      <c r="K700" s="57"/>
      <c r="L700" s="57"/>
      <c r="M700" s="57"/>
      <c r="N700" s="42"/>
      <c r="O700" s="57"/>
      <c r="P700" s="43"/>
      <c r="Q700" s="41"/>
      <c r="R700" s="43"/>
      <c r="S700" s="36"/>
      <c r="T700" s="16">
        <f t="shared" si="20"/>
        <v>0</v>
      </c>
      <c r="U700" s="16">
        <f t="shared" si="21"/>
        <v>0</v>
      </c>
      <c r="V700" s="133"/>
    </row>
    <row r="701" spans="1:22" s="56" customFormat="1">
      <c r="A701" s="58"/>
      <c r="B701" s="36"/>
      <c r="C701" s="58"/>
      <c r="D701" s="57"/>
      <c r="E701" s="57"/>
      <c r="F701" s="41"/>
      <c r="G701" s="41"/>
      <c r="H701" s="41"/>
      <c r="I701" s="57"/>
      <c r="J701" s="36"/>
      <c r="K701" s="57"/>
      <c r="L701" s="57"/>
      <c r="M701" s="57"/>
      <c r="N701" s="42"/>
      <c r="O701" s="57"/>
      <c r="P701" s="43"/>
      <c r="Q701" s="41"/>
      <c r="R701" s="43"/>
      <c r="S701" s="36"/>
      <c r="T701" s="16">
        <f t="shared" si="20"/>
        <v>0</v>
      </c>
      <c r="U701" s="16">
        <f t="shared" si="21"/>
        <v>0</v>
      </c>
      <c r="V701" s="133"/>
    </row>
    <row r="702" spans="1:22" s="56" customFormat="1">
      <c r="A702" s="58"/>
      <c r="B702" s="36"/>
      <c r="C702" s="58"/>
      <c r="D702" s="57"/>
      <c r="E702" s="57"/>
      <c r="F702" s="41"/>
      <c r="G702" s="41"/>
      <c r="H702" s="41"/>
      <c r="I702" s="57"/>
      <c r="J702" s="36"/>
      <c r="K702" s="57"/>
      <c r="L702" s="57"/>
      <c r="M702" s="57"/>
      <c r="N702" s="42"/>
      <c r="O702" s="57"/>
      <c r="P702" s="43"/>
      <c r="Q702" s="41"/>
      <c r="R702" s="43"/>
      <c r="S702" s="36"/>
      <c r="T702" s="16">
        <f t="shared" si="20"/>
        <v>0</v>
      </c>
      <c r="U702" s="16">
        <f t="shared" si="21"/>
        <v>0</v>
      </c>
      <c r="V702" s="133"/>
    </row>
    <row r="703" spans="1:22" s="56" customFormat="1">
      <c r="A703" s="58"/>
      <c r="B703" s="36"/>
      <c r="C703" s="58"/>
      <c r="D703" s="57"/>
      <c r="E703" s="57"/>
      <c r="F703" s="41"/>
      <c r="G703" s="41"/>
      <c r="H703" s="41"/>
      <c r="I703" s="57"/>
      <c r="J703" s="36"/>
      <c r="K703" s="57"/>
      <c r="L703" s="57"/>
      <c r="M703" s="57"/>
      <c r="N703" s="42"/>
      <c r="O703" s="57"/>
      <c r="P703" s="43"/>
      <c r="Q703" s="41"/>
      <c r="R703" s="43"/>
      <c r="S703" s="36"/>
      <c r="T703" s="16">
        <f t="shared" si="20"/>
        <v>0</v>
      </c>
      <c r="U703" s="16">
        <f t="shared" si="21"/>
        <v>0</v>
      </c>
      <c r="V703" s="133"/>
    </row>
    <row r="704" spans="1:22" s="56" customFormat="1">
      <c r="A704" s="58"/>
      <c r="B704" s="36"/>
      <c r="C704" s="58"/>
      <c r="D704" s="57"/>
      <c r="E704" s="57"/>
      <c r="F704" s="41"/>
      <c r="G704" s="41"/>
      <c r="H704" s="41"/>
      <c r="I704" s="57"/>
      <c r="J704" s="36"/>
      <c r="K704" s="57"/>
      <c r="L704" s="57"/>
      <c r="M704" s="57"/>
      <c r="N704" s="42"/>
      <c r="O704" s="57"/>
      <c r="P704" s="43"/>
      <c r="Q704" s="41"/>
      <c r="R704" s="43"/>
      <c r="S704" s="36"/>
      <c r="T704" s="16">
        <f t="shared" si="20"/>
        <v>0</v>
      </c>
      <c r="U704" s="16">
        <f t="shared" si="21"/>
        <v>0</v>
      </c>
      <c r="V704" s="133"/>
    </row>
    <row r="705" spans="1:22" s="56" customFormat="1">
      <c r="A705" s="58"/>
      <c r="B705" s="36"/>
      <c r="C705" s="58"/>
      <c r="D705" s="57"/>
      <c r="E705" s="57"/>
      <c r="F705" s="41"/>
      <c r="G705" s="41"/>
      <c r="H705" s="41"/>
      <c r="I705" s="57"/>
      <c r="J705" s="36"/>
      <c r="K705" s="57"/>
      <c r="L705" s="57"/>
      <c r="M705" s="57"/>
      <c r="N705" s="42"/>
      <c r="O705" s="57"/>
      <c r="P705" s="43"/>
      <c r="Q705" s="41"/>
      <c r="R705" s="43"/>
      <c r="S705" s="36"/>
      <c r="T705" s="16">
        <f t="shared" si="20"/>
        <v>0</v>
      </c>
      <c r="U705" s="16">
        <f t="shared" si="21"/>
        <v>0</v>
      </c>
      <c r="V705" s="133"/>
    </row>
    <row r="706" spans="1:22" s="56" customFormat="1">
      <c r="A706" s="58"/>
      <c r="B706" s="36"/>
      <c r="C706" s="58"/>
      <c r="D706" s="57"/>
      <c r="E706" s="57"/>
      <c r="F706" s="41"/>
      <c r="G706" s="41"/>
      <c r="H706" s="41"/>
      <c r="I706" s="57"/>
      <c r="J706" s="36"/>
      <c r="K706" s="57"/>
      <c r="L706" s="57"/>
      <c r="M706" s="57"/>
      <c r="N706" s="42"/>
      <c r="O706" s="57"/>
      <c r="P706" s="43"/>
      <c r="Q706" s="41"/>
      <c r="R706" s="43"/>
      <c r="S706" s="36"/>
      <c r="T706" s="16">
        <f t="shared" si="20"/>
        <v>0</v>
      </c>
      <c r="U706" s="16">
        <f t="shared" si="21"/>
        <v>0</v>
      </c>
      <c r="V706" s="133"/>
    </row>
    <row r="707" spans="1:22" s="56" customFormat="1">
      <c r="A707" s="58"/>
      <c r="B707" s="36"/>
      <c r="C707" s="58"/>
      <c r="D707" s="57"/>
      <c r="E707" s="57"/>
      <c r="F707" s="41"/>
      <c r="G707" s="41"/>
      <c r="H707" s="41"/>
      <c r="I707" s="57"/>
      <c r="J707" s="36"/>
      <c r="K707" s="57"/>
      <c r="L707" s="57"/>
      <c r="M707" s="57"/>
      <c r="N707" s="42"/>
      <c r="O707" s="57"/>
      <c r="P707" s="43"/>
      <c r="Q707" s="41"/>
      <c r="R707" s="43"/>
      <c r="S707" s="36"/>
      <c r="T707" s="16">
        <f t="shared" si="20"/>
        <v>0</v>
      </c>
      <c r="U707" s="16">
        <f t="shared" si="21"/>
        <v>0</v>
      </c>
      <c r="V707" s="133"/>
    </row>
    <row r="708" spans="1:22" s="56" customFormat="1">
      <c r="A708" s="58"/>
      <c r="B708" s="36"/>
      <c r="C708" s="58"/>
      <c r="D708" s="57"/>
      <c r="E708" s="57"/>
      <c r="F708" s="41"/>
      <c r="G708" s="41"/>
      <c r="H708" s="41"/>
      <c r="I708" s="57"/>
      <c r="J708" s="36"/>
      <c r="K708" s="57"/>
      <c r="L708" s="57"/>
      <c r="M708" s="57"/>
      <c r="N708" s="42"/>
      <c r="O708" s="57"/>
      <c r="P708" s="43"/>
      <c r="Q708" s="41"/>
      <c r="R708" s="43"/>
      <c r="S708" s="36"/>
      <c r="T708" s="16">
        <f t="shared" si="20"/>
        <v>0</v>
      </c>
      <c r="U708" s="16">
        <f t="shared" si="21"/>
        <v>0</v>
      </c>
      <c r="V708" s="133"/>
    </row>
    <row r="709" spans="1:22" s="56" customFormat="1">
      <c r="A709" s="58"/>
      <c r="B709" s="36"/>
      <c r="C709" s="58"/>
      <c r="D709" s="57"/>
      <c r="E709" s="57"/>
      <c r="F709" s="41"/>
      <c r="G709" s="41"/>
      <c r="H709" s="41"/>
      <c r="I709" s="57"/>
      <c r="J709" s="36"/>
      <c r="K709" s="57"/>
      <c r="L709" s="57"/>
      <c r="M709" s="57"/>
      <c r="N709" s="42"/>
      <c r="O709" s="57"/>
      <c r="P709" s="43"/>
      <c r="Q709" s="41"/>
      <c r="R709" s="43"/>
      <c r="S709" s="36"/>
      <c r="T709" s="16">
        <f t="shared" ref="T709:T772" si="22">IF(OR($J709="Accepted",ISBLANK($J709)),IF(AND($G709="Legacy Data",$Q709="Legacy Data"),1,IF(OR($G709="Legacy Data",$Q709="Legacy Data"),1,0)),IF(OR($N709="Agree with original translator",ISBLANK($N709)),IF(AND($G709="Source Text Data",$Q709="Legacy Data"),1,IF(AND($G709="Legacy Data",$Q709="Legacy Data"),1,IF($Q709="Legacy Data",1,0))),IF(AND($G709="Legacy Data",$Q709="Legacy Data"),1,IF(OR($Q709="Legacy Data",ISBLANK($Q709)),IF($G709&lt;&gt;"Legacy Data",IF(AND($G709="Source Text Data",$Q709="Legacy Data"),1,0),1),0))))</f>
        <v>0</v>
      </c>
      <c r="U709" s="16">
        <f t="shared" ref="U709:U772" si="23">IF(OR($J709="Accepted",ISBLANK($J709)),IF(AND($G709="Source Text Data",$Q709="Source Text Data"),1,IF(OR($G709="Source Text Data",$Q709="Source Text Data"),1,0)),IF(OR($N709="Agree with original translator",ISBLANK($N709)),IF(AND($G709="Legacy Data",$Q709="Source Text Data"),1,IF(AND($G709="Source Text Data",$Q709="Source Text Data"),1,IF($Q709="Source Text Data",1,0))),IF(AND($G709="Source Text Data",$Q709="Source Text Data"),1,IF(OR($Q709="Source Text Data",ISBLANK($Q709)),IF($G709&lt;&gt;"Source Text Data",IF(AND($G709="Legacy Data",$Q709="Source Text Data"),1,0),1),0))))</f>
        <v>0</v>
      </c>
      <c r="V709" s="133"/>
    </row>
    <row r="710" spans="1:22" s="56" customFormat="1">
      <c r="A710" s="58"/>
      <c r="B710" s="36"/>
      <c r="C710" s="58"/>
      <c r="D710" s="57"/>
      <c r="E710" s="57"/>
      <c r="F710" s="41"/>
      <c r="G710" s="41"/>
      <c r="H710" s="41"/>
      <c r="I710" s="57"/>
      <c r="J710" s="36"/>
      <c r="K710" s="57"/>
      <c r="L710" s="57"/>
      <c r="M710" s="57"/>
      <c r="N710" s="42"/>
      <c r="O710" s="57"/>
      <c r="P710" s="43"/>
      <c r="Q710" s="41"/>
      <c r="R710" s="43"/>
      <c r="S710" s="36"/>
      <c r="T710" s="16">
        <f t="shared" si="22"/>
        <v>0</v>
      </c>
      <c r="U710" s="16">
        <f t="shared" si="23"/>
        <v>0</v>
      </c>
      <c r="V710" s="133"/>
    </row>
    <row r="711" spans="1:22" s="56" customFormat="1">
      <c r="A711" s="58"/>
      <c r="B711" s="36"/>
      <c r="C711" s="58"/>
      <c r="D711" s="57"/>
      <c r="E711" s="57"/>
      <c r="F711" s="41"/>
      <c r="G711" s="41"/>
      <c r="H711" s="41"/>
      <c r="I711" s="57"/>
      <c r="J711" s="36"/>
      <c r="K711" s="57"/>
      <c r="L711" s="57"/>
      <c r="M711" s="57"/>
      <c r="N711" s="42"/>
      <c r="O711" s="57"/>
      <c r="P711" s="43"/>
      <c r="Q711" s="41"/>
      <c r="R711" s="43"/>
      <c r="S711" s="36"/>
      <c r="T711" s="16">
        <f t="shared" si="22"/>
        <v>0</v>
      </c>
      <c r="U711" s="16">
        <f t="shared" si="23"/>
        <v>0</v>
      </c>
      <c r="V711" s="133"/>
    </row>
    <row r="712" spans="1:22" s="56" customFormat="1">
      <c r="A712" s="58"/>
      <c r="B712" s="36"/>
      <c r="C712" s="58"/>
      <c r="D712" s="57"/>
      <c r="E712" s="57"/>
      <c r="F712" s="41"/>
      <c r="G712" s="41"/>
      <c r="H712" s="41"/>
      <c r="I712" s="57"/>
      <c r="J712" s="36"/>
      <c r="K712" s="57"/>
      <c r="L712" s="57"/>
      <c r="M712" s="57"/>
      <c r="N712" s="42"/>
      <c r="O712" s="57"/>
      <c r="P712" s="43"/>
      <c r="Q712" s="41"/>
      <c r="R712" s="43"/>
      <c r="S712" s="36"/>
      <c r="T712" s="16">
        <f t="shared" si="22"/>
        <v>0</v>
      </c>
      <c r="U712" s="16">
        <f t="shared" si="23"/>
        <v>0</v>
      </c>
      <c r="V712" s="133"/>
    </row>
    <row r="713" spans="1:22" s="56" customFormat="1">
      <c r="A713" s="58"/>
      <c r="B713" s="36"/>
      <c r="C713" s="58"/>
      <c r="D713" s="57"/>
      <c r="E713" s="57"/>
      <c r="F713" s="41"/>
      <c r="G713" s="41"/>
      <c r="H713" s="41"/>
      <c r="I713" s="57"/>
      <c r="J713" s="36"/>
      <c r="K713" s="57"/>
      <c r="L713" s="57"/>
      <c r="M713" s="57"/>
      <c r="N713" s="42"/>
      <c r="O713" s="57"/>
      <c r="P713" s="43"/>
      <c r="Q713" s="41"/>
      <c r="R713" s="43"/>
      <c r="S713" s="36"/>
      <c r="T713" s="16">
        <f t="shared" si="22"/>
        <v>0</v>
      </c>
      <c r="U713" s="16">
        <f t="shared" si="23"/>
        <v>0</v>
      </c>
      <c r="V713" s="133"/>
    </row>
    <row r="714" spans="1:22" s="56" customFormat="1">
      <c r="A714" s="58"/>
      <c r="B714" s="36"/>
      <c r="C714" s="58"/>
      <c r="D714" s="57"/>
      <c r="E714" s="57"/>
      <c r="F714" s="41"/>
      <c r="G714" s="41"/>
      <c r="H714" s="41"/>
      <c r="I714" s="57"/>
      <c r="J714" s="36"/>
      <c r="K714" s="57"/>
      <c r="L714" s="57"/>
      <c r="M714" s="57"/>
      <c r="N714" s="42"/>
      <c r="O714" s="57"/>
      <c r="P714" s="43"/>
      <c r="Q714" s="41"/>
      <c r="R714" s="43"/>
      <c r="S714" s="36"/>
      <c r="T714" s="16">
        <f t="shared" si="22"/>
        <v>0</v>
      </c>
      <c r="U714" s="16">
        <f t="shared" si="23"/>
        <v>0</v>
      </c>
      <c r="V714" s="133"/>
    </row>
    <row r="715" spans="1:22" s="56" customFormat="1">
      <c r="A715" s="58"/>
      <c r="B715" s="36"/>
      <c r="C715" s="58"/>
      <c r="D715" s="57"/>
      <c r="E715" s="57"/>
      <c r="F715" s="41"/>
      <c r="G715" s="41"/>
      <c r="H715" s="41"/>
      <c r="I715" s="57"/>
      <c r="J715" s="36"/>
      <c r="K715" s="57"/>
      <c r="L715" s="57"/>
      <c r="M715" s="57"/>
      <c r="N715" s="42"/>
      <c r="O715" s="57"/>
      <c r="P715" s="43"/>
      <c r="Q715" s="41"/>
      <c r="R715" s="43"/>
      <c r="S715" s="36"/>
      <c r="T715" s="16">
        <f t="shared" si="22"/>
        <v>0</v>
      </c>
      <c r="U715" s="16">
        <f t="shared" si="23"/>
        <v>0</v>
      </c>
      <c r="V715" s="133"/>
    </row>
    <row r="716" spans="1:22" s="56" customFormat="1">
      <c r="A716" s="58"/>
      <c r="B716" s="36"/>
      <c r="C716" s="58"/>
      <c r="D716" s="57"/>
      <c r="E716" s="57"/>
      <c r="F716" s="41"/>
      <c r="G716" s="41"/>
      <c r="H716" s="41"/>
      <c r="I716" s="57"/>
      <c r="J716" s="36"/>
      <c r="K716" s="57"/>
      <c r="L716" s="57"/>
      <c r="M716" s="57"/>
      <c r="N716" s="42"/>
      <c r="O716" s="57"/>
      <c r="P716" s="43"/>
      <c r="Q716" s="41"/>
      <c r="R716" s="43"/>
      <c r="S716" s="36"/>
      <c r="T716" s="16">
        <f t="shared" si="22"/>
        <v>0</v>
      </c>
      <c r="U716" s="16">
        <f t="shared" si="23"/>
        <v>0</v>
      </c>
      <c r="V716" s="133"/>
    </row>
    <row r="717" spans="1:22" s="56" customFormat="1">
      <c r="A717" s="58"/>
      <c r="B717" s="36"/>
      <c r="C717" s="58"/>
      <c r="D717" s="57"/>
      <c r="E717" s="57"/>
      <c r="F717" s="41"/>
      <c r="G717" s="41"/>
      <c r="H717" s="41"/>
      <c r="I717" s="57"/>
      <c r="J717" s="36"/>
      <c r="K717" s="57"/>
      <c r="L717" s="57"/>
      <c r="M717" s="57"/>
      <c r="N717" s="42"/>
      <c r="O717" s="57"/>
      <c r="P717" s="43"/>
      <c r="Q717" s="41"/>
      <c r="R717" s="43"/>
      <c r="S717" s="36"/>
      <c r="T717" s="16">
        <f t="shared" si="22"/>
        <v>0</v>
      </c>
      <c r="U717" s="16">
        <f t="shared" si="23"/>
        <v>0</v>
      </c>
      <c r="V717" s="133"/>
    </row>
    <row r="718" spans="1:22" s="56" customFormat="1">
      <c r="A718" s="58"/>
      <c r="B718" s="36"/>
      <c r="C718" s="58"/>
      <c r="D718" s="57"/>
      <c r="E718" s="57"/>
      <c r="F718" s="41"/>
      <c r="G718" s="41"/>
      <c r="H718" s="41"/>
      <c r="I718" s="57"/>
      <c r="J718" s="36"/>
      <c r="K718" s="57"/>
      <c r="L718" s="57"/>
      <c r="M718" s="57"/>
      <c r="N718" s="42"/>
      <c r="O718" s="57"/>
      <c r="P718" s="43"/>
      <c r="Q718" s="41"/>
      <c r="R718" s="43"/>
      <c r="S718" s="36"/>
      <c r="T718" s="16">
        <f t="shared" si="22"/>
        <v>0</v>
      </c>
      <c r="U718" s="16">
        <f t="shared" si="23"/>
        <v>0</v>
      </c>
      <c r="V718" s="133"/>
    </row>
    <row r="719" spans="1:22" s="56" customFormat="1">
      <c r="A719" s="58"/>
      <c r="B719" s="36"/>
      <c r="C719" s="58"/>
      <c r="D719" s="57"/>
      <c r="E719" s="57"/>
      <c r="F719" s="41"/>
      <c r="G719" s="41"/>
      <c r="H719" s="41"/>
      <c r="I719" s="57"/>
      <c r="J719" s="36"/>
      <c r="K719" s="57"/>
      <c r="L719" s="57"/>
      <c r="M719" s="57"/>
      <c r="N719" s="42"/>
      <c r="O719" s="57"/>
      <c r="P719" s="43"/>
      <c r="Q719" s="41"/>
      <c r="R719" s="43"/>
      <c r="S719" s="36"/>
      <c r="T719" s="16">
        <f t="shared" si="22"/>
        <v>0</v>
      </c>
      <c r="U719" s="16">
        <f t="shared" si="23"/>
        <v>0</v>
      </c>
      <c r="V719" s="133"/>
    </row>
    <row r="720" spans="1:22" s="56" customFormat="1">
      <c r="A720" s="58"/>
      <c r="B720" s="36"/>
      <c r="C720" s="58"/>
      <c r="D720" s="57"/>
      <c r="E720" s="57"/>
      <c r="F720" s="41"/>
      <c r="G720" s="41"/>
      <c r="H720" s="41"/>
      <c r="I720" s="57"/>
      <c r="J720" s="36"/>
      <c r="K720" s="57"/>
      <c r="L720" s="57"/>
      <c r="M720" s="57"/>
      <c r="N720" s="42"/>
      <c r="O720" s="57"/>
      <c r="P720" s="43"/>
      <c r="Q720" s="41"/>
      <c r="R720" s="43"/>
      <c r="S720" s="36"/>
      <c r="T720" s="16">
        <f t="shared" si="22"/>
        <v>0</v>
      </c>
      <c r="U720" s="16">
        <f t="shared" si="23"/>
        <v>0</v>
      </c>
      <c r="V720" s="133"/>
    </row>
    <row r="721" spans="1:22" s="56" customFormat="1">
      <c r="A721" s="58"/>
      <c r="B721" s="36"/>
      <c r="C721" s="58"/>
      <c r="D721" s="57"/>
      <c r="E721" s="57"/>
      <c r="F721" s="41"/>
      <c r="G721" s="41"/>
      <c r="H721" s="41"/>
      <c r="I721" s="57"/>
      <c r="J721" s="36"/>
      <c r="K721" s="57"/>
      <c r="L721" s="57"/>
      <c r="M721" s="57"/>
      <c r="N721" s="42"/>
      <c r="O721" s="57"/>
      <c r="P721" s="43"/>
      <c r="Q721" s="41"/>
      <c r="R721" s="43"/>
      <c r="S721" s="36"/>
      <c r="T721" s="16">
        <f t="shared" si="22"/>
        <v>0</v>
      </c>
      <c r="U721" s="16">
        <f t="shared" si="23"/>
        <v>0</v>
      </c>
      <c r="V721" s="133"/>
    </row>
    <row r="722" spans="1:22" s="56" customFormat="1">
      <c r="A722" s="58"/>
      <c r="B722" s="36"/>
      <c r="C722" s="58"/>
      <c r="D722" s="57"/>
      <c r="E722" s="57"/>
      <c r="F722" s="41"/>
      <c r="G722" s="41"/>
      <c r="H722" s="41"/>
      <c r="I722" s="57"/>
      <c r="J722" s="36"/>
      <c r="K722" s="57"/>
      <c r="L722" s="57"/>
      <c r="M722" s="57"/>
      <c r="N722" s="42"/>
      <c r="O722" s="57"/>
      <c r="P722" s="43"/>
      <c r="Q722" s="41"/>
      <c r="R722" s="43"/>
      <c r="S722" s="36"/>
      <c r="T722" s="16">
        <f t="shared" si="22"/>
        <v>0</v>
      </c>
      <c r="U722" s="16">
        <f t="shared" si="23"/>
        <v>0</v>
      </c>
      <c r="V722" s="133"/>
    </row>
    <row r="723" spans="1:22" s="56" customFormat="1">
      <c r="A723" s="58"/>
      <c r="B723" s="36"/>
      <c r="C723" s="58"/>
      <c r="D723" s="57"/>
      <c r="E723" s="57"/>
      <c r="F723" s="41"/>
      <c r="G723" s="41"/>
      <c r="H723" s="41"/>
      <c r="I723" s="57"/>
      <c r="J723" s="36"/>
      <c r="K723" s="57"/>
      <c r="L723" s="57"/>
      <c r="M723" s="57"/>
      <c r="N723" s="42"/>
      <c r="O723" s="57"/>
      <c r="P723" s="43"/>
      <c r="Q723" s="41"/>
      <c r="R723" s="43"/>
      <c r="S723" s="36"/>
      <c r="T723" s="16">
        <f t="shared" si="22"/>
        <v>0</v>
      </c>
      <c r="U723" s="16">
        <f t="shared" si="23"/>
        <v>0</v>
      </c>
      <c r="V723" s="133"/>
    </row>
    <row r="724" spans="1:22" s="56" customFormat="1">
      <c r="A724" s="58"/>
      <c r="B724" s="36"/>
      <c r="C724" s="58"/>
      <c r="D724" s="57"/>
      <c r="E724" s="57"/>
      <c r="F724" s="41"/>
      <c r="G724" s="41"/>
      <c r="H724" s="41"/>
      <c r="I724" s="57"/>
      <c r="J724" s="36"/>
      <c r="K724" s="57"/>
      <c r="L724" s="57"/>
      <c r="M724" s="57"/>
      <c r="N724" s="42"/>
      <c r="O724" s="57"/>
      <c r="P724" s="43"/>
      <c r="Q724" s="41"/>
      <c r="R724" s="43"/>
      <c r="S724" s="36"/>
      <c r="T724" s="16">
        <f t="shared" si="22"/>
        <v>0</v>
      </c>
      <c r="U724" s="16">
        <f t="shared" si="23"/>
        <v>0</v>
      </c>
      <c r="V724" s="133"/>
    </row>
    <row r="725" spans="1:22" s="56" customFormat="1">
      <c r="A725" s="58"/>
      <c r="B725" s="36"/>
      <c r="C725" s="58"/>
      <c r="D725" s="57"/>
      <c r="E725" s="57"/>
      <c r="F725" s="41"/>
      <c r="G725" s="41"/>
      <c r="H725" s="41"/>
      <c r="I725" s="57"/>
      <c r="J725" s="36"/>
      <c r="K725" s="57"/>
      <c r="L725" s="57"/>
      <c r="M725" s="57"/>
      <c r="N725" s="42"/>
      <c r="O725" s="57"/>
      <c r="P725" s="43"/>
      <c r="Q725" s="41"/>
      <c r="R725" s="43"/>
      <c r="S725" s="36"/>
      <c r="T725" s="16">
        <f t="shared" si="22"/>
        <v>0</v>
      </c>
      <c r="U725" s="16">
        <f t="shared" si="23"/>
        <v>0</v>
      </c>
      <c r="V725" s="133"/>
    </row>
    <row r="726" spans="1:22" s="56" customFormat="1">
      <c r="A726" s="58"/>
      <c r="B726" s="36"/>
      <c r="C726" s="58"/>
      <c r="D726" s="57"/>
      <c r="E726" s="57"/>
      <c r="F726" s="41"/>
      <c r="G726" s="41"/>
      <c r="H726" s="41"/>
      <c r="I726" s="57"/>
      <c r="J726" s="36"/>
      <c r="K726" s="57"/>
      <c r="L726" s="57"/>
      <c r="M726" s="57"/>
      <c r="N726" s="42"/>
      <c r="O726" s="57"/>
      <c r="P726" s="43"/>
      <c r="Q726" s="41"/>
      <c r="R726" s="43"/>
      <c r="S726" s="36"/>
      <c r="T726" s="16">
        <f t="shared" si="22"/>
        <v>0</v>
      </c>
      <c r="U726" s="16">
        <f t="shared" si="23"/>
        <v>0</v>
      </c>
      <c r="V726" s="133"/>
    </row>
    <row r="727" spans="1:22" s="56" customFormat="1">
      <c r="A727" s="58"/>
      <c r="B727" s="36"/>
      <c r="C727" s="58"/>
      <c r="D727" s="57"/>
      <c r="E727" s="57"/>
      <c r="F727" s="41"/>
      <c r="G727" s="41"/>
      <c r="H727" s="41"/>
      <c r="I727" s="57"/>
      <c r="J727" s="36"/>
      <c r="K727" s="57"/>
      <c r="L727" s="57"/>
      <c r="M727" s="57"/>
      <c r="N727" s="42"/>
      <c r="O727" s="57"/>
      <c r="P727" s="43"/>
      <c r="Q727" s="41"/>
      <c r="R727" s="43"/>
      <c r="S727" s="36"/>
      <c r="T727" s="16">
        <f t="shared" si="22"/>
        <v>0</v>
      </c>
      <c r="U727" s="16">
        <f t="shared" si="23"/>
        <v>0</v>
      </c>
      <c r="V727" s="133"/>
    </row>
    <row r="728" spans="1:22" s="56" customFormat="1">
      <c r="A728" s="58"/>
      <c r="B728" s="36"/>
      <c r="C728" s="58"/>
      <c r="D728" s="57"/>
      <c r="E728" s="57"/>
      <c r="F728" s="41"/>
      <c r="G728" s="41"/>
      <c r="H728" s="41"/>
      <c r="I728" s="57"/>
      <c r="J728" s="36"/>
      <c r="K728" s="57"/>
      <c r="L728" s="57"/>
      <c r="M728" s="57"/>
      <c r="N728" s="42"/>
      <c r="O728" s="57"/>
      <c r="P728" s="43"/>
      <c r="Q728" s="41"/>
      <c r="R728" s="43"/>
      <c r="S728" s="36"/>
      <c r="T728" s="16">
        <f t="shared" si="22"/>
        <v>0</v>
      </c>
      <c r="U728" s="16">
        <f t="shared" si="23"/>
        <v>0</v>
      </c>
      <c r="V728" s="133"/>
    </row>
    <row r="729" spans="1:22" s="56" customFormat="1">
      <c r="A729" s="58"/>
      <c r="B729" s="36"/>
      <c r="C729" s="58"/>
      <c r="D729" s="57"/>
      <c r="E729" s="57"/>
      <c r="F729" s="41"/>
      <c r="G729" s="41"/>
      <c r="H729" s="41"/>
      <c r="I729" s="57"/>
      <c r="J729" s="36"/>
      <c r="K729" s="57"/>
      <c r="L729" s="57"/>
      <c r="M729" s="57"/>
      <c r="N729" s="42"/>
      <c r="O729" s="57"/>
      <c r="P729" s="43"/>
      <c r="Q729" s="41"/>
      <c r="R729" s="43"/>
      <c r="S729" s="36"/>
      <c r="T729" s="16">
        <f t="shared" si="22"/>
        <v>0</v>
      </c>
      <c r="U729" s="16">
        <f t="shared" si="23"/>
        <v>0</v>
      </c>
      <c r="V729" s="133"/>
    </row>
    <row r="730" spans="1:22" s="56" customFormat="1">
      <c r="A730" s="58"/>
      <c r="B730" s="36"/>
      <c r="C730" s="58"/>
      <c r="D730" s="57"/>
      <c r="E730" s="57"/>
      <c r="F730" s="41"/>
      <c r="G730" s="41"/>
      <c r="H730" s="41"/>
      <c r="I730" s="57"/>
      <c r="J730" s="36"/>
      <c r="K730" s="57"/>
      <c r="L730" s="57"/>
      <c r="M730" s="57"/>
      <c r="N730" s="42"/>
      <c r="O730" s="57"/>
      <c r="P730" s="43"/>
      <c r="Q730" s="41"/>
      <c r="R730" s="43"/>
      <c r="S730" s="36"/>
      <c r="T730" s="16">
        <f t="shared" si="22"/>
        <v>0</v>
      </c>
      <c r="U730" s="16">
        <f t="shared" si="23"/>
        <v>0</v>
      </c>
      <c r="V730" s="133"/>
    </row>
    <row r="731" spans="1:22" s="56" customFormat="1">
      <c r="A731" s="58"/>
      <c r="B731" s="36"/>
      <c r="C731" s="58"/>
      <c r="D731" s="57"/>
      <c r="E731" s="57"/>
      <c r="F731" s="41"/>
      <c r="G731" s="41"/>
      <c r="H731" s="41"/>
      <c r="I731" s="57"/>
      <c r="J731" s="36"/>
      <c r="K731" s="57"/>
      <c r="L731" s="57"/>
      <c r="M731" s="57"/>
      <c r="N731" s="42"/>
      <c r="O731" s="57"/>
      <c r="P731" s="43"/>
      <c r="Q731" s="41"/>
      <c r="R731" s="43"/>
      <c r="S731" s="36"/>
      <c r="T731" s="16">
        <f t="shared" si="22"/>
        <v>0</v>
      </c>
      <c r="U731" s="16">
        <f t="shared" si="23"/>
        <v>0</v>
      </c>
      <c r="V731" s="133"/>
    </row>
    <row r="732" spans="1:22" s="56" customFormat="1">
      <c r="A732" s="58"/>
      <c r="B732" s="36"/>
      <c r="C732" s="58"/>
      <c r="D732" s="57"/>
      <c r="E732" s="57"/>
      <c r="F732" s="41"/>
      <c r="G732" s="41"/>
      <c r="H732" s="41"/>
      <c r="I732" s="57"/>
      <c r="J732" s="36"/>
      <c r="K732" s="57"/>
      <c r="L732" s="57"/>
      <c r="M732" s="57"/>
      <c r="N732" s="42"/>
      <c r="O732" s="57"/>
      <c r="P732" s="43"/>
      <c r="Q732" s="41"/>
      <c r="R732" s="43"/>
      <c r="S732" s="36"/>
      <c r="T732" s="16">
        <f t="shared" si="22"/>
        <v>0</v>
      </c>
      <c r="U732" s="16">
        <f t="shared" si="23"/>
        <v>0</v>
      </c>
      <c r="V732" s="133"/>
    </row>
    <row r="733" spans="1:22" s="56" customFormat="1">
      <c r="A733" s="58"/>
      <c r="B733" s="36"/>
      <c r="C733" s="58"/>
      <c r="D733" s="57"/>
      <c r="E733" s="57"/>
      <c r="F733" s="41"/>
      <c r="G733" s="41"/>
      <c r="H733" s="41"/>
      <c r="I733" s="57"/>
      <c r="J733" s="36"/>
      <c r="K733" s="57"/>
      <c r="L733" s="57"/>
      <c r="M733" s="57"/>
      <c r="N733" s="42"/>
      <c r="O733" s="57"/>
      <c r="P733" s="43"/>
      <c r="Q733" s="41"/>
      <c r="R733" s="43"/>
      <c r="S733" s="36"/>
      <c r="T733" s="16">
        <f t="shared" si="22"/>
        <v>0</v>
      </c>
      <c r="U733" s="16">
        <f t="shared" si="23"/>
        <v>0</v>
      </c>
      <c r="V733" s="133"/>
    </row>
    <row r="734" spans="1:22" s="56" customFormat="1">
      <c r="A734" s="58"/>
      <c r="B734" s="36"/>
      <c r="C734" s="58"/>
      <c r="D734" s="57"/>
      <c r="E734" s="57"/>
      <c r="F734" s="41"/>
      <c r="G734" s="41"/>
      <c r="H734" s="41"/>
      <c r="I734" s="57"/>
      <c r="J734" s="36"/>
      <c r="K734" s="57"/>
      <c r="L734" s="57"/>
      <c r="M734" s="57"/>
      <c r="N734" s="42"/>
      <c r="O734" s="57"/>
      <c r="P734" s="43"/>
      <c r="Q734" s="41"/>
      <c r="R734" s="43"/>
      <c r="S734" s="36"/>
      <c r="T734" s="16">
        <f t="shared" si="22"/>
        <v>0</v>
      </c>
      <c r="U734" s="16">
        <f t="shared" si="23"/>
        <v>0</v>
      </c>
      <c r="V734" s="133"/>
    </row>
    <row r="735" spans="1:22" s="56" customFormat="1">
      <c r="A735" s="58"/>
      <c r="B735" s="36"/>
      <c r="C735" s="58"/>
      <c r="D735" s="57"/>
      <c r="E735" s="57"/>
      <c r="F735" s="41"/>
      <c r="G735" s="41"/>
      <c r="H735" s="41"/>
      <c r="I735" s="57"/>
      <c r="J735" s="36"/>
      <c r="K735" s="57"/>
      <c r="L735" s="57"/>
      <c r="M735" s="57"/>
      <c r="N735" s="42"/>
      <c r="O735" s="57"/>
      <c r="P735" s="43"/>
      <c r="Q735" s="41"/>
      <c r="R735" s="43"/>
      <c r="S735" s="36"/>
      <c r="T735" s="16">
        <f t="shared" si="22"/>
        <v>0</v>
      </c>
      <c r="U735" s="16">
        <f t="shared" si="23"/>
        <v>0</v>
      </c>
      <c r="V735" s="133"/>
    </row>
    <row r="736" spans="1:22" s="56" customFormat="1">
      <c r="A736" s="58"/>
      <c r="B736" s="36"/>
      <c r="C736" s="58"/>
      <c r="D736" s="57"/>
      <c r="E736" s="57"/>
      <c r="F736" s="41"/>
      <c r="G736" s="41"/>
      <c r="H736" s="41"/>
      <c r="I736" s="57"/>
      <c r="J736" s="36"/>
      <c r="K736" s="57"/>
      <c r="L736" s="57"/>
      <c r="M736" s="57"/>
      <c r="N736" s="42"/>
      <c r="O736" s="57"/>
      <c r="P736" s="43"/>
      <c r="Q736" s="41"/>
      <c r="R736" s="43"/>
      <c r="S736" s="36"/>
      <c r="T736" s="16">
        <f t="shared" si="22"/>
        <v>0</v>
      </c>
      <c r="U736" s="16">
        <f t="shared" si="23"/>
        <v>0</v>
      </c>
      <c r="V736" s="133"/>
    </row>
    <row r="737" spans="1:22" s="56" customFormat="1">
      <c r="A737" s="58"/>
      <c r="B737" s="36"/>
      <c r="C737" s="58"/>
      <c r="D737" s="57"/>
      <c r="E737" s="57"/>
      <c r="F737" s="41"/>
      <c r="G737" s="41"/>
      <c r="H737" s="41"/>
      <c r="I737" s="57"/>
      <c r="J737" s="36"/>
      <c r="K737" s="57"/>
      <c r="L737" s="57"/>
      <c r="M737" s="57"/>
      <c r="N737" s="42"/>
      <c r="O737" s="57"/>
      <c r="P737" s="43"/>
      <c r="Q737" s="41"/>
      <c r="R737" s="43"/>
      <c r="S737" s="36"/>
      <c r="T737" s="16">
        <f t="shared" si="22"/>
        <v>0</v>
      </c>
      <c r="U737" s="16">
        <f t="shared" si="23"/>
        <v>0</v>
      </c>
      <c r="V737" s="133"/>
    </row>
    <row r="738" spans="1:22" s="56" customFormat="1">
      <c r="A738" s="58"/>
      <c r="B738" s="36"/>
      <c r="C738" s="58"/>
      <c r="D738" s="57"/>
      <c r="E738" s="57"/>
      <c r="F738" s="41"/>
      <c r="G738" s="41"/>
      <c r="H738" s="41"/>
      <c r="I738" s="57"/>
      <c r="J738" s="36"/>
      <c r="K738" s="57"/>
      <c r="L738" s="57"/>
      <c r="M738" s="57"/>
      <c r="N738" s="42"/>
      <c r="O738" s="57"/>
      <c r="P738" s="43"/>
      <c r="Q738" s="41"/>
      <c r="R738" s="43"/>
      <c r="S738" s="36"/>
      <c r="T738" s="16">
        <f t="shared" si="22"/>
        <v>0</v>
      </c>
      <c r="U738" s="16">
        <f t="shared" si="23"/>
        <v>0</v>
      </c>
      <c r="V738" s="133"/>
    </row>
    <row r="739" spans="1:22" s="56" customFormat="1">
      <c r="A739" s="58"/>
      <c r="B739" s="36"/>
      <c r="C739" s="58"/>
      <c r="D739" s="57"/>
      <c r="E739" s="57"/>
      <c r="F739" s="41"/>
      <c r="G739" s="41"/>
      <c r="H739" s="41"/>
      <c r="I739" s="57"/>
      <c r="J739" s="36"/>
      <c r="K739" s="57"/>
      <c r="L739" s="57"/>
      <c r="M739" s="57"/>
      <c r="N739" s="42"/>
      <c r="O739" s="57"/>
      <c r="P739" s="43"/>
      <c r="Q739" s="41"/>
      <c r="R739" s="43"/>
      <c r="S739" s="36"/>
      <c r="T739" s="16">
        <f t="shared" si="22"/>
        <v>0</v>
      </c>
      <c r="U739" s="16">
        <f t="shared" si="23"/>
        <v>0</v>
      </c>
      <c r="V739" s="133"/>
    </row>
    <row r="740" spans="1:22" s="56" customFormat="1">
      <c r="A740" s="58"/>
      <c r="B740" s="36"/>
      <c r="C740" s="58"/>
      <c r="D740" s="57"/>
      <c r="E740" s="57"/>
      <c r="F740" s="41"/>
      <c r="G740" s="41"/>
      <c r="H740" s="41"/>
      <c r="I740" s="57"/>
      <c r="J740" s="36"/>
      <c r="K740" s="57"/>
      <c r="L740" s="57"/>
      <c r="M740" s="57"/>
      <c r="N740" s="42"/>
      <c r="O740" s="57"/>
      <c r="P740" s="43"/>
      <c r="Q740" s="41"/>
      <c r="R740" s="43"/>
      <c r="S740" s="36"/>
      <c r="T740" s="16">
        <f t="shared" si="22"/>
        <v>0</v>
      </c>
      <c r="U740" s="16">
        <f t="shared" si="23"/>
        <v>0</v>
      </c>
      <c r="V740" s="133"/>
    </row>
    <row r="741" spans="1:22" s="56" customFormat="1">
      <c r="A741" s="58"/>
      <c r="B741" s="36"/>
      <c r="C741" s="58"/>
      <c r="D741" s="57"/>
      <c r="E741" s="57"/>
      <c r="F741" s="41"/>
      <c r="G741" s="41"/>
      <c r="H741" s="41"/>
      <c r="I741" s="57"/>
      <c r="J741" s="36"/>
      <c r="K741" s="57"/>
      <c r="L741" s="57"/>
      <c r="M741" s="57"/>
      <c r="N741" s="42"/>
      <c r="O741" s="57"/>
      <c r="P741" s="43"/>
      <c r="Q741" s="41"/>
      <c r="R741" s="43"/>
      <c r="S741" s="36"/>
      <c r="T741" s="16">
        <f t="shared" si="22"/>
        <v>0</v>
      </c>
      <c r="U741" s="16">
        <f t="shared" si="23"/>
        <v>0</v>
      </c>
      <c r="V741" s="133"/>
    </row>
    <row r="742" spans="1:22" s="56" customFormat="1">
      <c r="A742" s="58"/>
      <c r="B742" s="36"/>
      <c r="C742" s="58"/>
      <c r="D742" s="57"/>
      <c r="E742" s="57"/>
      <c r="F742" s="41"/>
      <c r="G742" s="41"/>
      <c r="H742" s="41"/>
      <c r="I742" s="57"/>
      <c r="J742" s="36"/>
      <c r="K742" s="57"/>
      <c r="L742" s="57"/>
      <c r="M742" s="57"/>
      <c r="N742" s="42"/>
      <c r="O742" s="57"/>
      <c r="P742" s="43"/>
      <c r="Q742" s="41"/>
      <c r="R742" s="43"/>
      <c r="S742" s="36"/>
      <c r="T742" s="16">
        <f t="shared" si="22"/>
        <v>0</v>
      </c>
      <c r="U742" s="16">
        <f t="shared" si="23"/>
        <v>0</v>
      </c>
      <c r="V742" s="133"/>
    </row>
    <row r="743" spans="1:22" s="56" customFormat="1">
      <c r="A743" s="58"/>
      <c r="B743" s="36"/>
      <c r="C743" s="58"/>
      <c r="D743" s="57"/>
      <c r="E743" s="57"/>
      <c r="F743" s="41"/>
      <c r="G743" s="41"/>
      <c r="H743" s="41"/>
      <c r="I743" s="57"/>
      <c r="J743" s="36"/>
      <c r="K743" s="57"/>
      <c r="L743" s="57"/>
      <c r="M743" s="57"/>
      <c r="N743" s="42"/>
      <c r="O743" s="57"/>
      <c r="P743" s="43"/>
      <c r="Q743" s="41"/>
      <c r="R743" s="43"/>
      <c r="S743" s="36"/>
      <c r="T743" s="16">
        <f t="shared" si="22"/>
        <v>0</v>
      </c>
      <c r="U743" s="16">
        <f t="shared" si="23"/>
        <v>0</v>
      </c>
      <c r="V743" s="133"/>
    </row>
    <row r="744" spans="1:22" s="56" customFormat="1">
      <c r="A744" s="58"/>
      <c r="B744" s="36"/>
      <c r="C744" s="58"/>
      <c r="D744" s="57"/>
      <c r="E744" s="57"/>
      <c r="F744" s="41"/>
      <c r="G744" s="41"/>
      <c r="H744" s="41"/>
      <c r="I744" s="57"/>
      <c r="J744" s="36"/>
      <c r="K744" s="57"/>
      <c r="L744" s="57"/>
      <c r="M744" s="57"/>
      <c r="N744" s="42"/>
      <c r="O744" s="57"/>
      <c r="P744" s="43"/>
      <c r="Q744" s="41"/>
      <c r="R744" s="43"/>
      <c r="S744" s="36"/>
      <c r="T744" s="16">
        <f t="shared" si="22"/>
        <v>0</v>
      </c>
      <c r="U744" s="16">
        <f t="shared" si="23"/>
        <v>0</v>
      </c>
      <c r="V744" s="133"/>
    </row>
    <row r="745" spans="1:22" s="56" customFormat="1">
      <c r="A745" s="58"/>
      <c r="B745" s="36"/>
      <c r="C745" s="58"/>
      <c r="D745" s="57"/>
      <c r="E745" s="57"/>
      <c r="F745" s="41"/>
      <c r="G745" s="41"/>
      <c r="H745" s="41"/>
      <c r="I745" s="57"/>
      <c r="J745" s="36"/>
      <c r="K745" s="57"/>
      <c r="L745" s="57"/>
      <c r="M745" s="57"/>
      <c r="N745" s="42"/>
      <c r="O745" s="57"/>
      <c r="P745" s="43"/>
      <c r="Q745" s="41"/>
      <c r="R745" s="43"/>
      <c r="S745" s="36"/>
      <c r="T745" s="16">
        <f t="shared" si="22"/>
        <v>0</v>
      </c>
      <c r="U745" s="16">
        <f t="shared" si="23"/>
        <v>0</v>
      </c>
      <c r="V745" s="133"/>
    </row>
    <row r="746" spans="1:22" s="56" customFormat="1">
      <c r="A746" s="58"/>
      <c r="B746" s="36"/>
      <c r="C746" s="58"/>
      <c r="D746" s="57"/>
      <c r="E746" s="57"/>
      <c r="F746" s="41"/>
      <c r="G746" s="41"/>
      <c r="H746" s="41"/>
      <c r="I746" s="57"/>
      <c r="J746" s="36"/>
      <c r="K746" s="57"/>
      <c r="L746" s="57"/>
      <c r="M746" s="57"/>
      <c r="N746" s="42"/>
      <c r="O746" s="57"/>
      <c r="P746" s="43"/>
      <c r="Q746" s="41"/>
      <c r="R746" s="43"/>
      <c r="S746" s="36"/>
      <c r="T746" s="16">
        <f t="shared" si="22"/>
        <v>0</v>
      </c>
      <c r="U746" s="16">
        <f t="shared" si="23"/>
        <v>0</v>
      </c>
      <c r="V746" s="133"/>
    </row>
    <row r="747" spans="1:22" s="56" customFormat="1">
      <c r="A747" s="58"/>
      <c r="B747" s="36"/>
      <c r="C747" s="58"/>
      <c r="D747" s="57"/>
      <c r="E747" s="57"/>
      <c r="F747" s="41"/>
      <c r="G747" s="41"/>
      <c r="H747" s="41"/>
      <c r="I747" s="57"/>
      <c r="J747" s="36"/>
      <c r="K747" s="57"/>
      <c r="L747" s="57"/>
      <c r="M747" s="57"/>
      <c r="N747" s="42"/>
      <c r="O747" s="57"/>
      <c r="P747" s="43"/>
      <c r="Q747" s="41"/>
      <c r="R747" s="43"/>
      <c r="S747" s="36"/>
      <c r="T747" s="16">
        <f t="shared" si="22"/>
        <v>0</v>
      </c>
      <c r="U747" s="16">
        <f t="shared" si="23"/>
        <v>0</v>
      </c>
      <c r="V747" s="133"/>
    </row>
    <row r="748" spans="1:22" s="56" customFormat="1">
      <c r="A748" s="58"/>
      <c r="B748" s="36"/>
      <c r="C748" s="58"/>
      <c r="D748" s="57"/>
      <c r="E748" s="57"/>
      <c r="F748" s="41"/>
      <c r="G748" s="41"/>
      <c r="H748" s="41"/>
      <c r="I748" s="57"/>
      <c r="J748" s="36"/>
      <c r="K748" s="57"/>
      <c r="L748" s="57"/>
      <c r="M748" s="57"/>
      <c r="N748" s="42"/>
      <c r="O748" s="57"/>
      <c r="P748" s="43"/>
      <c r="Q748" s="41"/>
      <c r="R748" s="43"/>
      <c r="S748" s="36"/>
      <c r="T748" s="16">
        <f t="shared" si="22"/>
        <v>0</v>
      </c>
      <c r="U748" s="16">
        <f t="shared" si="23"/>
        <v>0</v>
      </c>
      <c r="V748" s="133"/>
    </row>
    <row r="749" spans="1:22" s="56" customFormat="1">
      <c r="A749" s="58"/>
      <c r="B749" s="36"/>
      <c r="C749" s="58"/>
      <c r="D749" s="57"/>
      <c r="E749" s="57"/>
      <c r="F749" s="41"/>
      <c r="G749" s="41"/>
      <c r="H749" s="41"/>
      <c r="I749" s="57"/>
      <c r="J749" s="36"/>
      <c r="K749" s="57"/>
      <c r="L749" s="57"/>
      <c r="M749" s="57"/>
      <c r="N749" s="42"/>
      <c r="O749" s="57"/>
      <c r="P749" s="43"/>
      <c r="Q749" s="41"/>
      <c r="R749" s="43"/>
      <c r="S749" s="36"/>
      <c r="T749" s="16">
        <f t="shared" si="22"/>
        <v>0</v>
      </c>
      <c r="U749" s="16">
        <f t="shared" si="23"/>
        <v>0</v>
      </c>
      <c r="V749" s="133"/>
    </row>
    <row r="750" spans="1:22" s="56" customFormat="1">
      <c r="A750" s="58"/>
      <c r="B750" s="36"/>
      <c r="C750" s="58"/>
      <c r="D750" s="57"/>
      <c r="E750" s="57"/>
      <c r="F750" s="41"/>
      <c r="G750" s="41"/>
      <c r="H750" s="41"/>
      <c r="I750" s="57"/>
      <c r="J750" s="36"/>
      <c r="K750" s="57"/>
      <c r="L750" s="57"/>
      <c r="M750" s="57"/>
      <c r="N750" s="42"/>
      <c r="O750" s="57"/>
      <c r="P750" s="43"/>
      <c r="Q750" s="41"/>
      <c r="R750" s="43"/>
      <c r="S750" s="36"/>
      <c r="T750" s="16">
        <f t="shared" si="22"/>
        <v>0</v>
      </c>
      <c r="U750" s="16">
        <f t="shared" si="23"/>
        <v>0</v>
      </c>
      <c r="V750" s="133"/>
    </row>
    <row r="751" spans="1:22" s="56" customFormat="1">
      <c r="A751" s="58"/>
      <c r="B751" s="36"/>
      <c r="C751" s="58"/>
      <c r="D751" s="57"/>
      <c r="E751" s="57"/>
      <c r="F751" s="41"/>
      <c r="G751" s="41"/>
      <c r="H751" s="41"/>
      <c r="I751" s="57"/>
      <c r="J751" s="36"/>
      <c r="K751" s="57"/>
      <c r="L751" s="57"/>
      <c r="M751" s="57"/>
      <c r="N751" s="42"/>
      <c r="O751" s="57"/>
      <c r="P751" s="43"/>
      <c r="Q751" s="41"/>
      <c r="R751" s="43"/>
      <c r="S751" s="36"/>
      <c r="T751" s="16">
        <f t="shared" si="22"/>
        <v>0</v>
      </c>
      <c r="U751" s="16">
        <f t="shared" si="23"/>
        <v>0</v>
      </c>
      <c r="V751" s="133"/>
    </row>
    <row r="752" spans="1:22" s="56" customFormat="1">
      <c r="A752" s="58"/>
      <c r="B752" s="36"/>
      <c r="C752" s="58"/>
      <c r="D752" s="57"/>
      <c r="E752" s="57"/>
      <c r="F752" s="41"/>
      <c r="G752" s="41"/>
      <c r="H752" s="41"/>
      <c r="I752" s="57"/>
      <c r="J752" s="36"/>
      <c r="K752" s="57"/>
      <c r="L752" s="57"/>
      <c r="M752" s="57"/>
      <c r="N752" s="42"/>
      <c r="O752" s="57"/>
      <c r="P752" s="43"/>
      <c r="Q752" s="41"/>
      <c r="R752" s="43"/>
      <c r="S752" s="36"/>
      <c r="T752" s="16">
        <f t="shared" si="22"/>
        <v>0</v>
      </c>
      <c r="U752" s="16">
        <f t="shared" si="23"/>
        <v>0</v>
      </c>
      <c r="V752" s="133"/>
    </row>
    <row r="753" spans="1:22" s="56" customFormat="1">
      <c r="A753" s="58"/>
      <c r="B753" s="36"/>
      <c r="C753" s="58"/>
      <c r="D753" s="57"/>
      <c r="E753" s="57"/>
      <c r="F753" s="41"/>
      <c r="G753" s="41"/>
      <c r="H753" s="41"/>
      <c r="I753" s="57"/>
      <c r="J753" s="36"/>
      <c r="K753" s="57"/>
      <c r="L753" s="57"/>
      <c r="M753" s="57"/>
      <c r="N753" s="42"/>
      <c r="O753" s="57"/>
      <c r="P753" s="43"/>
      <c r="Q753" s="41"/>
      <c r="R753" s="43"/>
      <c r="S753" s="36"/>
      <c r="T753" s="16">
        <f t="shared" si="22"/>
        <v>0</v>
      </c>
      <c r="U753" s="16">
        <f t="shared" si="23"/>
        <v>0</v>
      </c>
      <c r="V753" s="133"/>
    </row>
    <row r="754" spans="1:22" s="56" customFormat="1">
      <c r="A754" s="58"/>
      <c r="B754" s="36"/>
      <c r="C754" s="58"/>
      <c r="D754" s="57"/>
      <c r="E754" s="57"/>
      <c r="F754" s="41"/>
      <c r="G754" s="41"/>
      <c r="H754" s="41"/>
      <c r="I754" s="57"/>
      <c r="J754" s="36"/>
      <c r="K754" s="57"/>
      <c r="L754" s="57"/>
      <c r="M754" s="57"/>
      <c r="N754" s="42"/>
      <c r="O754" s="57"/>
      <c r="P754" s="43"/>
      <c r="Q754" s="41"/>
      <c r="R754" s="43"/>
      <c r="S754" s="36"/>
      <c r="T754" s="16">
        <f t="shared" si="22"/>
        <v>0</v>
      </c>
      <c r="U754" s="16">
        <f t="shared" si="23"/>
        <v>0</v>
      </c>
      <c r="V754" s="133"/>
    </row>
    <row r="755" spans="1:22" s="56" customFormat="1">
      <c r="A755" s="58"/>
      <c r="B755" s="36"/>
      <c r="C755" s="58"/>
      <c r="D755" s="57"/>
      <c r="E755" s="57"/>
      <c r="F755" s="41"/>
      <c r="G755" s="41"/>
      <c r="H755" s="41"/>
      <c r="I755" s="57"/>
      <c r="J755" s="36"/>
      <c r="K755" s="57"/>
      <c r="L755" s="57"/>
      <c r="M755" s="57"/>
      <c r="N755" s="42"/>
      <c r="O755" s="57"/>
      <c r="P755" s="43"/>
      <c r="Q755" s="41"/>
      <c r="R755" s="43"/>
      <c r="S755" s="36"/>
      <c r="T755" s="16">
        <f t="shared" si="22"/>
        <v>0</v>
      </c>
      <c r="U755" s="16">
        <f t="shared" si="23"/>
        <v>0</v>
      </c>
      <c r="V755" s="133"/>
    </row>
    <row r="756" spans="1:22" s="56" customFormat="1">
      <c r="A756" s="58"/>
      <c r="B756" s="36"/>
      <c r="C756" s="58"/>
      <c r="D756" s="57"/>
      <c r="E756" s="57"/>
      <c r="F756" s="41"/>
      <c r="G756" s="41"/>
      <c r="H756" s="41"/>
      <c r="I756" s="57"/>
      <c r="J756" s="36"/>
      <c r="K756" s="57"/>
      <c r="L756" s="57"/>
      <c r="M756" s="57"/>
      <c r="N756" s="42"/>
      <c r="O756" s="57"/>
      <c r="P756" s="43"/>
      <c r="Q756" s="41"/>
      <c r="R756" s="43"/>
      <c r="S756" s="36"/>
      <c r="T756" s="16">
        <f t="shared" si="22"/>
        <v>0</v>
      </c>
      <c r="U756" s="16">
        <f t="shared" si="23"/>
        <v>0</v>
      </c>
      <c r="V756" s="133"/>
    </row>
    <row r="757" spans="1:22" s="56" customFormat="1">
      <c r="A757" s="58"/>
      <c r="B757" s="36"/>
      <c r="C757" s="58"/>
      <c r="D757" s="57"/>
      <c r="E757" s="57"/>
      <c r="F757" s="41"/>
      <c r="G757" s="41"/>
      <c r="H757" s="41"/>
      <c r="I757" s="57"/>
      <c r="J757" s="36"/>
      <c r="K757" s="57"/>
      <c r="L757" s="57"/>
      <c r="M757" s="57"/>
      <c r="N757" s="42"/>
      <c r="O757" s="57"/>
      <c r="P757" s="43"/>
      <c r="Q757" s="41"/>
      <c r="R757" s="43"/>
      <c r="S757" s="36"/>
      <c r="T757" s="16">
        <f t="shared" si="22"/>
        <v>0</v>
      </c>
      <c r="U757" s="16">
        <f t="shared" si="23"/>
        <v>0</v>
      </c>
      <c r="V757" s="133"/>
    </row>
    <row r="758" spans="1:22" s="56" customFormat="1">
      <c r="A758" s="58"/>
      <c r="B758" s="36"/>
      <c r="C758" s="58"/>
      <c r="D758" s="57"/>
      <c r="E758" s="57"/>
      <c r="F758" s="41"/>
      <c r="G758" s="41"/>
      <c r="H758" s="41"/>
      <c r="I758" s="57"/>
      <c r="J758" s="36"/>
      <c r="K758" s="57"/>
      <c r="L758" s="57"/>
      <c r="M758" s="57"/>
      <c r="N758" s="42"/>
      <c r="O758" s="57"/>
      <c r="P758" s="43"/>
      <c r="Q758" s="41"/>
      <c r="R758" s="43"/>
      <c r="S758" s="36"/>
      <c r="T758" s="16">
        <f t="shared" si="22"/>
        <v>0</v>
      </c>
      <c r="U758" s="16">
        <f t="shared" si="23"/>
        <v>0</v>
      </c>
      <c r="V758" s="133"/>
    </row>
    <row r="759" spans="1:22" s="56" customFormat="1">
      <c r="A759" s="58"/>
      <c r="B759" s="36"/>
      <c r="C759" s="58"/>
      <c r="D759" s="57"/>
      <c r="E759" s="57"/>
      <c r="F759" s="41"/>
      <c r="G759" s="41"/>
      <c r="H759" s="41"/>
      <c r="I759" s="57"/>
      <c r="J759" s="36"/>
      <c r="K759" s="57"/>
      <c r="L759" s="57"/>
      <c r="M759" s="57"/>
      <c r="N759" s="42"/>
      <c r="O759" s="57"/>
      <c r="P759" s="43"/>
      <c r="Q759" s="41"/>
      <c r="R759" s="43"/>
      <c r="S759" s="36"/>
      <c r="T759" s="16">
        <f t="shared" si="22"/>
        <v>0</v>
      </c>
      <c r="U759" s="16">
        <f t="shared" si="23"/>
        <v>0</v>
      </c>
      <c r="V759" s="133"/>
    </row>
    <row r="760" spans="1:22" s="56" customFormat="1">
      <c r="A760" s="58"/>
      <c r="B760" s="36"/>
      <c r="C760" s="58"/>
      <c r="D760" s="57"/>
      <c r="E760" s="57"/>
      <c r="F760" s="41"/>
      <c r="G760" s="41"/>
      <c r="H760" s="41"/>
      <c r="I760" s="57"/>
      <c r="J760" s="36"/>
      <c r="K760" s="57"/>
      <c r="L760" s="57"/>
      <c r="M760" s="57"/>
      <c r="N760" s="42"/>
      <c r="O760" s="57"/>
      <c r="P760" s="43"/>
      <c r="Q760" s="41"/>
      <c r="R760" s="43"/>
      <c r="S760" s="36"/>
      <c r="T760" s="16">
        <f t="shared" si="22"/>
        <v>0</v>
      </c>
      <c r="U760" s="16">
        <f t="shared" si="23"/>
        <v>0</v>
      </c>
      <c r="V760" s="133"/>
    </row>
    <row r="761" spans="1:22" s="56" customFormat="1">
      <c r="A761" s="58"/>
      <c r="B761" s="36"/>
      <c r="C761" s="58"/>
      <c r="D761" s="57"/>
      <c r="E761" s="57"/>
      <c r="F761" s="41"/>
      <c r="G761" s="41"/>
      <c r="H761" s="41"/>
      <c r="I761" s="57"/>
      <c r="J761" s="36"/>
      <c r="K761" s="57"/>
      <c r="L761" s="57"/>
      <c r="M761" s="57"/>
      <c r="N761" s="42"/>
      <c r="O761" s="57"/>
      <c r="P761" s="43"/>
      <c r="Q761" s="41"/>
      <c r="R761" s="43"/>
      <c r="S761" s="36"/>
      <c r="T761" s="16">
        <f t="shared" si="22"/>
        <v>0</v>
      </c>
      <c r="U761" s="16">
        <f t="shared" si="23"/>
        <v>0</v>
      </c>
      <c r="V761" s="133"/>
    </row>
    <row r="762" spans="1:22" s="56" customFormat="1">
      <c r="A762" s="58"/>
      <c r="B762" s="36"/>
      <c r="C762" s="58"/>
      <c r="D762" s="57"/>
      <c r="E762" s="57"/>
      <c r="F762" s="41"/>
      <c r="G762" s="41"/>
      <c r="H762" s="41"/>
      <c r="I762" s="57"/>
      <c r="J762" s="36"/>
      <c r="K762" s="57"/>
      <c r="L762" s="57"/>
      <c r="M762" s="57"/>
      <c r="N762" s="42"/>
      <c r="O762" s="57"/>
      <c r="P762" s="43"/>
      <c r="Q762" s="41"/>
      <c r="R762" s="43"/>
      <c r="S762" s="36"/>
      <c r="T762" s="16">
        <f t="shared" si="22"/>
        <v>0</v>
      </c>
      <c r="U762" s="16">
        <f t="shared" si="23"/>
        <v>0</v>
      </c>
      <c r="V762" s="133"/>
    </row>
    <row r="763" spans="1:22" s="56" customFormat="1">
      <c r="A763" s="58"/>
      <c r="B763" s="36"/>
      <c r="C763" s="58"/>
      <c r="D763" s="57"/>
      <c r="E763" s="57"/>
      <c r="F763" s="41"/>
      <c r="G763" s="41"/>
      <c r="H763" s="41"/>
      <c r="I763" s="57"/>
      <c r="J763" s="36"/>
      <c r="K763" s="57"/>
      <c r="L763" s="57"/>
      <c r="M763" s="57"/>
      <c r="N763" s="42"/>
      <c r="O763" s="57"/>
      <c r="P763" s="43"/>
      <c r="Q763" s="41"/>
      <c r="R763" s="43"/>
      <c r="S763" s="36"/>
      <c r="T763" s="16">
        <f t="shared" si="22"/>
        <v>0</v>
      </c>
      <c r="U763" s="16">
        <f t="shared" si="23"/>
        <v>0</v>
      </c>
      <c r="V763" s="133"/>
    </row>
    <row r="764" spans="1:22" s="56" customFormat="1">
      <c r="A764" s="58"/>
      <c r="B764" s="36"/>
      <c r="C764" s="58"/>
      <c r="D764" s="57"/>
      <c r="E764" s="57"/>
      <c r="F764" s="41"/>
      <c r="G764" s="41"/>
      <c r="H764" s="41"/>
      <c r="I764" s="57"/>
      <c r="J764" s="36"/>
      <c r="K764" s="57"/>
      <c r="L764" s="57"/>
      <c r="M764" s="57"/>
      <c r="N764" s="42"/>
      <c r="O764" s="57"/>
      <c r="P764" s="43"/>
      <c r="Q764" s="41"/>
      <c r="R764" s="43"/>
      <c r="S764" s="36"/>
      <c r="T764" s="16">
        <f t="shared" si="22"/>
        <v>0</v>
      </c>
      <c r="U764" s="16">
        <f t="shared" si="23"/>
        <v>0</v>
      </c>
      <c r="V764" s="133"/>
    </row>
    <row r="765" spans="1:22" s="56" customFormat="1">
      <c r="A765" s="58"/>
      <c r="B765" s="36"/>
      <c r="C765" s="58"/>
      <c r="D765" s="57"/>
      <c r="E765" s="57"/>
      <c r="F765" s="41"/>
      <c r="G765" s="41"/>
      <c r="H765" s="41"/>
      <c r="I765" s="57"/>
      <c r="J765" s="36"/>
      <c r="K765" s="57"/>
      <c r="L765" s="57"/>
      <c r="M765" s="57"/>
      <c r="N765" s="42"/>
      <c r="O765" s="57"/>
      <c r="P765" s="43"/>
      <c r="Q765" s="41"/>
      <c r="R765" s="43"/>
      <c r="S765" s="36"/>
      <c r="T765" s="16">
        <f t="shared" si="22"/>
        <v>0</v>
      </c>
      <c r="U765" s="16">
        <f t="shared" si="23"/>
        <v>0</v>
      </c>
      <c r="V765" s="133"/>
    </row>
    <row r="766" spans="1:22" s="56" customFormat="1">
      <c r="A766" s="58"/>
      <c r="B766" s="36"/>
      <c r="C766" s="58"/>
      <c r="D766" s="57"/>
      <c r="E766" s="57"/>
      <c r="F766" s="41"/>
      <c r="G766" s="41"/>
      <c r="H766" s="41"/>
      <c r="I766" s="57"/>
      <c r="J766" s="36"/>
      <c r="K766" s="57"/>
      <c r="L766" s="57"/>
      <c r="M766" s="57"/>
      <c r="N766" s="42"/>
      <c r="O766" s="57"/>
      <c r="P766" s="43"/>
      <c r="Q766" s="41"/>
      <c r="R766" s="43"/>
      <c r="S766" s="36"/>
      <c r="T766" s="16">
        <f t="shared" si="22"/>
        <v>0</v>
      </c>
      <c r="U766" s="16">
        <f t="shared" si="23"/>
        <v>0</v>
      </c>
      <c r="V766" s="133"/>
    </row>
    <row r="767" spans="1:22" s="56" customFormat="1">
      <c r="A767" s="58"/>
      <c r="B767" s="36"/>
      <c r="C767" s="58"/>
      <c r="D767" s="57"/>
      <c r="E767" s="57"/>
      <c r="F767" s="41"/>
      <c r="G767" s="41"/>
      <c r="H767" s="41"/>
      <c r="I767" s="57"/>
      <c r="J767" s="36"/>
      <c r="K767" s="57"/>
      <c r="L767" s="57"/>
      <c r="M767" s="57"/>
      <c r="N767" s="42"/>
      <c r="O767" s="57"/>
      <c r="P767" s="43"/>
      <c r="Q767" s="41"/>
      <c r="R767" s="43"/>
      <c r="S767" s="36"/>
      <c r="T767" s="16">
        <f t="shared" si="22"/>
        <v>0</v>
      </c>
      <c r="U767" s="16">
        <f t="shared" si="23"/>
        <v>0</v>
      </c>
      <c r="V767" s="133"/>
    </row>
    <row r="768" spans="1:22" s="56" customFormat="1">
      <c r="A768" s="58"/>
      <c r="B768" s="36"/>
      <c r="C768" s="58"/>
      <c r="D768" s="57"/>
      <c r="E768" s="57"/>
      <c r="F768" s="41"/>
      <c r="G768" s="41"/>
      <c r="H768" s="41"/>
      <c r="I768" s="57"/>
      <c r="J768" s="36"/>
      <c r="K768" s="57"/>
      <c r="L768" s="57"/>
      <c r="M768" s="57"/>
      <c r="N768" s="42"/>
      <c r="O768" s="57"/>
      <c r="P768" s="43"/>
      <c r="Q768" s="41"/>
      <c r="R768" s="43"/>
      <c r="S768" s="36"/>
      <c r="T768" s="16">
        <f t="shared" si="22"/>
        <v>0</v>
      </c>
      <c r="U768" s="16">
        <f t="shared" si="23"/>
        <v>0</v>
      </c>
      <c r="V768" s="133"/>
    </row>
    <row r="769" spans="1:22" s="56" customFormat="1">
      <c r="A769" s="58"/>
      <c r="B769" s="36"/>
      <c r="C769" s="58"/>
      <c r="D769" s="57"/>
      <c r="E769" s="57"/>
      <c r="F769" s="41"/>
      <c r="G769" s="41"/>
      <c r="H769" s="41"/>
      <c r="I769" s="57"/>
      <c r="J769" s="36"/>
      <c r="K769" s="57"/>
      <c r="L769" s="57"/>
      <c r="M769" s="57"/>
      <c r="N769" s="42"/>
      <c r="O769" s="57"/>
      <c r="P769" s="43"/>
      <c r="Q769" s="41"/>
      <c r="R769" s="43"/>
      <c r="S769" s="36"/>
      <c r="T769" s="16">
        <f t="shared" si="22"/>
        <v>0</v>
      </c>
      <c r="U769" s="16">
        <f t="shared" si="23"/>
        <v>0</v>
      </c>
      <c r="V769" s="133"/>
    </row>
    <row r="770" spans="1:22" s="56" customFormat="1">
      <c r="A770" s="58"/>
      <c r="B770" s="36"/>
      <c r="C770" s="58"/>
      <c r="D770" s="57"/>
      <c r="E770" s="57"/>
      <c r="F770" s="41"/>
      <c r="G770" s="41"/>
      <c r="H770" s="41"/>
      <c r="I770" s="57"/>
      <c r="J770" s="36"/>
      <c r="K770" s="57"/>
      <c r="L770" s="57"/>
      <c r="M770" s="57"/>
      <c r="N770" s="42"/>
      <c r="O770" s="57"/>
      <c r="P770" s="43"/>
      <c r="Q770" s="41"/>
      <c r="R770" s="43"/>
      <c r="S770" s="36"/>
      <c r="T770" s="16">
        <f t="shared" si="22"/>
        <v>0</v>
      </c>
      <c r="U770" s="16">
        <f t="shared" si="23"/>
        <v>0</v>
      </c>
      <c r="V770" s="133"/>
    </row>
    <row r="771" spans="1:22" s="56" customFormat="1">
      <c r="A771" s="58"/>
      <c r="B771" s="36"/>
      <c r="C771" s="58"/>
      <c r="D771" s="57"/>
      <c r="E771" s="57"/>
      <c r="F771" s="41"/>
      <c r="G771" s="41"/>
      <c r="H771" s="41"/>
      <c r="I771" s="57"/>
      <c r="J771" s="36"/>
      <c r="K771" s="57"/>
      <c r="L771" s="57"/>
      <c r="M771" s="57"/>
      <c r="N771" s="42"/>
      <c r="O771" s="57"/>
      <c r="P771" s="43"/>
      <c r="Q771" s="41"/>
      <c r="R771" s="43"/>
      <c r="S771" s="36"/>
      <c r="T771" s="16">
        <f t="shared" si="22"/>
        <v>0</v>
      </c>
      <c r="U771" s="16">
        <f t="shared" si="23"/>
        <v>0</v>
      </c>
      <c r="V771" s="133"/>
    </row>
    <row r="772" spans="1:22" s="56" customFormat="1">
      <c r="A772" s="58"/>
      <c r="B772" s="36"/>
      <c r="C772" s="58"/>
      <c r="D772" s="57"/>
      <c r="E772" s="57"/>
      <c r="F772" s="41"/>
      <c r="G772" s="41"/>
      <c r="H772" s="41"/>
      <c r="I772" s="57"/>
      <c r="J772" s="36"/>
      <c r="K772" s="57"/>
      <c r="L772" s="57"/>
      <c r="M772" s="57"/>
      <c r="N772" s="42"/>
      <c r="O772" s="57"/>
      <c r="P772" s="43"/>
      <c r="Q772" s="41"/>
      <c r="R772" s="43"/>
      <c r="S772" s="36"/>
      <c r="T772" s="16">
        <f t="shared" si="22"/>
        <v>0</v>
      </c>
      <c r="U772" s="16">
        <f t="shared" si="23"/>
        <v>0</v>
      </c>
      <c r="V772" s="133"/>
    </row>
    <row r="773" spans="1:22" s="56" customFormat="1">
      <c r="A773" s="58"/>
      <c r="B773" s="36"/>
      <c r="C773" s="58"/>
      <c r="D773" s="57"/>
      <c r="E773" s="57"/>
      <c r="F773" s="41"/>
      <c r="G773" s="41"/>
      <c r="H773" s="41"/>
      <c r="I773" s="57"/>
      <c r="J773" s="36"/>
      <c r="K773" s="57"/>
      <c r="L773" s="57"/>
      <c r="M773" s="57"/>
      <c r="N773" s="42"/>
      <c r="O773" s="57"/>
      <c r="P773" s="43"/>
      <c r="Q773" s="41"/>
      <c r="R773" s="43"/>
      <c r="S773" s="36"/>
      <c r="T773" s="16">
        <f t="shared" ref="T773:T836" si="24">IF(OR($J773="Accepted",ISBLANK($J773)),IF(AND($G773="Legacy Data",$Q773="Legacy Data"),1,IF(OR($G773="Legacy Data",$Q773="Legacy Data"),1,0)),IF(OR($N773="Agree with original translator",ISBLANK($N773)),IF(AND($G773="Source Text Data",$Q773="Legacy Data"),1,IF(AND($G773="Legacy Data",$Q773="Legacy Data"),1,IF($Q773="Legacy Data",1,0))),IF(AND($G773="Legacy Data",$Q773="Legacy Data"),1,IF(OR($Q773="Legacy Data",ISBLANK($Q773)),IF($G773&lt;&gt;"Legacy Data",IF(AND($G773="Source Text Data",$Q773="Legacy Data"),1,0),1),0))))</f>
        <v>0</v>
      </c>
      <c r="U773" s="16">
        <f t="shared" ref="U773:U836" si="25">IF(OR($J773="Accepted",ISBLANK($J773)),IF(AND($G773="Source Text Data",$Q773="Source Text Data"),1,IF(OR($G773="Source Text Data",$Q773="Source Text Data"),1,0)),IF(OR($N773="Agree with original translator",ISBLANK($N773)),IF(AND($G773="Legacy Data",$Q773="Source Text Data"),1,IF(AND($G773="Source Text Data",$Q773="Source Text Data"),1,IF($Q773="Source Text Data",1,0))),IF(AND($G773="Source Text Data",$Q773="Source Text Data"),1,IF(OR($Q773="Source Text Data",ISBLANK($Q773)),IF($G773&lt;&gt;"Source Text Data",IF(AND($G773="Legacy Data",$Q773="Source Text Data"),1,0),1),0))))</f>
        <v>0</v>
      </c>
      <c r="V773" s="133"/>
    </row>
    <row r="774" spans="1:22" s="56" customFormat="1">
      <c r="A774" s="58"/>
      <c r="B774" s="36"/>
      <c r="C774" s="58"/>
      <c r="D774" s="57"/>
      <c r="E774" s="57"/>
      <c r="F774" s="41"/>
      <c r="G774" s="41"/>
      <c r="H774" s="41"/>
      <c r="I774" s="57"/>
      <c r="J774" s="36"/>
      <c r="K774" s="57"/>
      <c r="L774" s="57"/>
      <c r="M774" s="57"/>
      <c r="N774" s="42"/>
      <c r="O774" s="57"/>
      <c r="P774" s="43"/>
      <c r="Q774" s="41"/>
      <c r="R774" s="43"/>
      <c r="S774" s="36"/>
      <c r="T774" s="16">
        <f t="shared" si="24"/>
        <v>0</v>
      </c>
      <c r="U774" s="16">
        <f t="shared" si="25"/>
        <v>0</v>
      </c>
      <c r="V774" s="133"/>
    </row>
    <row r="775" spans="1:22" s="56" customFormat="1">
      <c r="A775" s="58"/>
      <c r="B775" s="36"/>
      <c r="C775" s="58"/>
      <c r="D775" s="57"/>
      <c r="E775" s="57"/>
      <c r="F775" s="41"/>
      <c r="G775" s="41"/>
      <c r="H775" s="41"/>
      <c r="I775" s="57"/>
      <c r="J775" s="36"/>
      <c r="K775" s="57"/>
      <c r="L775" s="57"/>
      <c r="M775" s="57"/>
      <c r="N775" s="42"/>
      <c r="O775" s="57"/>
      <c r="P775" s="43"/>
      <c r="Q775" s="41"/>
      <c r="R775" s="43"/>
      <c r="S775" s="36"/>
      <c r="T775" s="16">
        <f t="shared" si="24"/>
        <v>0</v>
      </c>
      <c r="U775" s="16">
        <f t="shared" si="25"/>
        <v>0</v>
      </c>
      <c r="V775" s="133"/>
    </row>
    <row r="776" spans="1:22" s="56" customFormat="1">
      <c r="A776" s="58"/>
      <c r="B776" s="36"/>
      <c r="C776" s="58"/>
      <c r="D776" s="57"/>
      <c r="E776" s="57"/>
      <c r="F776" s="41"/>
      <c r="G776" s="41"/>
      <c r="H776" s="41"/>
      <c r="I776" s="57"/>
      <c r="J776" s="36"/>
      <c r="K776" s="57"/>
      <c r="L776" s="57"/>
      <c r="M776" s="57"/>
      <c r="N776" s="42"/>
      <c r="O776" s="57"/>
      <c r="P776" s="43"/>
      <c r="Q776" s="41"/>
      <c r="R776" s="43"/>
      <c r="S776" s="36"/>
      <c r="T776" s="16">
        <f t="shared" si="24"/>
        <v>0</v>
      </c>
      <c r="U776" s="16">
        <f t="shared" si="25"/>
        <v>0</v>
      </c>
      <c r="V776" s="133"/>
    </row>
    <row r="777" spans="1:22" s="56" customFormat="1">
      <c r="A777" s="58"/>
      <c r="B777" s="36"/>
      <c r="C777" s="58"/>
      <c r="D777" s="57"/>
      <c r="E777" s="57"/>
      <c r="F777" s="41"/>
      <c r="G777" s="41"/>
      <c r="H777" s="41"/>
      <c r="I777" s="57"/>
      <c r="J777" s="36"/>
      <c r="K777" s="57"/>
      <c r="L777" s="57"/>
      <c r="M777" s="57"/>
      <c r="N777" s="42"/>
      <c r="O777" s="57"/>
      <c r="P777" s="43"/>
      <c r="Q777" s="41"/>
      <c r="R777" s="43"/>
      <c r="S777" s="36"/>
      <c r="T777" s="16">
        <f t="shared" si="24"/>
        <v>0</v>
      </c>
      <c r="U777" s="16">
        <f t="shared" si="25"/>
        <v>0</v>
      </c>
      <c r="V777" s="133"/>
    </row>
    <row r="778" spans="1:22" s="56" customFormat="1">
      <c r="A778" s="58"/>
      <c r="B778" s="36"/>
      <c r="C778" s="58"/>
      <c r="D778" s="57"/>
      <c r="E778" s="57"/>
      <c r="F778" s="41"/>
      <c r="G778" s="41"/>
      <c r="H778" s="41"/>
      <c r="I778" s="57"/>
      <c r="J778" s="36"/>
      <c r="K778" s="57"/>
      <c r="L778" s="57"/>
      <c r="M778" s="57"/>
      <c r="N778" s="42"/>
      <c r="O778" s="57"/>
      <c r="P778" s="43"/>
      <c r="Q778" s="41"/>
      <c r="R778" s="43"/>
      <c r="S778" s="36"/>
      <c r="T778" s="16">
        <f t="shared" si="24"/>
        <v>0</v>
      </c>
      <c r="U778" s="16">
        <f t="shared" si="25"/>
        <v>0</v>
      </c>
      <c r="V778" s="133"/>
    </row>
    <row r="779" spans="1:22" s="56" customFormat="1">
      <c r="A779" s="58"/>
      <c r="B779" s="36"/>
      <c r="C779" s="58"/>
      <c r="D779" s="57"/>
      <c r="E779" s="57"/>
      <c r="F779" s="41"/>
      <c r="G779" s="41"/>
      <c r="H779" s="41"/>
      <c r="I779" s="57"/>
      <c r="J779" s="36"/>
      <c r="K779" s="57"/>
      <c r="L779" s="57"/>
      <c r="M779" s="57"/>
      <c r="N779" s="42"/>
      <c r="O779" s="57"/>
      <c r="P779" s="43"/>
      <c r="Q779" s="41"/>
      <c r="R779" s="43"/>
      <c r="S779" s="36"/>
      <c r="T779" s="16">
        <f t="shared" si="24"/>
        <v>0</v>
      </c>
      <c r="U779" s="16">
        <f t="shared" si="25"/>
        <v>0</v>
      </c>
      <c r="V779" s="133"/>
    </row>
    <row r="780" spans="1:22" s="56" customFormat="1">
      <c r="A780" s="58"/>
      <c r="B780" s="36"/>
      <c r="C780" s="58"/>
      <c r="D780" s="57"/>
      <c r="E780" s="57"/>
      <c r="F780" s="41"/>
      <c r="G780" s="41"/>
      <c r="H780" s="41"/>
      <c r="I780" s="57"/>
      <c r="J780" s="36"/>
      <c r="K780" s="57"/>
      <c r="L780" s="57"/>
      <c r="M780" s="57"/>
      <c r="N780" s="42"/>
      <c r="O780" s="57"/>
      <c r="P780" s="43"/>
      <c r="Q780" s="41"/>
      <c r="R780" s="43"/>
      <c r="S780" s="36"/>
      <c r="T780" s="16">
        <f t="shared" si="24"/>
        <v>0</v>
      </c>
      <c r="U780" s="16">
        <f t="shared" si="25"/>
        <v>0</v>
      </c>
      <c r="V780" s="133"/>
    </row>
    <row r="781" spans="1:22" s="56" customFormat="1">
      <c r="A781" s="58"/>
      <c r="B781" s="36"/>
      <c r="C781" s="58"/>
      <c r="D781" s="57"/>
      <c r="E781" s="57"/>
      <c r="F781" s="41"/>
      <c r="G781" s="41"/>
      <c r="H781" s="41"/>
      <c r="I781" s="57"/>
      <c r="J781" s="36"/>
      <c r="K781" s="57"/>
      <c r="L781" s="57"/>
      <c r="M781" s="57"/>
      <c r="N781" s="42"/>
      <c r="O781" s="57"/>
      <c r="P781" s="43"/>
      <c r="Q781" s="41"/>
      <c r="R781" s="43"/>
      <c r="S781" s="36"/>
      <c r="T781" s="16">
        <f t="shared" si="24"/>
        <v>0</v>
      </c>
      <c r="U781" s="16">
        <f t="shared" si="25"/>
        <v>0</v>
      </c>
      <c r="V781" s="133"/>
    </row>
    <row r="782" spans="1:22" s="56" customFormat="1">
      <c r="A782" s="58"/>
      <c r="B782" s="36"/>
      <c r="C782" s="58"/>
      <c r="D782" s="57"/>
      <c r="E782" s="57"/>
      <c r="F782" s="41"/>
      <c r="G782" s="41"/>
      <c r="H782" s="41"/>
      <c r="I782" s="57"/>
      <c r="J782" s="36"/>
      <c r="K782" s="57"/>
      <c r="L782" s="57"/>
      <c r="M782" s="57"/>
      <c r="N782" s="42"/>
      <c r="O782" s="57"/>
      <c r="P782" s="43"/>
      <c r="Q782" s="41"/>
      <c r="R782" s="43"/>
      <c r="S782" s="36"/>
      <c r="T782" s="16">
        <f t="shared" si="24"/>
        <v>0</v>
      </c>
      <c r="U782" s="16">
        <f t="shared" si="25"/>
        <v>0</v>
      </c>
      <c r="V782" s="133"/>
    </row>
    <row r="783" spans="1:22" s="56" customFormat="1">
      <c r="A783" s="58"/>
      <c r="B783" s="36"/>
      <c r="C783" s="58"/>
      <c r="D783" s="57"/>
      <c r="E783" s="57"/>
      <c r="F783" s="41"/>
      <c r="G783" s="41"/>
      <c r="H783" s="41"/>
      <c r="I783" s="57"/>
      <c r="J783" s="36"/>
      <c r="K783" s="57"/>
      <c r="L783" s="57"/>
      <c r="M783" s="57"/>
      <c r="N783" s="42"/>
      <c r="O783" s="57"/>
      <c r="P783" s="43"/>
      <c r="Q783" s="41"/>
      <c r="R783" s="43"/>
      <c r="S783" s="36"/>
      <c r="T783" s="16">
        <f t="shared" si="24"/>
        <v>0</v>
      </c>
      <c r="U783" s="16">
        <f t="shared" si="25"/>
        <v>0</v>
      </c>
      <c r="V783" s="133"/>
    </row>
    <row r="784" spans="1:22" s="56" customFormat="1">
      <c r="A784" s="58"/>
      <c r="B784" s="36"/>
      <c r="C784" s="58"/>
      <c r="D784" s="57"/>
      <c r="E784" s="57"/>
      <c r="F784" s="41"/>
      <c r="G784" s="41"/>
      <c r="H784" s="41"/>
      <c r="I784" s="57"/>
      <c r="J784" s="36"/>
      <c r="K784" s="57"/>
      <c r="L784" s="57"/>
      <c r="M784" s="57"/>
      <c r="N784" s="42"/>
      <c r="O784" s="57"/>
      <c r="P784" s="43"/>
      <c r="Q784" s="41"/>
      <c r="R784" s="43"/>
      <c r="S784" s="36"/>
      <c r="T784" s="16">
        <f t="shared" si="24"/>
        <v>0</v>
      </c>
      <c r="U784" s="16">
        <f t="shared" si="25"/>
        <v>0</v>
      </c>
      <c r="V784" s="133"/>
    </row>
    <row r="785" spans="1:22" s="56" customFormat="1">
      <c r="A785" s="58"/>
      <c r="B785" s="36"/>
      <c r="C785" s="58"/>
      <c r="D785" s="57"/>
      <c r="E785" s="57"/>
      <c r="F785" s="41"/>
      <c r="G785" s="41"/>
      <c r="H785" s="41"/>
      <c r="I785" s="57"/>
      <c r="J785" s="36"/>
      <c r="K785" s="57"/>
      <c r="L785" s="57"/>
      <c r="M785" s="57"/>
      <c r="N785" s="42"/>
      <c r="O785" s="57"/>
      <c r="P785" s="43"/>
      <c r="Q785" s="41"/>
      <c r="R785" s="43"/>
      <c r="S785" s="36"/>
      <c r="T785" s="16">
        <f t="shared" si="24"/>
        <v>0</v>
      </c>
      <c r="U785" s="16">
        <f t="shared" si="25"/>
        <v>0</v>
      </c>
      <c r="V785" s="133"/>
    </row>
    <row r="786" spans="1:22" s="56" customFormat="1">
      <c r="A786" s="58"/>
      <c r="B786" s="36"/>
      <c r="C786" s="58"/>
      <c r="D786" s="57"/>
      <c r="E786" s="57"/>
      <c r="F786" s="41"/>
      <c r="G786" s="41"/>
      <c r="H786" s="41"/>
      <c r="I786" s="57"/>
      <c r="J786" s="36"/>
      <c r="K786" s="57"/>
      <c r="L786" s="57"/>
      <c r="M786" s="57"/>
      <c r="N786" s="42"/>
      <c r="O786" s="57"/>
      <c r="P786" s="43"/>
      <c r="Q786" s="41"/>
      <c r="R786" s="43"/>
      <c r="S786" s="36"/>
      <c r="T786" s="16">
        <f t="shared" si="24"/>
        <v>0</v>
      </c>
      <c r="U786" s="16">
        <f t="shared" si="25"/>
        <v>0</v>
      </c>
      <c r="V786" s="133"/>
    </row>
    <row r="787" spans="1:22" s="56" customFormat="1">
      <c r="A787" s="58"/>
      <c r="B787" s="36"/>
      <c r="C787" s="58"/>
      <c r="D787" s="57"/>
      <c r="E787" s="57"/>
      <c r="F787" s="41"/>
      <c r="G787" s="41"/>
      <c r="H787" s="41"/>
      <c r="I787" s="57"/>
      <c r="J787" s="36"/>
      <c r="K787" s="57"/>
      <c r="L787" s="57"/>
      <c r="M787" s="57"/>
      <c r="N787" s="42"/>
      <c r="O787" s="57"/>
      <c r="P787" s="43"/>
      <c r="Q787" s="41"/>
      <c r="R787" s="43"/>
      <c r="S787" s="36"/>
      <c r="T787" s="16">
        <f t="shared" si="24"/>
        <v>0</v>
      </c>
      <c r="U787" s="16">
        <f t="shared" si="25"/>
        <v>0</v>
      </c>
      <c r="V787" s="133"/>
    </row>
    <row r="788" spans="1:22" s="56" customFormat="1">
      <c r="A788" s="58"/>
      <c r="B788" s="36"/>
      <c r="C788" s="58"/>
      <c r="D788" s="57"/>
      <c r="E788" s="57"/>
      <c r="F788" s="41"/>
      <c r="G788" s="41"/>
      <c r="H788" s="41"/>
      <c r="I788" s="57"/>
      <c r="J788" s="36"/>
      <c r="K788" s="57"/>
      <c r="L788" s="57"/>
      <c r="M788" s="57"/>
      <c r="N788" s="42"/>
      <c r="O788" s="57"/>
      <c r="P788" s="43"/>
      <c r="Q788" s="41"/>
      <c r="R788" s="43"/>
      <c r="S788" s="36"/>
      <c r="T788" s="16">
        <f t="shared" si="24"/>
        <v>0</v>
      </c>
      <c r="U788" s="16">
        <f t="shared" si="25"/>
        <v>0</v>
      </c>
      <c r="V788" s="133"/>
    </row>
    <row r="789" spans="1:22" s="56" customFormat="1">
      <c r="A789" s="58"/>
      <c r="B789" s="36"/>
      <c r="C789" s="58"/>
      <c r="D789" s="57"/>
      <c r="E789" s="57"/>
      <c r="F789" s="41"/>
      <c r="G789" s="41"/>
      <c r="H789" s="41"/>
      <c r="I789" s="57"/>
      <c r="J789" s="36"/>
      <c r="K789" s="57"/>
      <c r="L789" s="57"/>
      <c r="M789" s="57"/>
      <c r="N789" s="42"/>
      <c r="O789" s="57"/>
      <c r="P789" s="43"/>
      <c r="Q789" s="41"/>
      <c r="R789" s="43"/>
      <c r="S789" s="36"/>
      <c r="T789" s="16">
        <f t="shared" si="24"/>
        <v>0</v>
      </c>
      <c r="U789" s="16">
        <f t="shared" si="25"/>
        <v>0</v>
      </c>
      <c r="V789" s="133"/>
    </row>
    <row r="790" spans="1:22" s="56" customFormat="1">
      <c r="A790" s="58"/>
      <c r="B790" s="36"/>
      <c r="C790" s="58"/>
      <c r="D790" s="57"/>
      <c r="E790" s="57"/>
      <c r="F790" s="41"/>
      <c r="G790" s="41"/>
      <c r="H790" s="41"/>
      <c r="I790" s="57"/>
      <c r="J790" s="36"/>
      <c r="K790" s="57"/>
      <c r="L790" s="57"/>
      <c r="M790" s="57"/>
      <c r="N790" s="42"/>
      <c r="O790" s="57"/>
      <c r="P790" s="43"/>
      <c r="Q790" s="41"/>
      <c r="R790" s="43"/>
      <c r="S790" s="36"/>
      <c r="T790" s="16">
        <f t="shared" si="24"/>
        <v>0</v>
      </c>
      <c r="U790" s="16">
        <f t="shared" si="25"/>
        <v>0</v>
      </c>
      <c r="V790" s="133"/>
    </row>
    <row r="791" spans="1:22" s="56" customFormat="1">
      <c r="A791" s="58"/>
      <c r="B791" s="36"/>
      <c r="C791" s="58"/>
      <c r="D791" s="57"/>
      <c r="E791" s="57"/>
      <c r="F791" s="41"/>
      <c r="G791" s="41"/>
      <c r="H791" s="41"/>
      <c r="I791" s="57"/>
      <c r="J791" s="36"/>
      <c r="K791" s="57"/>
      <c r="L791" s="57"/>
      <c r="M791" s="57"/>
      <c r="N791" s="42"/>
      <c r="O791" s="57"/>
      <c r="P791" s="43"/>
      <c r="Q791" s="41"/>
      <c r="R791" s="43"/>
      <c r="S791" s="36"/>
      <c r="T791" s="16">
        <f t="shared" si="24"/>
        <v>0</v>
      </c>
      <c r="U791" s="16">
        <f t="shared" si="25"/>
        <v>0</v>
      </c>
      <c r="V791" s="133"/>
    </row>
    <row r="792" spans="1:22" s="56" customFormat="1">
      <c r="A792" s="58"/>
      <c r="B792" s="36"/>
      <c r="C792" s="58"/>
      <c r="D792" s="57"/>
      <c r="E792" s="57"/>
      <c r="F792" s="41"/>
      <c r="G792" s="41"/>
      <c r="H792" s="41"/>
      <c r="I792" s="57"/>
      <c r="J792" s="36"/>
      <c r="K792" s="57"/>
      <c r="L792" s="57"/>
      <c r="M792" s="57"/>
      <c r="N792" s="42"/>
      <c r="O792" s="57"/>
      <c r="P792" s="43"/>
      <c r="Q792" s="41"/>
      <c r="R792" s="43"/>
      <c r="S792" s="36"/>
      <c r="T792" s="16">
        <f t="shared" si="24"/>
        <v>0</v>
      </c>
      <c r="U792" s="16">
        <f t="shared" si="25"/>
        <v>0</v>
      </c>
      <c r="V792" s="133"/>
    </row>
    <row r="793" spans="1:22" s="56" customFormat="1">
      <c r="A793" s="58"/>
      <c r="B793" s="36"/>
      <c r="C793" s="58"/>
      <c r="D793" s="57"/>
      <c r="E793" s="57"/>
      <c r="F793" s="41"/>
      <c r="G793" s="41"/>
      <c r="H793" s="41"/>
      <c r="I793" s="57"/>
      <c r="J793" s="36"/>
      <c r="K793" s="57"/>
      <c r="L793" s="57"/>
      <c r="M793" s="57"/>
      <c r="N793" s="42"/>
      <c r="O793" s="57"/>
      <c r="P793" s="43"/>
      <c r="Q793" s="41"/>
      <c r="R793" s="43"/>
      <c r="S793" s="36"/>
      <c r="T793" s="16">
        <f t="shared" si="24"/>
        <v>0</v>
      </c>
      <c r="U793" s="16">
        <f t="shared" si="25"/>
        <v>0</v>
      </c>
      <c r="V793" s="133"/>
    </row>
    <row r="794" spans="1:22" s="56" customFormat="1">
      <c r="A794" s="58"/>
      <c r="B794" s="36"/>
      <c r="C794" s="58"/>
      <c r="D794" s="57"/>
      <c r="E794" s="57"/>
      <c r="F794" s="41"/>
      <c r="G794" s="41"/>
      <c r="H794" s="41"/>
      <c r="I794" s="57"/>
      <c r="J794" s="36"/>
      <c r="K794" s="57"/>
      <c r="L794" s="57"/>
      <c r="M794" s="57"/>
      <c r="N794" s="42"/>
      <c r="O794" s="57"/>
      <c r="P794" s="43"/>
      <c r="Q794" s="41"/>
      <c r="R794" s="43"/>
      <c r="S794" s="36"/>
      <c r="T794" s="16">
        <f t="shared" si="24"/>
        <v>0</v>
      </c>
      <c r="U794" s="16">
        <f t="shared" si="25"/>
        <v>0</v>
      </c>
      <c r="V794" s="133"/>
    </row>
    <row r="795" spans="1:22" s="56" customFormat="1">
      <c r="A795" s="58"/>
      <c r="B795" s="36"/>
      <c r="C795" s="58"/>
      <c r="D795" s="57"/>
      <c r="E795" s="57"/>
      <c r="F795" s="41"/>
      <c r="G795" s="41"/>
      <c r="H795" s="41"/>
      <c r="I795" s="57"/>
      <c r="J795" s="36"/>
      <c r="K795" s="57"/>
      <c r="L795" s="57"/>
      <c r="M795" s="57"/>
      <c r="N795" s="42"/>
      <c r="O795" s="57"/>
      <c r="P795" s="43"/>
      <c r="Q795" s="41"/>
      <c r="R795" s="43"/>
      <c r="S795" s="36"/>
      <c r="T795" s="16">
        <f t="shared" si="24"/>
        <v>0</v>
      </c>
      <c r="U795" s="16">
        <f t="shared" si="25"/>
        <v>0</v>
      </c>
      <c r="V795" s="133"/>
    </row>
    <row r="796" spans="1:22" s="56" customFormat="1">
      <c r="A796" s="58"/>
      <c r="B796" s="36"/>
      <c r="C796" s="58"/>
      <c r="D796" s="57"/>
      <c r="E796" s="57"/>
      <c r="F796" s="41"/>
      <c r="G796" s="41"/>
      <c r="H796" s="41"/>
      <c r="I796" s="57"/>
      <c r="J796" s="36"/>
      <c r="K796" s="57"/>
      <c r="L796" s="57"/>
      <c r="M796" s="57"/>
      <c r="N796" s="42"/>
      <c r="O796" s="57"/>
      <c r="P796" s="43"/>
      <c r="Q796" s="41"/>
      <c r="R796" s="43"/>
      <c r="S796" s="36"/>
      <c r="T796" s="16">
        <f t="shared" si="24"/>
        <v>0</v>
      </c>
      <c r="U796" s="16">
        <f t="shared" si="25"/>
        <v>0</v>
      </c>
      <c r="V796" s="133"/>
    </row>
    <row r="797" spans="1:22" s="56" customFormat="1">
      <c r="A797" s="58"/>
      <c r="B797" s="36"/>
      <c r="C797" s="58"/>
      <c r="D797" s="57"/>
      <c r="E797" s="57"/>
      <c r="F797" s="41"/>
      <c r="G797" s="41"/>
      <c r="H797" s="41"/>
      <c r="I797" s="57"/>
      <c r="J797" s="36"/>
      <c r="K797" s="57"/>
      <c r="L797" s="57"/>
      <c r="M797" s="57"/>
      <c r="N797" s="42"/>
      <c r="O797" s="57"/>
      <c r="P797" s="43"/>
      <c r="Q797" s="41"/>
      <c r="R797" s="43"/>
      <c r="S797" s="36"/>
      <c r="T797" s="16">
        <f t="shared" si="24"/>
        <v>0</v>
      </c>
      <c r="U797" s="16">
        <f t="shared" si="25"/>
        <v>0</v>
      </c>
      <c r="V797" s="133"/>
    </row>
    <row r="798" spans="1:22" s="56" customFormat="1">
      <c r="A798" s="58"/>
      <c r="B798" s="36"/>
      <c r="C798" s="58"/>
      <c r="D798" s="57"/>
      <c r="E798" s="57"/>
      <c r="F798" s="41"/>
      <c r="G798" s="41"/>
      <c r="H798" s="41"/>
      <c r="I798" s="57"/>
      <c r="J798" s="36"/>
      <c r="K798" s="57"/>
      <c r="L798" s="57"/>
      <c r="M798" s="57"/>
      <c r="N798" s="42"/>
      <c r="O798" s="57"/>
      <c r="P798" s="43"/>
      <c r="Q798" s="41"/>
      <c r="R798" s="43"/>
      <c r="S798" s="36"/>
      <c r="T798" s="16">
        <f t="shared" si="24"/>
        <v>0</v>
      </c>
      <c r="U798" s="16">
        <f t="shared" si="25"/>
        <v>0</v>
      </c>
      <c r="V798" s="133"/>
    </row>
    <row r="799" spans="1:22" s="56" customFormat="1">
      <c r="A799" s="58"/>
      <c r="B799" s="36"/>
      <c r="C799" s="58"/>
      <c r="D799" s="57"/>
      <c r="E799" s="57"/>
      <c r="F799" s="41"/>
      <c r="G799" s="41"/>
      <c r="H799" s="41"/>
      <c r="I799" s="57"/>
      <c r="J799" s="36"/>
      <c r="K799" s="57"/>
      <c r="L799" s="57"/>
      <c r="M799" s="57"/>
      <c r="N799" s="42"/>
      <c r="O799" s="57"/>
      <c r="P799" s="43"/>
      <c r="Q799" s="41"/>
      <c r="R799" s="43"/>
      <c r="S799" s="36"/>
      <c r="T799" s="16">
        <f t="shared" si="24"/>
        <v>0</v>
      </c>
      <c r="U799" s="16">
        <f t="shared" si="25"/>
        <v>0</v>
      </c>
      <c r="V799" s="133"/>
    </row>
    <row r="800" spans="1:22" s="56" customFormat="1">
      <c r="A800" s="58"/>
      <c r="B800" s="36"/>
      <c r="C800" s="58"/>
      <c r="D800" s="57"/>
      <c r="E800" s="57"/>
      <c r="F800" s="41"/>
      <c r="G800" s="41"/>
      <c r="H800" s="41"/>
      <c r="I800" s="57"/>
      <c r="J800" s="36"/>
      <c r="K800" s="57"/>
      <c r="L800" s="57"/>
      <c r="M800" s="57"/>
      <c r="N800" s="42"/>
      <c r="O800" s="57"/>
      <c r="P800" s="43"/>
      <c r="Q800" s="41"/>
      <c r="R800" s="43"/>
      <c r="S800" s="36"/>
      <c r="T800" s="16">
        <f t="shared" si="24"/>
        <v>0</v>
      </c>
      <c r="U800" s="16">
        <f t="shared" si="25"/>
        <v>0</v>
      </c>
      <c r="V800" s="133"/>
    </row>
    <row r="801" spans="1:22" s="56" customFormat="1">
      <c r="A801" s="58"/>
      <c r="B801" s="36"/>
      <c r="C801" s="58"/>
      <c r="D801" s="57"/>
      <c r="E801" s="57"/>
      <c r="F801" s="41"/>
      <c r="G801" s="41"/>
      <c r="H801" s="41"/>
      <c r="I801" s="57"/>
      <c r="J801" s="36"/>
      <c r="K801" s="57"/>
      <c r="L801" s="57"/>
      <c r="M801" s="57"/>
      <c r="N801" s="42"/>
      <c r="O801" s="57"/>
      <c r="P801" s="43"/>
      <c r="Q801" s="41"/>
      <c r="R801" s="43"/>
      <c r="S801" s="36"/>
      <c r="T801" s="16">
        <f t="shared" si="24"/>
        <v>0</v>
      </c>
      <c r="U801" s="16">
        <f t="shared" si="25"/>
        <v>0</v>
      </c>
      <c r="V801" s="133"/>
    </row>
    <row r="802" spans="1:22" s="56" customFormat="1">
      <c r="A802" s="58"/>
      <c r="B802" s="36"/>
      <c r="C802" s="58"/>
      <c r="D802" s="57"/>
      <c r="E802" s="57"/>
      <c r="F802" s="41"/>
      <c r="G802" s="41"/>
      <c r="H802" s="41"/>
      <c r="I802" s="57"/>
      <c r="J802" s="36"/>
      <c r="K802" s="57"/>
      <c r="L802" s="57"/>
      <c r="M802" s="57"/>
      <c r="N802" s="42"/>
      <c r="O802" s="57"/>
      <c r="P802" s="43"/>
      <c r="Q802" s="41"/>
      <c r="R802" s="43"/>
      <c r="S802" s="36"/>
      <c r="T802" s="16">
        <f t="shared" si="24"/>
        <v>0</v>
      </c>
      <c r="U802" s="16">
        <f t="shared" si="25"/>
        <v>0</v>
      </c>
      <c r="V802" s="133"/>
    </row>
    <row r="803" spans="1:22" s="56" customFormat="1">
      <c r="A803" s="58"/>
      <c r="B803" s="36"/>
      <c r="C803" s="58"/>
      <c r="D803" s="57"/>
      <c r="E803" s="57"/>
      <c r="F803" s="41"/>
      <c r="G803" s="41"/>
      <c r="H803" s="41"/>
      <c r="I803" s="57"/>
      <c r="J803" s="36"/>
      <c r="K803" s="57"/>
      <c r="L803" s="57"/>
      <c r="M803" s="57"/>
      <c r="N803" s="42"/>
      <c r="O803" s="57"/>
      <c r="P803" s="43"/>
      <c r="Q803" s="41"/>
      <c r="R803" s="43"/>
      <c r="S803" s="36"/>
      <c r="T803" s="16">
        <f t="shared" si="24"/>
        <v>0</v>
      </c>
      <c r="U803" s="16">
        <f t="shared" si="25"/>
        <v>0</v>
      </c>
      <c r="V803" s="133"/>
    </row>
    <row r="804" spans="1:22" s="56" customFormat="1">
      <c r="A804" s="58"/>
      <c r="B804" s="36"/>
      <c r="C804" s="58"/>
      <c r="D804" s="57"/>
      <c r="E804" s="57"/>
      <c r="F804" s="41"/>
      <c r="G804" s="41"/>
      <c r="H804" s="41"/>
      <c r="I804" s="57"/>
      <c r="J804" s="36"/>
      <c r="K804" s="57"/>
      <c r="L804" s="57"/>
      <c r="M804" s="57"/>
      <c r="N804" s="42"/>
      <c r="O804" s="57"/>
      <c r="P804" s="43"/>
      <c r="Q804" s="41"/>
      <c r="R804" s="43"/>
      <c r="S804" s="36"/>
      <c r="T804" s="16">
        <f t="shared" si="24"/>
        <v>0</v>
      </c>
      <c r="U804" s="16">
        <f t="shared" si="25"/>
        <v>0</v>
      </c>
      <c r="V804" s="133"/>
    </row>
    <row r="805" spans="1:22" s="56" customFormat="1">
      <c r="A805" s="58"/>
      <c r="B805" s="36"/>
      <c r="C805" s="58"/>
      <c r="D805" s="57"/>
      <c r="E805" s="57"/>
      <c r="F805" s="41"/>
      <c r="G805" s="41"/>
      <c r="H805" s="41"/>
      <c r="I805" s="57"/>
      <c r="J805" s="36"/>
      <c r="K805" s="57"/>
      <c r="L805" s="57"/>
      <c r="M805" s="57"/>
      <c r="N805" s="42"/>
      <c r="O805" s="57"/>
      <c r="P805" s="43"/>
      <c r="Q805" s="41"/>
      <c r="R805" s="43"/>
      <c r="S805" s="36"/>
      <c r="T805" s="16">
        <f t="shared" si="24"/>
        <v>0</v>
      </c>
      <c r="U805" s="16">
        <f t="shared" si="25"/>
        <v>0</v>
      </c>
      <c r="V805" s="133"/>
    </row>
    <row r="806" spans="1:22" s="56" customFormat="1">
      <c r="A806" s="58"/>
      <c r="B806" s="36"/>
      <c r="C806" s="58"/>
      <c r="D806" s="57"/>
      <c r="E806" s="57"/>
      <c r="F806" s="41"/>
      <c r="G806" s="41"/>
      <c r="H806" s="41"/>
      <c r="I806" s="57"/>
      <c r="J806" s="36"/>
      <c r="K806" s="57"/>
      <c r="L806" s="57"/>
      <c r="M806" s="57"/>
      <c r="N806" s="42"/>
      <c r="O806" s="57"/>
      <c r="P806" s="43"/>
      <c r="Q806" s="41"/>
      <c r="R806" s="43"/>
      <c r="S806" s="36"/>
      <c r="T806" s="16">
        <f t="shared" si="24"/>
        <v>0</v>
      </c>
      <c r="U806" s="16">
        <f t="shared" si="25"/>
        <v>0</v>
      </c>
      <c r="V806" s="133"/>
    </row>
    <row r="807" spans="1:22" s="56" customFormat="1">
      <c r="A807" s="58"/>
      <c r="B807" s="36"/>
      <c r="C807" s="58"/>
      <c r="D807" s="57"/>
      <c r="E807" s="57"/>
      <c r="F807" s="41"/>
      <c r="G807" s="41"/>
      <c r="H807" s="41"/>
      <c r="I807" s="57"/>
      <c r="J807" s="36"/>
      <c r="K807" s="57"/>
      <c r="L807" s="57"/>
      <c r="M807" s="57"/>
      <c r="N807" s="42"/>
      <c r="O807" s="57"/>
      <c r="P807" s="43"/>
      <c r="Q807" s="41"/>
      <c r="R807" s="43"/>
      <c r="S807" s="36"/>
      <c r="T807" s="16">
        <f t="shared" si="24"/>
        <v>0</v>
      </c>
      <c r="U807" s="16">
        <f t="shared" si="25"/>
        <v>0</v>
      </c>
      <c r="V807" s="133"/>
    </row>
    <row r="808" spans="1:22" s="56" customFormat="1">
      <c r="A808" s="58"/>
      <c r="B808" s="36"/>
      <c r="C808" s="58"/>
      <c r="D808" s="57"/>
      <c r="E808" s="57"/>
      <c r="F808" s="41"/>
      <c r="G808" s="41"/>
      <c r="H808" s="41"/>
      <c r="I808" s="57"/>
      <c r="J808" s="36"/>
      <c r="K808" s="57"/>
      <c r="L808" s="57"/>
      <c r="M808" s="57"/>
      <c r="N808" s="42"/>
      <c r="O808" s="57"/>
      <c r="P808" s="43"/>
      <c r="Q808" s="41"/>
      <c r="R808" s="43"/>
      <c r="S808" s="36"/>
      <c r="T808" s="16">
        <f t="shared" si="24"/>
        <v>0</v>
      </c>
      <c r="U808" s="16">
        <f t="shared" si="25"/>
        <v>0</v>
      </c>
      <c r="V808" s="133"/>
    </row>
    <row r="809" spans="1:22" s="56" customFormat="1">
      <c r="A809" s="58"/>
      <c r="B809" s="36"/>
      <c r="C809" s="58"/>
      <c r="D809" s="57"/>
      <c r="E809" s="57"/>
      <c r="F809" s="41"/>
      <c r="G809" s="41"/>
      <c r="H809" s="41"/>
      <c r="I809" s="57"/>
      <c r="J809" s="36"/>
      <c r="K809" s="57"/>
      <c r="L809" s="57"/>
      <c r="M809" s="57"/>
      <c r="N809" s="42"/>
      <c r="O809" s="57"/>
      <c r="P809" s="43"/>
      <c r="Q809" s="41"/>
      <c r="R809" s="43"/>
      <c r="S809" s="36"/>
      <c r="T809" s="16">
        <f t="shared" si="24"/>
        <v>0</v>
      </c>
      <c r="U809" s="16">
        <f t="shared" si="25"/>
        <v>0</v>
      </c>
      <c r="V809" s="133"/>
    </row>
    <row r="810" spans="1:22" s="56" customFormat="1">
      <c r="A810" s="58"/>
      <c r="B810" s="36"/>
      <c r="C810" s="58"/>
      <c r="D810" s="57"/>
      <c r="E810" s="57"/>
      <c r="F810" s="41"/>
      <c r="G810" s="41"/>
      <c r="H810" s="41"/>
      <c r="I810" s="57"/>
      <c r="J810" s="36"/>
      <c r="K810" s="57"/>
      <c r="L810" s="57"/>
      <c r="M810" s="57"/>
      <c r="N810" s="42"/>
      <c r="O810" s="57"/>
      <c r="P810" s="43"/>
      <c r="Q810" s="41"/>
      <c r="R810" s="43"/>
      <c r="S810" s="36"/>
      <c r="T810" s="16">
        <f t="shared" si="24"/>
        <v>0</v>
      </c>
      <c r="U810" s="16">
        <f t="shared" si="25"/>
        <v>0</v>
      </c>
      <c r="V810" s="133"/>
    </row>
    <row r="811" spans="1:22" s="56" customFormat="1">
      <c r="A811" s="58"/>
      <c r="B811" s="36"/>
      <c r="C811" s="58"/>
      <c r="D811" s="57"/>
      <c r="E811" s="57"/>
      <c r="F811" s="41"/>
      <c r="G811" s="41"/>
      <c r="H811" s="41"/>
      <c r="I811" s="57"/>
      <c r="J811" s="36"/>
      <c r="K811" s="57"/>
      <c r="L811" s="57"/>
      <c r="M811" s="57"/>
      <c r="N811" s="42"/>
      <c r="O811" s="57"/>
      <c r="P811" s="43"/>
      <c r="Q811" s="41"/>
      <c r="R811" s="43"/>
      <c r="S811" s="36"/>
      <c r="T811" s="16">
        <f t="shared" si="24"/>
        <v>0</v>
      </c>
      <c r="U811" s="16">
        <f t="shared" si="25"/>
        <v>0</v>
      </c>
      <c r="V811" s="133"/>
    </row>
    <row r="812" spans="1:22" s="56" customFormat="1">
      <c r="A812" s="58"/>
      <c r="B812" s="36"/>
      <c r="C812" s="58"/>
      <c r="D812" s="57"/>
      <c r="E812" s="57"/>
      <c r="F812" s="41"/>
      <c r="G812" s="41"/>
      <c r="H812" s="41"/>
      <c r="I812" s="57"/>
      <c r="J812" s="36"/>
      <c r="K812" s="57"/>
      <c r="L812" s="57"/>
      <c r="M812" s="57"/>
      <c r="N812" s="42"/>
      <c r="O812" s="57"/>
      <c r="P812" s="43"/>
      <c r="Q812" s="41"/>
      <c r="R812" s="43"/>
      <c r="S812" s="36"/>
      <c r="T812" s="16">
        <f t="shared" si="24"/>
        <v>0</v>
      </c>
      <c r="U812" s="16">
        <f t="shared" si="25"/>
        <v>0</v>
      </c>
      <c r="V812" s="133"/>
    </row>
    <row r="813" spans="1:22" s="56" customFormat="1">
      <c r="A813" s="58"/>
      <c r="B813" s="36"/>
      <c r="C813" s="58"/>
      <c r="D813" s="57"/>
      <c r="E813" s="57"/>
      <c r="F813" s="41"/>
      <c r="G813" s="41"/>
      <c r="H813" s="41"/>
      <c r="I813" s="57"/>
      <c r="J813" s="36"/>
      <c r="K813" s="57"/>
      <c r="L813" s="57"/>
      <c r="M813" s="57"/>
      <c r="N813" s="42"/>
      <c r="O813" s="57"/>
      <c r="P813" s="43"/>
      <c r="Q813" s="41"/>
      <c r="R813" s="43"/>
      <c r="S813" s="36"/>
      <c r="T813" s="16">
        <f t="shared" si="24"/>
        <v>0</v>
      </c>
      <c r="U813" s="16">
        <f t="shared" si="25"/>
        <v>0</v>
      </c>
      <c r="V813" s="133"/>
    </row>
    <row r="814" spans="1:22" s="56" customFormat="1">
      <c r="A814" s="58"/>
      <c r="B814" s="36"/>
      <c r="C814" s="58"/>
      <c r="D814" s="57"/>
      <c r="E814" s="57"/>
      <c r="F814" s="41"/>
      <c r="G814" s="41"/>
      <c r="H814" s="41"/>
      <c r="I814" s="57"/>
      <c r="J814" s="36"/>
      <c r="K814" s="57"/>
      <c r="L814" s="57"/>
      <c r="M814" s="57"/>
      <c r="N814" s="42"/>
      <c r="O814" s="57"/>
      <c r="P814" s="43"/>
      <c r="Q814" s="41"/>
      <c r="R814" s="43"/>
      <c r="S814" s="36"/>
      <c r="T814" s="16">
        <f t="shared" si="24"/>
        <v>0</v>
      </c>
      <c r="U814" s="16">
        <f t="shared" si="25"/>
        <v>0</v>
      </c>
      <c r="V814" s="133"/>
    </row>
    <row r="815" spans="1:22" s="56" customFormat="1">
      <c r="A815" s="58"/>
      <c r="B815" s="36"/>
      <c r="C815" s="58"/>
      <c r="D815" s="57"/>
      <c r="E815" s="57"/>
      <c r="F815" s="41"/>
      <c r="G815" s="41"/>
      <c r="H815" s="41"/>
      <c r="I815" s="57"/>
      <c r="J815" s="36"/>
      <c r="K815" s="57"/>
      <c r="L815" s="57"/>
      <c r="M815" s="57"/>
      <c r="N815" s="42"/>
      <c r="O815" s="57"/>
      <c r="P815" s="43"/>
      <c r="Q815" s="41"/>
      <c r="R815" s="43"/>
      <c r="S815" s="36"/>
      <c r="T815" s="16">
        <f t="shared" si="24"/>
        <v>0</v>
      </c>
      <c r="U815" s="16">
        <f t="shared" si="25"/>
        <v>0</v>
      </c>
      <c r="V815" s="133"/>
    </row>
    <row r="816" spans="1:22" s="56" customFormat="1">
      <c r="A816" s="58"/>
      <c r="B816" s="36"/>
      <c r="C816" s="58"/>
      <c r="D816" s="57"/>
      <c r="E816" s="57"/>
      <c r="F816" s="41"/>
      <c r="G816" s="41"/>
      <c r="H816" s="41"/>
      <c r="I816" s="57"/>
      <c r="J816" s="36"/>
      <c r="K816" s="57"/>
      <c r="L816" s="57"/>
      <c r="M816" s="57"/>
      <c r="N816" s="42"/>
      <c r="O816" s="57"/>
      <c r="P816" s="43"/>
      <c r="Q816" s="41"/>
      <c r="R816" s="43"/>
      <c r="S816" s="36"/>
      <c r="T816" s="16">
        <f t="shared" si="24"/>
        <v>0</v>
      </c>
      <c r="U816" s="16">
        <f t="shared" si="25"/>
        <v>0</v>
      </c>
      <c r="V816" s="133"/>
    </row>
    <row r="817" spans="1:22" s="56" customFormat="1">
      <c r="A817" s="58"/>
      <c r="B817" s="36"/>
      <c r="C817" s="58"/>
      <c r="D817" s="57"/>
      <c r="E817" s="57"/>
      <c r="F817" s="41"/>
      <c r="G817" s="41"/>
      <c r="H817" s="41"/>
      <c r="I817" s="57"/>
      <c r="J817" s="36"/>
      <c r="K817" s="57"/>
      <c r="L817" s="57"/>
      <c r="M817" s="57"/>
      <c r="N817" s="42"/>
      <c r="O817" s="57"/>
      <c r="P817" s="43"/>
      <c r="Q817" s="41"/>
      <c r="R817" s="43"/>
      <c r="S817" s="36"/>
      <c r="T817" s="16">
        <f t="shared" si="24"/>
        <v>0</v>
      </c>
      <c r="U817" s="16">
        <f t="shared" si="25"/>
        <v>0</v>
      </c>
      <c r="V817" s="133"/>
    </row>
    <row r="818" spans="1:22" s="56" customFormat="1">
      <c r="A818" s="58"/>
      <c r="B818" s="36"/>
      <c r="C818" s="58"/>
      <c r="D818" s="57"/>
      <c r="E818" s="57"/>
      <c r="F818" s="41"/>
      <c r="G818" s="41"/>
      <c r="H818" s="41"/>
      <c r="I818" s="57"/>
      <c r="J818" s="36"/>
      <c r="K818" s="57"/>
      <c r="L818" s="57"/>
      <c r="M818" s="57"/>
      <c r="N818" s="42"/>
      <c r="O818" s="57"/>
      <c r="P818" s="43"/>
      <c r="Q818" s="41"/>
      <c r="R818" s="43"/>
      <c r="S818" s="36"/>
      <c r="T818" s="16">
        <f t="shared" si="24"/>
        <v>0</v>
      </c>
      <c r="U818" s="16">
        <f t="shared" si="25"/>
        <v>0</v>
      </c>
      <c r="V818" s="133"/>
    </row>
    <row r="819" spans="1:22" s="56" customFormat="1">
      <c r="A819" s="58"/>
      <c r="B819" s="36"/>
      <c r="C819" s="58"/>
      <c r="D819" s="57"/>
      <c r="E819" s="57"/>
      <c r="F819" s="41"/>
      <c r="G819" s="41"/>
      <c r="H819" s="41"/>
      <c r="I819" s="57"/>
      <c r="J819" s="36"/>
      <c r="K819" s="57"/>
      <c r="L819" s="57"/>
      <c r="M819" s="57"/>
      <c r="N819" s="42"/>
      <c r="O819" s="57"/>
      <c r="P819" s="43"/>
      <c r="Q819" s="41"/>
      <c r="R819" s="43"/>
      <c r="S819" s="36"/>
      <c r="T819" s="16">
        <f t="shared" si="24"/>
        <v>0</v>
      </c>
      <c r="U819" s="16">
        <f t="shared" si="25"/>
        <v>0</v>
      </c>
      <c r="V819" s="133"/>
    </row>
    <row r="820" spans="1:22" s="56" customFormat="1">
      <c r="A820" s="58"/>
      <c r="B820" s="36"/>
      <c r="C820" s="58"/>
      <c r="D820" s="57"/>
      <c r="E820" s="57"/>
      <c r="F820" s="41"/>
      <c r="G820" s="41"/>
      <c r="H820" s="41"/>
      <c r="I820" s="57"/>
      <c r="J820" s="36"/>
      <c r="K820" s="57"/>
      <c r="L820" s="57"/>
      <c r="M820" s="57"/>
      <c r="N820" s="42"/>
      <c r="O820" s="57"/>
      <c r="P820" s="43"/>
      <c r="Q820" s="41"/>
      <c r="R820" s="43"/>
      <c r="S820" s="36"/>
      <c r="T820" s="16">
        <f t="shared" si="24"/>
        <v>0</v>
      </c>
      <c r="U820" s="16">
        <f t="shared" si="25"/>
        <v>0</v>
      </c>
      <c r="V820" s="133"/>
    </row>
    <row r="821" spans="1:22" s="56" customFormat="1">
      <c r="A821" s="58"/>
      <c r="B821" s="36"/>
      <c r="C821" s="58"/>
      <c r="D821" s="57"/>
      <c r="E821" s="57"/>
      <c r="F821" s="41"/>
      <c r="G821" s="41"/>
      <c r="H821" s="41"/>
      <c r="I821" s="57"/>
      <c r="J821" s="36"/>
      <c r="K821" s="57"/>
      <c r="L821" s="57"/>
      <c r="M821" s="57"/>
      <c r="N821" s="42"/>
      <c r="O821" s="57"/>
      <c r="P821" s="43"/>
      <c r="Q821" s="41"/>
      <c r="R821" s="43"/>
      <c r="S821" s="36"/>
      <c r="T821" s="16">
        <f t="shared" si="24"/>
        <v>0</v>
      </c>
      <c r="U821" s="16">
        <f t="shared" si="25"/>
        <v>0</v>
      </c>
      <c r="V821" s="133"/>
    </row>
    <row r="822" spans="1:22" s="56" customFormat="1">
      <c r="A822" s="58"/>
      <c r="B822" s="36"/>
      <c r="C822" s="58"/>
      <c r="D822" s="57"/>
      <c r="E822" s="57"/>
      <c r="F822" s="41"/>
      <c r="G822" s="41"/>
      <c r="H822" s="41"/>
      <c r="I822" s="57"/>
      <c r="J822" s="36"/>
      <c r="K822" s="57"/>
      <c r="L822" s="57"/>
      <c r="M822" s="57"/>
      <c r="N822" s="42"/>
      <c r="O822" s="57"/>
      <c r="P822" s="43"/>
      <c r="Q822" s="41"/>
      <c r="R822" s="43"/>
      <c r="S822" s="36"/>
      <c r="T822" s="16">
        <f t="shared" si="24"/>
        <v>0</v>
      </c>
      <c r="U822" s="16">
        <f t="shared" si="25"/>
        <v>0</v>
      </c>
      <c r="V822" s="133"/>
    </row>
    <row r="823" spans="1:22" s="56" customFormat="1">
      <c r="A823" s="58"/>
      <c r="B823" s="36"/>
      <c r="C823" s="58"/>
      <c r="D823" s="57"/>
      <c r="E823" s="57"/>
      <c r="F823" s="41"/>
      <c r="G823" s="41"/>
      <c r="H823" s="41"/>
      <c r="I823" s="57"/>
      <c r="J823" s="36"/>
      <c r="K823" s="57"/>
      <c r="L823" s="57"/>
      <c r="M823" s="57"/>
      <c r="N823" s="42"/>
      <c r="O823" s="57"/>
      <c r="P823" s="43"/>
      <c r="Q823" s="41"/>
      <c r="R823" s="43"/>
      <c r="S823" s="36"/>
      <c r="T823" s="16">
        <f t="shared" si="24"/>
        <v>0</v>
      </c>
      <c r="U823" s="16">
        <f t="shared" si="25"/>
        <v>0</v>
      </c>
      <c r="V823" s="133"/>
    </row>
    <row r="824" spans="1:22" s="56" customFormat="1">
      <c r="A824" s="58"/>
      <c r="B824" s="36"/>
      <c r="C824" s="58"/>
      <c r="D824" s="57"/>
      <c r="E824" s="57"/>
      <c r="F824" s="41"/>
      <c r="G824" s="41"/>
      <c r="H824" s="41"/>
      <c r="I824" s="57"/>
      <c r="J824" s="36"/>
      <c r="K824" s="57"/>
      <c r="L824" s="57"/>
      <c r="M824" s="57"/>
      <c r="N824" s="42"/>
      <c r="O824" s="57"/>
      <c r="P824" s="43"/>
      <c r="Q824" s="41"/>
      <c r="R824" s="43"/>
      <c r="S824" s="36"/>
      <c r="T824" s="16">
        <f t="shared" si="24"/>
        <v>0</v>
      </c>
      <c r="U824" s="16">
        <f t="shared" si="25"/>
        <v>0</v>
      </c>
      <c r="V824" s="133"/>
    </row>
    <row r="825" spans="1:22" s="56" customFormat="1">
      <c r="A825" s="58"/>
      <c r="B825" s="36"/>
      <c r="C825" s="58"/>
      <c r="D825" s="57"/>
      <c r="E825" s="57"/>
      <c r="F825" s="41"/>
      <c r="G825" s="41"/>
      <c r="H825" s="41"/>
      <c r="I825" s="57"/>
      <c r="J825" s="36"/>
      <c r="K825" s="57"/>
      <c r="L825" s="57"/>
      <c r="M825" s="57"/>
      <c r="N825" s="42"/>
      <c r="O825" s="57"/>
      <c r="P825" s="43"/>
      <c r="Q825" s="41"/>
      <c r="R825" s="43"/>
      <c r="S825" s="36"/>
      <c r="T825" s="16">
        <f t="shared" si="24"/>
        <v>0</v>
      </c>
      <c r="U825" s="16">
        <f t="shared" si="25"/>
        <v>0</v>
      </c>
      <c r="V825" s="133"/>
    </row>
    <row r="826" spans="1:22" s="56" customFormat="1">
      <c r="A826" s="58"/>
      <c r="B826" s="36"/>
      <c r="C826" s="58"/>
      <c r="D826" s="57"/>
      <c r="E826" s="57"/>
      <c r="F826" s="41"/>
      <c r="G826" s="41"/>
      <c r="H826" s="41"/>
      <c r="I826" s="57"/>
      <c r="J826" s="36"/>
      <c r="K826" s="57"/>
      <c r="L826" s="57"/>
      <c r="M826" s="57"/>
      <c r="N826" s="42"/>
      <c r="O826" s="57"/>
      <c r="P826" s="43"/>
      <c r="Q826" s="41"/>
      <c r="R826" s="43"/>
      <c r="S826" s="36"/>
      <c r="T826" s="16">
        <f t="shared" si="24"/>
        <v>0</v>
      </c>
      <c r="U826" s="16">
        <f t="shared" si="25"/>
        <v>0</v>
      </c>
      <c r="V826" s="133"/>
    </row>
    <row r="827" spans="1:22" s="56" customFormat="1">
      <c r="A827" s="58"/>
      <c r="B827" s="36"/>
      <c r="C827" s="58"/>
      <c r="D827" s="57"/>
      <c r="E827" s="57"/>
      <c r="F827" s="41"/>
      <c r="G827" s="41"/>
      <c r="H827" s="41"/>
      <c r="I827" s="57"/>
      <c r="J827" s="36"/>
      <c r="K827" s="57"/>
      <c r="L827" s="57"/>
      <c r="M827" s="57"/>
      <c r="N827" s="42"/>
      <c r="O827" s="57"/>
      <c r="P827" s="43"/>
      <c r="Q827" s="41"/>
      <c r="R827" s="43"/>
      <c r="S827" s="36"/>
      <c r="T827" s="16">
        <f t="shared" si="24"/>
        <v>0</v>
      </c>
      <c r="U827" s="16">
        <f t="shared" si="25"/>
        <v>0</v>
      </c>
      <c r="V827" s="133"/>
    </row>
    <row r="828" spans="1:22" s="56" customFormat="1">
      <c r="A828" s="58"/>
      <c r="B828" s="36"/>
      <c r="C828" s="58"/>
      <c r="D828" s="57"/>
      <c r="E828" s="57"/>
      <c r="F828" s="41"/>
      <c r="G828" s="41"/>
      <c r="H828" s="41"/>
      <c r="I828" s="57"/>
      <c r="J828" s="36"/>
      <c r="K828" s="57"/>
      <c r="L828" s="57"/>
      <c r="M828" s="57"/>
      <c r="N828" s="42"/>
      <c r="O828" s="57"/>
      <c r="P828" s="43"/>
      <c r="Q828" s="41"/>
      <c r="R828" s="43"/>
      <c r="S828" s="36"/>
      <c r="T828" s="16">
        <f t="shared" si="24"/>
        <v>0</v>
      </c>
      <c r="U828" s="16">
        <f t="shared" si="25"/>
        <v>0</v>
      </c>
      <c r="V828" s="133"/>
    </row>
    <row r="829" spans="1:22" s="56" customFormat="1">
      <c r="A829" s="58"/>
      <c r="B829" s="36"/>
      <c r="C829" s="58"/>
      <c r="D829" s="57"/>
      <c r="E829" s="57"/>
      <c r="F829" s="41"/>
      <c r="G829" s="41"/>
      <c r="H829" s="41"/>
      <c r="I829" s="57"/>
      <c r="J829" s="36"/>
      <c r="K829" s="57"/>
      <c r="L829" s="57"/>
      <c r="M829" s="57"/>
      <c r="N829" s="42"/>
      <c r="O829" s="57"/>
      <c r="P829" s="43"/>
      <c r="Q829" s="41"/>
      <c r="R829" s="43"/>
      <c r="S829" s="36"/>
      <c r="T829" s="16">
        <f t="shared" si="24"/>
        <v>0</v>
      </c>
      <c r="U829" s="16">
        <f t="shared" si="25"/>
        <v>0</v>
      </c>
      <c r="V829" s="133"/>
    </row>
    <row r="830" spans="1:22" s="56" customFormat="1">
      <c r="A830" s="58"/>
      <c r="B830" s="36"/>
      <c r="C830" s="58"/>
      <c r="D830" s="57"/>
      <c r="E830" s="57"/>
      <c r="F830" s="41"/>
      <c r="G830" s="41"/>
      <c r="H830" s="41"/>
      <c r="I830" s="57"/>
      <c r="J830" s="36"/>
      <c r="K830" s="57"/>
      <c r="L830" s="57"/>
      <c r="M830" s="57"/>
      <c r="N830" s="42"/>
      <c r="O830" s="57"/>
      <c r="P830" s="43"/>
      <c r="Q830" s="41"/>
      <c r="R830" s="43"/>
      <c r="S830" s="36"/>
      <c r="T830" s="16">
        <f t="shared" si="24"/>
        <v>0</v>
      </c>
      <c r="U830" s="16">
        <f t="shared" si="25"/>
        <v>0</v>
      </c>
      <c r="V830" s="133"/>
    </row>
    <row r="831" spans="1:22" s="56" customFormat="1">
      <c r="A831" s="58"/>
      <c r="B831" s="36"/>
      <c r="C831" s="58"/>
      <c r="D831" s="57"/>
      <c r="E831" s="57"/>
      <c r="F831" s="41"/>
      <c r="G831" s="41"/>
      <c r="H831" s="41"/>
      <c r="I831" s="57"/>
      <c r="J831" s="36"/>
      <c r="K831" s="57"/>
      <c r="L831" s="57"/>
      <c r="M831" s="57"/>
      <c r="N831" s="42"/>
      <c r="O831" s="57"/>
      <c r="P831" s="43"/>
      <c r="Q831" s="41"/>
      <c r="R831" s="43"/>
      <c r="S831" s="36"/>
      <c r="T831" s="16">
        <f t="shared" si="24"/>
        <v>0</v>
      </c>
      <c r="U831" s="16">
        <f t="shared" si="25"/>
        <v>0</v>
      </c>
      <c r="V831" s="133"/>
    </row>
    <row r="832" spans="1:22" s="56" customFormat="1">
      <c r="A832" s="58"/>
      <c r="B832" s="36"/>
      <c r="C832" s="58"/>
      <c r="D832" s="57"/>
      <c r="E832" s="57"/>
      <c r="F832" s="41"/>
      <c r="G832" s="41"/>
      <c r="H832" s="41"/>
      <c r="I832" s="57"/>
      <c r="J832" s="36"/>
      <c r="K832" s="57"/>
      <c r="L832" s="57"/>
      <c r="M832" s="57"/>
      <c r="N832" s="42"/>
      <c r="O832" s="57"/>
      <c r="P832" s="43"/>
      <c r="Q832" s="41"/>
      <c r="R832" s="43"/>
      <c r="S832" s="36"/>
      <c r="T832" s="16">
        <f t="shared" si="24"/>
        <v>0</v>
      </c>
      <c r="U832" s="16">
        <f t="shared" si="25"/>
        <v>0</v>
      </c>
      <c r="V832" s="133"/>
    </row>
    <row r="833" spans="1:22" s="56" customFormat="1">
      <c r="A833" s="58"/>
      <c r="B833" s="36"/>
      <c r="C833" s="58"/>
      <c r="D833" s="57"/>
      <c r="E833" s="57"/>
      <c r="F833" s="41"/>
      <c r="G833" s="41"/>
      <c r="H833" s="41"/>
      <c r="I833" s="57"/>
      <c r="J833" s="36"/>
      <c r="K833" s="57"/>
      <c r="L833" s="57"/>
      <c r="M833" s="57"/>
      <c r="N833" s="42"/>
      <c r="O833" s="57"/>
      <c r="P833" s="43"/>
      <c r="Q833" s="41"/>
      <c r="R833" s="43"/>
      <c r="S833" s="36"/>
      <c r="T833" s="16">
        <f t="shared" si="24"/>
        <v>0</v>
      </c>
      <c r="U833" s="16">
        <f t="shared" si="25"/>
        <v>0</v>
      </c>
      <c r="V833" s="133"/>
    </row>
    <row r="834" spans="1:22" s="56" customFormat="1">
      <c r="A834" s="58"/>
      <c r="B834" s="36"/>
      <c r="C834" s="58"/>
      <c r="D834" s="57"/>
      <c r="E834" s="57"/>
      <c r="F834" s="41"/>
      <c r="G834" s="41"/>
      <c r="H834" s="41"/>
      <c r="I834" s="57"/>
      <c r="J834" s="36"/>
      <c r="K834" s="57"/>
      <c r="L834" s="57"/>
      <c r="M834" s="57"/>
      <c r="N834" s="42"/>
      <c r="O834" s="57"/>
      <c r="P834" s="43"/>
      <c r="Q834" s="41"/>
      <c r="R834" s="43"/>
      <c r="S834" s="36"/>
      <c r="T834" s="16">
        <f t="shared" si="24"/>
        <v>0</v>
      </c>
      <c r="U834" s="16">
        <f t="shared" si="25"/>
        <v>0</v>
      </c>
      <c r="V834" s="133"/>
    </row>
    <row r="835" spans="1:22" s="56" customFormat="1">
      <c r="A835" s="58"/>
      <c r="B835" s="36"/>
      <c r="C835" s="58"/>
      <c r="D835" s="57"/>
      <c r="E835" s="57"/>
      <c r="F835" s="41"/>
      <c r="G835" s="41"/>
      <c r="H835" s="41"/>
      <c r="I835" s="57"/>
      <c r="J835" s="36"/>
      <c r="K835" s="57"/>
      <c r="L835" s="57"/>
      <c r="M835" s="57"/>
      <c r="N835" s="42"/>
      <c r="O835" s="57"/>
      <c r="P835" s="43"/>
      <c r="Q835" s="41"/>
      <c r="R835" s="43"/>
      <c r="S835" s="36"/>
      <c r="T835" s="16">
        <f t="shared" si="24"/>
        <v>0</v>
      </c>
      <c r="U835" s="16">
        <f t="shared" si="25"/>
        <v>0</v>
      </c>
      <c r="V835" s="133"/>
    </row>
    <row r="836" spans="1:22" s="56" customFormat="1">
      <c r="A836" s="58"/>
      <c r="B836" s="36"/>
      <c r="C836" s="58"/>
      <c r="D836" s="57"/>
      <c r="E836" s="57"/>
      <c r="F836" s="41"/>
      <c r="G836" s="41"/>
      <c r="H836" s="41"/>
      <c r="I836" s="57"/>
      <c r="J836" s="36"/>
      <c r="K836" s="57"/>
      <c r="L836" s="57"/>
      <c r="M836" s="57"/>
      <c r="N836" s="42"/>
      <c r="O836" s="57"/>
      <c r="P836" s="43"/>
      <c r="Q836" s="41"/>
      <c r="R836" s="43"/>
      <c r="S836" s="36"/>
      <c r="T836" s="16">
        <f t="shared" si="24"/>
        <v>0</v>
      </c>
      <c r="U836" s="16">
        <f t="shared" si="25"/>
        <v>0</v>
      </c>
      <c r="V836" s="133"/>
    </row>
    <row r="837" spans="1:22" s="56" customFormat="1">
      <c r="A837" s="58"/>
      <c r="B837" s="36"/>
      <c r="C837" s="58"/>
      <c r="D837" s="57"/>
      <c r="E837" s="57"/>
      <c r="F837" s="41"/>
      <c r="G837" s="41"/>
      <c r="H837" s="41"/>
      <c r="I837" s="57"/>
      <c r="J837" s="36"/>
      <c r="K837" s="57"/>
      <c r="L837" s="57"/>
      <c r="M837" s="57"/>
      <c r="N837" s="42"/>
      <c r="O837" s="57"/>
      <c r="P837" s="43"/>
      <c r="Q837" s="41"/>
      <c r="R837" s="43"/>
      <c r="S837" s="36"/>
      <c r="T837" s="16">
        <f t="shared" ref="T837:T900" si="26">IF(OR($J837="Accepted",ISBLANK($J837)),IF(AND($G837="Legacy Data",$Q837="Legacy Data"),1,IF(OR($G837="Legacy Data",$Q837="Legacy Data"),1,0)),IF(OR($N837="Agree with original translator",ISBLANK($N837)),IF(AND($G837="Source Text Data",$Q837="Legacy Data"),1,IF(AND($G837="Legacy Data",$Q837="Legacy Data"),1,IF($Q837="Legacy Data",1,0))),IF(AND($G837="Legacy Data",$Q837="Legacy Data"),1,IF(OR($Q837="Legacy Data",ISBLANK($Q837)),IF($G837&lt;&gt;"Legacy Data",IF(AND($G837="Source Text Data",$Q837="Legacy Data"),1,0),1),0))))</f>
        <v>0</v>
      </c>
      <c r="U837" s="16">
        <f t="shared" ref="U837:U900" si="27">IF(OR($J837="Accepted",ISBLANK($J837)),IF(AND($G837="Source Text Data",$Q837="Source Text Data"),1,IF(OR($G837="Source Text Data",$Q837="Source Text Data"),1,0)),IF(OR($N837="Agree with original translator",ISBLANK($N837)),IF(AND($G837="Legacy Data",$Q837="Source Text Data"),1,IF(AND($G837="Source Text Data",$Q837="Source Text Data"),1,IF($Q837="Source Text Data",1,0))),IF(AND($G837="Source Text Data",$Q837="Source Text Data"),1,IF(OR($Q837="Source Text Data",ISBLANK($Q837)),IF($G837&lt;&gt;"Source Text Data",IF(AND($G837="Legacy Data",$Q837="Source Text Data"),1,0),1),0))))</f>
        <v>0</v>
      </c>
      <c r="V837" s="133"/>
    </row>
    <row r="838" spans="1:22" s="56" customFormat="1">
      <c r="A838" s="58"/>
      <c r="B838" s="36"/>
      <c r="C838" s="58"/>
      <c r="D838" s="57"/>
      <c r="E838" s="57"/>
      <c r="F838" s="41"/>
      <c r="G838" s="41"/>
      <c r="H838" s="41"/>
      <c r="I838" s="57"/>
      <c r="J838" s="36"/>
      <c r="K838" s="57"/>
      <c r="L838" s="57"/>
      <c r="M838" s="57"/>
      <c r="N838" s="42"/>
      <c r="O838" s="57"/>
      <c r="P838" s="43"/>
      <c r="Q838" s="41"/>
      <c r="R838" s="43"/>
      <c r="S838" s="36"/>
      <c r="T838" s="16">
        <f t="shared" si="26"/>
        <v>0</v>
      </c>
      <c r="U838" s="16">
        <f t="shared" si="27"/>
        <v>0</v>
      </c>
      <c r="V838" s="133"/>
    </row>
    <row r="839" spans="1:22" s="56" customFormat="1">
      <c r="A839" s="58"/>
      <c r="B839" s="36"/>
      <c r="C839" s="58"/>
      <c r="D839" s="57"/>
      <c r="E839" s="57"/>
      <c r="F839" s="41"/>
      <c r="G839" s="41"/>
      <c r="H839" s="41"/>
      <c r="I839" s="57"/>
      <c r="J839" s="36"/>
      <c r="K839" s="57"/>
      <c r="L839" s="57"/>
      <c r="M839" s="57"/>
      <c r="N839" s="42"/>
      <c r="O839" s="57"/>
      <c r="P839" s="43"/>
      <c r="Q839" s="41"/>
      <c r="R839" s="43"/>
      <c r="S839" s="36"/>
      <c r="T839" s="16">
        <f t="shared" si="26"/>
        <v>0</v>
      </c>
      <c r="U839" s="16">
        <f t="shared" si="27"/>
        <v>0</v>
      </c>
      <c r="V839" s="133"/>
    </row>
    <row r="840" spans="1:22" s="56" customFormat="1">
      <c r="A840" s="58"/>
      <c r="B840" s="36"/>
      <c r="C840" s="58"/>
      <c r="D840" s="57"/>
      <c r="E840" s="57"/>
      <c r="F840" s="41"/>
      <c r="G840" s="41"/>
      <c r="H840" s="41"/>
      <c r="I840" s="57"/>
      <c r="J840" s="36"/>
      <c r="K840" s="57"/>
      <c r="L840" s="57"/>
      <c r="M840" s="57"/>
      <c r="N840" s="42"/>
      <c r="O840" s="57"/>
      <c r="P840" s="43"/>
      <c r="Q840" s="41"/>
      <c r="R840" s="43"/>
      <c r="S840" s="36"/>
      <c r="T840" s="16">
        <f t="shared" si="26"/>
        <v>0</v>
      </c>
      <c r="U840" s="16">
        <f t="shared" si="27"/>
        <v>0</v>
      </c>
      <c r="V840" s="133"/>
    </row>
    <row r="841" spans="1:22" s="56" customFormat="1">
      <c r="A841" s="58"/>
      <c r="B841" s="36"/>
      <c r="C841" s="58"/>
      <c r="D841" s="57"/>
      <c r="E841" s="57"/>
      <c r="F841" s="41"/>
      <c r="G841" s="41"/>
      <c r="H841" s="41"/>
      <c r="I841" s="57"/>
      <c r="J841" s="36"/>
      <c r="K841" s="57"/>
      <c r="L841" s="57"/>
      <c r="M841" s="57"/>
      <c r="N841" s="42"/>
      <c r="O841" s="57"/>
      <c r="P841" s="43"/>
      <c r="Q841" s="41"/>
      <c r="R841" s="43"/>
      <c r="S841" s="36"/>
      <c r="T841" s="16">
        <f t="shared" si="26"/>
        <v>0</v>
      </c>
      <c r="U841" s="16">
        <f t="shared" si="27"/>
        <v>0</v>
      </c>
      <c r="V841" s="133"/>
    </row>
    <row r="842" spans="1:22" s="56" customFormat="1">
      <c r="A842" s="58"/>
      <c r="B842" s="36"/>
      <c r="C842" s="58"/>
      <c r="D842" s="57"/>
      <c r="E842" s="57"/>
      <c r="F842" s="41"/>
      <c r="G842" s="41"/>
      <c r="H842" s="41"/>
      <c r="I842" s="57"/>
      <c r="J842" s="36"/>
      <c r="K842" s="57"/>
      <c r="L842" s="57"/>
      <c r="M842" s="57"/>
      <c r="N842" s="42"/>
      <c r="O842" s="57"/>
      <c r="P842" s="43"/>
      <c r="Q842" s="41"/>
      <c r="R842" s="43"/>
      <c r="S842" s="36"/>
      <c r="T842" s="16">
        <f t="shared" si="26"/>
        <v>0</v>
      </c>
      <c r="U842" s="16">
        <f t="shared" si="27"/>
        <v>0</v>
      </c>
      <c r="V842" s="133"/>
    </row>
    <row r="843" spans="1:22" s="56" customFormat="1">
      <c r="A843" s="58"/>
      <c r="B843" s="36"/>
      <c r="C843" s="58"/>
      <c r="D843" s="57"/>
      <c r="E843" s="57"/>
      <c r="F843" s="41"/>
      <c r="G843" s="41"/>
      <c r="H843" s="41"/>
      <c r="I843" s="57"/>
      <c r="J843" s="36"/>
      <c r="K843" s="57"/>
      <c r="L843" s="57"/>
      <c r="M843" s="57"/>
      <c r="N843" s="42"/>
      <c r="O843" s="57"/>
      <c r="P843" s="43"/>
      <c r="Q843" s="41"/>
      <c r="R843" s="43"/>
      <c r="S843" s="36"/>
      <c r="T843" s="16">
        <f t="shared" si="26"/>
        <v>0</v>
      </c>
      <c r="U843" s="16">
        <f t="shared" si="27"/>
        <v>0</v>
      </c>
      <c r="V843" s="133"/>
    </row>
    <row r="844" spans="1:22" s="56" customFormat="1">
      <c r="A844" s="58"/>
      <c r="B844" s="36"/>
      <c r="C844" s="58"/>
      <c r="D844" s="57"/>
      <c r="E844" s="57"/>
      <c r="F844" s="41"/>
      <c r="G844" s="41"/>
      <c r="H844" s="41"/>
      <c r="I844" s="57"/>
      <c r="J844" s="36"/>
      <c r="K844" s="57"/>
      <c r="L844" s="57"/>
      <c r="M844" s="57"/>
      <c r="N844" s="42"/>
      <c r="O844" s="57"/>
      <c r="P844" s="43"/>
      <c r="Q844" s="41"/>
      <c r="R844" s="43"/>
      <c r="S844" s="36"/>
      <c r="T844" s="16">
        <f t="shared" si="26"/>
        <v>0</v>
      </c>
      <c r="U844" s="16">
        <f t="shared" si="27"/>
        <v>0</v>
      </c>
      <c r="V844" s="133"/>
    </row>
    <row r="845" spans="1:22" s="56" customFormat="1">
      <c r="A845" s="58"/>
      <c r="B845" s="36"/>
      <c r="C845" s="58"/>
      <c r="D845" s="57"/>
      <c r="E845" s="57"/>
      <c r="F845" s="41"/>
      <c r="G845" s="41"/>
      <c r="H845" s="41"/>
      <c r="I845" s="57"/>
      <c r="J845" s="36"/>
      <c r="K845" s="57"/>
      <c r="L845" s="57"/>
      <c r="M845" s="57"/>
      <c r="N845" s="42"/>
      <c r="O845" s="57"/>
      <c r="P845" s="43"/>
      <c r="Q845" s="41"/>
      <c r="R845" s="43"/>
      <c r="S845" s="36"/>
      <c r="T845" s="16">
        <f t="shared" si="26"/>
        <v>0</v>
      </c>
      <c r="U845" s="16">
        <f t="shared" si="27"/>
        <v>0</v>
      </c>
      <c r="V845" s="133"/>
    </row>
    <row r="846" spans="1:22" s="56" customFormat="1">
      <c r="A846" s="58"/>
      <c r="B846" s="36"/>
      <c r="C846" s="58"/>
      <c r="D846" s="57"/>
      <c r="E846" s="57"/>
      <c r="F846" s="41"/>
      <c r="G846" s="41"/>
      <c r="H846" s="41"/>
      <c r="I846" s="57"/>
      <c r="J846" s="36"/>
      <c r="K846" s="57"/>
      <c r="L846" s="57"/>
      <c r="M846" s="57"/>
      <c r="N846" s="42"/>
      <c r="O846" s="57"/>
      <c r="P846" s="43"/>
      <c r="Q846" s="41"/>
      <c r="R846" s="43"/>
      <c r="S846" s="36"/>
      <c r="T846" s="16">
        <f t="shared" si="26"/>
        <v>0</v>
      </c>
      <c r="U846" s="16">
        <f t="shared" si="27"/>
        <v>0</v>
      </c>
      <c r="V846" s="133"/>
    </row>
    <row r="847" spans="1:22" s="56" customFormat="1">
      <c r="A847" s="58"/>
      <c r="B847" s="36"/>
      <c r="C847" s="58"/>
      <c r="D847" s="57"/>
      <c r="E847" s="57"/>
      <c r="F847" s="41"/>
      <c r="G847" s="41"/>
      <c r="H847" s="41"/>
      <c r="I847" s="57"/>
      <c r="J847" s="36"/>
      <c r="K847" s="57"/>
      <c r="L847" s="57"/>
      <c r="M847" s="57"/>
      <c r="N847" s="42"/>
      <c r="O847" s="57"/>
      <c r="P847" s="43"/>
      <c r="Q847" s="41"/>
      <c r="R847" s="43"/>
      <c r="S847" s="36"/>
      <c r="T847" s="16">
        <f t="shared" si="26"/>
        <v>0</v>
      </c>
      <c r="U847" s="16">
        <f t="shared" si="27"/>
        <v>0</v>
      </c>
      <c r="V847" s="133"/>
    </row>
    <row r="848" spans="1:22" s="56" customFormat="1">
      <c r="A848" s="58"/>
      <c r="B848" s="36"/>
      <c r="C848" s="58"/>
      <c r="D848" s="57"/>
      <c r="E848" s="57"/>
      <c r="F848" s="41"/>
      <c r="G848" s="41"/>
      <c r="H848" s="41"/>
      <c r="I848" s="57"/>
      <c r="J848" s="36"/>
      <c r="K848" s="57"/>
      <c r="L848" s="57"/>
      <c r="M848" s="57"/>
      <c r="N848" s="42"/>
      <c r="O848" s="57"/>
      <c r="P848" s="43"/>
      <c r="Q848" s="41"/>
      <c r="R848" s="43"/>
      <c r="S848" s="36"/>
      <c r="T848" s="16">
        <f t="shared" si="26"/>
        <v>0</v>
      </c>
      <c r="U848" s="16">
        <f t="shared" si="27"/>
        <v>0</v>
      </c>
      <c r="V848" s="133"/>
    </row>
    <row r="849" spans="1:22" s="56" customFormat="1">
      <c r="A849" s="58"/>
      <c r="B849" s="36"/>
      <c r="C849" s="58"/>
      <c r="D849" s="57"/>
      <c r="E849" s="57"/>
      <c r="F849" s="41"/>
      <c r="G849" s="41"/>
      <c r="H849" s="41"/>
      <c r="I849" s="57"/>
      <c r="J849" s="36"/>
      <c r="K849" s="57"/>
      <c r="L849" s="57"/>
      <c r="M849" s="57"/>
      <c r="N849" s="42"/>
      <c r="O849" s="57"/>
      <c r="P849" s="43"/>
      <c r="Q849" s="41"/>
      <c r="R849" s="43"/>
      <c r="S849" s="36"/>
      <c r="T849" s="16">
        <f t="shared" si="26"/>
        <v>0</v>
      </c>
      <c r="U849" s="16">
        <f t="shared" si="27"/>
        <v>0</v>
      </c>
      <c r="V849" s="133"/>
    </row>
    <row r="850" spans="1:22" s="56" customFormat="1">
      <c r="A850" s="58"/>
      <c r="B850" s="36"/>
      <c r="C850" s="58"/>
      <c r="D850" s="57"/>
      <c r="E850" s="57"/>
      <c r="F850" s="41"/>
      <c r="G850" s="41"/>
      <c r="H850" s="41"/>
      <c r="I850" s="57"/>
      <c r="J850" s="36"/>
      <c r="K850" s="57"/>
      <c r="L850" s="57"/>
      <c r="M850" s="57"/>
      <c r="N850" s="42"/>
      <c r="O850" s="57"/>
      <c r="P850" s="43"/>
      <c r="Q850" s="41"/>
      <c r="R850" s="43"/>
      <c r="S850" s="36"/>
      <c r="T850" s="16">
        <f t="shared" si="26"/>
        <v>0</v>
      </c>
      <c r="U850" s="16">
        <f t="shared" si="27"/>
        <v>0</v>
      </c>
      <c r="V850" s="133"/>
    </row>
    <row r="851" spans="1:22" s="56" customFormat="1">
      <c r="A851" s="58"/>
      <c r="B851" s="36"/>
      <c r="C851" s="58"/>
      <c r="D851" s="57"/>
      <c r="E851" s="57"/>
      <c r="F851" s="41"/>
      <c r="G851" s="41"/>
      <c r="H851" s="41"/>
      <c r="I851" s="57"/>
      <c r="J851" s="36"/>
      <c r="K851" s="57"/>
      <c r="L851" s="57"/>
      <c r="M851" s="57"/>
      <c r="N851" s="42"/>
      <c r="O851" s="57"/>
      <c r="P851" s="43"/>
      <c r="Q851" s="41"/>
      <c r="R851" s="43"/>
      <c r="S851" s="36"/>
      <c r="T851" s="16">
        <f t="shared" si="26"/>
        <v>0</v>
      </c>
      <c r="U851" s="16">
        <f t="shared" si="27"/>
        <v>0</v>
      </c>
      <c r="V851" s="133"/>
    </row>
    <row r="852" spans="1:22" s="56" customFormat="1">
      <c r="A852" s="58"/>
      <c r="B852" s="36"/>
      <c r="C852" s="58"/>
      <c r="D852" s="57"/>
      <c r="E852" s="57"/>
      <c r="F852" s="41"/>
      <c r="G852" s="41"/>
      <c r="H852" s="41"/>
      <c r="I852" s="57"/>
      <c r="J852" s="36"/>
      <c r="K852" s="57"/>
      <c r="L852" s="57"/>
      <c r="M852" s="57"/>
      <c r="N852" s="42"/>
      <c r="O852" s="57"/>
      <c r="P852" s="43"/>
      <c r="Q852" s="41"/>
      <c r="R852" s="43"/>
      <c r="S852" s="36"/>
      <c r="T852" s="16">
        <f t="shared" si="26"/>
        <v>0</v>
      </c>
      <c r="U852" s="16">
        <f t="shared" si="27"/>
        <v>0</v>
      </c>
      <c r="V852" s="133"/>
    </row>
    <row r="853" spans="1:22" s="56" customFormat="1">
      <c r="A853" s="58"/>
      <c r="B853" s="36"/>
      <c r="C853" s="58"/>
      <c r="D853" s="57"/>
      <c r="E853" s="57"/>
      <c r="F853" s="41"/>
      <c r="G853" s="41"/>
      <c r="H853" s="41"/>
      <c r="I853" s="57"/>
      <c r="J853" s="36"/>
      <c r="K853" s="57"/>
      <c r="L853" s="57"/>
      <c r="M853" s="57"/>
      <c r="N853" s="42"/>
      <c r="O853" s="57"/>
      <c r="P853" s="43"/>
      <c r="Q853" s="41"/>
      <c r="R853" s="43"/>
      <c r="S853" s="36"/>
      <c r="T853" s="16">
        <f t="shared" si="26"/>
        <v>0</v>
      </c>
      <c r="U853" s="16">
        <f t="shared" si="27"/>
        <v>0</v>
      </c>
      <c r="V853" s="133"/>
    </row>
    <row r="854" spans="1:22" s="56" customFormat="1">
      <c r="A854" s="58"/>
      <c r="B854" s="36"/>
      <c r="C854" s="58"/>
      <c r="D854" s="57"/>
      <c r="E854" s="57"/>
      <c r="F854" s="41"/>
      <c r="G854" s="41"/>
      <c r="H854" s="41"/>
      <c r="I854" s="57"/>
      <c r="J854" s="36"/>
      <c r="K854" s="57"/>
      <c r="L854" s="57"/>
      <c r="M854" s="57"/>
      <c r="N854" s="42"/>
      <c r="O854" s="57"/>
      <c r="P854" s="43"/>
      <c r="Q854" s="41"/>
      <c r="R854" s="43"/>
      <c r="S854" s="36"/>
      <c r="T854" s="16">
        <f t="shared" si="26"/>
        <v>0</v>
      </c>
      <c r="U854" s="16">
        <f t="shared" si="27"/>
        <v>0</v>
      </c>
      <c r="V854" s="133"/>
    </row>
    <row r="855" spans="1:22" s="56" customFormat="1">
      <c r="A855" s="58"/>
      <c r="B855" s="36"/>
      <c r="C855" s="58"/>
      <c r="D855" s="57"/>
      <c r="E855" s="57"/>
      <c r="F855" s="41"/>
      <c r="G855" s="41"/>
      <c r="H855" s="41"/>
      <c r="I855" s="57"/>
      <c r="J855" s="36"/>
      <c r="K855" s="57"/>
      <c r="L855" s="57"/>
      <c r="M855" s="57"/>
      <c r="N855" s="42"/>
      <c r="O855" s="57"/>
      <c r="P855" s="43"/>
      <c r="Q855" s="41"/>
      <c r="R855" s="43"/>
      <c r="S855" s="36"/>
      <c r="T855" s="16">
        <f t="shared" si="26"/>
        <v>0</v>
      </c>
      <c r="U855" s="16">
        <f t="shared" si="27"/>
        <v>0</v>
      </c>
      <c r="V855" s="133"/>
    </row>
    <row r="856" spans="1:22" s="56" customFormat="1">
      <c r="A856" s="58"/>
      <c r="B856" s="36"/>
      <c r="C856" s="58"/>
      <c r="D856" s="57"/>
      <c r="E856" s="57"/>
      <c r="F856" s="41"/>
      <c r="G856" s="41"/>
      <c r="H856" s="41"/>
      <c r="I856" s="57"/>
      <c r="J856" s="36"/>
      <c r="K856" s="57"/>
      <c r="L856" s="57"/>
      <c r="M856" s="57"/>
      <c r="N856" s="42"/>
      <c r="O856" s="57"/>
      <c r="P856" s="43"/>
      <c r="Q856" s="41"/>
      <c r="R856" s="43"/>
      <c r="S856" s="36"/>
      <c r="T856" s="16">
        <f t="shared" si="26"/>
        <v>0</v>
      </c>
      <c r="U856" s="16">
        <f t="shared" si="27"/>
        <v>0</v>
      </c>
      <c r="V856" s="133"/>
    </row>
    <row r="857" spans="1:22" s="56" customFormat="1">
      <c r="A857" s="58"/>
      <c r="B857" s="36"/>
      <c r="C857" s="58"/>
      <c r="D857" s="57"/>
      <c r="E857" s="57"/>
      <c r="F857" s="41"/>
      <c r="G857" s="41"/>
      <c r="H857" s="41"/>
      <c r="I857" s="57"/>
      <c r="J857" s="36"/>
      <c r="K857" s="57"/>
      <c r="L857" s="57"/>
      <c r="M857" s="57"/>
      <c r="N857" s="42"/>
      <c r="O857" s="57"/>
      <c r="P857" s="43"/>
      <c r="Q857" s="41"/>
      <c r="R857" s="43"/>
      <c r="S857" s="36"/>
      <c r="T857" s="16">
        <f t="shared" si="26"/>
        <v>0</v>
      </c>
      <c r="U857" s="16">
        <f t="shared" si="27"/>
        <v>0</v>
      </c>
      <c r="V857" s="133"/>
    </row>
    <row r="858" spans="1:22" s="56" customFormat="1">
      <c r="A858" s="58"/>
      <c r="B858" s="36"/>
      <c r="C858" s="58"/>
      <c r="D858" s="57"/>
      <c r="E858" s="57"/>
      <c r="F858" s="41"/>
      <c r="G858" s="41"/>
      <c r="H858" s="41"/>
      <c r="I858" s="57"/>
      <c r="J858" s="36"/>
      <c r="K858" s="57"/>
      <c r="L858" s="57"/>
      <c r="M858" s="57"/>
      <c r="N858" s="42"/>
      <c r="O858" s="57"/>
      <c r="P858" s="43"/>
      <c r="Q858" s="41"/>
      <c r="R858" s="43"/>
      <c r="S858" s="36"/>
      <c r="T858" s="16">
        <f t="shared" si="26"/>
        <v>0</v>
      </c>
      <c r="U858" s="16">
        <f t="shared" si="27"/>
        <v>0</v>
      </c>
      <c r="V858" s="133"/>
    </row>
    <row r="859" spans="1:22" s="56" customFormat="1">
      <c r="A859" s="58"/>
      <c r="B859" s="36"/>
      <c r="C859" s="58"/>
      <c r="D859" s="57"/>
      <c r="E859" s="57"/>
      <c r="F859" s="41"/>
      <c r="G859" s="41"/>
      <c r="H859" s="41"/>
      <c r="I859" s="57"/>
      <c r="J859" s="36"/>
      <c r="K859" s="57"/>
      <c r="L859" s="57"/>
      <c r="M859" s="57"/>
      <c r="N859" s="42"/>
      <c r="O859" s="57"/>
      <c r="P859" s="43"/>
      <c r="Q859" s="41"/>
      <c r="R859" s="43"/>
      <c r="S859" s="36"/>
      <c r="T859" s="16">
        <f t="shared" si="26"/>
        <v>0</v>
      </c>
      <c r="U859" s="16">
        <f t="shared" si="27"/>
        <v>0</v>
      </c>
      <c r="V859" s="133"/>
    </row>
    <row r="860" spans="1:22" s="56" customFormat="1">
      <c r="A860" s="58"/>
      <c r="B860" s="36"/>
      <c r="C860" s="58"/>
      <c r="D860" s="57"/>
      <c r="E860" s="57"/>
      <c r="F860" s="41"/>
      <c r="G860" s="41"/>
      <c r="H860" s="41"/>
      <c r="I860" s="57"/>
      <c r="J860" s="36"/>
      <c r="K860" s="57"/>
      <c r="L860" s="57"/>
      <c r="M860" s="57"/>
      <c r="N860" s="42"/>
      <c r="O860" s="57"/>
      <c r="P860" s="43"/>
      <c r="Q860" s="41"/>
      <c r="R860" s="43"/>
      <c r="S860" s="36"/>
      <c r="T860" s="16">
        <f t="shared" si="26"/>
        <v>0</v>
      </c>
      <c r="U860" s="16">
        <f t="shared" si="27"/>
        <v>0</v>
      </c>
      <c r="V860" s="133"/>
    </row>
    <row r="861" spans="1:22" s="56" customFormat="1">
      <c r="A861" s="58"/>
      <c r="B861" s="36"/>
      <c r="C861" s="58"/>
      <c r="D861" s="57"/>
      <c r="E861" s="57"/>
      <c r="F861" s="41"/>
      <c r="G861" s="41"/>
      <c r="H861" s="41"/>
      <c r="I861" s="57"/>
      <c r="J861" s="36"/>
      <c r="K861" s="57"/>
      <c r="L861" s="57"/>
      <c r="M861" s="57"/>
      <c r="N861" s="42"/>
      <c r="O861" s="57"/>
      <c r="P861" s="43"/>
      <c r="Q861" s="41"/>
      <c r="R861" s="43"/>
      <c r="S861" s="36"/>
      <c r="T861" s="16">
        <f t="shared" si="26"/>
        <v>0</v>
      </c>
      <c r="U861" s="16">
        <f t="shared" si="27"/>
        <v>0</v>
      </c>
      <c r="V861" s="133"/>
    </row>
    <row r="862" spans="1:22" s="56" customFormat="1">
      <c r="A862" s="58"/>
      <c r="B862" s="36"/>
      <c r="C862" s="58"/>
      <c r="D862" s="57"/>
      <c r="E862" s="57"/>
      <c r="F862" s="41"/>
      <c r="G862" s="41"/>
      <c r="H862" s="41"/>
      <c r="I862" s="57"/>
      <c r="J862" s="36"/>
      <c r="K862" s="57"/>
      <c r="L862" s="57"/>
      <c r="M862" s="57"/>
      <c r="N862" s="42"/>
      <c r="O862" s="57"/>
      <c r="P862" s="43"/>
      <c r="Q862" s="41"/>
      <c r="R862" s="43"/>
      <c r="S862" s="36"/>
      <c r="T862" s="16">
        <f t="shared" si="26"/>
        <v>0</v>
      </c>
      <c r="U862" s="16">
        <f t="shared" si="27"/>
        <v>0</v>
      </c>
      <c r="V862" s="133"/>
    </row>
    <row r="863" spans="1:22" s="56" customFormat="1">
      <c r="A863" s="58"/>
      <c r="B863" s="36"/>
      <c r="C863" s="58"/>
      <c r="D863" s="57"/>
      <c r="E863" s="57"/>
      <c r="F863" s="41"/>
      <c r="G863" s="41"/>
      <c r="H863" s="41"/>
      <c r="I863" s="57"/>
      <c r="J863" s="36"/>
      <c r="K863" s="57"/>
      <c r="L863" s="57"/>
      <c r="M863" s="57"/>
      <c r="N863" s="42"/>
      <c r="O863" s="57"/>
      <c r="P863" s="43"/>
      <c r="Q863" s="41"/>
      <c r="R863" s="43"/>
      <c r="S863" s="36"/>
      <c r="T863" s="16">
        <f t="shared" si="26"/>
        <v>0</v>
      </c>
      <c r="U863" s="16">
        <f t="shared" si="27"/>
        <v>0</v>
      </c>
      <c r="V863" s="133"/>
    </row>
    <row r="864" spans="1:22" s="56" customFormat="1">
      <c r="A864" s="58"/>
      <c r="B864" s="36"/>
      <c r="C864" s="58"/>
      <c r="D864" s="57"/>
      <c r="E864" s="57"/>
      <c r="F864" s="41"/>
      <c r="G864" s="41"/>
      <c r="H864" s="41"/>
      <c r="I864" s="57"/>
      <c r="J864" s="36"/>
      <c r="K864" s="57"/>
      <c r="L864" s="57"/>
      <c r="M864" s="57"/>
      <c r="N864" s="42"/>
      <c r="O864" s="57"/>
      <c r="P864" s="43"/>
      <c r="Q864" s="41"/>
      <c r="R864" s="43"/>
      <c r="S864" s="36"/>
      <c r="T864" s="16">
        <f t="shared" si="26"/>
        <v>0</v>
      </c>
      <c r="U864" s="16">
        <f t="shared" si="27"/>
        <v>0</v>
      </c>
      <c r="V864" s="133"/>
    </row>
    <row r="865" spans="1:22" s="56" customFormat="1">
      <c r="A865" s="58"/>
      <c r="B865" s="36"/>
      <c r="C865" s="58"/>
      <c r="D865" s="57"/>
      <c r="E865" s="57"/>
      <c r="F865" s="41"/>
      <c r="G865" s="41"/>
      <c r="H865" s="41"/>
      <c r="I865" s="57"/>
      <c r="J865" s="36"/>
      <c r="K865" s="57"/>
      <c r="L865" s="57"/>
      <c r="M865" s="57"/>
      <c r="N865" s="42"/>
      <c r="O865" s="57"/>
      <c r="P865" s="43"/>
      <c r="Q865" s="41"/>
      <c r="R865" s="43"/>
      <c r="S865" s="36"/>
      <c r="T865" s="16">
        <f t="shared" si="26"/>
        <v>0</v>
      </c>
      <c r="U865" s="16">
        <f t="shared" si="27"/>
        <v>0</v>
      </c>
      <c r="V865" s="133"/>
    </row>
    <row r="866" spans="1:22" s="56" customFormat="1">
      <c r="A866" s="58"/>
      <c r="B866" s="36"/>
      <c r="C866" s="58"/>
      <c r="D866" s="57"/>
      <c r="E866" s="57"/>
      <c r="F866" s="41"/>
      <c r="G866" s="41"/>
      <c r="H866" s="41"/>
      <c r="I866" s="57"/>
      <c r="J866" s="36"/>
      <c r="K866" s="57"/>
      <c r="L866" s="57"/>
      <c r="M866" s="57"/>
      <c r="N866" s="42"/>
      <c r="O866" s="57"/>
      <c r="P866" s="43"/>
      <c r="Q866" s="41"/>
      <c r="R866" s="43"/>
      <c r="S866" s="36"/>
      <c r="T866" s="16">
        <f t="shared" si="26"/>
        <v>0</v>
      </c>
      <c r="U866" s="16">
        <f t="shared" si="27"/>
        <v>0</v>
      </c>
      <c r="V866" s="133"/>
    </row>
    <row r="867" spans="1:22" s="56" customFormat="1">
      <c r="A867" s="58"/>
      <c r="B867" s="36"/>
      <c r="C867" s="58"/>
      <c r="D867" s="57"/>
      <c r="E867" s="57"/>
      <c r="F867" s="41"/>
      <c r="G867" s="41"/>
      <c r="H867" s="41"/>
      <c r="I867" s="57"/>
      <c r="J867" s="36"/>
      <c r="K867" s="57"/>
      <c r="L867" s="57"/>
      <c r="M867" s="57"/>
      <c r="N867" s="42"/>
      <c r="O867" s="57"/>
      <c r="P867" s="43"/>
      <c r="Q867" s="41"/>
      <c r="R867" s="43"/>
      <c r="S867" s="36"/>
      <c r="T867" s="16">
        <f t="shared" si="26"/>
        <v>0</v>
      </c>
      <c r="U867" s="16">
        <f t="shared" si="27"/>
        <v>0</v>
      </c>
      <c r="V867" s="133"/>
    </row>
    <row r="868" spans="1:22" s="56" customFormat="1">
      <c r="A868" s="58"/>
      <c r="B868" s="36"/>
      <c r="C868" s="58"/>
      <c r="D868" s="57"/>
      <c r="E868" s="57"/>
      <c r="F868" s="41"/>
      <c r="G868" s="41"/>
      <c r="H868" s="41"/>
      <c r="I868" s="57"/>
      <c r="J868" s="36"/>
      <c r="K868" s="57"/>
      <c r="L868" s="57"/>
      <c r="M868" s="57"/>
      <c r="N868" s="42"/>
      <c r="O868" s="57"/>
      <c r="P868" s="43"/>
      <c r="Q868" s="41"/>
      <c r="R868" s="43"/>
      <c r="S868" s="36"/>
      <c r="T868" s="16">
        <f t="shared" si="26"/>
        <v>0</v>
      </c>
      <c r="U868" s="16">
        <f t="shared" si="27"/>
        <v>0</v>
      </c>
      <c r="V868" s="133"/>
    </row>
    <row r="869" spans="1:22" s="56" customFormat="1">
      <c r="A869" s="58"/>
      <c r="B869" s="36"/>
      <c r="C869" s="58"/>
      <c r="D869" s="57"/>
      <c r="E869" s="57"/>
      <c r="F869" s="41"/>
      <c r="G869" s="41"/>
      <c r="H869" s="41"/>
      <c r="I869" s="57"/>
      <c r="J869" s="36"/>
      <c r="K869" s="57"/>
      <c r="L869" s="57"/>
      <c r="M869" s="57"/>
      <c r="N869" s="42"/>
      <c r="O869" s="57"/>
      <c r="P869" s="43"/>
      <c r="Q869" s="41"/>
      <c r="R869" s="43"/>
      <c r="S869" s="36"/>
      <c r="T869" s="16">
        <f t="shared" si="26"/>
        <v>0</v>
      </c>
      <c r="U869" s="16">
        <f t="shared" si="27"/>
        <v>0</v>
      </c>
      <c r="V869" s="133"/>
    </row>
    <row r="870" spans="1:22" s="56" customFormat="1">
      <c r="A870" s="58"/>
      <c r="B870" s="36"/>
      <c r="C870" s="58"/>
      <c r="D870" s="57"/>
      <c r="E870" s="57"/>
      <c r="F870" s="41"/>
      <c r="G870" s="41"/>
      <c r="H870" s="41"/>
      <c r="I870" s="57"/>
      <c r="J870" s="36"/>
      <c r="K870" s="57"/>
      <c r="L870" s="57"/>
      <c r="M870" s="57"/>
      <c r="N870" s="42"/>
      <c r="O870" s="57"/>
      <c r="P870" s="43"/>
      <c r="Q870" s="41"/>
      <c r="R870" s="43"/>
      <c r="S870" s="36"/>
      <c r="T870" s="16">
        <f t="shared" si="26"/>
        <v>0</v>
      </c>
      <c r="U870" s="16">
        <f t="shared" si="27"/>
        <v>0</v>
      </c>
      <c r="V870" s="133"/>
    </row>
    <row r="871" spans="1:22" s="56" customFormat="1">
      <c r="A871" s="58"/>
      <c r="B871" s="36"/>
      <c r="C871" s="58"/>
      <c r="D871" s="57"/>
      <c r="E871" s="57"/>
      <c r="F871" s="41"/>
      <c r="G871" s="41"/>
      <c r="H871" s="41"/>
      <c r="I871" s="57"/>
      <c r="J871" s="36"/>
      <c r="K871" s="57"/>
      <c r="L871" s="57"/>
      <c r="M871" s="57"/>
      <c r="N871" s="42"/>
      <c r="O871" s="57"/>
      <c r="P871" s="43"/>
      <c r="Q871" s="41"/>
      <c r="R871" s="43"/>
      <c r="S871" s="36"/>
      <c r="T871" s="16">
        <f t="shared" si="26"/>
        <v>0</v>
      </c>
      <c r="U871" s="16">
        <f t="shared" si="27"/>
        <v>0</v>
      </c>
      <c r="V871" s="133"/>
    </row>
    <row r="872" spans="1:22" s="56" customFormat="1">
      <c r="A872" s="58"/>
      <c r="B872" s="36"/>
      <c r="C872" s="58"/>
      <c r="D872" s="57"/>
      <c r="E872" s="57"/>
      <c r="F872" s="41"/>
      <c r="G872" s="41"/>
      <c r="H872" s="41"/>
      <c r="I872" s="57"/>
      <c r="J872" s="36"/>
      <c r="K872" s="57"/>
      <c r="L872" s="57"/>
      <c r="M872" s="57"/>
      <c r="N872" s="42"/>
      <c r="O872" s="57"/>
      <c r="P872" s="43"/>
      <c r="Q872" s="41"/>
      <c r="R872" s="43"/>
      <c r="S872" s="36"/>
      <c r="T872" s="16">
        <f t="shared" si="26"/>
        <v>0</v>
      </c>
      <c r="U872" s="16">
        <f t="shared" si="27"/>
        <v>0</v>
      </c>
      <c r="V872" s="133"/>
    </row>
    <row r="873" spans="1:22" s="56" customFormat="1">
      <c r="A873" s="58"/>
      <c r="B873" s="36"/>
      <c r="C873" s="58"/>
      <c r="D873" s="57"/>
      <c r="E873" s="57"/>
      <c r="F873" s="41"/>
      <c r="G873" s="41"/>
      <c r="H873" s="41"/>
      <c r="I873" s="57"/>
      <c r="J873" s="36"/>
      <c r="K873" s="57"/>
      <c r="L873" s="57"/>
      <c r="M873" s="57"/>
      <c r="N873" s="42"/>
      <c r="O873" s="57"/>
      <c r="P873" s="43"/>
      <c r="Q873" s="41"/>
      <c r="R873" s="43"/>
      <c r="S873" s="36"/>
      <c r="T873" s="16">
        <f t="shared" si="26"/>
        <v>0</v>
      </c>
      <c r="U873" s="16">
        <f t="shared" si="27"/>
        <v>0</v>
      </c>
      <c r="V873" s="133"/>
    </row>
    <row r="874" spans="1:22" s="56" customFormat="1">
      <c r="A874" s="58"/>
      <c r="B874" s="36"/>
      <c r="C874" s="58"/>
      <c r="D874" s="57"/>
      <c r="E874" s="57"/>
      <c r="F874" s="41"/>
      <c r="G874" s="41"/>
      <c r="H874" s="41"/>
      <c r="I874" s="57"/>
      <c r="J874" s="36"/>
      <c r="K874" s="57"/>
      <c r="L874" s="57"/>
      <c r="M874" s="57"/>
      <c r="N874" s="42"/>
      <c r="O874" s="57"/>
      <c r="P874" s="43"/>
      <c r="Q874" s="41"/>
      <c r="R874" s="43"/>
      <c r="S874" s="36"/>
      <c r="T874" s="16">
        <f t="shared" si="26"/>
        <v>0</v>
      </c>
      <c r="U874" s="16">
        <f t="shared" si="27"/>
        <v>0</v>
      </c>
      <c r="V874" s="133"/>
    </row>
    <row r="875" spans="1:22" s="56" customFormat="1">
      <c r="A875" s="58"/>
      <c r="B875" s="36"/>
      <c r="C875" s="58"/>
      <c r="D875" s="57"/>
      <c r="E875" s="57"/>
      <c r="F875" s="41"/>
      <c r="G875" s="41"/>
      <c r="H875" s="41"/>
      <c r="I875" s="57"/>
      <c r="J875" s="36"/>
      <c r="K875" s="57"/>
      <c r="L875" s="57"/>
      <c r="M875" s="57"/>
      <c r="N875" s="42"/>
      <c r="O875" s="57"/>
      <c r="P875" s="43"/>
      <c r="Q875" s="41"/>
      <c r="R875" s="43"/>
      <c r="S875" s="36"/>
      <c r="T875" s="16">
        <f t="shared" si="26"/>
        <v>0</v>
      </c>
      <c r="U875" s="16">
        <f t="shared" si="27"/>
        <v>0</v>
      </c>
      <c r="V875" s="133"/>
    </row>
    <row r="876" spans="1:22" s="56" customFormat="1">
      <c r="A876" s="58"/>
      <c r="B876" s="36"/>
      <c r="C876" s="58"/>
      <c r="D876" s="57"/>
      <c r="E876" s="57"/>
      <c r="F876" s="41"/>
      <c r="G876" s="41"/>
      <c r="H876" s="41"/>
      <c r="I876" s="57"/>
      <c r="J876" s="36"/>
      <c r="K876" s="57"/>
      <c r="L876" s="57"/>
      <c r="M876" s="57"/>
      <c r="N876" s="42"/>
      <c r="O876" s="57"/>
      <c r="P876" s="43"/>
      <c r="Q876" s="41"/>
      <c r="R876" s="43"/>
      <c r="S876" s="36"/>
      <c r="T876" s="16">
        <f t="shared" si="26"/>
        <v>0</v>
      </c>
      <c r="U876" s="16">
        <f t="shared" si="27"/>
        <v>0</v>
      </c>
      <c r="V876" s="133"/>
    </row>
    <row r="877" spans="1:22" s="56" customFormat="1">
      <c r="A877" s="58"/>
      <c r="B877" s="36"/>
      <c r="C877" s="58"/>
      <c r="D877" s="57"/>
      <c r="E877" s="57"/>
      <c r="F877" s="41"/>
      <c r="G877" s="41"/>
      <c r="H877" s="41"/>
      <c r="I877" s="57"/>
      <c r="J877" s="36"/>
      <c r="K877" s="57"/>
      <c r="L877" s="57"/>
      <c r="M877" s="57"/>
      <c r="N877" s="42"/>
      <c r="O877" s="57"/>
      <c r="P877" s="43"/>
      <c r="Q877" s="41"/>
      <c r="R877" s="43"/>
      <c r="S877" s="36"/>
      <c r="T877" s="16">
        <f t="shared" si="26"/>
        <v>0</v>
      </c>
      <c r="U877" s="16">
        <f t="shared" si="27"/>
        <v>0</v>
      </c>
      <c r="V877" s="133"/>
    </row>
    <row r="878" spans="1:22" s="56" customFormat="1">
      <c r="A878" s="58"/>
      <c r="B878" s="36"/>
      <c r="C878" s="58"/>
      <c r="D878" s="57"/>
      <c r="E878" s="57"/>
      <c r="F878" s="41"/>
      <c r="G878" s="41"/>
      <c r="H878" s="41"/>
      <c r="I878" s="57"/>
      <c r="J878" s="36"/>
      <c r="K878" s="57"/>
      <c r="L878" s="57"/>
      <c r="M878" s="57"/>
      <c r="N878" s="42"/>
      <c r="O878" s="57"/>
      <c r="P878" s="43"/>
      <c r="Q878" s="41"/>
      <c r="R878" s="43"/>
      <c r="S878" s="36"/>
      <c r="T878" s="16">
        <f t="shared" si="26"/>
        <v>0</v>
      </c>
      <c r="U878" s="16">
        <f t="shared" si="27"/>
        <v>0</v>
      </c>
      <c r="V878" s="133"/>
    </row>
    <row r="879" spans="1:22" s="56" customFormat="1">
      <c r="A879" s="58"/>
      <c r="B879" s="36"/>
      <c r="C879" s="58"/>
      <c r="D879" s="57"/>
      <c r="E879" s="57"/>
      <c r="F879" s="41"/>
      <c r="G879" s="41"/>
      <c r="H879" s="41"/>
      <c r="I879" s="57"/>
      <c r="J879" s="36"/>
      <c r="K879" s="57"/>
      <c r="L879" s="57"/>
      <c r="M879" s="57"/>
      <c r="N879" s="42"/>
      <c r="O879" s="57"/>
      <c r="P879" s="43"/>
      <c r="Q879" s="41"/>
      <c r="R879" s="43"/>
      <c r="S879" s="36"/>
      <c r="T879" s="16">
        <f t="shared" si="26"/>
        <v>0</v>
      </c>
      <c r="U879" s="16">
        <f t="shared" si="27"/>
        <v>0</v>
      </c>
      <c r="V879" s="133"/>
    </row>
    <row r="880" spans="1:22" s="56" customFormat="1">
      <c r="A880" s="58"/>
      <c r="B880" s="36"/>
      <c r="C880" s="58"/>
      <c r="D880" s="57"/>
      <c r="E880" s="57"/>
      <c r="F880" s="41"/>
      <c r="G880" s="41"/>
      <c r="H880" s="41"/>
      <c r="I880" s="57"/>
      <c r="J880" s="36"/>
      <c r="K880" s="57"/>
      <c r="L880" s="57"/>
      <c r="M880" s="57"/>
      <c r="N880" s="42"/>
      <c r="O880" s="57"/>
      <c r="P880" s="43"/>
      <c r="Q880" s="41"/>
      <c r="R880" s="43"/>
      <c r="S880" s="36"/>
      <c r="T880" s="16">
        <f t="shared" si="26"/>
        <v>0</v>
      </c>
      <c r="U880" s="16">
        <f t="shared" si="27"/>
        <v>0</v>
      </c>
      <c r="V880" s="133"/>
    </row>
    <row r="881" spans="1:22" s="56" customFormat="1">
      <c r="A881" s="58"/>
      <c r="B881" s="36"/>
      <c r="C881" s="58"/>
      <c r="D881" s="57"/>
      <c r="E881" s="57"/>
      <c r="F881" s="41"/>
      <c r="G881" s="41"/>
      <c r="H881" s="41"/>
      <c r="I881" s="57"/>
      <c r="J881" s="36"/>
      <c r="K881" s="57"/>
      <c r="L881" s="57"/>
      <c r="M881" s="57"/>
      <c r="N881" s="42"/>
      <c r="O881" s="57"/>
      <c r="P881" s="43"/>
      <c r="Q881" s="41"/>
      <c r="R881" s="43"/>
      <c r="S881" s="36"/>
      <c r="T881" s="16">
        <f t="shared" si="26"/>
        <v>0</v>
      </c>
      <c r="U881" s="16">
        <f t="shared" si="27"/>
        <v>0</v>
      </c>
      <c r="V881" s="133"/>
    </row>
    <row r="882" spans="1:22" s="56" customFormat="1">
      <c r="A882" s="58"/>
      <c r="B882" s="36"/>
      <c r="C882" s="58"/>
      <c r="D882" s="57"/>
      <c r="E882" s="57"/>
      <c r="F882" s="41"/>
      <c r="G882" s="41"/>
      <c r="H882" s="41"/>
      <c r="I882" s="57"/>
      <c r="J882" s="36"/>
      <c r="K882" s="57"/>
      <c r="L882" s="57"/>
      <c r="M882" s="57"/>
      <c r="N882" s="42"/>
      <c r="O882" s="57"/>
      <c r="P882" s="43"/>
      <c r="Q882" s="41"/>
      <c r="R882" s="43"/>
      <c r="S882" s="36"/>
      <c r="T882" s="16">
        <f t="shared" si="26"/>
        <v>0</v>
      </c>
      <c r="U882" s="16">
        <f t="shared" si="27"/>
        <v>0</v>
      </c>
      <c r="V882" s="133"/>
    </row>
    <row r="883" spans="1:22" s="56" customFormat="1">
      <c r="A883" s="58"/>
      <c r="B883" s="36"/>
      <c r="C883" s="58"/>
      <c r="D883" s="57"/>
      <c r="E883" s="57"/>
      <c r="F883" s="41"/>
      <c r="G883" s="41"/>
      <c r="H883" s="41"/>
      <c r="I883" s="57"/>
      <c r="J883" s="36"/>
      <c r="K883" s="57"/>
      <c r="L883" s="57"/>
      <c r="M883" s="57"/>
      <c r="N883" s="42"/>
      <c r="O883" s="57"/>
      <c r="P883" s="43"/>
      <c r="Q883" s="41"/>
      <c r="R883" s="43"/>
      <c r="S883" s="36"/>
      <c r="T883" s="16">
        <f t="shared" si="26"/>
        <v>0</v>
      </c>
      <c r="U883" s="16">
        <f t="shared" si="27"/>
        <v>0</v>
      </c>
      <c r="V883" s="133"/>
    </row>
    <row r="884" spans="1:22" s="56" customFormat="1">
      <c r="A884" s="58"/>
      <c r="B884" s="36"/>
      <c r="C884" s="58"/>
      <c r="D884" s="57"/>
      <c r="E884" s="57"/>
      <c r="F884" s="41"/>
      <c r="G884" s="41"/>
      <c r="H884" s="41"/>
      <c r="I884" s="57"/>
      <c r="J884" s="36"/>
      <c r="K884" s="57"/>
      <c r="L884" s="57"/>
      <c r="M884" s="57"/>
      <c r="N884" s="42"/>
      <c r="O884" s="57"/>
      <c r="P884" s="43"/>
      <c r="Q884" s="41"/>
      <c r="R884" s="43"/>
      <c r="S884" s="36"/>
      <c r="T884" s="16">
        <f t="shared" si="26"/>
        <v>0</v>
      </c>
      <c r="U884" s="16">
        <f t="shared" si="27"/>
        <v>0</v>
      </c>
      <c r="V884" s="133"/>
    </row>
    <row r="885" spans="1:22" s="56" customFormat="1">
      <c r="A885" s="58"/>
      <c r="B885" s="36"/>
      <c r="C885" s="58"/>
      <c r="D885" s="57"/>
      <c r="E885" s="57"/>
      <c r="F885" s="41"/>
      <c r="G885" s="41"/>
      <c r="H885" s="41"/>
      <c r="I885" s="57"/>
      <c r="J885" s="36"/>
      <c r="K885" s="57"/>
      <c r="L885" s="57"/>
      <c r="M885" s="57"/>
      <c r="N885" s="42"/>
      <c r="O885" s="57"/>
      <c r="P885" s="43"/>
      <c r="Q885" s="41"/>
      <c r="R885" s="43"/>
      <c r="S885" s="36"/>
      <c r="T885" s="16">
        <f t="shared" si="26"/>
        <v>0</v>
      </c>
      <c r="U885" s="16">
        <f t="shared" si="27"/>
        <v>0</v>
      </c>
      <c r="V885" s="133"/>
    </row>
    <row r="886" spans="1:22" s="56" customFormat="1">
      <c r="A886" s="58"/>
      <c r="B886" s="36"/>
      <c r="C886" s="58"/>
      <c r="D886" s="57"/>
      <c r="E886" s="57"/>
      <c r="F886" s="41"/>
      <c r="G886" s="41"/>
      <c r="H886" s="41"/>
      <c r="I886" s="57"/>
      <c r="J886" s="36"/>
      <c r="K886" s="57"/>
      <c r="L886" s="57"/>
      <c r="M886" s="57"/>
      <c r="N886" s="42"/>
      <c r="O886" s="57"/>
      <c r="P886" s="43"/>
      <c r="Q886" s="41"/>
      <c r="R886" s="43"/>
      <c r="S886" s="36"/>
      <c r="T886" s="16">
        <f t="shared" si="26"/>
        <v>0</v>
      </c>
      <c r="U886" s="16">
        <f t="shared" si="27"/>
        <v>0</v>
      </c>
      <c r="V886" s="133"/>
    </row>
    <row r="887" spans="1:22" s="56" customFormat="1">
      <c r="A887" s="58"/>
      <c r="B887" s="36"/>
      <c r="C887" s="58"/>
      <c r="D887" s="57"/>
      <c r="E887" s="57"/>
      <c r="F887" s="41"/>
      <c r="G887" s="41"/>
      <c r="H887" s="41"/>
      <c r="I887" s="57"/>
      <c r="J887" s="36"/>
      <c r="K887" s="57"/>
      <c r="L887" s="57"/>
      <c r="M887" s="57"/>
      <c r="N887" s="42"/>
      <c r="O887" s="57"/>
      <c r="P887" s="43"/>
      <c r="Q887" s="41"/>
      <c r="R887" s="43"/>
      <c r="S887" s="36"/>
      <c r="T887" s="16">
        <f t="shared" si="26"/>
        <v>0</v>
      </c>
      <c r="U887" s="16">
        <f t="shared" si="27"/>
        <v>0</v>
      </c>
      <c r="V887" s="133"/>
    </row>
    <row r="888" spans="1:22" s="56" customFormat="1">
      <c r="A888" s="58"/>
      <c r="B888" s="36"/>
      <c r="C888" s="58"/>
      <c r="D888" s="57"/>
      <c r="E888" s="57"/>
      <c r="F888" s="41"/>
      <c r="G888" s="41"/>
      <c r="H888" s="41"/>
      <c r="I888" s="57"/>
      <c r="J888" s="36"/>
      <c r="K888" s="57"/>
      <c r="L888" s="57"/>
      <c r="M888" s="57"/>
      <c r="N888" s="42"/>
      <c r="O888" s="57"/>
      <c r="P888" s="43"/>
      <c r="Q888" s="41"/>
      <c r="R888" s="43"/>
      <c r="S888" s="36"/>
      <c r="T888" s="16">
        <f t="shared" si="26"/>
        <v>0</v>
      </c>
      <c r="U888" s="16">
        <f t="shared" si="27"/>
        <v>0</v>
      </c>
      <c r="V888" s="133"/>
    </row>
    <row r="889" spans="1:22" s="56" customFormat="1">
      <c r="A889" s="58"/>
      <c r="B889" s="36"/>
      <c r="C889" s="58"/>
      <c r="D889" s="57"/>
      <c r="E889" s="57"/>
      <c r="F889" s="41"/>
      <c r="G889" s="41"/>
      <c r="H889" s="41"/>
      <c r="I889" s="57"/>
      <c r="J889" s="36"/>
      <c r="K889" s="57"/>
      <c r="L889" s="57"/>
      <c r="M889" s="57"/>
      <c r="N889" s="42"/>
      <c r="O889" s="57"/>
      <c r="P889" s="43"/>
      <c r="Q889" s="41"/>
      <c r="R889" s="43"/>
      <c r="S889" s="36"/>
      <c r="T889" s="16">
        <f t="shared" si="26"/>
        <v>0</v>
      </c>
      <c r="U889" s="16">
        <f t="shared" si="27"/>
        <v>0</v>
      </c>
      <c r="V889" s="133"/>
    </row>
    <row r="890" spans="1:22" s="56" customFormat="1">
      <c r="A890" s="58"/>
      <c r="B890" s="36"/>
      <c r="C890" s="58"/>
      <c r="D890" s="57"/>
      <c r="E890" s="57"/>
      <c r="F890" s="41"/>
      <c r="G890" s="41"/>
      <c r="H890" s="41"/>
      <c r="I890" s="57"/>
      <c r="J890" s="36"/>
      <c r="K890" s="57"/>
      <c r="L890" s="57"/>
      <c r="M890" s="57"/>
      <c r="N890" s="42"/>
      <c r="O890" s="57"/>
      <c r="P890" s="43"/>
      <c r="Q890" s="41"/>
      <c r="R890" s="43"/>
      <c r="S890" s="36"/>
      <c r="T890" s="16">
        <f t="shared" si="26"/>
        <v>0</v>
      </c>
      <c r="U890" s="16">
        <f t="shared" si="27"/>
        <v>0</v>
      </c>
      <c r="V890" s="133"/>
    </row>
    <row r="891" spans="1:22" s="56" customFormat="1">
      <c r="A891" s="58"/>
      <c r="B891" s="36"/>
      <c r="C891" s="58"/>
      <c r="D891" s="57"/>
      <c r="E891" s="57"/>
      <c r="F891" s="41"/>
      <c r="G891" s="41"/>
      <c r="H891" s="41"/>
      <c r="I891" s="57"/>
      <c r="J891" s="36"/>
      <c r="K891" s="57"/>
      <c r="L891" s="57"/>
      <c r="M891" s="57"/>
      <c r="N891" s="42"/>
      <c r="O891" s="57"/>
      <c r="P891" s="43"/>
      <c r="Q891" s="41"/>
      <c r="R891" s="43"/>
      <c r="S891" s="36"/>
      <c r="T891" s="16">
        <f t="shared" si="26"/>
        <v>0</v>
      </c>
      <c r="U891" s="16">
        <f t="shared" si="27"/>
        <v>0</v>
      </c>
      <c r="V891" s="133"/>
    </row>
    <row r="892" spans="1:22" s="56" customFormat="1">
      <c r="A892" s="58"/>
      <c r="B892" s="36"/>
      <c r="C892" s="58"/>
      <c r="D892" s="57"/>
      <c r="E892" s="57"/>
      <c r="F892" s="41"/>
      <c r="G892" s="41"/>
      <c r="H892" s="41"/>
      <c r="I892" s="57"/>
      <c r="J892" s="36"/>
      <c r="K892" s="57"/>
      <c r="L892" s="57"/>
      <c r="M892" s="57"/>
      <c r="N892" s="42"/>
      <c r="O892" s="57"/>
      <c r="P892" s="43"/>
      <c r="Q892" s="41"/>
      <c r="R892" s="43"/>
      <c r="S892" s="36"/>
      <c r="T892" s="16">
        <f t="shared" si="26"/>
        <v>0</v>
      </c>
      <c r="U892" s="16">
        <f t="shared" si="27"/>
        <v>0</v>
      </c>
      <c r="V892" s="133"/>
    </row>
    <row r="893" spans="1:22" s="56" customFormat="1">
      <c r="A893" s="58"/>
      <c r="B893" s="36"/>
      <c r="C893" s="58"/>
      <c r="D893" s="57"/>
      <c r="E893" s="57"/>
      <c r="F893" s="41"/>
      <c r="G893" s="41"/>
      <c r="H893" s="41"/>
      <c r="I893" s="57"/>
      <c r="J893" s="36"/>
      <c r="K893" s="57"/>
      <c r="L893" s="57"/>
      <c r="M893" s="57"/>
      <c r="N893" s="42"/>
      <c r="O893" s="57"/>
      <c r="P893" s="43"/>
      <c r="Q893" s="41"/>
      <c r="R893" s="43"/>
      <c r="S893" s="36"/>
      <c r="T893" s="16">
        <f t="shared" si="26"/>
        <v>0</v>
      </c>
      <c r="U893" s="16">
        <f t="shared" si="27"/>
        <v>0</v>
      </c>
      <c r="V893" s="133"/>
    </row>
    <row r="894" spans="1:22" s="56" customFormat="1">
      <c r="A894" s="58"/>
      <c r="B894" s="36"/>
      <c r="C894" s="58"/>
      <c r="D894" s="57"/>
      <c r="E894" s="57"/>
      <c r="F894" s="41"/>
      <c r="G894" s="41"/>
      <c r="H894" s="41"/>
      <c r="I894" s="57"/>
      <c r="J894" s="36"/>
      <c r="K894" s="57"/>
      <c r="L894" s="57"/>
      <c r="M894" s="57"/>
      <c r="N894" s="42"/>
      <c r="O894" s="57"/>
      <c r="P894" s="43"/>
      <c r="Q894" s="41"/>
      <c r="R894" s="43"/>
      <c r="S894" s="36"/>
      <c r="T894" s="16">
        <f t="shared" si="26"/>
        <v>0</v>
      </c>
      <c r="U894" s="16">
        <f t="shared" si="27"/>
        <v>0</v>
      </c>
      <c r="V894" s="133"/>
    </row>
    <row r="895" spans="1:22" s="56" customFormat="1">
      <c r="A895" s="58"/>
      <c r="B895" s="36"/>
      <c r="C895" s="58"/>
      <c r="D895" s="57"/>
      <c r="E895" s="57"/>
      <c r="F895" s="41"/>
      <c r="G895" s="41"/>
      <c r="H895" s="41"/>
      <c r="I895" s="57"/>
      <c r="J895" s="36"/>
      <c r="K895" s="57"/>
      <c r="L895" s="57"/>
      <c r="M895" s="57"/>
      <c r="N895" s="42"/>
      <c r="O895" s="57"/>
      <c r="P895" s="43"/>
      <c r="Q895" s="41"/>
      <c r="R895" s="43"/>
      <c r="S895" s="36"/>
      <c r="T895" s="16">
        <f t="shared" si="26"/>
        <v>0</v>
      </c>
      <c r="U895" s="16">
        <f t="shared" si="27"/>
        <v>0</v>
      </c>
      <c r="V895" s="133"/>
    </row>
    <row r="896" spans="1:22" s="56" customFormat="1">
      <c r="A896" s="58"/>
      <c r="B896" s="36"/>
      <c r="C896" s="58"/>
      <c r="D896" s="57"/>
      <c r="E896" s="57"/>
      <c r="F896" s="41"/>
      <c r="G896" s="41"/>
      <c r="H896" s="41"/>
      <c r="I896" s="57"/>
      <c r="J896" s="36"/>
      <c r="K896" s="57"/>
      <c r="L896" s="57"/>
      <c r="M896" s="57"/>
      <c r="N896" s="42"/>
      <c r="O896" s="57"/>
      <c r="P896" s="43"/>
      <c r="Q896" s="41"/>
      <c r="R896" s="43"/>
      <c r="S896" s="36"/>
      <c r="T896" s="16">
        <f t="shared" si="26"/>
        <v>0</v>
      </c>
      <c r="U896" s="16">
        <f t="shared" si="27"/>
        <v>0</v>
      </c>
      <c r="V896" s="133"/>
    </row>
    <row r="897" spans="1:22" s="56" customFormat="1">
      <c r="A897" s="58"/>
      <c r="B897" s="36"/>
      <c r="C897" s="58"/>
      <c r="D897" s="57"/>
      <c r="E897" s="57"/>
      <c r="F897" s="41"/>
      <c r="G897" s="41"/>
      <c r="H897" s="41"/>
      <c r="I897" s="57"/>
      <c r="J897" s="36"/>
      <c r="K897" s="57"/>
      <c r="L897" s="57"/>
      <c r="M897" s="57"/>
      <c r="N897" s="42"/>
      <c r="O897" s="57"/>
      <c r="P897" s="43"/>
      <c r="Q897" s="41"/>
      <c r="R897" s="43"/>
      <c r="S897" s="36"/>
      <c r="T897" s="16">
        <f t="shared" si="26"/>
        <v>0</v>
      </c>
      <c r="U897" s="16">
        <f t="shared" si="27"/>
        <v>0</v>
      </c>
      <c r="V897" s="133"/>
    </row>
    <row r="898" spans="1:22" s="56" customFormat="1">
      <c r="A898" s="58"/>
      <c r="B898" s="36"/>
      <c r="C898" s="58"/>
      <c r="D898" s="57"/>
      <c r="E898" s="57"/>
      <c r="F898" s="41"/>
      <c r="G898" s="41"/>
      <c r="H898" s="41"/>
      <c r="I898" s="57"/>
      <c r="J898" s="36"/>
      <c r="K898" s="57"/>
      <c r="L898" s="57"/>
      <c r="M898" s="57"/>
      <c r="N898" s="42"/>
      <c r="O898" s="57"/>
      <c r="P898" s="43"/>
      <c r="Q898" s="41"/>
      <c r="R898" s="43"/>
      <c r="S898" s="36"/>
      <c r="T898" s="16">
        <f t="shared" si="26"/>
        <v>0</v>
      </c>
      <c r="U898" s="16">
        <f t="shared" si="27"/>
        <v>0</v>
      </c>
      <c r="V898" s="133"/>
    </row>
    <row r="899" spans="1:22" s="56" customFormat="1">
      <c r="A899" s="58"/>
      <c r="B899" s="36"/>
      <c r="C899" s="58"/>
      <c r="D899" s="57"/>
      <c r="E899" s="57"/>
      <c r="F899" s="41"/>
      <c r="G899" s="41"/>
      <c r="H899" s="41"/>
      <c r="I899" s="57"/>
      <c r="J899" s="36"/>
      <c r="K899" s="57"/>
      <c r="L899" s="57"/>
      <c r="M899" s="57"/>
      <c r="N899" s="42"/>
      <c r="O899" s="57"/>
      <c r="P899" s="43"/>
      <c r="Q899" s="41"/>
      <c r="R899" s="43"/>
      <c r="S899" s="36"/>
      <c r="T899" s="16">
        <f t="shared" si="26"/>
        <v>0</v>
      </c>
      <c r="U899" s="16">
        <f t="shared" si="27"/>
        <v>0</v>
      </c>
      <c r="V899" s="133"/>
    </row>
    <row r="900" spans="1:22" s="56" customFormat="1">
      <c r="A900" s="58"/>
      <c r="B900" s="36"/>
      <c r="C900" s="58"/>
      <c r="D900" s="57"/>
      <c r="E900" s="57"/>
      <c r="F900" s="41"/>
      <c r="G900" s="41"/>
      <c r="H900" s="41"/>
      <c r="I900" s="57"/>
      <c r="J900" s="36"/>
      <c r="K900" s="57"/>
      <c r="L900" s="57"/>
      <c r="M900" s="57"/>
      <c r="N900" s="42"/>
      <c r="O900" s="57"/>
      <c r="P900" s="43"/>
      <c r="Q900" s="41"/>
      <c r="R900" s="43"/>
      <c r="S900" s="36"/>
      <c r="T900" s="16">
        <f t="shared" si="26"/>
        <v>0</v>
      </c>
      <c r="U900" s="16">
        <f t="shared" si="27"/>
        <v>0</v>
      </c>
      <c r="V900" s="133"/>
    </row>
    <row r="901" spans="1:22" s="56" customFormat="1">
      <c r="A901" s="58"/>
      <c r="B901" s="36"/>
      <c r="C901" s="58"/>
      <c r="D901" s="57"/>
      <c r="E901" s="57"/>
      <c r="F901" s="41"/>
      <c r="G901" s="41"/>
      <c r="H901" s="41"/>
      <c r="I901" s="57"/>
      <c r="J901" s="36"/>
      <c r="K901" s="57"/>
      <c r="L901" s="57"/>
      <c r="M901" s="57"/>
      <c r="N901" s="42"/>
      <c r="O901" s="57"/>
      <c r="P901" s="43"/>
      <c r="Q901" s="41"/>
      <c r="R901" s="43"/>
      <c r="S901" s="36"/>
      <c r="T901" s="16">
        <f t="shared" ref="T901:T964" si="28">IF(OR($J901="Accepted",ISBLANK($J901)),IF(AND($G901="Legacy Data",$Q901="Legacy Data"),1,IF(OR($G901="Legacy Data",$Q901="Legacy Data"),1,0)),IF(OR($N901="Agree with original translator",ISBLANK($N901)),IF(AND($G901="Source Text Data",$Q901="Legacy Data"),1,IF(AND($G901="Legacy Data",$Q901="Legacy Data"),1,IF($Q901="Legacy Data",1,0))),IF(AND($G901="Legacy Data",$Q901="Legacy Data"),1,IF(OR($Q901="Legacy Data",ISBLANK($Q901)),IF($G901&lt;&gt;"Legacy Data",IF(AND($G901="Source Text Data",$Q901="Legacy Data"),1,0),1),0))))</f>
        <v>0</v>
      </c>
      <c r="U901" s="16">
        <f t="shared" ref="U901:U964" si="29">IF(OR($J901="Accepted",ISBLANK($J901)),IF(AND($G901="Source Text Data",$Q901="Source Text Data"),1,IF(OR($G901="Source Text Data",$Q901="Source Text Data"),1,0)),IF(OR($N901="Agree with original translator",ISBLANK($N901)),IF(AND($G901="Legacy Data",$Q901="Source Text Data"),1,IF(AND($G901="Source Text Data",$Q901="Source Text Data"),1,IF($Q901="Source Text Data",1,0))),IF(AND($G901="Source Text Data",$Q901="Source Text Data"),1,IF(OR($Q901="Source Text Data",ISBLANK($Q901)),IF($G901&lt;&gt;"Source Text Data",IF(AND($G901="Legacy Data",$Q901="Source Text Data"),1,0),1),0))))</f>
        <v>0</v>
      </c>
      <c r="V901" s="133"/>
    </row>
    <row r="902" spans="1:22" s="56" customFormat="1">
      <c r="A902" s="58"/>
      <c r="B902" s="36"/>
      <c r="C902" s="58"/>
      <c r="D902" s="57"/>
      <c r="E902" s="57"/>
      <c r="F902" s="41"/>
      <c r="G902" s="41"/>
      <c r="H902" s="41"/>
      <c r="I902" s="57"/>
      <c r="J902" s="36"/>
      <c r="K902" s="57"/>
      <c r="L902" s="57"/>
      <c r="M902" s="57"/>
      <c r="N902" s="42"/>
      <c r="O902" s="57"/>
      <c r="P902" s="43"/>
      <c r="Q902" s="41"/>
      <c r="R902" s="43"/>
      <c r="S902" s="36"/>
      <c r="T902" s="16">
        <f t="shared" si="28"/>
        <v>0</v>
      </c>
      <c r="U902" s="16">
        <f t="shared" si="29"/>
        <v>0</v>
      </c>
      <c r="V902" s="133"/>
    </row>
    <row r="903" spans="1:22" s="56" customFormat="1">
      <c r="A903" s="58"/>
      <c r="B903" s="36"/>
      <c r="C903" s="58"/>
      <c r="D903" s="57"/>
      <c r="E903" s="57"/>
      <c r="F903" s="41"/>
      <c r="G903" s="41"/>
      <c r="H903" s="41"/>
      <c r="I903" s="57"/>
      <c r="J903" s="36"/>
      <c r="K903" s="57"/>
      <c r="L903" s="57"/>
      <c r="M903" s="57"/>
      <c r="N903" s="42"/>
      <c r="O903" s="57"/>
      <c r="P903" s="43"/>
      <c r="Q903" s="41"/>
      <c r="R903" s="43"/>
      <c r="S903" s="36"/>
      <c r="T903" s="16">
        <f t="shared" si="28"/>
        <v>0</v>
      </c>
      <c r="U903" s="16">
        <f t="shared" si="29"/>
        <v>0</v>
      </c>
      <c r="V903" s="133"/>
    </row>
    <row r="904" spans="1:22" s="56" customFormat="1">
      <c r="A904" s="58"/>
      <c r="B904" s="36"/>
      <c r="C904" s="58"/>
      <c r="D904" s="57"/>
      <c r="E904" s="57"/>
      <c r="F904" s="41"/>
      <c r="G904" s="41"/>
      <c r="H904" s="41"/>
      <c r="I904" s="57"/>
      <c r="J904" s="36"/>
      <c r="K904" s="57"/>
      <c r="L904" s="57"/>
      <c r="M904" s="57"/>
      <c r="N904" s="42"/>
      <c r="O904" s="57"/>
      <c r="P904" s="43"/>
      <c r="Q904" s="41"/>
      <c r="R904" s="43"/>
      <c r="S904" s="36"/>
      <c r="T904" s="16">
        <f t="shared" si="28"/>
        <v>0</v>
      </c>
      <c r="U904" s="16">
        <f t="shared" si="29"/>
        <v>0</v>
      </c>
      <c r="V904" s="133"/>
    </row>
    <row r="905" spans="1:22" s="56" customFormat="1">
      <c r="A905" s="58"/>
      <c r="B905" s="36"/>
      <c r="C905" s="58"/>
      <c r="D905" s="57"/>
      <c r="E905" s="57"/>
      <c r="F905" s="41"/>
      <c r="G905" s="41"/>
      <c r="H905" s="41"/>
      <c r="I905" s="57"/>
      <c r="J905" s="36"/>
      <c r="K905" s="57"/>
      <c r="L905" s="57"/>
      <c r="M905" s="57"/>
      <c r="N905" s="42"/>
      <c r="O905" s="57"/>
      <c r="P905" s="43"/>
      <c r="Q905" s="41"/>
      <c r="R905" s="43"/>
      <c r="S905" s="36"/>
      <c r="T905" s="16">
        <f t="shared" si="28"/>
        <v>0</v>
      </c>
      <c r="U905" s="16">
        <f t="shared" si="29"/>
        <v>0</v>
      </c>
      <c r="V905" s="133"/>
    </row>
    <row r="906" spans="1:22" s="56" customFormat="1">
      <c r="A906" s="58"/>
      <c r="B906" s="36"/>
      <c r="C906" s="58"/>
      <c r="D906" s="57"/>
      <c r="E906" s="57"/>
      <c r="F906" s="41"/>
      <c r="G906" s="41"/>
      <c r="H906" s="41"/>
      <c r="I906" s="57"/>
      <c r="J906" s="36"/>
      <c r="K906" s="57"/>
      <c r="L906" s="57"/>
      <c r="M906" s="57"/>
      <c r="N906" s="42"/>
      <c r="O906" s="57"/>
      <c r="P906" s="43"/>
      <c r="Q906" s="41"/>
      <c r="R906" s="43"/>
      <c r="S906" s="36"/>
      <c r="T906" s="16">
        <f t="shared" si="28"/>
        <v>0</v>
      </c>
      <c r="U906" s="16">
        <f t="shared" si="29"/>
        <v>0</v>
      </c>
      <c r="V906" s="133"/>
    </row>
    <row r="907" spans="1:22" s="56" customFormat="1">
      <c r="A907" s="58"/>
      <c r="B907" s="36"/>
      <c r="C907" s="58"/>
      <c r="D907" s="57"/>
      <c r="E907" s="57"/>
      <c r="F907" s="41"/>
      <c r="G907" s="41"/>
      <c r="H907" s="41"/>
      <c r="I907" s="57"/>
      <c r="J907" s="36"/>
      <c r="K907" s="57"/>
      <c r="L907" s="57"/>
      <c r="M907" s="57"/>
      <c r="N907" s="42"/>
      <c r="O907" s="57"/>
      <c r="P907" s="43"/>
      <c r="Q907" s="41"/>
      <c r="R907" s="43"/>
      <c r="S907" s="36"/>
      <c r="T907" s="16">
        <f t="shared" si="28"/>
        <v>0</v>
      </c>
      <c r="U907" s="16">
        <f t="shared" si="29"/>
        <v>0</v>
      </c>
      <c r="V907" s="133"/>
    </row>
    <row r="908" spans="1:22" s="56" customFormat="1">
      <c r="A908" s="58"/>
      <c r="B908" s="36"/>
      <c r="C908" s="58"/>
      <c r="D908" s="57"/>
      <c r="E908" s="57"/>
      <c r="F908" s="41"/>
      <c r="G908" s="41"/>
      <c r="H908" s="41"/>
      <c r="I908" s="57"/>
      <c r="J908" s="36"/>
      <c r="K908" s="57"/>
      <c r="L908" s="57"/>
      <c r="M908" s="57"/>
      <c r="N908" s="42"/>
      <c r="O908" s="57"/>
      <c r="P908" s="43"/>
      <c r="Q908" s="41"/>
      <c r="R908" s="43"/>
      <c r="S908" s="36"/>
      <c r="T908" s="16">
        <f t="shared" si="28"/>
        <v>0</v>
      </c>
      <c r="U908" s="16">
        <f t="shared" si="29"/>
        <v>0</v>
      </c>
      <c r="V908" s="133"/>
    </row>
    <row r="909" spans="1:22" s="56" customFormat="1">
      <c r="A909" s="58"/>
      <c r="B909" s="36"/>
      <c r="C909" s="58"/>
      <c r="D909" s="57"/>
      <c r="E909" s="57"/>
      <c r="F909" s="41"/>
      <c r="G909" s="41"/>
      <c r="H909" s="41"/>
      <c r="I909" s="57"/>
      <c r="J909" s="36"/>
      <c r="K909" s="57"/>
      <c r="L909" s="57"/>
      <c r="M909" s="57"/>
      <c r="N909" s="42"/>
      <c r="O909" s="57"/>
      <c r="P909" s="43"/>
      <c r="Q909" s="41"/>
      <c r="R909" s="43"/>
      <c r="S909" s="36"/>
      <c r="T909" s="16">
        <f t="shared" si="28"/>
        <v>0</v>
      </c>
      <c r="U909" s="16">
        <f t="shared" si="29"/>
        <v>0</v>
      </c>
      <c r="V909" s="133"/>
    </row>
    <row r="910" spans="1:22" s="56" customFormat="1">
      <c r="A910" s="58"/>
      <c r="B910" s="36"/>
      <c r="C910" s="58"/>
      <c r="D910" s="57"/>
      <c r="E910" s="57"/>
      <c r="F910" s="41"/>
      <c r="G910" s="41"/>
      <c r="H910" s="41"/>
      <c r="I910" s="57"/>
      <c r="J910" s="36"/>
      <c r="K910" s="57"/>
      <c r="L910" s="57"/>
      <c r="M910" s="57"/>
      <c r="N910" s="42"/>
      <c r="O910" s="57"/>
      <c r="P910" s="43"/>
      <c r="Q910" s="41"/>
      <c r="R910" s="43"/>
      <c r="S910" s="36"/>
      <c r="T910" s="16">
        <f t="shared" si="28"/>
        <v>0</v>
      </c>
      <c r="U910" s="16">
        <f t="shared" si="29"/>
        <v>0</v>
      </c>
      <c r="V910" s="133"/>
    </row>
    <row r="911" spans="1:22" s="56" customFormat="1">
      <c r="A911" s="58"/>
      <c r="B911" s="36"/>
      <c r="C911" s="58"/>
      <c r="D911" s="57"/>
      <c r="E911" s="57"/>
      <c r="F911" s="41"/>
      <c r="G911" s="41"/>
      <c r="H911" s="41"/>
      <c r="I911" s="57"/>
      <c r="J911" s="36"/>
      <c r="K911" s="57"/>
      <c r="L911" s="57"/>
      <c r="M911" s="57"/>
      <c r="N911" s="42"/>
      <c r="O911" s="57"/>
      <c r="P911" s="43"/>
      <c r="Q911" s="41"/>
      <c r="R911" s="43"/>
      <c r="S911" s="36"/>
      <c r="T911" s="16">
        <f t="shared" si="28"/>
        <v>0</v>
      </c>
      <c r="U911" s="16">
        <f t="shared" si="29"/>
        <v>0</v>
      </c>
      <c r="V911" s="133"/>
    </row>
    <row r="912" spans="1:22" s="56" customFormat="1">
      <c r="A912" s="58"/>
      <c r="B912" s="36"/>
      <c r="C912" s="58"/>
      <c r="D912" s="57"/>
      <c r="E912" s="57"/>
      <c r="F912" s="41"/>
      <c r="G912" s="41"/>
      <c r="H912" s="41"/>
      <c r="I912" s="57"/>
      <c r="J912" s="36"/>
      <c r="K912" s="57"/>
      <c r="L912" s="57"/>
      <c r="M912" s="57"/>
      <c r="N912" s="42"/>
      <c r="O912" s="57"/>
      <c r="P912" s="43"/>
      <c r="Q912" s="41"/>
      <c r="R912" s="43"/>
      <c r="S912" s="36"/>
      <c r="T912" s="16">
        <f t="shared" si="28"/>
        <v>0</v>
      </c>
      <c r="U912" s="16">
        <f t="shared" si="29"/>
        <v>0</v>
      </c>
      <c r="V912" s="133"/>
    </row>
    <row r="913" spans="1:22" s="56" customFormat="1">
      <c r="A913" s="58"/>
      <c r="B913" s="36"/>
      <c r="C913" s="58"/>
      <c r="D913" s="57"/>
      <c r="E913" s="57"/>
      <c r="F913" s="41"/>
      <c r="G913" s="41"/>
      <c r="H913" s="41"/>
      <c r="I913" s="57"/>
      <c r="J913" s="36"/>
      <c r="K913" s="57"/>
      <c r="L913" s="57"/>
      <c r="M913" s="57"/>
      <c r="N913" s="42"/>
      <c r="O913" s="57"/>
      <c r="P913" s="43"/>
      <c r="Q913" s="41"/>
      <c r="R913" s="43"/>
      <c r="S913" s="36"/>
      <c r="T913" s="16">
        <f t="shared" si="28"/>
        <v>0</v>
      </c>
      <c r="U913" s="16">
        <f t="shared" si="29"/>
        <v>0</v>
      </c>
      <c r="V913" s="133"/>
    </row>
    <row r="914" spans="1:22" s="56" customFormat="1">
      <c r="A914" s="58"/>
      <c r="B914" s="36"/>
      <c r="C914" s="58"/>
      <c r="D914" s="57"/>
      <c r="E914" s="57"/>
      <c r="F914" s="41"/>
      <c r="G914" s="41"/>
      <c r="H914" s="41"/>
      <c r="I914" s="57"/>
      <c r="J914" s="36"/>
      <c r="K914" s="57"/>
      <c r="L914" s="57"/>
      <c r="M914" s="57"/>
      <c r="N914" s="42"/>
      <c r="O914" s="57"/>
      <c r="P914" s="43"/>
      <c r="Q914" s="41"/>
      <c r="R914" s="43"/>
      <c r="S914" s="36"/>
      <c r="T914" s="16">
        <f t="shared" si="28"/>
        <v>0</v>
      </c>
      <c r="U914" s="16">
        <f t="shared" si="29"/>
        <v>0</v>
      </c>
      <c r="V914" s="133"/>
    </row>
    <row r="915" spans="1:22" s="56" customFormat="1">
      <c r="A915" s="58"/>
      <c r="B915" s="36"/>
      <c r="C915" s="58"/>
      <c r="D915" s="57"/>
      <c r="E915" s="57"/>
      <c r="F915" s="41"/>
      <c r="G915" s="41"/>
      <c r="H915" s="41"/>
      <c r="I915" s="57"/>
      <c r="J915" s="36"/>
      <c r="K915" s="57"/>
      <c r="L915" s="57"/>
      <c r="M915" s="57"/>
      <c r="N915" s="42"/>
      <c r="O915" s="57"/>
      <c r="P915" s="43"/>
      <c r="Q915" s="41"/>
      <c r="R915" s="43"/>
      <c r="S915" s="36"/>
      <c r="T915" s="16">
        <f t="shared" si="28"/>
        <v>0</v>
      </c>
      <c r="U915" s="16">
        <f t="shared" si="29"/>
        <v>0</v>
      </c>
      <c r="V915" s="133"/>
    </row>
    <row r="916" spans="1:22" s="56" customFormat="1">
      <c r="A916" s="58"/>
      <c r="B916" s="36"/>
      <c r="C916" s="58"/>
      <c r="D916" s="57"/>
      <c r="E916" s="57"/>
      <c r="F916" s="41"/>
      <c r="G916" s="41"/>
      <c r="H916" s="41"/>
      <c r="I916" s="57"/>
      <c r="J916" s="36"/>
      <c r="K916" s="57"/>
      <c r="L916" s="57"/>
      <c r="M916" s="57"/>
      <c r="N916" s="42"/>
      <c r="O916" s="57"/>
      <c r="P916" s="43"/>
      <c r="Q916" s="41"/>
      <c r="R916" s="43"/>
      <c r="S916" s="36"/>
      <c r="T916" s="16">
        <f t="shared" si="28"/>
        <v>0</v>
      </c>
      <c r="U916" s="16">
        <f t="shared" si="29"/>
        <v>0</v>
      </c>
      <c r="V916" s="133"/>
    </row>
    <row r="917" spans="1:22" s="56" customFormat="1">
      <c r="A917" s="58"/>
      <c r="B917" s="36"/>
      <c r="C917" s="58"/>
      <c r="D917" s="57"/>
      <c r="E917" s="57"/>
      <c r="F917" s="41"/>
      <c r="G917" s="41"/>
      <c r="H917" s="41"/>
      <c r="I917" s="57"/>
      <c r="J917" s="36"/>
      <c r="K917" s="57"/>
      <c r="L917" s="57"/>
      <c r="M917" s="57"/>
      <c r="N917" s="42"/>
      <c r="O917" s="57"/>
      <c r="P917" s="43"/>
      <c r="Q917" s="41"/>
      <c r="R917" s="43"/>
      <c r="S917" s="36"/>
      <c r="T917" s="16">
        <f t="shared" si="28"/>
        <v>0</v>
      </c>
      <c r="U917" s="16">
        <f t="shared" si="29"/>
        <v>0</v>
      </c>
      <c r="V917" s="133"/>
    </row>
    <row r="918" spans="1:22" s="56" customFormat="1">
      <c r="A918" s="58"/>
      <c r="B918" s="36"/>
      <c r="C918" s="58"/>
      <c r="D918" s="57"/>
      <c r="E918" s="57"/>
      <c r="F918" s="41"/>
      <c r="G918" s="41"/>
      <c r="H918" s="41"/>
      <c r="I918" s="57"/>
      <c r="J918" s="36"/>
      <c r="K918" s="57"/>
      <c r="L918" s="57"/>
      <c r="M918" s="57"/>
      <c r="N918" s="42"/>
      <c r="O918" s="57"/>
      <c r="P918" s="43"/>
      <c r="Q918" s="41"/>
      <c r="R918" s="43"/>
      <c r="S918" s="36"/>
      <c r="T918" s="16">
        <f t="shared" si="28"/>
        <v>0</v>
      </c>
      <c r="U918" s="16">
        <f t="shared" si="29"/>
        <v>0</v>
      </c>
      <c r="V918" s="133"/>
    </row>
    <row r="919" spans="1:22" s="56" customFormat="1">
      <c r="A919" s="58"/>
      <c r="B919" s="36"/>
      <c r="C919" s="58"/>
      <c r="D919" s="57"/>
      <c r="E919" s="57"/>
      <c r="F919" s="41"/>
      <c r="G919" s="41"/>
      <c r="H919" s="41"/>
      <c r="I919" s="57"/>
      <c r="J919" s="36"/>
      <c r="K919" s="57"/>
      <c r="L919" s="57"/>
      <c r="M919" s="57"/>
      <c r="N919" s="42"/>
      <c r="O919" s="57"/>
      <c r="P919" s="43"/>
      <c r="Q919" s="41"/>
      <c r="R919" s="43"/>
      <c r="S919" s="36"/>
      <c r="T919" s="16">
        <f t="shared" si="28"/>
        <v>0</v>
      </c>
      <c r="U919" s="16">
        <f t="shared" si="29"/>
        <v>0</v>
      </c>
      <c r="V919" s="133"/>
    </row>
    <row r="920" spans="1:22" s="56" customFormat="1">
      <c r="A920" s="58"/>
      <c r="B920" s="36"/>
      <c r="C920" s="58"/>
      <c r="D920" s="57"/>
      <c r="E920" s="57"/>
      <c r="F920" s="41"/>
      <c r="G920" s="41"/>
      <c r="H920" s="41"/>
      <c r="I920" s="57"/>
      <c r="J920" s="36"/>
      <c r="K920" s="57"/>
      <c r="L920" s="57"/>
      <c r="M920" s="57"/>
      <c r="N920" s="42"/>
      <c r="O920" s="57"/>
      <c r="P920" s="43"/>
      <c r="Q920" s="41"/>
      <c r="R920" s="43"/>
      <c r="S920" s="36"/>
      <c r="T920" s="16">
        <f t="shared" si="28"/>
        <v>0</v>
      </c>
      <c r="U920" s="16">
        <f t="shared" si="29"/>
        <v>0</v>
      </c>
      <c r="V920" s="133"/>
    </row>
    <row r="921" spans="1:22" s="56" customFormat="1">
      <c r="A921" s="58"/>
      <c r="B921" s="36"/>
      <c r="C921" s="58"/>
      <c r="D921" s="57"/>
      <c r="E921" s="57"/>
      <c r="F921" s="41"/>
      <c r="G921" s="41"/>
      <c r="H921" s="41"/>
      <c r="I921" s="57"/>
      <c r="J921" s="36"/>
      <c r="K921" s="57"/>
      <c r="L921" s="57"/>
      <c r="M921" s="57"/>
      <c r="N921" s="42"/>
      <c r="O921" s="57"/>
      <c r="P921" s="43"/>
      <c r="Q921" s="41"/>
      <c r="R921" s="43"/>
      <c r="S921" s="36"/>
      <c r="T921" s="16">
        <f t="shared" si="28"/>
        <v>0</v>
      </c>
      <c r="U921" s="16">
        <f t="shared" si="29"/>
        <v>0</v>
      </c>
      <c r="V921" s="133"/>
    </row>
    <row r="922" spans="1:22" s="56" customFormat="1">
      <c r="A922" s="58"/>
      <c r="B922" s="36"/>
      <c r="C922" s="58"/>
      <c r="D922" s="57"/>
      <c r="E922" s="57"/>
      <c r="F922" s="41"/>
      <c r="G922" s="41"/>
      <c r="H922" s="41"/>
      <c r="I922" s="57"/>
      <c r="J922" s="36"/>
      <c r="K922" s="57"/>
      <c r="L922" s="57"/>
      <c r="M922" s="57"/>
      <c r="N922" s="42"/>
      <c r="O922" s="57"/>
      <c r="P922" s="43"/>
      <c r="Q922" s="41"/>
      <c r="R922" s="43"/>
      <c r="S922" s="36"/>
      <c r="T922" s="16">
        <f t="shared" si="28"/>
        <v>0</v>
      </c>
      <c r="U922" s="16">
        <f t="shared" si="29"/>
        <v>0</v>
      </c>
      <c r="V922" s="133"/>
    </row>
    <row r="923" spans="1:22" s="56" customFormat="1">
      <c r="A923" s="58"/>
      <c r="B923" s="36"/>
      <c r="C923" s="58"/>
      <c r="D923" s="57"/>
      <c r="E923" s="57"/>
      <c r="F923" s="41"/>
      <c r="G923" s="41"/>
      <c r="H923" s="41"/>
      <c r="I923" s="57"/>
      <c r="J923" s="36"/>
      <c r="K923" s="57"/>
      <c r="L923" s="57"/>
      <c r="M923" s="57"/>
      <c r="N923" s="42"/>
      <c r="O923" s="57"/>
      <c r="P923" s="43"/>
      <c r="Q923" s="41"/>
      <c r="R923" s="43"/>
      <c r="S923" s="36"/>
      <c r="T923" s="16">
        <f t="shared" si="28"/>
        <v>0</v>
      </c>
      <c r="U923" s="16">
        <f t="shared" si="29"/>
        <v>0</v>
      </c>
      <c r="V923" s="133"/>
    </row>
    <row r="924" spans="1:22" s="56" customFormat="1">
      <c r="A924" s="58"/>
      <c r="B924" s="36"/>
      <c r="C924" s="58"/>
      <c r="D924" s="57"/>
      <c r="E924" s="57"/>
      <c r="F924" s="41"/>
      <c r="G924" s="41"/>
      <c r="H924" s="41"/>
      <c r="I924" s="57"/>
      <c r="J924" s="36"/>
      <c r="K924" s="57"/>
      <c r="L924" s="57"/>
      <c r="M924" s="57"/>
      <c r="N924" s="42"/>
      <c r="O924" s="57"/>
      <c r="P924" s="43"/>
      <c r="Q924" s="41"/>
      <c r="R924" s="43"/>
      <c r="S924" s="36"/>
      <c r="T924" s="16">
        <f t="shared" si="28"/>
        <v>0</v>
      </c>
      <c r="U924" s="16">
        <f t="shared" si="29"/>
        <v>0</v>
      </c>
      <c r="V924" s="133"/>
    </row>
    <row r="925" spans="1:22" s="56" customFormat="1">
      <c r="A925" s="58"/>
      <c r="B925" s="36"/>
      <c r="C925" s="58"/>
      <c r="D925" s="57"/>
      <c r="E925" s="57"/>
      <c r="F925" s="41"/>
      <c r="G925" s="41"/>
      <c r="H925" s="41"/>
      <c r="I925" s="57"/>
      <c r="J925" s="36"/>
      <c r="K925" s="57"/>
      <c r="L925" s="57"/>
      <c r="M925" s="57"/>
      <c r="N925" s="42"/>
      <c r="O925" s="57"/>
      <c r="P925" s="43"/>
      <c r="Q925" s="41"/>
      <c r="R925" s="43"/>
      <c r="S925" s="36"/>
      <c r="T925" s="16">
        <f t="shared" si="28"/>
        <v>0</v>
      </c>
      <c r="U925" s="16">
        <f t="shared" si="29"/>
        <v>0</v>
      </c>
      <c r="V925" s="133"/>
    </row>
    <row r="926" spans="1:22" s="56" customFormat="1">
      <c r="A926" s="58"/>
      <c r="B926" s="36"/>
      <c r="C926" s="58"/>
      <c r="D926" s="57"/>
      <c r="E926" s="57"/>
      <c r="F926" s="41"/>
      <c r="G926" s="41"/>
      <c r="H926" s="41"/>
      <c r="I926" s="57"/>
      <c r="J926" s="36"/>
      <c r="K926" s="57"/>
      <c r="L926" s="57"/>
      <c r="M926" s="57"/>
      <c r="N926" s="42"/>
      <c r="O926" s="57"/>
      <c r="P926" s="43"/>
      <c r="Q926" s="41"/>
      <c r="R926" s="43"/>
      <c r="S926" s="36"/>
      <c r="T926" s="16">
        <f t="shared" si="28"/>
        <v>0</v>
      </c>
      <c r="U926" s="16">
        <f t="shared" si="29"/>
        <v>0</v>
      </c>
      <c r="V926" s="133"/>
    </row>
    <row r="927" spans="1:22" s="56" customFormat="1">
      <c r="A927" s="58"/>
      <c r="B927" s="36"/>
      <c r="C927" s="58"/>
      <c r="D927" s="57"/>
      <c r="E927" s="57"/>
      <c r="F927" s="41"/>
      <c r="G927" s="41"/>
      <c r="H927" s="41"/>
      <c r="I927" s="57"/>
      <c r="J927" s="36"/>
      <c r="K927" s="57"/>
      <c r="L927" s="57"/>
      <c r="M927" s="57"/>
      <c r="N927" s="42"/>
      <c r="O927" s="57"/>
      <c r="P927" s="43"/>
      <c r="Q927" s="41"/>
      <c r="R927" s="43"/>
      <c r="S927" s="36"/>
      <c r="T927" s="16">
        <f t="shared" si="28"/>
        <v>0</v>
      </c>
      <c r="U927" s="16">
        <f t="shared" si="29"/>
        <v>0</v>
      </c>
      <c r="V927" s="133"/>
    </row>
    <row r="928" spans="1:22" s="56" customFormat="1">
      <c r="A928" s="58"/>
      <c r="B928" s="36"/>
      <c r="C928" s="58"/>
      <c r="D928" s="57"/>
      <c r="E928" s="57"/>
      <c r="F928" s="41"/>
      <c r="G928" s="41"/>
      <c r="H928" s="41"/>
      <c r="I928" s="57"/>
      <c r="J928" s="36"/>
      <c r="K928" s="57"/>
      <c r="L928" s="57"/>
      <c r="M928" s="57"/>
      <c r="N928" s="42"/>
      <c r="O928" s="57"/>
      <c r="P928" s="43"/>
      <c r="Q928" s="41"/>
      <c r="R928" s="43"/>
      <c r="S928" s="36"/>
      <c r="T928" s="16">
        <f t="shared" si="28"/>
        <v>0</v>
      </c>
      <c r="U928" s="16">
        <f t="shared" si="29"/>
        <v>0</v>
      </c>
      <c r="V928" s="133"/>
    </row>
    <row r="929" spans="1:22" s="56" customFormat="1">
      <c r="A929" s="58"/>
      <c r="B929" s="36"/>
      <c r="C929" s="58"/>
      <c r="D929" s="57"/>
      <c r="E929" s="57"/>
      <c r="F929" s="41"/>
      <c r="G929" s="41"/>
      <c r="H929" s="41"/>
      <c r="I929" s="57"/>
      <c r="J929" s="36"/>
      <c r="K929" s="57"/>
      <c r="L929" s="57"/>
      <c r="M929" s="57"/>
      <c r="N929" s="42"/>
      <c r="O929" s="57"/>
      <c r="P929" s="43"/>
      <c r="Q929" s="41"/>
      <c r="R929" s="43"/>
      <c r="S929" s="36"/>
      <c r="T929" s="16">
        <f t="shared" si="28"/>
        <v>0</v>
      </c>
      <c r="U929" s="16">
        <f t="shared" si="29"/>
        <v>0</v>
      </c>
      <c r="V929" s="133"/>
    </row>
    <row r="930" spans="1:22" s="56" customFormat="1">
      <c r="A930" s="58"/>
      <c r="B930" s="36"/>
      <c r="C930" s="58"/>
      <c r="D930" s="57"/>
      <c r="E930" s="57"/>
      <c r="F930" s="41"/>
      <c r="G930" s="41"/>
      <c r="H930" s="41"/>
      <c r="I930" s="57"/>
      <c r="J930" s="36"/>
      <c r="K930" s="57"/>
      <c r="L930" s="57"/>
      <c r="M930" s="57"/>
      <c r="N930" s="42"/>
      <c r="O930" s="57"/>
      <c r="P930" s="43"/>
      <c r="Q930" s="41"/>
      <c r="R930" s="43"/>
      <c r="S930" s="36"/>
      <c r="T930" s="16">
        <f t="shared" si="28"/>
        <v>0</v>
      </c>
      <c r="U930" s="16">
        <f t="shared" si="29"/>
        <v>0</v>
      </c>
      <c r="V930" s="133"/>
    </row>
    <row r="931" spans="1:22" s="56" customFormat="1">
      <c r="A931" s="58"/>
      <c r="B931" s="36"/>
      <c r="C931" s="58"/>
      <c r="D931" s="57"/>
      <c r="E931" s="57"/>
      <c r="F931" s="41"/>
      <c r="G931" s="41"/>
      <c r="H931" s="41"/>
      <c r="I931" s="57"/>
      <c r="J931" s="36"/>
      <c r="K931" s="57"/>
      <c r="L931" s="57"/>
      <c r="M931" s="57"/>
      <c r="N931" s="42"/>
      <c r="O931" s="57"/>
      <c r="P931" s="43"/>
      <c r="Q931" s="41"/>
      <c r="R931" s="43"/>
      <c r="S931" s="36"/>
      <c r="T931" s="16">
        <f t="shared" si="28"/>
        <v>0</v>
      </c>
      <c r="U931" s="16">
        <f t="shared" si="29"/>
        <v>0</v>
      </c>
      <c r="V931" s="133"/>
    </row>
    <row r="932" spans="1:22" s="56" customFormat="1">
      <c r="A932" s="58"/>
      <c r="B932" s="36"/>
      <c r="C932" s="58"/>
      <c r="D932" s="57"/>
      <c r="E932" s="57"/>
      <c r="F932" s="41"/>
      <c r="G932" s="41"/>
      <c r="H932" s="41"/>
      <c r="I932" s="57"/>
      <c r="J932" s="36"/>
      <c r="K932" s="57"/>
      <c r="L932" s="57"/>
      <c r="M932" s="57"/>
      <c r="N932" s="42"/>
      <c r="O932" s="57"/>
      <c r="P932" s="43"/>
      <c r="Q932" s="41"/>
      <c r="R932" s="43"/>
      <c r="S932" s="36"/>
      <c r="T932" s="16">
        <f t="shared" si="28"/>
        <v>0</v>
      </c>
      <c r="U932" s="16">
        <f t="shared" si="29"/>
        <v>0</v>
      </c>
      <c r="V932" s="133"/>
    </row>
    <row r="933" spans="1:22" s="56" customFormat="1">
      <c r="A933" s="58"/>
      <c r="B933" s="36"/>
      <c r="C933" s="58"/>
      <c r="D933" s="57"/>
      <c r="E933" s="57"/>
      <c r="F933" s="41"/>
      <c r="G933" s="41"/>
      <c r="H933" s="41"/>
      <c r="I933" s="57"/>
      <c r="J933" s="36"/>
      <c r="K933" s="57"/>
      <c r="L933" s="57"/>
      <c r="M933" s="57"/>
      <c r="N933" s="42"/>
      <c r="O933" s="57"/>
      <c r="P933" s="43"/>
      <c r="Q933" s="41"/>
      <c r="R933" s="43"/>
      <c r="S933" s="36"/>
      <c r="T933" s="16">
        <f t="shared" si="28"/>
        <v>0</v>
      </c>
      <c r="U933" s="16">
        <f t="shared" si="29"/>
        <v>0</v>
      </c>
      <c r="V933" s="133"/>
    </row>
    <row r="934" spans="1:22" s="56" customFormat="1">
      <c r="A934" s="58"/>
      <c r="B934" s="36"/>
      <c r="C934" s="58"/>
      <c r="D934" s="57"/>
      <c r="E934" s="57"/>
      <c r="F934" s="41"/>
      <c r="G934" s="41"/>
      <c r="H934" s="41"/>
      <c r="I934" s="57"/>
      <c r="J934" s="36"/>
      <c r="K934" s="57"/>
      <c r="L934" s="57"/>
      <c r="M934" s="57"/>
      <c r="N934" s="42"/>
      <c r="O934" s="57"/>
      <c r="P934" s="43"/>
      <c r="Q934" s="41"/>
      <c r="R934" s="43"/>
      <c r="S934" s="36"/>
      <c r="T934" s="16">
        <f t="shared" si="28"/>
        <v>0</v>
      </c>
      <c r="U934" s="16">
        <f t="shared" si="29"/>
        <v>0</v>
      </c>
      <c r="V934" s="133"/>
    </row>
    <row r="935" spans="1:22" s="56" customFormat="1">
      <c r="A935" s="58"/>
      <c r="B935" s="36"/>
      <c r="C935" s="58"/>
      <c r="D935" s="57"/>
      <c r="E935" s="57"/>
      <c r="F935" s="41"/>
      <c r="G935" s="41"/>
      <c r="H935" s="41"/>
      <c r="I935" s="57"/>
      <c r="J935" s="36"/>
      <c r="K935" s="57"/>
      <c r="L935" s="57"/>
      <c r="M935" s="57"/>
      <c r="N935" s="42"/>
      <c r="O935" s="57"/>
      <c r="P935" s="43"/>
      <c r="Q935" s="41"/>
      <c r="R935" s="43"/>
      <c r="S935" s="36"/>
      <c r="T935" s="16">
        <f t="shared" si="28"/>
        <v>0</v>
      </c>
      <c r="U935" s="16">
        <f t="shared" si="29"/>
        <v>0</v>
      </c>
      <c r="V935" s="133"/>
    </row>
    <row r="936" spans="1:22" s="56" customFormat="1">
      <c r="A936" s="58"/>
      <c r="B936" s="36"/>
      <c r="C936" s="58"/>
      <c r="D936" s="57"/>
      <c r="E936" s="57"/>
      <c r="F936" s="41"/>
      <c r="G936" s="41"/>
      <c r="H936" s="41"/>
      <c r="I936" s="57"/>
      <c r="J936" s="36"/>
      <c r="K936" s="57"/>
      <c r="L936" s="57"/>
      <c r="M936" s="57"/>
      <c r="N936" s="42"/>
      <c r="O936" s="57"/>
      <c r="P936" s="43"/>
      <c r="Q936" s="41"/>
      <c r="R936" s="43"/>
      <c r="S936" s="36"/>
      <c r="T936" s="16">
        <f t="shared" si="28"/>
        <v>0</v>
      </c>
      <c r="U936" s="16">
        <f t="shared" si="29"/>
        <v>0</v>
      </c>
      <c r="V936" s="133"/>
    </row>
    <row r="937" spans="1:22" s="56" customFormat="1">
      <c r="A937" s="58"/>
      <c r="B937" s="36"/>
      <c r="C937" s="58"/>
      <c r="D937" s="57"/>
      <c r="E937" s="57"/>
      <c r="F937" s="41"/>
      <c r="G937" s="41"/>
      <c r="H937" s="41"/>
      <c r="I937" s="57"/>
      <c r="J937" s="36"/>
      <c r="K937" s="57"/>
      <c r="L937" s="57"/>
      <c r="M937" s="57"/>
      <c r="N937" s="42"/>
      <c r="O937" s="57"/>
      <c r="P937" s="43"/>
      <c r="Q937" s="41"/>
      <c r="R937" s="43"/>
      <c r="S937" s="36"/>
      <c r="T937" s="16">
        <f t="shared" si="28"/>
        <v>0</v>
      </c>
      <c r="U937" s="16">
        <f t="shared" si="29"/>
        <v>0</v>
      </c>
      <c r="V937" s="133"/>
    </row>
    <row r="938" spans="1:22" s="56" customFormat="1">
      <c r="A938" s="58"/>
      <c r="B938" s="36"/>
      <c r="C938" s="58"/>
      <c r="D938" s="57"/>
      <c r="E938" s="57"/>
      <c r="F938" s="41"/>
      <c r="G938" s="41"/>
      <c r="H938" s="41"/>
      <c r="I938" s="57"/>
      <c r="J938" s="36"/>
      <c r="K938" s="57"/>
      <c r="L938" s="57"/>
      <c r="M938" s="57"/>
      <c r="N938" s="42"/>
      <c r="O938" s="57"/>
      <c r="P938" s="43"/>
      <c r="Q938" s="41"/>
      <c r="R938" s="43"/>
      <c r="S938" s="36"/>
      <c r="T938" s="16">
        <f t="shared" si="28"/>
        <v>0</v>
      </c>
      <c r="U938" s="16">
        <f t="shared" si="29"/>
        <v>0</v>
      </c>
      <c r="V938" s="133"/>
    </row>
    <row r="939" spans="1:22" s="56" customFormat="1">
      <c r="A939" s="58"/>
      <c r="B939" s="36"/>
      <c r="C939" s="58"/>
      <c r="D939" s="57"/>
      <c r="E939" s="57"/>
      <c r="F939" s="41"/>
      <c r="G939" s="41"/>
      <c r="H939" s="41"/>
      <c r="I939" s="57"/>
      <c r="J939" s="36"/>
      <c r="K939" s="57"/>
      <c r="L939" s="57"/>
      <c r="M939" s="57"/>
      <c r="N939" s="42"/>
      <c r="O939" s="57"/>
      <c r="P939" s="43"/>
      <c r="Q939" s="41"/>
      <c r="R939" s="43"/>
      <c r="S939" s="36"/>
      <c r="T939" s="16">
        <f t="shared" si="28"/>
        <v>0</v>
      </c>
      <c r="U939" s="16">
        <f t="shared" si="29"/>
        <v>0</v>
      </c>
      <c r="V939" s="133"/>
    </row>
    <row r="940" spans="1:22" s="56" customFormat="1">
      <c r="A940" s="58"/>
      <c r="B940" s="36"/>
      <c r="C940" s="58"/>
      <c r="D940" s="57"/>
      <c r="E940" s="57"/>
      <c r="F940" s="41"/>
      <c r="G940" s="41"/>
      <c r="H940" s="41"/>
      <c r="I940" s="57"/>
      <c r="J940" s="36"/>
      <c r="K940" s="57"/>
      <c r="L940" s="57"/>
      <c r="M940" s="57"/>
      <c r="N940" s="42"/>
      <c r="O940" s="57"/>
      <c r="P940" s="43"/>
      <c r="Q940" s="41"/>
      <c r="R940" s="43"/>
      <c r="S940" s="36"/>
      <c r="T940" s="16">
        <f t="shared" si="28"/>
        <v>0</v>
      </c>
      <c r="U940" s="16">
        <f t="shared" si="29"/>
        <v>0</v>
      </c>
      <c r="V940" s="133"/>
    </row>
    <row r="941" spans="1:22" s="56" customFormat="1">
      <c r="A941" s="58"/>
      <c r="B941" s="36"/>
      <c r="C941" s="58"/>
      <c r="D941" s="57"/>
      <c r="E941" s="57"/>
      <c r="F941" s="41"/>
      <c r="G941" s="41"/>
      <c r="H941" s="41"/>
      <c r="I941" s="57"/>
      <c r="J941" s="36"/>
      <c r="K941" s="57"/>
      <c r="L941" s="57"/>
      <c r="M941" s="57"/>
      <c r="N941" s="42"/>
      <c r="O941" s="57"/>
      <c r="P941" s="43"/>
      <c r="Q941" s="41"/>
      <c r="R941" s="43"/>
      <c r="S941" s="36"/>
      <c r="T941" s="16">
        <f t="shared" si="28"/>
        <v>0</v>
      </c>
      <c r="U941" s="16">
        <f t="shared" si="29"/>
        <v>0</v>
      </c>
      <c r="V941" s="133"/>
    </row>
    <row r="942" spans="1:22" s="56" customFormat="1">
      <c r="A942" s="58"/>
      <c r="B942" s="36"/>
      <c r="C942" s="58"/>
      <c r="D942" s="57"/>
      <c r="E942" s="57"/>
      <c r="F942" s="41"/>
      <c r="G942" s="41"/>
      <c r="H942" s="41"/>
      <c r="I942" s="57"/>
      <c r="J942" s="36"/>
      <c r="K942" s="57"/>
      <c r="L942" s="57"/>
      <c r="M942" s="57"/>
      <c r="N942" s="42"/>
      <c r="O942" s="57"/>
      <c r="P942" s="43"/>
      <c r="Q942" s="41"/>
      <c r="R942" s="43"/>
      <c r="S942" s="36"/>
      <c r="T942" s="16">
        <f t="shared" si="28"/>
        <v>0</v>
      </c>
      <c r="U942" s="16">
        <f t="shared" si="29"/>
        <v>0</v>
      </c>
      <c r="V942" s="133"/>
    </row>
    <row r="943" spans="1:22" s="56" customFormat="1">
      <c r="A943" s="58"/>
      <c r="B943" s="36"/>
      <c r="C943" s="58"/>
      <c r="D943" s="57"/>
      <c r="E943" s="57"/>
      <c r="F943" s="41"/>
      <c r="G943" s="41"/>
      <c r="H943" s="41"/>
      <c r="I943" s="57"/>
      <c r="J943" s="36"/>
      <c r="K943" s="57"/>
      <c r="L943" s="57"/>
      <c r="M943" s="57"/>
      <c r="N943" s="42"/>
      <c r="O943" s="57"/>
      <c r="P943" s="43"/>
      <c r="Q943" s="41"/>
      <c r="R943" s="43"/>
      <c r="S943" s="36"/>
      <c r="T943" s="16">
        <f t="shared" si="28"/>
        <v>0</v>
      </c>
      <c r="U943" s="16">
        <f t="shared" si="29"/>
        <v>0</v>
      </c>
      <c r="V943" s="133"/>
    </row>
    <row r="944" spans="1:22" s="56" customFormat="1">
      <c r="A944" s="58"/>
      <c r="B944" s="36"/>
      <c r="C944" s="58"/>
      <c r="D944" s="57"/>
      <c r="E944" s="57"/>
      <c r="F944" s="41"/>
      <c r="G944" s="41"/>
      <c r="H944" s="41"/>
      <c r="I944" s="57"/>
      <c r="J944" s="36"/>
      <c r="K944" s="57"/>
      <c r="L944" s="57"/>
      <c r="M944" s="57"/>
      <c r="N944" s="42"/>
      <c r="O944" s="57"/>
      <c r="P944" s="43"/>
      <c r="Q944" s="41"/>
      <c r="R944" s="43"/>
      <c r="S944" s="36"/>
      <c r="T944" s="16">
        <f t="shared" si="28"/>
        <v>0</v>
      </c>
      <c r="U944" s="16">
        <f t="shared" si="29"/>
        <v>0</v>
      </c>
      <c r="V944" s="133"/>
    </row>
    <row r="945" spans="1:22" s="56" customFormat="1">
      <c r="A945" s="58"/>
      <c r="B945" s="36"/>
      <c r="C945" s="58"/>
      <c r="D945" s="57"/>
      <c r="E945" s="57"/>
      <c r="F945" s="41"/>
      <c r="G945" s="41"/>
      <c r="H945" s="41"/>
      <c r="I945" s="57"/>
      <c r="J945" s="36"/>
      <c r="K945" s="57"/>
      <c r="L945" s="57"/>
      <c r="M945" s="57"/>
      <c r="N945" s="42"/>
      <c r="O945" s="57"/>
      <c r="P945" s="43"/>
      <c r="Q945" s="41"/>
      <c r="R945" s="43"/>
      <c r="S945" s="36"/>
      <c r="T945" s="16">
        <f t="shared" si="28"/>
        <v>0</v>
      </c>
      <c r="U945" s="16">
        <f t="shared" si="29"/>
        <v>0</v>
      </c>
      <c r="V945" s="133"/>
    </row>
    <row r="946" spans="1:22" s="56" customFormat="1">
      <c r="A946" s="58"/>
      <c r="B946" s="36"/>
      <c r="C946" s="58"/>
      <c r="D946" s="57"/>
      <c r="E946" s="57"/>
      <c r="F946" s="41"/>
      <c r="G946" s="41"/>
      <c r="H946" s="41"/>
      <c r="I946" s="57"/>
      <c r="J946" s="36"/>
      <c r="K946" s="57"/>
      <c r="L946" s="57"/>
      <c r="M946" s="57"/>
      <c r="N946" s="42"/>
      <c r="O946" s="57"/>
      <c r="P946" s="43"/>
      <c r="Q946" s="41"/>
      <c r="R946" s="43"/>
      <c r="S946" s="36"/>
      <c r="T946" s="16">
        <f t="shared" si="28"/>
        <v>0</v>
      </c>
      <c r="U946" s="16">
        <f t="shared" si="29"/>
        <v>0</v>
      </c>
      <c r="V946" s="133"/>
    </row>
    <row r="947" spans="1:22" s="56" customFormat="1">
      <c r="A947" s="58"/>
      <c r="B947" s="36"/>
      <c r="C947" s="58"/>
      <c r="D947" s="57"/>
      <c r="E947" s="57"/>
      <c r="F947" s="41"/>
      <c r="G947" s="41"/>
      <c r="H947" s="41"/>
      <c r="I947" s="57"/>
      <c r="J947" s="36"/>
      <c r="K947" s="57"/>
      <c r="L947" s="57"/>
      <c r="M947" s="57"/>
      <c r="N947" s="42"/>
      <c r="O947" s="57"/>
      <c r="P947" s="43"/>
      <c r="Q947" s="41"/>
      <c r="R947" s="43"/>
      <c r="S947" s="36"/>
      <c r="T947" s="16">
        <f t="shared" si="28"/>
        <v>0</v>
      </c>
      <c r="U947" s="16">
        <f t="shared" si="29"/>
        <v>0</v>
      </c>
      <c r="V947" s="133"/>
    </row>
    <row r="948" spans="1:22" s="56" customFormat="1">
      <c r="A948" s="58"/>
      <c r="B948" s="36"/>
      <c r="C948" s="58"/>
      <c r="D948" s="57"/>
      <c r="E948" s="57"/>
      <c r="F948" s="41"/>
      <c r="G948" s="41"/>
      <c r="H948" s="41"/>
      <c r="I948" s="57"/>
      <c r="J948" s="36"/>
      <c r="K948" s="57"/>
      <c r="L948" s="57"/>
      <c r="M948" s="57"/>
      <c r="N948" s="42"/>
      <c r="O948" s="57"/>
      <c r="P948" s="43"/>
      <c r="Q948" s="41"/>
      <c r="R948" s="43"/>
      <c r="S948" s="36"/>
      <c r="T948" s="16">
        <f t="shared" si="28"/>
        <v>0</v>
      </c>
      <c r="U948" s="16">
        <f t="shared" si="29"/>
        <v>0</v>
      </c>
      <c r="V948" s="133"/>
    </row>
    <row r="949" spans="1:22" s="56" customFormat="1">
      <c r="A949" s="58"/>
      <c r="B949" s="36"/>
      <c r="C949" s="58"/>
      <c r="D949" s="57"/>
      <c r="E949" s="57"/>
      <c r="F949" s="41"/>
      <c r="G949" s="41"/>
      <c r="H949" s="41"/>
      <c r="I949" s="57"/>
      <c r="J949" s="36"/>
      <c r="K949" s="57"/>
      <c r="L949" s="57"/>
      <c r="M949" s="57"/>
      <c r="N949" s="42"/>
      <c r="O949" s="57"/>
      <c r="P949" s="43"/>
      <c r="Q949" s="41"/>
      <c r="R949" s="43"/>
      <c r="S949" s="36"/>
      <c r="T949" s="16">
        <f t="shared" si="28"/>
        <v>0</v>
      </c>
      <c r="U949" s="16">
        <f t="shared" si="29"/>
        <v>0</v>
      </c>
      <c r="V949" s="133"/>
    </row>
    <row r="950" spans="1:22" s="56" customFormat="1">
      <c r="A950" s="58"/>
      <c r="B950" s="36"/>
      <c r="C950" s="58"/>
      <c r="D950" s="57"/>
      <c r="E950" s="57"/>
      <c r="F950" s="41"/>
      <c r="G950" s="41"/>
      <c r="H950" s="41"/>
      <c r="I950" s="57"/>
      <c r="J950" s="36"/>
      <c r="K950" s="57"/>
      <c r="L950" s="57"/>
      <c r="M950" s="57"/>
      <c r="N950" s="42"/>
      <c r="O950" s="57"/>
      <c r="P950" s="43"/>
      <c r="Q950" s="41"/>
      <c r="R950" s="43"/>
      <c r="S950" s="36"/>
      <c r="T950" s="16">
        <f t="shared" si="28"/>
        <v>0</v>
      </c>
      <c r="U950" s="16">
        <f t="shared" si="29"/>
        <v>0</v>
      </c>
      <c r="V950" s="133"/>
    </row>
    <row r="951" spans="1:22" s="56" customFormat="1">
      <c r="A951" s="58"/>
      <c r="B951" s="36"/>
      <c r="C951" s="58"/>
      <c r="D951" s="57"/>
      <c r="E951" s="57"/>
      <c r="F951" s="41"/>
      <c r="G951" s="41"/>
      <c r="H951" s="41"/>
      <c r="I951" s="57"/>
      <c r="J951" s="36"/>
      <c r="K951" s="57"/>
      <c r="L951" s="57"/>
      <c r="M951" s="57"/>
      <c r="N951" s="42"/>
      <c r="O951" s="57"/>
      <c r="P951" s="43"/>
      <c r="Q951" s="41"/>
      <c r="R951" s="43"/>
      <c r="S951" s="36"/>
      <c r="T951" s="16">
        <f t="shared" si="28"/>
        <v>0</v>
      </c>
      <c r="U951" s="16">
        <f t="shared" si="29"/>
        <v>0</v>
      </c>
      <c r="V951" s="133"/>
    </row>
    <row r="952" spans="1:22" s="56" customFormat="1">
      <c r="A952" s="58"/>
      <c r="B952" s="36"/>
      <c r="C952" s="58"/>
      <c r="D952" s="57"/>
      <c r="E952" s="57"/>
      <c r="F952" s="41"/>
      <c r="G952" s="41"/>
      <c r="H952" s="41"/>
      <c r="I952" s="57"/>
      <c r="J952" s="36"/>
      <c r="K952" s="57"/>
      <c r="L952" s="57"/>
      <c r="M952" s="57"/>
      <c r="N952" s="42"/>
      <c r="O952" s="57"/>
      <c r="P952" s="43"/>
      <c r="Q952" s="41"/>
      <c r="R952" s="43"/>
      <c r="S952" s="36"/>
      <c r="T952" s="16">
        <f t="shared" si="28"/>
        <v>0</v>
      </c>
      <c r="U952" s="16">
        <f t="shared" si="29"/>
        <v>0</v>
      </c>
      <c r="V952" s="133"/>
    </row>
    <row r="953" spans="1:22" s="56" customFormat="1">
      <c r="A953" s="58"/>
      <c r="B953" s="36"/>
      <c r="C953" s="58"/>
      <c r="D953" s="57"/>
      <c r="E953" s="57"/>
      <c r="F953" s="41"/>
      <c r="G953" s="41"/>
      <c r="H953" s="41"/>
      <c r="I953" s="57"/>
      <c r="J953" s="36"/>
      <c r="K953" s="57"/>
      <c r="L953" s="57"/>
      <c r="M953" s="57"/>
      <c r="N953" s="42"/>
      <c r="O953" s="57"/>
      <c r="P953" s="43"/>
      <c r="Q953" s="41"/>
      <c r="R953" s="43"/>
      <c r="S953" s="36"/>
      <c r="T953" s="16">
        <f t="shared" si="28"/>
        <v>0</v>
      </c>
      <c r="U953" s="16">
        <f t="shared" si="29"/>
        <v>0</v>
      </c>
      <c r="V953" s="133"/>
    </row>
    <row r="954" spans="1:22" s="56" customFormat="1">
      <c r="A954" s="58"/>
      <c r="B954" s="36"/>
      <c r="C954" s="58"/>
      <c r="D954" s="57"/>
      <c r="E954" s="57"/>
      <c r="F954" s="41"/>
      <c r="G954" s="41"/>
      <c r="H954" s="41"/>
      <c r="I954" s="57"/>
      <c r="J954" s="36"/>
      <c r="K954" s="57"/>
      <c r="L954" s="57"/>
      <c r="M954" s="57"/>
      <c r="N954" s="42"/>
      <c r="O954" s="57"/>
      <c r="P954" s="43"/>
      <c r="Q954" s="41"/>
      <c r="R954" s="43"/>
      <c r="S954" s="36"/>
      <c r="T954" s="16">
        <f t="shared" si="28"/>
        <v>0</v>
      </c>
      <c r="U954" s="16">
        <f t="shared" si="29"/>
        <v>0</v>
      </c>
      <c r="V954" s="133"/>
    </row>
    <row r="955" spans="1:22" s="56" customFormat="1">
      <c r="A955" s="58"/>
      <c r="B955" s="36"/>
      <c r="C955" s="58"/>
      <c r="D955" s="57"/>
      <c r="E955" s="57"/>
      <c r="F955" s="41"/>
      <c r="G955" s="41"/>
      <c r="H955" s="41"/>
      <c r="I955" s="57"/>
      <c r="J955" s="36"/>
      <c r="K955" s="57"/>
      <c r="L955" s="57"/>
      <c r="M955" s="57"/>
      <c r="N955" s="42"/>
      <c r="O955" s="57"/>
      <c r="P955" s="43"/>
      <c r="Q955" s="41"/>
      <c r="R955" s="43"/>
      <c r="S955" s="36"/>
      <c r="T955" s="16">
        <f t="shared" si="28"/>
        <v>0</v>
      </c>
      <c r="U955" s="16">
        <f t="shared" si="29"/>
        <v>0</v>
      </c>
      <c r="V955" s="133"/>
    </row>
    <row r="956" spans="1:22" s="56" customFormat="1">
      <c r="A956" s="58"/>
      <c r="B956" s="36"/>
      <c r="C956" s="58"/>
      <c r="D956" s="57"/>
      <c r="E956" s="57"/>
      <c r="F956" s="41"/>
      <c r="G956" s="41"/>
      <c r="H956" s="41"/>
      <c r="I956" s="57"/>
      <c r="J956" s="36"/>
      <c r="K956" s="57"/>
      <c r="L956" s="57"/>
      <c r="M956" s="57"/>
      <c r="N956" s="42"/>
      <c r="O956" s="57"/>
      <c r="P956" s="43"/>
      <c r="Q956" s="41"/>
      <c r="R956" s="43"/>
      <c r="S956" s="36"/>
      <c r="T956" s="16">
        <f t="shared" si="28"/>
        <v>0</v>
      </c>
      <c r="U956" s="16">
        <f t="shared" si="29"/>
        <v>0</v>
      </c>
      <c r="V956" s="133"/>
    </row>
    <row r="957" spans="1:22" s="56" customFormat="1">
      <c r="A957" s="58"/>
      <c r="B957" s="36"/>
      <c r="C957" s="58"/>
      <c r="D957" s="57"/>
      <c r="E957" s="57"/>
      <c r="F957" s="41"/>
      <c r="G957" s="41"/>
      <c r="H957" s="41"/>
      <c r="I957" s="57"/>
      <c r="J957" s="36"/>
      <c r="K957" s="57"/>
      <c r="L957" s="57"/>
      <c r="M957" s="57"/>
      <c r="N957" s="42"/>
      <c r="O957" s="57"/>
      <c r="P957" s="43"/>
      <c r="Q957" s="41"/>
      <c r="R957" s="43"/>
      <c r="S957" s="36"/>
      <c r="T957" s="16">
        <f t="shared" si="28"/>
        <v>0</v>
      </c>
      <c r="U957" s="16">
        <f t="shared" si="29"/>
        <v>0</v>
      </c>
      <c r="V957" s="133"/>
    </row>
    <row r="958" spans="1:22" s="56" customFormat="1">
      <c r="A958" s="58"/>
      <c r="B958" s="36"/>
      <c r="C958" s="58"/>
      <c r="D958" s="57"/>
      <c r="E958" s="57"/>
      <c r="F958" s="41"/>
      <c r="G958" s="41"/>
      <c r="H958" s="41"/>
      <c r="I958" s="57"/>
      <c r="J958" s="36"/>
      <c r="K958" s="57"/>
      <c r="L958" s="57"/>
      <c r="M958" s="57"/>
      <c r="N958" s="42"/>
      <c r="O958" s="57"/>
      <c r="P958" s="43"/>
      <c r="Q958" s="41"/>
      <c r="R958" s="43"/>
      <c r="S958" s="36"/>
      <c r="T958" s="16">
        <f t="shared" si="28"/>
        <v>0</v>
      </c>
      <c r="U958" s="16">
        <f t="shared" si="29"/>
        <v>0</v>
      </c>
      <c r="V958" s="133"/>
    </row>
    <row r="959" spans="1:22" s="56" customFormat="1">
      <c r="A959" s="58"/>
      <c r="B959" s="36"/>
      <c r="C959" s="58"/>
      <c r="D959" s="57"/>
      <c r="E959" s="57"/>
      <c r="F959" s="41"/>
      <c r="G959" s="41"/>
      <c r="H959" s="41"/>
      <c r="I959" s="57"/>
      <c r="J959" s="36"/>
      <c r="K959" s="57"/>
      <c r="L959" s="57"/>
      <c r="M959" s="57"/>
      <c r="N959" s="42"/>
      <c r="O959" s="57"/>
      <c r="P959" s="43"/>
      <c r="Q959" s="41"/>
      <c r="R959" s="43"/>
      <c r="S959" s="36"/>
      <c r="T959" s="16">
        <f t="shared" si="28"/>
        <v>0</v>
      </c>
      <c r="U959" s="16">
        <f t="shared" si="29"/>
        <v>0</v>
      </c>
      <c r="V959" s="133"/>
    </row>
    <row r="960" spans="1:22" s="56" customFormat="1">
      <c r="A960" s="58"/>
      <c r="B960" s="36"/>
      <c r="C960" s="58"/>
      <c r="D960" s="57"/>
      <c r="E960" s="57"/>
      <c r="F960" s="41"/>
      <c r="G960" s="41"/>
      <c r="H960" s="41"/>
      <c r="I960" s="57"/>
      <c r="J960" s="36"/>
      <c r="K960" s="57"/>
      <c r="L960" s="57"/>
      <c r="M960" s="57"/>
      <c r="N960" s="42"/>
      <c r="O960" s="57"/>
      <c r="P960" s="43"/>
      <c r="Q960" s="41"/>
      <c r="R960" s="43"/>
      <c r="S960" s="36"/>
      <c r="T960" s="16">
        <f t="shared" si="28"/>
        <v>0</v>
      </c>
      <c r="U960" s="16">
        <f t="shared" si="29"/>
        <v>0</v>
      </c>
      <c r="V960" s="133"/>
    </row>
    <row r="961" spans="1:22" s="56" customFormat="1">
      <c r="A961" s="58"/>
      <c r="B961" s="36"/>
      <c r="C961" s="58"/>
      <c r="D961" s="57"/>
      <c r="E961" s="57"/>
      <c r="F961" s="41"/>
      <c r="G961" s="41"/>
      <c r="H961" s="41"/>
      <c r="I961" s="57"/>
      <c r="J961" s="36"/>
      <c r="K961" s="57"/>
      <c r="L961" s="57"/>
      <c r="M961" s="57"/>
      <c r="N961" s="42"/>
      <c r="O961" s="57"/>
      <c r="P961" s="43"/>
      <c r="Q961" s="41"/>
      <c r="R961" s="43"/>
      <c r="S961" s="36"/>
      <c r="T961" s="16">
        <f t="shared" si="28"/>
        <v>0</v>
      </c>
      <c r="U961" s="16">
        <f t="shared" si="29"/>
        <v>0</v>
      </c>
      <c r="V961" s="133"/>
    </row>
    <row r="962" spans="1:22" s="56" customFormat="1">
      <c r="A962" s="58"/>
      <c r="B962" s="36"/>
      <c r="C962" s="58"/>
      <c r="D962" s="57"/>
      <c r="E962" s="57"/>
      <c r="F962" s="41"/>
      <c r="G962" s="41"/>
      <c r="H962" s="41"/>
      <c r="I962" s="57"/>
      <c r="J962" s="36"/>
      <c r="K962" s="57"/>
      <c r="L962" s="57"/>
      <c r="M962" s="57"/>
      <c r="N962" s="42"/>
      <c r="O962" s="57"/>
      <c r="P962" s="43"/>
      <c r="Q962" s="41"/>
      <c r="R962" s="43"/>
      <c r="S962" s="36"/>
      <c r="T962" s="16">
        <f t="shared" si="28"/>
        <v>0</v>
      </c>
      <c r="U962" s="16">
        <f t="shared" si="29"/>
        <v>0</v>
      </c>
      <c r="V962" s="133"/>
    </row>
    <row r="963" spans="1:22" s="56" customFormat="1">
      <c r="A963" s="58"/>
      <c r="B963" s="36"/>
      <c r="C963" s="58"/>
      <c r="D963" s="57"/>
      <c r="E963" s="57"/>
      <c r="F963" s="41"/>
      <c r="G963" s="41"/>
      <c r="H963" s="41"/>
      <c r="I963" s="57"/>
      <c r="J963" s="36"/>
      <c r="K963" s="57"/>
      <c r="L963" s="57"/>
      <c r="M963" s="57"/>
      <c r="N963" s="42"/>
      <c r="O963" s="57"/>
      <c r="P963" s="43"/>
      <c r="Q963" s="41"/>
      <c r="R963" s="43"/>
      <c r="S963" s="36"/>
      <c r="T963" s="16">
        <f t="shared" si="28"/>
        <v>0</v>
      </c>
      <c r="U963" s="16">
        <f t="shared" si="29"/>
        <v>0</v>
      </c>
      <c r="V963" s="133"/>
    </row>
    <row r="964" spans="1:22" s="56" customFormat="1">
      <c r="A964" s="58"/>
      <c r="B964" s="36"/>
      <c r="C964" s="58"/>
      <c r="D964" s="57"/>
      <c r="E964" s="57"/>
      <c r="F964" s="41"/>
      <c r="G964" s="41"/>
      <c r="H964" s="41"/>
      <c r="I964" s="57"/>
      <c r="J964" s="36"/>
      <c r="K964" s="57"/>
      <c r="L964" s="57"/>
      <c r="M964" s="57"/>
      <c r="N964" s="42"/>
      <c r="O964" s="57"/>
      <c r="P964" s="43"/>
      <c r="Q964" s="41"/>
      <c r="R964" s="43"/>
      <c r="S964" s="36"/>
      <c r="T964" s="16">
        <f t="shared" si="28"/>
        <v>0</v>
      </c>
      <c r="U964" s="16">
        <f t="shared" si="29"/>
        <v>0</v>
      </c>
      <c r="V964" s="133"/>
    </row>
    <row r="965" spans="1:22" s="56" customFormat="1">
      <c r="A965" s="58"/>
      <c r="B965" s="36"/>
      <c r="C965" s="58"/>
      <c r="D965" s="57"/>
      <c r="E965" s="57"/>
      <c r="F965" s="41"/>
      <c r="G965" s="41"/>
      <c r="H965" s="41"/>
      <c r="I965" s="57"/>
      <c r="J965" s="36"/>
      <c r="K965" s="57"/>
      <c r="L965" s="57"/>
      <c r="M965" s="57"/>
      <c r="N965" s="42"/>
      <c r="O965" s="57"/>
      <c r="P965" s="43"/>
      <c r="Q965" s="41"/>
      <c r="R965" s="43"/>
      <c r="S965" s="36"/>
      <c r="T965" s="16">
        <f t="shared" ref="T965:T1028" si="30">IF(OR($J965="Accepted",ISBLANK($J965)),IF(AND($G965="Legacy Data",$Q965="Legacy Data"),1,IF(OR($G965="Legacy Data",$Q965="Legacy Data"),1,0)),IF(OR($N965="Agree with original translator",ISBLANK($N965)),IF(AND($G965="Source Text Data",$Q965="Legacy Data"),1,IF(AND($G965="Legacy Data",$Q965="Legacy Data"),1,IF($Q965="Legacy Data",1,0))),IF(AND($G965="Legacy Data",$Q965="Legacy Data"),1,IF(OR($Q965="Legacy Data",ISBLANK($Q965)),IF($G965&lt;&gt;"Legacy Data",IF(AND($G965="Source Text Data",$Q965="Legacy Data"),1,0),1),0))))</f>
        <v>0</v>
      </c>
      <c r="U965" s="16">
        <f t="shared" ref="U965:U1028" si="31">IF(OR($J965="Accepted",ISBLANK($J965)),IF(AND($G965="Source Text Data",$Q965="Source Text Data"),1,IF(OR($G965="Source Text Data",$Q965="Source Text Data"),1,0)),IF(OR($N965="Agree with original translator",ISBLANK($N965)),IF(AND($G965="Legacy Data",$Q965="Source Text Data"),1,IF(AND($G965="Source Text Data",$Q965="Source Text Data"),1,IF($Q965="Source Text Data",1,0))),IF(AND($G965="Source Text Data",$Q965="Source Text Data"),1,IF(OR($Q965="Source Text Data",ISBLANK($Q965)),IF($G965&lt;&gt;"Source Text Data",IF(AND($G965="Legacy Data",$Q965="Source Text Data"),1,0),1),0))))</f>
        <v>0</v>
      </c>
      <c r="V965" s="133"/>
    </row>
    <row r="966" spans="1:22" s="56" customFormat="1">
      <c r="A966" s="58"/>
      <c r="B966" s="36"/>
      <c r="C966" s="58"/>
      <c r="D966" s="57"/>
      <c r="E966" s="57"/>
      <c r="F966" s="41"/>
      <c r="G966" s="41"/>
      <c r="H966" s="41"/>
      <c r="I966" s="57"/>
      <c r="J966" s="36"/>
      <c r="K966" s="57"/>
      <c r="L966" s="57"/>
      <c r="M966" s="57"/>
      <c r="N966" s="42"/>
      <c r="O966" s="57"/>
      <c r="P966" s="43"/>
      <c r="Q966" s="41"/>
      <c r="R966" s="43"/>
      <c r="S966" s="36"/>
      <c r="T966" s="16">
        <f t="shared" si="30"/>
        <v>0</v>
      </c>
      <c r="U966" s="16">
        <f t="shared" si="31"/>
        <v>0</v>
      </c>
      <c r="V966" s="133"/>
    </row>
    <row r="967" spans="1:22" s="56" customFormat="1">
      <c r="A967" s="58"/>
      <c r="B967" s="36"/>
      <c r="C967" s="58"/>
      <c r="D967" s="57"/>
      <c r="E967" s="57"/>
      <c r="F967" s="41"/>
      <c r="G967" s="41"/>
      <c r="H967" s="41"/>
      <c r="I967" s="57"/>
      <c r="J967" s="36"/>
      <c r="K967" s="57"/>
      <c r="L967" s="57"/>
      <c r="M967" s="57"/>
      <c r="N967" s="42"/>
      <c r="O967" s="57"/>
      <c r="P967" s="43"/>
      <c r="Q967" s="41"/>
      <c r="R967" s="43"/>
      <c r="S967" s="36"/>
      <c r="T967" s="16">
        <f t="shared" si="30"/>
        <v>0</v>
      </c>
      <c r="U967" s="16">
        <f t="shared" si="31"/>
        <v>0</v>
      </c>
      <c r="V967" s="133"/>
    </row>
    <row r="968" spans="1:22" s="56" customFormat="1">
      <c r="A968" s="58"/>
      <c r="B968" s="36"/>
      <c r="C968" s="58"/>
      <c r="D968" s="57"/>
      <c r="E968" s="57"/>
      <c r="F968" s="41"/>
      <c r="G968" s="41"/>
      <c r="H968" s="41"/>
      <c r="I968" s="57"/>
      <c r="J968" s="36"/>
      <c r="K968" s="57"/>
      <c r="L968" s="57"/>
      <c r="M968" s="57"/>
      <c r="N968" s="42"/>
      <c r="O968" s="57"/>
      <c r="P968" s="43"/>
      <c r="Q968" s="41"/>
      <c r="R968" s="43"/>
      <c r="S968" s="36"/>
      <c r="T968" s="16">
        <f t="shared" si="30"/>
        <v>0</v>
      </c>
      <c r="U968" s="16">
        <f t="shared" si="31"/>
        <v>0</v>
      </c>
      <c r="V968" s="133"/>
    </row>
    <row r="969" spans="1:22" s="56" customFormat="1">
      <c r="A969" s="58"/>
      <c r="B969" s="36"/>
      <c r="C969" s="58"/>
      <c r="D969" s="57"/>
      <c r="E969" s="57"/>
      <c r="F969" s="41"/>
      <c r="G969" s="41"/>
      <c r="H969" s="41"/>
      <c r="I969" s="57"/>
      <c r="J969" s="36"/>
      <c r="K969" s="57"/>
      <c r="L969" s="57"/>
      <c r="M969" s="57"/>
      <c r="N969" s="42"/>
      <c r="O969" s="57"/>
      <c r="P969" s="43"/>
      <c r="Q969" s="41"/>
      <c r="R969" s="43"/>
      <c r="S969" s="36"/>
      <c r="T969" s="16">
        <f t="shared" si="30"/>
        <v>0</v>
      </c>
      <c r="U969" s="16">
        <f t="shared" si="31"/>
        <v>0</v>
      </c>
      <c r="V969" s="133"/>
    </row>
    <row r="970" spans="1:22" s="56" customFormat="1">
      <c r="A970" s="58"/>
      <c r="B970" s="36"/>
      <c r="C970" s="58"/>
      <c r="D970" s="57"/>
      <c r="E970" s="57"/>
      <c r="F970" s="41"/>
      <c r="G970" s="41"/>
      <c r="H970" s="41"/>
      <c r="I970" s="57"/>
      <c r="J970" s="36"/>
      <c r="K970" s="57"/>
      <c r="L970" s="57"/>
      <c r="M970" s="57"/>
      <c r="N970" s="42"/>
      <c r="O970" s="57"/>
      <c r="P970" s="43"/>
      <c r="Q970" s="41"/>
      <c r="R970" s="43"/>
      <c r="S970" s="36"/>
      <c r="T970" s="16">
        <f t="shared" si="30"/>
        <v>0</v>
      </c>
      <c r="U970" s="16">
        <f t="shared" si="31"/>
        <v>0</v>
      </c>
      <c r="V970" s="133"/>
    </row>
    <row r="971" spans="1:22" s="56" customFormat="1">
      <c r="A971" s="58"/>
      <c r="B971" s="36"/>
      <c r="C971" s="58"/>
      <c r="D971" s="57"/>
      <c r="E971" s="57"/>
      <c r="F971" s="41"/>
      <c r="G971" s="41"/>
      <c r="H971" s="41"/>
      <c r="I971" s="57"/>
      <c r="J971" s="36"/>
      <c r="K971" s="57"/>
      <c r="L971" s="57"/>
      <c r="M971" s="57"/>
      <c r="N971" s="42"/>
      <c r="O971" s="57"/>
      <c r="P971" s="43"/>
      <c r="Q971" s="41"/>
      <c r="R971" s="43"/>
      <c r="S971" s="36"/>
      <c r="T971" s="16">
        <f t="shared" si="30"/>
        <v>0</v>
      </c>
      <c r="U971" s="16">
        <f t="shared" si="31"/>
        <v>0</v>
      </c>
      <c r="V971" s="133"/>
    </row>
    <row r="972" spans="1:22" s="56" customFormat="1">
      <c r="A972" s="58"/>
      <c r="B972" s="36"/>
      <c r="C972" s="58"/>
      <c r="D972" s="57"/>
      <c r="E972" s="57"/>
      <c r="F972" s="41"/>
      <c r="G972" s="41"/>
      <c r="H972" s="41"/>
      <c r="I972" s="57"/>
      <c r="J972" s="36"/>
      <c r="K972" s="57"/>
      <c r="L972" s="57"/>
      <c r="M972" s="57"/>
      <c r="N972" s="42"/>
      <c r="O972" s="57"/>
      <c r="P972" s="43"/>
      <c r="Q972" s="41"/>
      <c r="R972" s="43"/>
      <c r="S972" s="36"/>
      <c r="T972" s="16">
        <f t="shared" si="30"/>
        <v>0</v>
      </c>
      <c r="U972" s="16">
        <f t="shared" si="31"/>
        <v>0</v>
      </c>
      <c r="V972" s="133"/>
    </row>
    <row r="973" spans="1:22" s="56" customFormat="1">
      <c r="A973" s="58"/>
      <c r="B973" s="36"/>
      <c r="C973" s="58"/>
      <c r="D973" s="57"/>
      <c r="E973" s="57"/>
      <c r="F973" s="41"/>
      <c r="G973" s="41"/>
      <c r="H973" s="41"/>
      <c r="I973" s="57"/>
      <c r="J973" s="36"/>
      <c r="K973" s="57"/>
      <c r="L973" s="57"/>
      <c r="M973" s="57"/>
      <c r="N973" s="42"/>
      <c r="O973" s="57"/>
      <c r="P973" s="43"/>
      <c r="Q973" s="41"/>
      <c r="R973" s="43"/>
      <c r="S973" s="36"/>
      <c r="T973" s="16">
        <f t="shared" si="30"/>
        <v>0</v>
      </c>
      <c r="U973" s="16">
        <f t="shared" si="31"/>
        <v>0</v>
      </c>
      <c r="V973" s="133"/>
    </row>
    <row r="974" spans="1:22" s="56" customFormat="1">
      <c r="A974" s="58"/>
      <c r="B974" s="36"/>
      <c r="C974" s="58"/>
      <c r="D974" s="57"/>
      <c r="E974" s="57"/>
      <c r="F974" s="41"/>
      <c r="G974" s="41"/>
      <c r="H974" s="41"/>
      <c r="I974" s="57"/>
      <c r="J974" s="36"/>
      <c r="K974" s="57"/>
      <c r="L974" s="57"/>
      <c r="M974" s="57"/>
      <c r="N974" s="42"/>
      <c r="O974" s="57"/>
      <c r="P974" s="43"/>
      <c r="Q974" s="41"/>
      <c r="R974" s="43"/>
      <c r="S974" s="36"/>
      <c r="T974" s="16">
        <f t="shared" si="30"/>
        <v>0</v>
      </c>
      <c r="U974" s="16">
        <f t="shared" si="31"/>
        <v>0</v>
      </c>
      <c r="V974" s="133"/>
    </row>
    <row r="975" spans="1:22" s="56" customFormat="1">
      <c r="A975" s="58"/>
      <c r="B975" s="36"/>
      <c r="C975" s="58"/>
      <c r="D975" s="57"/>
      <c r="E975" s="57"/>
      <c r="F975" s="41"/>
      <c r="G975" s="41"/>
      <c r="H975" s="41"/>
      <c r="I975" s="57"/>
      <c r="J975" s="36"/>
      <c r="K975" s="57"/>
      <c r="L975" s="57"/>
      <c r="M975" s="57"/>
      <c r="N975" s="42"/>
      <c r="O975" s="57"/>
      <c r="P975" s="43"/>
      <c r="Q975" s="41"/>
      <c r="R975" s="43"/>
      <c r="S975" s="36"/>
      <c r="T975" s="16">
        <f t="shared" si="30"/>
        <v>0</v>
      </c>
      <c r="U975" s="16">
        <f t="shared" si="31"/>
        <v>0</v>
      </c>
      <c r="V975" s="133"/>
    </row>
    <row r="976" spans="1:22" s="56" customFormat="1">
      <c r="A976" s="58"/>
      <c r="B976" s="36"/>
      <c r="C976" s="58"/>
      <c r="D976" s="57"/>
      <c r="E976" s="57"/>
      <c r="F976" s="41"/>
      <c r="G976" s="41"/>
      <c r="H976" s="41"/>
      <c r="I976" s="57"/>
      <c r="J976" s="36"/>
      <c r="K976" s="57"/>
      <c r="L976" s="57"/>
      <c r="M976" s="57"/>
      <c r="N976" s="42"/>
      <c r="O976" s="57"/>
      <c r="P976" s="43"/>
      <c r="Q976" s="41"/>
      <c r="R976" s="43"/>
      <c r="S976" s="36"/>
      <c r="T976" s="16">
        <f t="shared" si="30"/>
        <v>0</v>
      </c>
      <c r="U976" s="16">
        <f t="shared" si="31"/>
        <v>0</v>
      </c>
      <c r="V976" s="133"/>
    </row>
    <row r="977" spans="1:22" s="56" customFormat="1">
      <c r="A977" s="58"/>
      <c r="B977" s="36"/>
      <c r="C977" s="58"/>
      <c r="D977" s="57"/>
      <c r="E977" s="57"/>
      <c r="F977" s="41"/>
      <c r="G977" s="41"/>
      <c r="H977" s="41"/>
      <c r="I977" s="57"/>
      <c r="J977" s="36"/>
      <c r="K977" s="57"/>
      <c r="L977" s="57"/>
      <c r="M977" s="57"/>
      <c r="N977" s="42"/>
      <c r="O977" s="57"/>
      <c r="P977" s="43"/>
      <c r="Q977" s="41"/>
      <c r="R977" s="43"/>
      <c r="S977" s="36"/>
      <c r="T977" s="16">
        <f t="shared" si="30"/>
        <v>0</v>
      </c>
      <c r="U977" s="16">
        <f t="shared" si="31"/>
        <v>0</v>
      </c>
      <c r="V977" s="133"/>
    </row>
    <row r="978" spans="1:22" s="56" customFormat="1">
      <c r="A978" s="58"/>
      <c r="B978" s="36"/>
      <c r="C978" s="58"/>
      <c r="D978" s="57"/>
      <c r="E978" s="57"/>
      <c r="F978" s="41"/>
      <c r="G978" s="41"/>
      <c r="H978" s="41"/>
      <c r="I978" s="57"/>
      <c r="J978" s="36"/>
      <c r="K978" s="57"/>
      <c r="L978" s="57"/>
      <c r="M978" s="57"/>
      <c r="N978" s="42"/>
      <c r="O978" s="57"/>
      <c r="P978" s="43"/>
      <c r="Q978" s="41"/>
      <c r="R978" s="43"/>
      <c r="S978" s="36"/>
      <c r="T978" s="16">
        <f t="shared" si="30"/>
        <v>0</v>
      </c>
      <c r="U978" s="16">
        <f t="shared" si="31"/>
        <v>0</v>
      </c>
      <c r="V978" s="133"/>
    </row>
    <row r="979" spans="1:22" s="56" customFormat="1">
      <c r="A979" s="58"/>
      <c r="B979" s="36"/>
      <c r="C979" s="58"/>
      <c r="D979" s="57"/>
      <c r="E979" s="57"/>
      <c r="F979" s="41"/>
      <c r="G979" s="41"/>
      <c r="H979" s="41"/>
      <c r="I979" s="57"/>
      <c r="J979" s="36"/>
      <c r="K979" s="57"/>
      <c r="L979" s="57"/>
      <c r="M979" s="57"/>
      <c r="N979" s="42"/>
      <c r="O979" s="57"/>
      <c r="P979" s="43"/>
      <c r="Q979" s="41"/>
      <c r="R979" s="43"/>
      <c r="S979" s="36"/>
      <c r="T979" s="16">
        <f t="shared" si="30"/>
        <v>0</v>
      </c>
      <c r="U979" s="16">
        <f t="shared" si="31"/>
        <v>0</v>
      </c>
      <c r="V979" s="133"/>
    </row>
    <row r="980" spans="1:22" s="56" customFormat="1">
      <c r="A980" s="58"/>
      <c r="B980" s="36"/>
      <c r="C980" s="58"/>
      <c r="D980" s="57"/>
      <c r="E980" s="57"/>
      <c r="F980" s="41"/>
      <c r="G980" s="41"/>
      <c r="H980" s="41"/>
      <c r="I980" s="57"/>
      <c r="J980" s="36"/>
      <c r="K980" s="57"/>
      <c r="L980" s="57"/>
      <c r="M980" s="57"/>
      <c r="N980" s="42"/>
      <c r="O980" s="57"/>
      <c r="P980" s="43"/>
      <c r="Q980" s="41"/>
      <c r="R980" s="43"/>
      <c r="S980" s="36"/>
      <c r="T980" s="16">
        <f t="shared" si="30"/>
        <v>0</v>
      </c>
      <c r="U980" s="16">
        <f t="shared" si="31"/>
        <v>0</v>
      </c>
      <c r="V980" s="133"/>
    </row>
    <row r="981" spans="1:22" s="56" customFormat="1">
      <c r="A981" s="58"/>
      <c r="B981" s="36"/>
      <c r="C981" s="58"/>
      <c r="D981" s="57"/>
      <c r="E981" s="57"/>
      <c r="F981" s="41"/>
      <c r="G981" s="41"/>
      <c r="H981" s="41"/>
      <c r="I981" s="57"/>
      <c r="J981" s="36"/>
      <c r="K981" s="57"/>
      <c r="L981" s="57"/>
      <c r="M981" s="57"/>
      <c r="N981" s="42"/>
      <c r="O981" s="57"/>
      <c r="P981" s="43"/>
      <c r="Q981" s="41"/>
      <c r="R981" s="43"/>
      <c r="S981" s="36"/>
      <c r="T981" s="16">
        <f t="shared" si="30"/>
        <v>0</v>
      </c>
      <c r="U981" s="16">
        <f t="shared" si="31"/>
        <v>0</v>
      </c>
      <c r="V981" s="133"/>
    </row>
    <row r="982" spans="1:22" s="56" customFormat="1">
      <c r="A982" s="58"/>
      <c r="B982" s="36"/>
      <c r="C982" s="58"/>
      <c r="D982" s="57"/>
      <c r="E982" s="57"/>
      <c r="F982" s="41"/>
      <c r="G982" s="41"/>
      <c r="H982" s="41"/>
      <c r="I982" s="57"/>
      <c r="J982" s="36"/>
      <c r="K982" s="57"/>
      <c r="L982" s="57"/>
      <c r="M982" s="57"/>
      <c r="N982" s="42"/>
      <c r="O982" s="57"/>
      <c r="P982" s="43"/>
      <c r="Q982" s="41"/>
      <c r="R982" s="43"/>
      <c r="S982" s="36"/>
      <c r="T982" s="16">
        <f t="shared" si="30"/>
        <v>0</v>
      </c>
      <c r="U982" s="16">
        <f t="shared" si="31"/>
        <v>0</v>
      </c>
      <c r="V982" s="133"/>
    </row>
    <row r="983" spans="1:22" s="56" customFormat="1">
      <c r="A983" s="58"/>
      <c r="B983" s="36"/>
      <c r="C983" s="58"/>
      <c r="D983" s="57"/>
      <c r="E983" s="57"/>
      <c r="F983" s="41"/>
      <c r="G983" s="41"/>
      <c r="H983" s="41"/>
      <c r="I983" s="57"/>
      <c r="J983" s="36"/>
      <c r="K983" s="57"/>
      <c r="L983" s="57"/>
      <c r="M983" s="57"/>
      <c r="N983" s="42"/>
      <c r="O983" s="57"/>
      <c r="P983" s="43"/>
      <c r="Q983" s="41"/>
      <c r="R983" s="43"/>
      <c r="S983" s="36"/>
      <c r="T983" s="16">
        <f t="shared" si="30"/>
        <v>0</v>
      </c>
      <c r="U983" s="16">
        <f t="shared" si="31"/>
        <v>0</v>
      </c>
      <c r="V983" s="133"/>
    </row>
    <row r="984" spans="1:22" s="56" customFormat="1">
      <c r="A984" s="58"/>
      <c r="B984" s="36"/>
      <c r="C984" s="58"/>
      <c r="D984" s="57"/>
      <c r="E984" s="57"/>
      <c r="F984" s="41"/>
      <c r="G984" s="41"/>
      <c r="H984" s="41"/>
      <c r="I984" s="57"/>
      <c r="J984" s="36"/>
      <c r="K984" s="57"/>
      <c r="L984" s="57"/>
      <c r="M984" s="57"/>
      <c r="N984" s="42"/>
      <c r="O984" s="57"/>
      <c r="P984" s="43"/>
      <c r="Q984" s="41"/>
      <c r="R984" s="43"/>
      <c r="S984" s="36"/>
      <c r="T984" s="16">
        <f t="shared" si="30"/>
        <v>0</v>
      </c>
      <c r="U984" s="16">
        <f t="shared" si="31"/>
        <v>0</v>
      </c>
      <c r="V984" s="133"/>
    </row>
    <row r="985" spans="1:22" s="56" customFormat="1">
      <c r="A985" s="58"/>
      <c r="B985" s="36"/>
      <c r="C985" s="58"/>
      <c r="D985" s="57"/>
      <c r="E985" s="57"/>
      <c r="F985" s="41"/>
      <c r="G985" s="41"/>
      <c r="H985" s="41"/>
      <c r="I985" s="57"/>
      <c r="J985" s="36"/>
      <c r="K985" s="57"/>
      <c r="L985" s="57"/>
      <c r="M985" s="57"/>
      <c r="N985" s="42"/>
      <c r="O985" s="57"/>
      <c r="P985" s="43"/>
      <c r="Q985" s="41"/>
      <c r="R985" s="43"/>
      <c r="S985" s="36"/>
      <c r="T985" s="16">
        <f t="shared" si="30"/>
        <v>0</v>
      </c>
      <c r="U985" s="16">
        <f t="shared" si="31"/>
        <v>0</v>
      </c>
      <c r="V985" s="133"/>
    </row>
    <row r="986" spans="1:22" s="56" customFormat="1">
      <c r="A986" s="58"/>
      <c r="B986" s="36"/>
      <c r="C986" s="58"/>
      <c r="D986" s="57"/>
      <c r="E986" s="57"/>
      <c r="F986" s="41"/>
      <c r="G986" s="41"/>
      <c r="H986" s="41"/>
      <c r="I986" s="57"/>
      <c r="J986" s="36"/>
      <c r="K986" s="57"/>
      <c r="L986" s="57"/>
      <c r="M986" s="57"/>
      <c r="N986" s="42"/>
      <c r="O986" s="57"/>
      <c r="P986" s="43"/>
      <c r="Q986" s="41"/>
      <c r="R986" s="43"/>
      <c r="S986" s="36"/>
      <c r="T986" s="16">
        <f t="shared" si="30"/>
        <v>0</v>
      </c>
      <c r="U986" s="16">
        <f t="shared" si="31"/>
        <v>0</v>
      </c>
      <c r="V986" s="133"/>
    </row>
    <row r="987" spans="1:22" s="56" customFormat="1">
      <c r="A987" s="58"/>
      <c r="B987" s="36"/>
      <c r="C987" s="58"/>
      <c r="D987" s="57"/>
      <c r="E987" s="57"/>
      <c r="F987" s="41"/>
      <c r="G987" s="41"/>
      <c r="H987" s="41"/>
      <c r="I987" s="57"/>
      <c r="J987" s="36"/>
      <c r="K987" s="57"/>
      <c r="L987" s="57"/>
      <c r="M987" s="57"/>
      <c r="N987" s="42"/>
      <c r="O987" s="57"/>
      <c r="P987" s="43"/>
      <c r="Q987" s="41"/>
      <c r="R987" s="43"/>
      <c r="S987" s="36"/>
      <c r="T987" s="16">
        <f t="shared" si="30"/>
        <v>0</v>
      </c>
      <c r="U987" s="16">
        <f t="shared" si="31"/>
        <v>0</v>
      </c>
      <c r="V987" s="133"/>
    </row>
    <row r="988" spans="1:22" s="56" customFormat="1">
      <c r="A988" s="58"/>
      <c r="B988" s="36"/>
      <c r="C988" s="58"/>
      <c r="D988" s="57"/>
      <c r="E988" s="57"/>
      <c r="F988" s="41"/>
      <c r="G988" s="41"/>
      <c r="H988" s="41"/>
      <c r="I988" s="57"/>
      <c r="J988" s="36"/>
      <c r="K988" s="57"/>
      <c r="L988" s="57"/>
      <c r="M988" s="57"/>
      <c r="N988" s="42"/>
      <c r="O988" s="57"/>
      <c r="P988" s="43"/>
      <c r="Q988" s="41"/>
      <c r="R988" s="43"/>
      <c r="S988" s="36"/>
      <c r="T988" s="16">
        <f t="shared" si="30"/>
        <v>0</v>
      </c>
      <c r="U988" s="16">
        <f t="shared" si="31"/>
        <v>0</v>
      </c>
      <c r="V988" s="133"/>
    </row>
    <row r="989" spans="1:22" s="56" customFormat="1">
      <c r="A989" s="58"/>
      <c r="B989" s="36"/>
      <c r="C989" s="58"/>
      <c r="D989" s="57"/>
      <c r="E989" s="57"/>
      <c r="F989" s="41"/>
      <c r="G989" s="41"/>
      <c r="H989" s="41"/>
      <c r="I989" s="57"/>
      <c r="J989" s="36"/>
      <c r="K989" s="57"/>
      <c r="L989" s="57"/>
      <c r="M989" s="57"/>
      <c r="N989" s="42"/>
      <c r="O989" s="57"/>
      <c r="P989" s="43"/>
      <c r="Q989" s="41"/>
      <c r="R989" s="43"/>
      <c r="S989" s="36"/>
      <c r="T989" s="16">
        <f t="shared" si="30"/>
        <v>0</v>
      </c>
      <c r="U989" s="16">
        <f t="shared" si="31"/>
        <v>0</v>
      </c>
      <c r="V989" s="133"/>
    </row>
    <row r="990" spans="1:22" s="56" customFormat="1">
      <c r="A990" s="58"/>
      <c r="B990" s="36"/>
      <c r="C990" s="58"/>
      <c r="D990" s="57"/>
      <c r="E990" s="57"/>
      <c r="F990" s="41"/>
      <c r="G990" s="41"/>
      <c r="H990" s="41"/>
      <c r="I990" s="57"/>
      <c r="J990" s="36"/>
      <c r="K990" s="57"/>
      <c r="L990" s="57"/>
      <c r="M990" s="57"/>
      <c r="N990" s="42"/>
      <c r="O990" s="57"/>
      <c r="P990" s="43"/>
      <c r="Q990" s="41"/>
      <c r="R990" s="43"/>
      <c r="S990" s="36"/>
      <c r="T990" s="16">
        <f t="shared" si="30"/>
        <v>0</v>
      </c>
      <c r="U990" s="16">
        <f t="shared" si="31"/>
        <v>0</v>
      </c>
      <c r="V990" s="133"/>
    </row>
    <row r="991" spans="1:22" s="56" customFormat="1">
      <c r="A991" s="58"/>
      <c r="B991" s="36"/>
      <c r="C991" s="58"/>
      <c r="D991" s="57"/>
      <c r="E991" s="57"/>
      <c r="F991" s="41"/>
      <c r="G991" s="41"/>
      <c r="H991" s="41"/>
      <c r="I991" s="57"/>
      <c r="J991" s="36"/>
      <c r="K991" s="57"/>
      <c r="L991" s="57"/>
      <c r="M991" s="57"/>
      <c r="N991" s="42"/>
      <c r="O991" s="57"/>
      <c r="P991" s="43"/>
      <c r="Q991" s="41"/>
      <c r="R991" s="43"/>
      <c r="S991" s="36"/>
      <c r="T991" s="16">
        <f t="shared" si="30"/>
        <v>0</v>
      </c>
      <c r="U991" s="16">
        <f t="shared" si="31"/>
        <v>0</v>
      </c>
      <c r="V991" s="133"/>
    </row>
    <row r="992" spans="1:22" s="56" customFormat="1">
      <c r="A992" s="58"/>
      <c r="B992" s="36"/>
      <c r="C992" s="58"/>
      <c r="D992" s="57"/>
      <c r="E992" s="57"/>
      <c r="F992" s="41"/>
      <c r="G992" s="41"/>
      <c r="H992" s="41"/>
      <c r="I992" s="57"/>
      <c r="J992" s="36"/>
      <c r="K992" s="57"/>
      <c r="L992" s="57"/>
      <c r="M992" s="57"/>
      <c r="N992" s="42"/>
      <c r="O992" s="57"/>
      <c r="P992" s="43"/>
      <c r="Q992" s="41"/>
      <c r="R992" s="43"/>
      <c r="S992" s="36"/>
      <c r="T992" s="16">
        <f t="shared" si="30"/>
        <v>0</v>
      </c>
      <c r="U992" s="16">
        <f t="shared" si="31"/>
        <v>0</v>
      </c>
      <c r="V992" s="133"/>
    </row>
    <row r="993" spans="1:22" s="56" customFormat="1">
      <c r="A993" s="58"/>
      <c r="B993" s="36"/>
      <c r="C993" s="58"/>
      <c r="D993" s="57"/>
      <c r="E993" s="57"/>
      <c r="F993" s="41"/>
      <c r="G993" s="41"/>
      <c r="H993" s="41"/>
      <c r="I993" s="57"/>
      <c r="J993" s="36"/>
      <c r="K993" s="57"/>
      <c r="L993" s="57"/>
      <c r="M993" s="57"/>
      <c r="N993" s="42"/>
      <c r="O993" s="57"/>
      <c r="P993" s="43"/>
      <c r="Q993" s="41"/>
      <c r="R993" s="43"/>
      <c r="S993" s="36"/>
      <c r="T993" s="16">
        <f t="shared" si="30"/>
        <v>0</v>
      </c>
      <c r="U993" s="16">
        <f t="shared" si="31"/>
        <v>0</v>
      </c>
      <c r="V993" s="133"/>
    </row>
    <row r="994" spans="1:22" s="56" customFormat="1">
      <c r="A994" s="58"/>
      <c r="B994" s="36"/>
      <c r="C994" s="58"/>
      <c r="D994" s="57"/>
      <c r="E994" s="57"/>
      <c r="F994" s="41"/>
      <c r="G994" s="41"/>
      <c r="H994" s="41"/>
      <c r="I994" s="57"/>
      <c r="J994" s="36"/>
      <c r="K994" s="57"/>
      <c r="L994" s="57"/>
      <c r="M994" s="57"/>
      <c r="N994" s="42"/>
      <c r="O994" s="57"/>
      <c r="P994" s="43"/>
      <c r="Q994" s="41"/>
      <c r="R994" s="43"/>
      <c r="S994" s="36"/>
      <c r="T994" s="16">
        <f t="shared" si="30"/>
        <v>0</v>
      </c>
      <c r="U994" s="16">
        <f t="shared" si="31"/>
        <v>0</v>
      </c>
      <c r="V994" s="133"/>
    </row>
    <row r="995" spans="1:22" s="56" customFormat="1">
      <c r="A995" s="58"/>
      <c r="B995" s="36"/>
      <c r="C995" s="58"/>
      <c r="D995" s="57"/>
      <c r="E995" s="57"/>
      <c r="F995" s="41"/>
      <c r="G995" s="41"/>
      <c r="H995" s="41"/>
      <c r="I995" s="57"/>
      <c r="J995" s="36"/>
      <c r="K995" s="57"/>
      <c r="L995" s="57"/>
      <c r="M995" s="57"/>
      <c r="N995" s="42"/>
      <c r="O995" s="57"/>
      <c r="P995" s="43"/>
      <c r="Q995" s="41"/>
      <c r="R995" s="43"/>
      <c r="S995" s="36"/>
      <c r="T995" s="16">
        <f t="shared" si="30"/>
        <v>0</v>
      </c>
      <c r="U995" s="16">
        <f t="shared" si="31"/>
        <v>0</v>
      </c>
      <c r="V995" s="133"/>
    </row>
    <row r="996" spans="1:22" s="56" customFormat="1">
      <c r="A996" s="58"/>
      <c r="B996" s="36"/>
      <c r="C996" s="58"/>
      <c r="D996" s="57"/>
      <c r="E996" s="57"/>
      <c r="F996" s="41"/>
      <c r="G996" s="41"/>
      <c r="H996" s="41"/>
      <c r="I996" s="57"/>
      <c r="J996" s="36"/>
      <c r="K996" s="57"/>
      <c r="L996" s="57"/>
      <c r="M996" s="57"/>
      <c r="N996" s="42"/>
      <c r="O996" s="57"/>
      <c r="P996" s="43"/>
      <c r="Q996" s="41"/>
      <c r="R996" s="43"/>
      <c r="S996" s="36"/>
      <c r="T996" s="16">
        <f t="shared" si="30"/>
        <v>0</v>
      </c>
      <c r="U996" s="16">
        <f t="shared" si="31"/>
        <v>0</v>
      </c>
      <c r="V996" s="133"/>
    </row>
    <row r="997" spans="1:22" s="56" customFormat="1">
      <c r="A997" s="58"/>
      <c r="B997" s="36"/>
      <c r="C997" s="58"/>
      <c r="D997" s="57"/>
      <c r="E997" s="57"/>
      <c r="F997" s="41"/>
      <c r="G997" s="41"/>
      <c r="H997" s="41"/>
      <c r="I997" s="57"/>
      <c r="J997" s="36"/>
      <c r="K997" s="57"/>
      <c r="L997" s="57"/>
      <c r="M997" s="57"/>
      <c r="N997" s="42"/>
      <c r="O997" s="57"/>
      <c r="P997" s="43"/>
      <c r="Q997" s="41"/>
      <c r="R997" s="43"/>
      <c r="S997" s="36"/>
      <c r="T997" s="16">
        <f t="shared" si="30"/>
        <v>0</v>
      </c>
      <c r="U997" s="16">
        <f t="shared" si="31"/>
        <v>0</v>
      </c>
      <c r="V997" s="133"/>
    </row>
    <row r="998" spans="1:22" s="56" customFormat="1">
      <c r="A998" s="58"/>
      <c r="B998" s="36"/>
      <c r="C998" s="58"/>
      <c r="D998" s="57"/>
      <c r="E998" s="57"/>
      <c r="F998" s="41"/>
      <c r="G998" s="41"/>
      <c r="H998" s="41"/>
      <c r="I998" s="57"/>
      <c r="J998" s="36"/>
      <c r="K998" s="57"/>
      <c r="L998" s="57"/>
      <c r="M998" s="57"/>
      <c r="N998" s="42"/>
      <c r="O998" s="57"/>
      <c r="P998" s="43"/>
      <c r="Q998" s="41"/>
      <c r="R998" s="43"/>
      <c r="S998" s="36"/>
      <c r="T998" s="16">
        <f t="shared" si="30"/>
        <v>0</v>
      </c>
      <c r="U998" s="16">
        <f t="shared" si="31"/>
        <v>0</v>
      </c>
      <c r="V998" s="133"/>
    </row>
    <row r="999" spans="1:22" s="56" customFormat="1">
      <c r="A999" s="58"/>
      <c r="B999" s="36"/>
      <c r="C999" s="58"/>
      <c r="D999" s="57"/>
      <c r="E999" s="57"/>
      <c r="F999" s="41"/>
      <c r="G999" s="41"/>
      <c r="H999" s="41"/>
      <c r="I999" s="57"/>
      <c r="J999" s="36"/>
      <c r="K999" s="57"/>
      <c r="L999" s="57"/>
      <c r="M999" s="57"/>
      <c r="N999" s="42"/>
      <c r="O999" s="57"/>
      <c r="P999" s="43"/>
      <c r="Q999" s="41"/>
      <c r="R999" s="43"/>
      <c r="S999" s="36"/>
      <c r="T999" s="16">
        <f t="shared" si="30"/>
        <v>0</v>
      </c>
      <c r="U999" s="16">
        <f t="shared" si="31"/>
        <v>0</v>
      </c>
      <c r="V999" s="133"/>
    </row>
    <row r="1000" spans="1:22" s="56" customFormat="1">
      <c r="A1000" s="58"/>
      <c r="B1000" s="36"/>
      <c r="C1000" s="58"/>
      <c r="D1000" s="57"/>
      <c r="E1000" s="57"/>
      <c r="F1000" s="41"/>
      <c r="G1000" s="41"/>
      <c r="H1000" s="41"/>
      <c r="I1000" s="57"/>
      <c r="J1000" s="36"/>
      <c r="K1000" s="57"/>
      <c r="L1000" s="57"/>
      <c r="M1000" s="57"/>
      <c r="N1000" s="42"/>
      <c r="O1000" s="57"/>
      <c r="P1000" s="43"/>
      <c r="Q1000" s="41"/>
      <c r="R1000" s="43"/>
      <c r="S1000" s="36"/>
      <c r="T1000" s="16">
        <f t="shared" si="30"/>
        <v>0</v>
      </c>
      <c r="U1000" s="16">
        <f t="shared" si="31"/>
        <v>0</v>
      </c>
      <c r="V1000" s="133"/>
    </row>
    <row r="1001" spans="1:22" s="56" customFormat="1">
      <c r="A1001" s="58"/>
      <c r="B1001" s="36"/>
      <c r="C1001" s="58"/>
      <c r="D1001" s="57"/>
      <c r="E1001" s="57"/>
      <c r="F1001" s="41"/>
      <c r="G1001" s="41"/>
      <c r="H1001" s="41"/>
      <c r="I1001" s="57"/>
      <c r="J1001" s="36"/>
      <c r="K1001" s="57"/>
      <c r="L1001" s="57"/>
      <c r="M1001" s="57"/>
      <c r="N1001" s="42"/>
      <c r="O1001" s="57"/>
      <c r="P1001" s="43"/>
      <c r="Q1001" s="41"/>
      <c r="R1001" s="43"/>
      <c r="S1001" s="36"/>
      <c r="T1001" s="16">
        <f t="shared" si="30"/>
        <v>0</v>
      </c>
      <c r="U1001" s="16">
        <f t="shared" si="31"/>
        <v>0</v>
      </c>
      <c r="V1001" s="133"/>
    </row>
    <row r="1002" spans="1:22" s="56" customFormat="1">
      <c r="A1002" s="58"/>
      <c r="B1002" s="36"/>
      <c r="C1002" s="58"/>
      <c r="D1002" s="57"/>
      <c r="E1002" s="57"/>
      <c r="F1002" s="41"/>
      <c r="G1002" s="41"/>
      <c r="H1002" s="41"/>
      <c r="I1002" s="57"/>
      <c r="J1002" s="36"/>
      <c r="K1002" s="57"/>
      <c r="L1002" s="57"/>
      <c r="M1002" s="57"/>
      <c r="N1002" s="42"/>
      <c r="O1002" s="57"/>
      <c r="P1002" s="43"/>
      <c r="Q1002" s="41"/>
      <c r="R1002" s="43"/>
      <c r="S1002" s="36"/>
      <c r="T1002" s="16">
        <f t="shared" si="30"/>
        <v>0</v>
      </c>
      <c r="U1002" s="16">
        <f t="shared" si="31"/>
        <v>0</v>
      </c>
      <c r="V1002" s="133"/>
    </row>
    <row r="1003" spans="1:22" s="56" customFormat="1">
      <c r="A1003" s="58"/>
      <c r="B1003" s="36"/>
      <c r="C1003" s="58"/>
      <c r="D1003" s="57"/>
      <c r="E1003" s="57"/>
      <c r="F1003" s="41"/>
      <c r="G1003" s="41"/>
      <c r="H1003" s="41"/>
      <c r="I1003" s="57"/>
      <c r="J1003" s="36"/>
      <c r="K1003" s="57"/>
      <c r="L1003" s="57"/>
      <c r="M1003" s="57"/>
      <c r="N1003" s="42"/>
      <c r="O1003" s="57"/>
      <c r="P1003" s="43"/>
      <c r="Q1003" s="41"/>
      <c r="R1003" s="43"/>
      <c r="S1003" s="36"/>
      <c r="T1003" s="16">
        <f t="shared" si="30"/>
        <v>0</v>
      </c>
      <c r="U1003" s="16">
        <f t="shared" si="31"/>
        <v>0</v>
      </c>
      <c r="V1003" s="133"/>
    </row>
    <row r="1004" spans="1:22" s="56" customFormat="1">
      <c r="A1004" s="58"/>
      <c r="B1004" s="36"/>
      <c r="C1004" s="58"/>
      <c r="D1004" s="57"/>
      <c r="E1004" s="57"/>
      <c r="F1004" s="41"/>
      <c r="G1004" s="41"/>
      <c r="H1004" s="41"/>
      <c r="I1004" s="57"/>
      <c r="J1004" s="36"/>
      <c r="K1004" s="57"/>
      <c r="L1004" s="57"/>
      <c r="M1004" s="57"/>
      <c r="N1004" s="42"/>
      <c r="O1004" s="57"/>
      <c r="P1004" s="43"/>
      <c r="Q1004" s="41"/>
      <c r="R1004" s="43"/>
      <c r="S1004" s="36"/>
      <c r="T1004" s="16">
        <f t="shared" si="30"/>
        <v>0</v>
      </c>
      <c r="U1004" s="16">
        <f t="shared" si="31"/>
        <v>0</v>
      </c>
      <c r="V1004" s="133"/>
    </row>
    <row r="1005" spans="1:22" s="56" customFormat="1">
      <c r="A1005" s="58"/>
      <c r="B1005" s="36"/>
      <c r="C1005" s="58"/>
      <c r="D1005" s="57"/>
      <c r="E1005" s="57"/>
      <c r="F1005" s="41"/>
      <c r="G1005" s="41"/>
      <c r="H1005" s="41"/>
      <c r="I1005" s="57"/>
      <c r="J1005" s="36"/>
      <c r="K1005" s="57"/>
      <c r="L1005" s="57"/>
      <c r="M1005" s="57"/>
      <c r="N1005" s="42"/>
      <c r="O1005" s="57"/>
      <c r="P1005" s="43"/>
      <c r="Q1005" s="41"/>
      <c r="R1005" s="43"/>
      <c r="S1005" s="36"/>
      <c r="T1005" s="16">
        <f t="shared" si="30"/>
        <v>0</v>
      </c>
      <c r="U1005" s="16">
        <f t="shared" si="31"/>
        <v>0</v>
      </c>
      <c r="V1005" s="133"/>
    </row>
    <row r="1006" spans="1:22" s="56" customFormat="1">
      <c r="A1006" s="58"/>
      <c r="B1006" s="36"/>
      <c r="C1006" s="58"/>
      <c r="D1006" s="57"/>
      <c r="E1006" s="57"/>
      <c r="F1006" s="41"/>
      <c r="G1006" s="41"/>
      <c r="H1006" s="41"/>
      <c r="I1006" s="57"/>
      <c r="J1006" s="36"/>
      <c r="K1006" s="57"/>
      <c r="L1006" s="57"/>
      <c r="M1006" s="57"/>
      <c r="N1006" s="42"/>
      <c r="O1006" s="57"/>
      <c r="P1006" s="43"/>
      <c r="Q1006" s="41"/>
      <c r="R1006" s="43"/>
      <c r="S1006" s="36"/>
      <c r="T1006" s="16">
        <f t="shared" si="30"/>
        <v>0</v>
      </c>
      <c r="U1006" s="16">
        <f t="shared" si="31"/>
        <v>0</v>
      </c>
      <c r="V1006" s="133"/>
    </row>
    <row r="1007" spans="1:22" s="56" customFormat="1">
      <c r="A1007" s="58"/>
      <c r="B1007" s="36"/>
      <c r="C1007" s="58"/>
      <c r="D1007" s="57"/>
      <c r="E1007" s="57"/>
      <c r="F1007" s="41"/>
      <c r="G1007" s="41"/>
      <c r="H1007" s="41"/>
      <c r="I1007" s="57"/>
      <c r="J1007" s="36"/>
      <c r="K1007" s="57"/>
      <c r="L1007" s="57"/>
      <c r="M1007" s="57"/>
      <c r="N1007" s="42"/>
      <c r="O1007" s="57"/>
      <c r="P1007" s="43"/>
      <c r="Q1007" s="41"/>
      <c r="R1007" s="43"/>
      <c r="S1007" s="36"/>
      <c r="T1007" s="16">
        <f t="shared" si="30"/>
        <v>0</v>
      </c>
      <c r="U1007" s="16">
        <f t="shared" si="31"/>
        <v>0</v>
      </c>
      <c r="V1007" s="133"/>
    </row>
    <row r="1008" spans="1:22" s="56" customFormat="1">
      <c r="A1008" s="58"/>
      <c r="B1008" s="36"/>
      <c r="C1008" s="58"/>
      <c r="D1008" s="57"/>
      <c r="E1008" s="57"/>
      <c r="F1008" s="41"/>
      <c r="G1008" s="41"/>
      <c r="H1008" s="41"/>
      <c r="I1008" s="57"/>
      <c r="J1008" s="36"/>
      <c r="K1008" s="57"/>
      <c r="L1008" s="57"/>
      <c r="M1008" s="57"/>
      <c r="N1008" s="42"/>
      <c r="O1008" s="57"/>
      <c r="P1008" s="43"/>
      <c r="Q1008" s="41"/>
      <c r="R1008" s="43"/>
      <c r="S1008" s="36"/>
      <c r="T1008" s="16">
        <f t="shared" si="30"/>
        <v>0</v>
      </c>
      <c r="U1008" s="16">
        <f t="shared" si="31"/>
        <v>0</v>
      </c>
      <c r="V1008" s="133"/>
    </row>
    <row r="1009" spans="1:22" s="56" customFormat="1">
      <c r="A1009" s="58"/>
      <c r="B1009" s="36"/>
      <c r="C1009" s="58"/>
      <c r="D1009" s="57"/>
      <c r="E1009" s="57"/>
      <c r="F1009" s="41"/>
      <c r="G1009" s="41"/>
      <c r="H1009" s="41"/>
      <c r="I1009" s="57"/>
      <c r="J1009" s="36"/>
      <c r="K1009" s="57"/>
      <c r="L1009" s="57"/>
      <c r="M1009" s="57"/>
      <c r="N1009" s="42"/>
      <c r="O1009" s="57"/>
      <c r="P1009" s="43"/>
      <c r="Q1009" s="41"/>
      <c r="R1009" s="43"/>
      <c r="S1009" s="36"/>
      <c r="T1009" s="16">
        <f t="shared" si="30"/>
        <v>0</v>
      </c>
      <c r="U1009" s="16">
        <f t="shared" si="31"/>
        <v>0</v>
      </c>
      <c r="V1009" s="133"/>
    </row>
    <row r="1010" spans="1:22" s="56" customFormat="1">
      <c r="A1010" s="58"/>
      <c r="B1010" s="36"/>
      <c r="C1010" s="58"/>
      <c r="D1010" s="57"/>
      <c r="E1010" s="57"/>
      <c r="F1010" s="41"/>
      <c r="G1010" s="41"/>
      <c r="H1010" s="41"/>
      <c r="I1010" s="57"/>
      <c r="J1010" s="36"/>
      <c r="K1010" s="57"/>
      <c r="L1010" s="57"/>
      <c r="M1010" s="57"/>
      <c r="N1010" s="42"/>
      <c r="O1010" s="57"/>
      <c r="P1010" s="43"/>
      <c r="Q1010" s="41"/>
      <c r="R1010" s="43"/>
      <c r="S1010" s="36"/>
      <c r="T1010" s="16">
        <f t="shared" si="30"/>
        <v>0</v>
      </c>
      <c r="U1010" s="16">
        <f t="shared" si="31"/>
        <v>0</v>
      </c>
      <c r="V1010" s="133"/>
    </row>
    <row r="1011" spans="1:22" s="56" customFormat="1">
      <c r="A1011" s="58"/>
      <c r="B1011" s="36"/>
      <c r="C1011" s="58"/>
      <c r="D1011" s="57"/>
      <c r="E1011" s="57"/>
      <c r="F1011" s="41"/>
      <c r="G1011" s="41"/>
      <c r="H1011" s="41"/>
      <c r="I1011" s="57"/>
      <c r="J1011" s="36"/>
      <c r="K1011" s="57"/>
      <c r="L1011" s="57"/>
      <c r="M1011" s="57"/>
      <c r="N1011" s="42"/>
      <c r="O1011" s="57"/>
      <c r="P1011" s="43"/>
      <c r="Q1011" s="41"/>
      <c r="R1011" s="43"/>
      <c r="S1011" s="36"/>
      <c r="T1011" s="16">
        <f t="shared" si="30"/>
        <v>0</v>
      </c>
      <c r="U1011" s="16">
        <f t="shared" si="31"/>
        <v>0</v>
      </c>
      <c r="V1011" s="133"/>
    </row>
    <row r="1012" spans="1:22" s="56" customFormat="1">
      <c r="A1012" s="58"/>
      <c r="B1012" s="36"/>
      <c r="C1012" s="58"/>
      <c r="D1012" s="57"/>
      <c r="E1012" s="57"/>
      <c r="F1012" s="41"/>
      <c r="G1012" s="41"/>
      <c r="H1012" s="41"/>
      <c r="I1012" s="57"/>
      <c r="J1012" s="36"/>
      <c r="K1012" s="57"/>
      <c r="L1012" s="57"/>
      <c r="M1012" s="57"/>
      <c r="N1012" s="42"/>
      <c r="O1012" s="57"/>
      <c r="P1012" s="43"/>
      <c r="Q1012" s="41"/>
      <c r="R1012" s="43"/>
      <c r="S1012" s="36"/>
      <c r="T1012" s="16">
        <f t="shared" si="30"/>
        <v>0</v>
      </c>
      <c r="U1012" s="16">
        <f t="shared" si="31"/>
        <v>0</v>
      </c>
      <c r="V1012" s="133"/>
    </row>
    <row r="1013" spans="1:22" s="56" customFormat="1">
      <c r="A1013" s="58"/>
      <c r="B1013" s="36"/>
      <c r="C1013" s="58"/>
      <c r="D1013" s="57"/>
      <c r="E1013" s="57"/>
      <c r="F1013" s="41"/>
      <c r="G1013" s="41"/>
      <c r="H1013" s="41"/>
      <c r="I1013" s="57"/>
      <c r="J1013" s="36"/>
      <c r="K1013" s="57"/>
      <c r="L1013" s="57"/>
      <c r="M1013" s="57"/>
      <c r="N1013" s="42"/>
      <c r="O1013" s="57"/>
      <c r="P1013" s="43"/>
      <c r="Q1013" s="41"/>
      <c r="R1013" s="43"/>
      <c r="S1013" s="36"/>
      <c r="T1013" s="16">
        <f t="shared" si="30"/>
        <v>0</v>
      </c>
      <c r="U1013" s="16">
        <f t="shared" si="31"/>
        <v>0</v>
      </c>
      <c r="V1013" s="133"/>
    </row>
    <row r="1014" spans="1:22" s="56" customFormat="1">
      <c r="A1014" s="58"/>
      <c r="B1014" s="36"/>
      <c r="C1014" s="58"/>
      <c r="D1014" s="57"/>
      <c r="E1014" s="57"/>
      <c r="F1014" s="41"/>
      <c r="G1014" s="41"/>
      <c r="H1014" s="41"/>
      <c r="I1014" s="57"/>
      <c r="J1014" s="36"/>
      <c r="K1014" s="57"/>
      <c r="L1014" s="57"/>
      <c r="M1014" s="57"/>
      <c r="N1014" s="42"/>
      <c r="O1014" s="57"/>
      <c r="P1014" s="43"/>
      <c r="Q1014" s="41"/>
      <c r="R1014" s="43"/>
      <c r="S1014" s="36"/>
      <c r="T1014" s="16">
        <f t="shared" si="30"/>
        <v>0</v>
      </c>
      <c r="U1014" s="16">
        <f t="shared" si="31"/>
        <v>0</v>
      </c>
      <c r="V1014" s="133"/>
    </row>
    <row r="1015" spans="1:22" s="56" customFormat="1">
      <c r="A1015" s="58"/>
      <c r="B1015" s="36"/>
      <c r="C1015" s="58"/>
      <c r="D1015" s="57"/>
      <c r="E1015" s="57"/>
      <c r="F1015" s="41"/>
      <c r="G1015" s="41"/>
      <c r="H1015" s="41"/>
      <c r="I1015" s="57"/>
      <c r="J1015" s="36"/>
      <c r="K1015" s="57"/>
      <c r="L1015" s="57"/>
      <c r="M1015" s="57"/>
      <c r="N1015" s="42"/>
      <c r="O1015" s="57"/>
      <c r="P1015" s="43"/>
      <c r="Q1015" s="41"/>
      <c r="R1015" s="43"/>
      <c r="S1015" s="36"/>
      <c r="T1015" s="16">
        <f t="shared" si="30"/>
        <v>0</v>
      </c>
      <c r="U1015" s="16">
        <f t="shared" si="31"/>
        <v>0</v>
      </c>
      <c r="V1015" s="133"/>
    </row>
    <row r="1016" spans="1:22" s="56" customFormat="1">
      <c r="A1016" s="58"/>
      <c r="B1016" s="36"/>
      <c r="C1016" s="58"/>
      <c r="D1016" s="57"/>
      <c r="E1016" s="57"/>
      <c r="F1016" s="41"/>
      <c r="G1016" s="41"/>
      <c r="H1016" s="41"/>
      <c r="I1016" s="57"/>
      <c r="J1016" s="36"/>
      <c r="K1016" s="57"/>
      <c r="L1016" s="57"/>
      <c r="M1016" s="57"/>
      <c r="N1016" s="42"/>
      <c r="O1016" s="57"/>
      <c r="P1016" s="43"/>
      <c r="Q1016" s="41"/>
      <c r="R1016" s="43"/>
      <c r="S1016" s="36"/>
      <c r="T1016" s="16">
        <f t="shared" si="30"/>
        <v>0</v>
      </c>
      <c r="U1016" s="16">
        <f t="shared" si="31"/>
        <v>0</v>
      </c>
      <c r="V1016" s="133"/>
    </row>
    <row r="1017" spans="1:22" s="56" customFormat="1">
      <c r="A1017" s="58"/>
      <c r="B1017" s="36"/>
      <c r="C1017" s="58"/>
      <c r="D1017" s="57"/>
      <c r="E1017" s="57"/>
      <c r="F1017" s="41"/>
      <c r="G1017" s="41"/>
      <c r="H1017" s="41"/>
      <c r="I1017" s="57"/>
      <c r="J1017" s="36"/>
      <c r="K1017" s="57"/>
      <c r="L1017" s="57"/>
      <c r="M1017" s="57"/>
      <c r="N1017" s="42"/>
      <c r="O1017" s="57"/>
      <c r="P1017" s="43"/>
      <c r="Q1017" s="41"/>
      <c r="R1017" s="43"/>
      <c r="S1017" s="36"/>
      <c r="T1017" s="16">
        <f t="shared" si="30"/>
        <v>0</v>
      </c>
      <c r="U1017" s="16">
        <f t="shared" si="31"/>
        <v>0</v>
      </c>
      <c r="V1017" s="133"/>
    </row>
    <row r="1018" spans="1:22" s="56" customFormat="1">
      <c r="A1018" s="58"/>
      <c r="B1018" s="36"/>
      <c r="C1018" s="58"/>
      <c r="D1018" s="57"/>
      <c r="E1018" s="57"/>
      <c r="F1018" s="41"/>
      <c r="G1018" s="41"/>
      <c r="H1018" s="41"/>
      <c r="I1018" s="57"/>
      <c r="J1018" s="36"/>
      <c r="K1018" s="57"/>
      <c r="L1018" s="57"/>
      <c r="M1018" s="57"/>
      <c r="N1018" s="42"/>
      <c r="O1018" s="57"/>
      <c r="P1018" s="43"/>
      <c r="Q1018" s="41"/>
      <c r="R1018" s="43"/>
      <c r="S1018" s="36"/>
      <c r="T1018" s="16">
        <f t="shared" si="30"/>
        <v>0</v>
      </c>
      <c r="U1018" s="16">
        <f t="shared" si="31"/>
        <v>0</v>
      </c>
      <c r="V1018" s="133"/>
    </row>
    <row r="1019" spans="1:22" s="56" customFormat="1">
      <c r="A1019" s="58"/>
      <c r="B1019" s="36"/>
      <c r="C1019" s="58"/>
      <c r="D1019" s="57"/>
      <c r="E1019" s="57"/>
      <c r="F1019" s="41"/>
      <c r="G1019" s="41"/>
      <c r="H1019" s="41"/>
      <c r="I1019" s="57"/>
      <c r="J1019" s="36"/>
      <c r="K1019" s="57"/>
      <c r="L1019" s="57"/>
      <c r="M1019" s="57"/>
      <c r="N1019" s="42"/>
      <c r="O1019" s="57"/>
      <c r="P1019" s="43"/>
      <c r="Q1019" s="41"/>
      <c r="R1019" s="43"/>
      <c r="S1019" s="36"/>
      <c r="T1019" s="16">
        <f t="shared" si="30"/>
        <v>0</v>
      </c>
      <c r="U1019" s="16">
        <f t="shared" si="31"/>
        <v>0</v>
      </c>
      <c r="V1019" s="133"/>
    </row>
    <row r="1020" spans="1:22" s="56" customFormat="1">
      <c r="A1020" s="58"/>
      <c r="B1020" s="36"/>
      <c r="C1020" s="58"/>
      <c r="D1020" s="57"/>
      <c r="E1020" s="57"/>
      <c r="F1020" s="41"/>
      <c r="G1020" s="41"/>
      <c r="H1020" s="41"/>
      <c r="I1020" s="57"/>
      <c r="J1020" s="36"/>
      <c r="K1020" s="57"/>
      <c r="L1020" s="57"/>
      <c r="M1020" s="57"/>
      <c r="N1020" s="42"/>
      <c r="O1020" s="57"/>
      <c r="P1020" s="43"/>
      <c r="Q1020" s="41"/>
      <c r="R1020" s="43"/>
      <c r="S1020" s="36"/>
      <c r="T1020" s="16">
        <f t="shared" si="30"/>
        <v>0</v>
      </c>
      <c r="U1020" s="16">
        <f t="shared" si="31"/>
        <v>0</v>
      </c>
      <c r="V1020" s="133"/>
    </row>
    <row r="1021" spans="1:22" s="56" customFormat="1">
      <c r="A1021" s="58"/>
      <c r="B1021" s="36"/>
      <c r="C1021" s="58"/>
      <c r="D1021" s="57"/>
      <c r="E1021" s="57"/>
      <c r="F1021" s="41"/>
      <c r="G1021" s="41"/>
      <c r="H1021" s="41"/>
      <c r="I1021" s="57"/>
      <c r="J1021" s="36"/>
      <c r="K1021" s="57"/>
      <c r="L1021" s="57"/>
      <c r="M1021" s="57"/>
      <c r="N1021" s="42"/>
      <c r="O1021" s="57"/>
      <c r="P1021" s="43"/>
      <c r="Q1021" s="41"/>
      <c r="R1021" s="43"/>
      <c r="S1021" s="36"/>
      <c r="T1021" s="16">
        <f t="shared" si="30"/>
        <v>0</v>
      </c>
      <c r="U1021" s="16">
        <f t="shared" si="31"/>
        <v>0</v>
      </c>
      <c r="V1021" s="133"/>
    </row>
    <row r="1022" spans="1:22" s="56" customFormat="1">
      <c r="A1022" s="58"/>
      <c r="B1022" s="36"/>
      <c r="C1022" s="58"/>
      <c r="D1022" s="57"/>
      <c r="E1022" s="57"/>
      <c r="F1022" s="41"/>
      <c r="G1022" s="41"/>
      <c r="H1022" s="41"/>
      <c r="I1022" s="57"/>
      <c r="J1022" s="36"/>
      <c r="K1022" s="57"/>
      <c r="L1022" s="57"/>
      <c r="M1022" s="57"/>
      <c r="N1022" s="42"/>
      <c r="O1022" s="57"/>
      <c r="P1022" s="43"/>
      <c r="Q1022" s="41"/>
      <c r="R1022" s="43"/>
      <c r="S1022" s="36"/>
      <c r="T1022" s="16">
        <f t="shared" si="30"/>
        <v>0</v>
      </c>
      <c r="U1022" s="16">
        <f t="shared" si="31"/>
        <v>0</v>
      </c>
      <c r="V1022" s="133"/>
    </row>
    <row r="1023" spans="1:22" s="56" customFormat="1">
      <c r="A1023" s="58"/>
      <c r="B1023" s="36"/>
      <c r="C1023" s="58"/>
      <c r="D1023" s="57"/>
      <c r="E1023" s="57"/>
      <c r="F1023" s="41"/>
      <c r="G1023" s="41"/>
      <c r="H1023" s="41"/>
      <c r="I1023" s="57"/>
      <c r="J1023" s="36"/>
      <c r="K1023" s="57"/>
      <c r="L1023" s="57"/>
      <c r="M1023" s="57"/>
      <c r="N1023" s="42"/>
      <c r="O1023" s="57"/>
      <c r="P1023" s="43"/>
      <c r="Q1023" s="41"/>
      <c r="R1023" s="43"/>
      <c r="S1023" s="36"/>
      <c r="T1023" s="16">
        <f t="shared" si="30"/>
        <v>0</v>
      </c>
      <c r="U1023" s="16">
        <f t="shared" si="31"/>
        <v>0</v>
      </c>
      <c r="V1023" s="133"/>
    </row>
    <row r="1024" spans="1:22" s="56" customFormat="1">
      <c r="A1024" s="58"/>
      <c r="B1024" s="36"/>
      <c r="C1024" s="58"/>
      <c r="D1024" s="57"/>
      <c r="E1024" s="57"/>
      <c r="F1024" s="41"/>
      <c r="G1024" s="41"/>
      <c r="H1024" s="41"/>
      <c r="I1024" s="57"/>
      <c r="J1024" s="36"/>
      <c r="K1024" s="57"/>
      <c r="L1024" s="57"/>
      <c r="M1024" s="57"/>
      <c r="N1024" s="42"/>
      <c r="O1024" s="57"/>
      <c r="P1024" s="43"/>
      <c r="Q1024" s="41"/>
      <c r="R1024" s="43"/>
      <c r="S1024" s="36"/>
      <c r="T1024" s="16">
        <f t="shared" si="30"/>
        <v>0</v>
      </c>
      <c r="U1024" s="16">
        <f t="shared" si="31"/>
        <v>0</v>
      </c>
      <c r="V1024" s="133"/>
    </row>
    <row r="1025" spans="1:22" s="56" customFormat="1">
      <c r="A1025" s="58"/>
      <c r="B1025" s="36"/>
      <c r="C1025" s="58"/>
      <c r="D1025" s="57"/>
      <c r="E1025" s="57"/>
      <c r="F1025" s="41"/>
      <c r="G1025" s="41"/>
      <c r="H1025" s="41"/>
      <c r="I1025" s="57"/>
      <c r="J1025" s="36"/>
      <c r="K1025" s="57"/>
      <c r="L1025" s="57"/>
      <c r="M1025" s="57"/>
      <c r="N1025" s="42"/>
      <c r="O1025" s="57"/>
      <c r="P1025" s="43"/>
      <c r="Q1025" s="41"/>
      <c r="R1025" s="43"/>
      <c r="S1025" s="36"/>
      <c r="T1025" s="16">
        <f t="shared" si="30"/>
        <v>0</v>
      </c>
      <c r="U1025" s="16">
        <f t="shared" si="31"/>
        <v>0</v>
      </c>
      <c r="V1025" s="133"/>
    </row>
    <row r="1026" spans="1:22" s="56" customFormat="1">
      <c r="A1026" s="58"/>
      <c r="B1026" s="36"/>
      <c r="C1026" s="58"/>
      <c r="D1026" s="57"/>
      <c r="E1026" s="57"/>
      <c r="F1026" s="41"/>
      <c r="G1026" s="41"/>
      <c r="H1026" s="41"/>
      <c r="I1026" s="57"/>
      <c r="J1026" s="36"/>
      <c r="K1026" s="57"/>
      <c r="L1026" s="57"/>
      <c r="M1026" s="57"/>
      <c r="N1026" s="42"/>
      <c r="O1026" s="57"/>
      <c r="P1026" s="43"/>
      <c r="Q1026" s="41"/>
      <c r="R1026" s="43"/>
      <c r="S1026" s="36"/>
      <c r="T1026" s="16">
        <f t="shared" si="30"/>
        <v>0</v>
      </c>
      <c r="U1026" s="16">
        <f t="shared" si="31"/>
        <v>0</v>
      </c>
      <c r="V1026" s="133"/>
    </row>
    <row r="1027" spans="1:22" s="56" customFormat="1">
      <c r="A1027" s="58"/>
      <c r="B1027" s="36"/>
      <c r="C1027" s="58"/>
      <c r="D1027" s="57"/>
      <c r="E1027" s="57"/>
      <c r="F1027" s="41"/>
      <c r="G1027" s="41"/>
      <c r="H1027" s="41"/>
      <c r="I1027" s="57"/>
      <c r="J1027" s="36"/>
      <c r="K1027" s="57"/>
      <c r="L1027" s="57"/>
      <c r="M1027" s="57"/>
      <c r="N1027" s="42"/>
      <c r="O1027" s="57"/>
      <c r="P1027" s="43"/>
      <c r="Q1027" s="41"/>
      <c r="R1027" s="43"/>
      <c r="S1027" s="36"/>
      <c r="T1027" s="16">
        <f t="shared" si="30"/>
        <v>0</v>
      </c>
      <c r="U1027" s="16">
        <f t="shared" si="31"/>
        <v>0</v>
      </c>
      <c r="V1027" s="133"/>
    </row>
    <row r="1028" spans="1:22" s="56" customFormat="1">
      <c r="A1028" s="58"/>
      <c r="B1028" s="36"/>
      <c r="C1028" s="58"/>
      <c r="D1028" s="57"/>
      <c r="E1028" s="57"/>
      <c r="F1028" s="41"/>
      <c r="G1028" s="41"/>
      <c r="H1028" s="41"/>
      <c r="I1028" s="57"/>
      <c r="J1028" s="36"/>
      <c r="K1028" s="57"/>
      <c r="L1028" s="57"/>
      <c r="M1028" s="57"/>
      <c r="N1028" s="42"/>
      <c r="O1028" s="57"/>
      <c r="P1028" s="43"/>
      <c r="Q1028" s="41"/>
      <c r="R1028" s="43"/>
      <c r="S1028" s="36"/>
      <c r="T1028" s="16">
        <f t="shared" si="30"/>
        <v>0</v>
      </c>
      <c r="U1028" s="16">
        <f t="shared" si="31"/>
        <v>0</v>
      </c>
      <c r="V1028" s="133"/>
    </row>
    <row r="1029" spans="1:22" s="56" customFormat="1">
      <c r="A1029" s="58"/>
      <c r="B1029" s="36"/>
      <c r="C1029" s="58"/>
      <c r="D1029" s="57"/>
      <c r="E1029" s="57"/>
      <c r="F1029" s="41"/>
      <c r="G1029" s="41"/>
      <c r="H1029" s="41"/>
      <c r="I1029" s="57"/>
      <c r="J1029" s="36"/>
      <c r="K1029" s="57"/>
      <c r="L1029" s="57"/>
      <c r="M1029" s="57"/>
      <c r="N1029" s="42"/>
      <c r="O1029" s="57"/>
      <c r="P1029" s="43"/>
      <c r="Q1029" s="41"/>
      <c r="R1029" s="43"/>
      <c r="S1029" s="36"/>
      <c r="T1029" s="16">
        <f t="shared" ref="T1029:T1092" si="32">IF(OR($J1029="Accepted",ISBLANK($J1029)),IF(AND($G1029="Legacy Data",$Q1029="Legacy Data"),1,IF(OR($G1029="Legacy Data",$Q1029="Legacy Data"),1,0)),IF(OR($N1029="Agree with original translator",ISBLANK($N1029)),IF(AND($G1029="Source Text Data",$Q1029="Legacy Data"),1,IF(AND($G1029="Legacy Data",$Q1029="Legacy Data"),1,IF($Q1029="Legacy Data",1,0))),IF(AND($G1029="Legacy Data",$Q1029="Legacy Data"),1,IF(OR($Q1029="Legacy Data",ISBLANK($Q1029)),IF($G1029&lt;&gt;"Legacy Data",IF(AND($G1029="Source Text Data",$Q1029="Legacy Data"),1,0),1),0))))</f>
        <v>0</v>
      </c>
      <c r="U1029" s="16">
        <f t="shared" ref="U1029:U1092" si="33">IF(OR($J1029="Accepted",ISBLANK($J1029)),IF(AND($G1029="Source Text Data",$Q1029="Source Text Data"),1,IF(OR($G1029="Source Text Data",$Q1029="Source Text Data"),1,0)),IF(OR($N1029="Agree with original translator",ISBLANK($N1029)),IF(AND($G1029="Legacy Data",$Q1029="Source Text Data"),1,IF(AND($G1029="Source Text Data",$Q1029="Source Text Data"),1,IF($Q1029="Source Text Data",1,0))),IF(AND($G1029="Source Text Data",$Q1029="Source Text Data"),1,IF(OR($Q1029="Source Text Data",ISBLANK($Q1029)),IF($G1029&lt;&gt;"Source Text Data",IF(AND($G1029="Legacy Data",$Q1029="Source Text Data"),1,0),1),0))))</f>
        <v>0</v>
      </c>
      <c r="V1029" s="133"/>
    </row>
    <row r="1030" spans="1:22" s="56" customFormat="1">
      <c r="A1030" s="58"/>
      <c r="B1030" s="36"/>
      <c r="C1030" s="58"/>
      <c r="D1030" s="57"/>
      <c r="E1030" s="57"/>
      <c r="F1030" s="41"/>
      <c r="G1030" s="41"/>
      <c r="H1030" s="41"/>
      <c r="I1030" s="57"/>
      <c r="J1030" s="36"/>
      <c r="K1030" s="57"/>
      <c r="L1030" s="57"/>
      <c r="M1030" s="57"/>
      <c r="N1030" s="42"/>
      <c r="O1030" s="57"/>
      <c r="P1030" s="43"/>
      <c r="Q1030" s="41"/>
      <c r="R1030" s="43"/>
      <c r="S1030" s="36"/>
      <c r="T1030" s="16">
        <f t="shared" si="32"/>
        <v>0</v>
      </c>
      <c r="U1030" s="16">
        <f t="shared" si="33"/>
        <v>0</v>
      </c>
      <c r="V1030" s="133"/>
    </row>
    <row r="1031" spans="1:22" s="56" customFormat="1">
      <c r="A1031" s="58"/>
      <c r="B1031" s="36"/>
      <c r="C1031" s="58"/>
      <c r="D1031" s="57"/>
      <c r="E1031" s="57"/>
      <c r="F1031" s="41"/>
      <c r="G1031" s="41"/>
      <c r="H1031" s="41"/>
      <c r="I1031" s="57"/>
      <c r="J1031" s="36"/>
      <c r="K1031" s="57"/>
      <c r="L1031" s="57"/>
      <c r="M1031" s="57"/>
      <c r="N1031" s="42"/>
      <c r="O1031" s="57"/>
      <c r="P1031" s="43"/>
      <c r="Q1031" s="41"/>
      <c r="R1031" s="43"/>
      <c r="S1031" s="36"/>
      <c r="T1031" s="16">
        <f t="shared" si="32"/>
        <v>0</v>
      </c>
      <c r="U1031" s="16">
        <f t="shared" si="33"/>
        <v>0</v>
      </c>
      <c r="V1031" s="133"/>
    </row>
    <row r="1032" spans="1:22" s="56" customFormat="1">
      <c r="A1032" s="58"/>
      <c r="B1032" s="36"/>
      <c r="C1032" s="58"/>
      <c r="D1032" s="57"/>
      <c r="E1032" s="57"/>
      <c r="F1032" s="41"/>
      <c r="G1032" s="41"/>
      <c r="H1032" s="41"/>
      <c r="I1032" s="57"/>
      <c r="J1032" s="36"/>
      <c r="K1032" s="57"/>
      <c r="L1032" s="57"/>
      <c r="M1032" s="57"/>
      <c r="N1032" s="42"/>
      <c r="O1032" s="57"/>
      <c r="P1032" s="43"/>
      <c r="Q1032" s="41"/>
      <c r="R1032" s="43"/>
      <c r="S1032" s="36"/>
      <c r="T1032" s="16">
        <f t="shared" si="32"/>
        <v>0</v>
      </c>
      <c r="U1032" s="16">
        <f t="shared" si="33"/>
        <v>0</v>
      </c>
      <c r="V1032" s="133"/>
    </row>
    <row r="1033" spans="1:22" s="56" customFormat="1">
      <c r="A1033" s="58"/>
      <c r="B1033" s="36"/>
      <c r="C1033" s="58"/>
      <c r="D1033" s="57"/>
      <c r="E1033" s="57"/>
      <c r="F1033" s="41"/>
      <c r="G1033" s="41"/>
      <c r="H1033" s="41"/>
      <c r="I1033" s="57"/>
      <c r="J1033" s="36"/>
      <c r="K1033" s="57"/>
      <c r="L1033" s="57"/>
      <c r="M1033" s="57"/>
      <c r="N1033" s="42"/>
      <c r="O1033" s="57"/>
      <c r="P1033" s="43"/>
      <c r="Q1033" s="41"/>
      <c r="R1033" s="43"/>
      <c r="S1033" s="36"/>
      <c r="T1033" s="16">
        <f t="shared" si="32"/>
        <v>0</v>
      </c>
      <c r="U1033" s="16">
        <f t="shared" si="33"/>
        <v>0</v>
      </c>
      <c r="V1033" s="133"/>
    </row>
    <row r="1034" spans="1:22" s="56" customFormat="1">
      <c r="A1034" s="58"/>
      <c r="B1034" s="36"/>
      <c r="C1034" s="58"/>
      <c r="D1034" s="57"/>
      <c r="E1034" s="57"/>
      <c r="F1034" s="41"/>
      <c r="G1034" s="41"/>
      <c r="H1034" s="41"/>
      <c r="I1034" s="57"/>
      <c r="J1034" s="36"/>
      <c r="K1034" s="57"/>
      <c r="L1034" s="57"/>
      <c r="M1034" s="57"/>
      <c r="N1034" s="42"/>
      <c r="O1034" s="57"/>
      <c r="P1034" s="43"/>
      <c r="Q1034" s="41"/>
      <c r="R1034" s="43"/>
      <c r="S1034" s="36"/>
      <c r="T1034" s="16">
        <f t="shared" si="32"/>
        <v>0</v>
      </c>
      <c r="U1034" s="16">
        <f t="shared" si="33"/>
        <v>0</v>
      </c>
      <c r="V1034" s="133"/>
    </row>
    <row r="1035" spans="1:22" s="56" customFormat="1">
      <c r="A1035" s="58"/>
      <c r="B1035" s="36"/>
      <c r="C1035" s="58"/>
      <c r="D1035" s="57"/>
      <c r="E1035" s="57"/>
      <c r="F1035" s="41"/>
      <c r="G1035" s="41"/>
      <c r="H1035" s="41"/>
      <c r="I1035" s="57"/>
      <c r="J1035" s="36"/>
      <c r="K1035" s="57"/>
      <c r="L1035" s="57"/>
      <c r="M1035" s="57"/>
      <c r="N1035" s="42"/>
      <c r="O1035" s="57"/>
      <c r="P1035" s="43"/>
      <c r="Q1035" s="41"/>
      <c r="R1035" s="43"/>
      <c r="S1035" s="36"/>
      <c r="T1035" s="16">
        <f t="shared" si="32"/>
        <v>0</v>
      </c>
      <c r="U1035" s="16">
        <f t="shared" si="33"/>
        <v>0</v>
      </c>
      <c r="V1035" s="133"/>
    </row>
    <row r="1036" spans="1:22" s="56" customFormat="1">
      <c r="A1036" s="58"/>
      <c r="B1036" s="36"/>
      <c r="C1036" s="58"/>
      <c r="D1036" s="57"/>
      <c r="E1036" s="57"/>
      <c r="F1036" s="41"/>
      <c r="G1036" s="41"/>
      <c r="H1036" s="41"/>
      <c r="I1036" s="57"/>
      <c r="J1036" s="36"/>
      <c r="K1036" s="57"/>
      <c r="L1036" s="57"/>
      <c r="M1036" s="57"/>
      <c r="N1036" s="42"/>
      <c r="O1036" s="57"/>
      <c r="P1036" s="43"/>
      <c r="Q1036" s="41"/>
      <c r="R1036" s="43"/>
      <c r="S1036" s="36"/>
      <c r="T1036" s="16">
        <f t="shared" si="32"/>
        <v>0</v>
      </c>
      <c r="U1036" s="16">
        <f t="shared" si="33"/>
        <v>0</v>
      </c>
      <c r="V1036" s="133"/>
    </row>
    <row r="1037" spans="1:22" s="56" customFormat="1">
      <c r="A1037" s="58"/>
      <c r="B1037" s="36"/>
      <c r="C1037" s="58"/>
      <c r="D1037" s="57"/>
      <c r="E1037" s="57"/>
      <c r="F1037" s="41"/>
      <c r="G1037" s="41"/>
      <c r="H1037" s="41"/>
      <c r="I1037" s="57"/>
      <c r="J1037" s="36"/>
      <c r="K1037" s="57"/>
      <c r="L1037" s="57"/>
      <c r="M1037" s="57"/>
      <c r="N1037" s="42"/>
      <c r="O1037" s="57"/>
      <c r="P1037" s="43"/>
      <c r="Q1037" s="41"/>
      <c r="R1037" s="43"/>
      <c r="S1037" s="36"/>
      <c r="T1037" s="16">
        <f t="shared" si="32"/>
        <v>0</v>
      </c>
      <c r="U1037" s="16">
        <f t="shared" si="33"/>
        <v>0</v>
      </c>
      <c r="V1037" s="133"/>
    </row>
    <row r="1038" spans="1:22" s="56" customFormat="1">
      <c r="A1038" s="58"/>
      <c r="B1038" s="36"/>
      <c r="C1038" s="58"/>
      <c r="D1038" s="57"/>
      <c r="E1038" s="57"/>
      <c r="F1038" s="41"/>
      <c r="G1038" s="41"/>
      <c r="H1038" s="41"/>
      <c r="I1038" s="57"/>
      <c r="J1038" s="36"/>
      <c r="K1038" s="57"/>
      <c r="L1038" s="57"/>
      <c r="M1038" s="57"/>
      <c r="N1038" s="42"/>
      <c r="O1038" s="57"/>
      <c r="P1038" s="43"/>
      <c r="Q1038" s="41"/>
      <c r="R1038" s="43"/>
      <c r="S1038" s="36"/>
      <c r="T1038" s="16">
        <f t="shared" si="32"/>
        <v>0</v>
      </c>
      <c r="U1038" s="16">
        <f t="shared" si="33"/>
        <v>0</v>
      </c>
      <c r="V1038" s="133"/>
    </row>
    <row r="1039" spans="1:22" s="56" customFormat="1">
      <c r="A1039" s="58"/>
      <c r="B1039" s="36"/>
      <c r="C1039" s="58"/>
      <c r="D1039" s="57"/>
      <c r="E1039" s="57"/>
      <c r="F1039" s="41"/>
      <c r="G1039" s="41"/>
      <c r="H1039" s="41"/>
      <c r="I1039" s="57"/>
      <c r="J1039" s="36"/>
      <c r="K1039" s="57"/>
      <c r="L1039" s="57"/>
      <c r="M1039" s="57"/>
      <c r="N1039" s="42"/>
      <c r="O1039" s="57"/>
      <c r="P1039" s="43"/>
      <c r="Q1039" s="41"/>
      <c r="R1039" s="43"/>
      <c r="S1039" s="36"/>
      <c r="T1039" s="16">
        <f t="shared" si="32"/>
        <v>0</v>
      </c>
      <c r="U1039" s="16">
        <f t="shared" si="33"/>
        <v>0</v>
      </c>
      <c r="V1039" s="133"/>
    </row>
    <row r="1040" spans="1:22" s="56" customFormat="1">
      <c r="A1040" s="58"/>
      <c r="B1040" s="36"/>
      <c r="C1040" s="58"/>
      <c r="D1040" s="57"/>
      <c r="E1040" s="57"/>
      <c r="F1040" s="41"/>
      <c r="G1040" s="41"/>
      <c r="H1040" s="41"/>
      <c r="I1040" s="57"/>
      <c r="J1040" s="36"/>
      <c r="K1040" s="57"/>
      <c r="L1040" s="57"/>
      <c r="M1040" s="57"/>
      <c r="N1040" s="42"/>
      <c r="O1040" s="57"/>
      <c r="P1040" s="43"/>
      <c r="Q1040" s="41"/>
      <c r="R1040" s="43"/>
      <c r="S1040" s="36"/>
      <c r="T1040" s="16">
        <f t="shared" si="32"/>
        <v>0</v>
      </c>
      <c r="U1040" s="16">
        <f t="shared" si="33"/>
        <v>0</v>
      </c>
      <c r="V1040" s="133"/>
    </row>
    <row r="1041" spans="1:22" s="56" customFormat="1">
      <c r="A1041" s="58"/>
      <c r="B1041" s="36"/>
      <c r="C1041" s="58"/>
      <c r="D1041" s="57"/>
      <c r="E1041" s="57"/>
      <c r="F1041" s="41"/>
      <c r="G1041" s="41"/>
      <c r="H1041" s="41"/>
      <c r="I1041" s="57"/>
      <c r="J1041" s="36"/>
      <c r="K1041" s="57"/>
      <c r="L1041" s="57"/>
      <c r="M1041" s="57"/>
      <c r="N1041" s="42"/>
      <c r="O1041" s="57"/>
      <c r="P1041" s="43"/>
      <c r="Q1041" s="41"/>
      <c r="R1041" s="43"/>
      <c r="S1041" s="36"/>
      <c r="T1041" s="16">
        <f t="shared" si="32"/>
        <v>0</v>
      </c>
      <c r="U1041" s="16">
        <f t="shared" si="33"/>
        <v>0</v>
      </c>
      <c r="V1041" s="133"/>
    </row>
    <row r="1042" spans="1:22" s="56" customFormat="1">
      <c r="A1042" s="58"/>
      <c r="B1042" s="36"/>
      <c r="C1042" s="58"/>
      <c r="D1042" s="57"/>
      <c r="E1042" s="57"/>
      <c r="F1042" s="41"/>
      <c r="G1042" s="41"/>
      <c r="H1042" s="41"/>
      <c r="I1042" s="57"/>
      <c r="J1042" s="36"/>
      <c r="K1042" s="57"/>
      <c r="L1042" s="57"/>
      <c r="M1042" s="57"/>
      <c r="N1042" s="42"/>
      <c r="O1042" s="57"/>
      <c r="P1042" s="43"/>
      <c r="Q1042" s="41"/>
      <c r="R1042" s="43"/>
      <c r="S1042" s="36"/>
      <c r="T1042" s="16">
        <f t="shared" si="32"/>
        <v>0</v>
      </c>
      <c r="U1042" s="16">
        <f t="shared" si="33"/>
        <v>0</v>
      </c>
      <c r="V1042" s="133"/>
    </row>
    <row r="1043" spans="1:22" s="56" customFormat="1">
      <c r="A1043" s="58"/>
      <c r="B1043" s="36"/>
      <c r="C1043" s="58"/>
      <c r="D1043" s="57"/>
      <c r="E1043" s="57"/>
      <c r="F1043" s="41"/>
      <c r="G1043" s="41"/>
      <c r="H1043" s="41"/>
      <c r="I1043" s="57"/>
      <c r="J1043" s="36"/>
      <c r="K1043" s="57"/>
      <c r="L1043" s="57"/>
      <c r="M1043" s="57"/>
      <c r="N1043" s="42"/>
      <c r="O1043" s="57"/>
      <c r="P1043" s="43"/>
      <c r="Q1043" s="41"/>
      <c r="R1043" s="43"/>
      <c r="S1043" s="36"/>
      <c r="T1043" s="16">
        <f t="shared" si="32"/>
        <v>0</v>
      </c>
      <c r="U1043" s="16">
        <f t="shared" si="33"/>
        <v>0</v>
      </c>
      <c r="V1043" s="133"/>
    </row>
    <row r="1044" spans="1:22" s="56" customFormat="1">
      <c r="A1044" s="58"/>
      <c r="B1044" s="36"/>
      <c r="C1044" s="58"/>
      <c r="D1044" s="57"/>
      <c r="E1044" s="57"/>
      <c r="F1044" s="41"/>
      <c r="G1044" s="41"/>
      <c r="H1044" s="41"/>
      <c r="I1044" s="57"/>
      <c r="J1044" s="36"/>
      <c r="K1044" s="57"/>
      <c r="L1044" s="57"/>
      <c r="M1044" s="57"/>
      <c r="N1044" s="42"/>
      <c r="O1044" s="57"/>
      <c r="P1044" s="43"/>
      <c r="Q1044" s="41"/>
      <c r="R1044" s="43"/>
      <c r="S1044" s="36"/>
      <c r="T1044" s="16">
        <f t="shared" si="32"/>
        <v>0</v>
      </c>
      <c r="U1044" s="16">
        <f t="shared" si="33"/>
        <v>0</v>
      </c>
      <c r="V1044" s="133"/>
    </row>
    <row r="1045" spans="1:22" s="56" customFormat="1">
      <c r="A1045" s="58"/>
      <c r="B1045" s="36"/>
      <c r="C1045" s="58"/>
      <c r="D1045" s="57"/>
      <c r="E1045" s="57"/>
      <c r="F1045" s="41"/>
      <c r="G1045" s="41"/>
      <c r="H1045" s="41"/>
      <c r="I1045" s="57"/>
      <c r="J1045" s="36"/>
      <c r="K1045" s="57"/>
      <c r="L1045" s="57"/>
      <c r="M1045" s="57"/>
      <c r="N1045" s="42"/>
      <c r="O1045" s="57"/>
      <c r="P1045" s="43"/>
      <c r="Q1045" s="41"/>
      <c r="R1045" s="43"/>
      <c r="S1045" s="36"/>
      <c r="T1045" s="16">
        <f t="shared" si="32"/>
        <v>0</v>
      </c>
      <c r="U1045" s="16">
        <f t="shared" si="33"/>
        <v>0</v>
      </c>
      <c r="V1045" s="133"/>
    </row>
    <row r="1046" spans="1:22" s="56" customFormat="1">
      <c r="A1046" s="58"/>
      <c r="B1046" s="36"/>
      <c r="C1046" s="58"/>
      <c r="D1046" s="57"/>
      <c r="E1046" s="57"/>
      <c r="F1046" s="41"/>
      <c r="G1046" s="41"/>
      <c r="H1046" s="41"/>
      <c r="I1046" s="57"/>
      <c r="J1046" s="36"/>
      <c r="K1046" s="57"/>
      <c r="L1046" s="57"/>
      <c r="M1046" s="57"/>
      <c r="N1046" s="42"/>
      <c r="O1046" s="57"/>
      <c r="P1046" s="43"/>
      <c r="Q1046" s="41"/>
      <c r="R1046" s="43"/>
      <c r="S1046" s="36"/>
      <c r="T1046" s="16">
        <f t="shared" si="32"/>
        <v>0</v>
      </c>
      <c r="U1046" s="16">
        <f t="shared" si="33"/>
        <v>0</v>
      </c>
      <c r="V1046" s="133"/>
    </row>
    <row r="1047" spans="1:22" s="56" customFormat="1">
      <c r="A1047" s="58"/>
      <c r="B1047" s="36"/>
      <c r="C1047" s="58"/>
      <c r="D1047" s="57"/>
      <c r="E1047" s="57"/>
      <c r="F1047" s="41"/>
      <c r="G1047" s="41"/>
      <c r="H1047" s="41"/>
      <c r="I1047" s="57"/>
      <c r="J1047" s="36"/>
      <c r="K1047" s="57"/>
      <c r="L1047" s="57"/>
      <c r="M1047" s="57"/>
      <c r="N1047" s="42"/>
      <c r="O1047" s="57"/>
      <c r="P1047" s="43"/>
      <c r="Q1047" s="41"/>
      <c r="R1047" s="43"/>
      <c r="S1047" s="36"/>
      <c r="T1047" s="16">
        <f t="shared" si="32"/>
        <v>0</v>
      </c>
      <c r="U1047" s="16">
        <f t="shared" si="33"/>
        <v>0</v>
      </c>
      <c r="V1047" s="133"/>
    </row>
    <row r="1048" spans="1:22" s="56" customFormat="1">
      <c r="A1048" s="58"/>
      <c r="B1048" s="36"/>
      <c r="C1048" s="58"/>
      <c r="D1048" s="57"/>
      <c r="E1048" s="57"/>
      <c r="F1048" s="41"/>
      <c r="G1048" s="41"/>
      <c r="H1048" s="41"/>
      <c r="I1048" s="57"/>
      <c r="J1048" s="36"/>
      <c r="K1048" s="57"/>
      <c r="L1048" s="57"/>
      <c r="M1048" s="57"/>
      <c r="N1048" s="42"/>
      <c r="O1048" s="57"/>
      <c r="P1048" s="43"/>
      <c r="Q1048" s="41"/>
      <c r="R1048" s="43"/>
      <c r="S1048" s="36"/>
      <c r="T1048" s="16">
        <f t="shared" si="32"/>
        <v>0</v>
      </c>
      <c r="U1048" s="16">
        <f t="shared" si="33"/>
        <v>0</v>
      </c>
      <c r="V1048" s="133"/>
    </row>
    <row r="1049" spans="1:22" s="56" customFormat="1">
      <c r="A1049" s="58"/>
      <c r="B1049" s="36"/>
      <c r="C1049" s="58"/>
      <c r="D1049" s="57"/>
      <c r="E1049" s="57"/>
      <c r="F1049" s="41"/>
      <c r="G1049" s="41"/>
      <c r="H1049" s="41"/>
      <c r="I1049" s="57"/>
      <c r="J1049" s="36"/>
      <c r="K1049" s="57"/>
      <c r="L1049" s="57"/>
      <c r="M1049" s="57"/>
      <c r="N1049" s="42"/>
      <c r="O1049" s="57"/>
      <c r="P1049" s="43"/>
      <c r="Q1049" s="41"/>
      <c r="R1049" s="43"/>
      <c r="S1049" s="36"/>
      <c r="T1049" s="16">
        <f t="shared" si="32"/>
        <v>0</v>
      </c>
      <c r="U1049" s="16">
        <f t="shared" si="33"/>
        <v>0</v>
      </c>
      <c r="V1049" s="133"/>
    </row>
    <row r="1050" spans="1:22" s="56" customFormat="1">
      <c r="A1050" s="58"/>
      <c r="B1050" s="36"/>
      <c r="C1050" s="58"/>
      <c r="D1050" s="57"/>
      <c r="E1050" s="57"/>
      <c r="F1050" s="41"/>
      <c r="G1050" s="41"/>
      <c r="H1050" s="41"/>
      <c r="I1050" s="57"/>
      <c r="J1050" s="36"/>
      <c r="K1050" s="57"/>
      <c r="L1050" s="57"/>
      <c r="M1050" s="57"/>
      <c r="N1050" s="42"/>
      <c r="O1050" s="57"/>
      <c r="P1050" s="43"/>
      <c r="Q1050" s="41"/>
      <c r="R1050" s="43"/>
      <c r="S1050" s="36"/>
      <c r="T1050" s="16">
        <f t="shared" si="32"/>
        <v>0</v>
      </c>
      <c r="U1050" s="16">
        <f t="shared" si="33"/>
        <v>0</v>
      </c>
      <c r="V1050" s="133"/>
    </row>
    <row r="1051" spans="1:22" s="56" customFormat="1">
      <c r="A1051" s="58"/>
      <c r="B1051" s="36"/>
      <c r="C1051" s="58"/>
      <c r="D1051" s="57"/>
      <c r="E1051" s="57"/>
      <c r="F1051" s="41"/>
      <c r="G1051" s="41"/>
      <c r="H1051" s="41"/>
      <c r="I1051" s="57"/>
      <c r="J1051" s="36"/>
      <c r="K1051" s="57"/>
      <c r="L1051" s="57"/>
      <c r="M1051" s="57"/>
      <c r="N1051" s="42"/>
      <c r="O1051" s="57"/>
      <c r="P1051" s="43"/>
      <c r="Q1051" s="41"/>
      <c r="R1051" s="43"/>
      <c r="S1051" s="36"/>
      <c r="T1051" s="16">
        <f t="shared" si="32"/>
        <v>0</v>
      </c>
      <c r="U1051" s="16">
        <f t="shared" si="33"/>
        <v>0</v>
      </c>
      <c r="V1051" s="133"/>
    </row>
    <row r="1052" spans="1:22" s="56" customFormat="1">
      <c r="A1052" s="58"/>
      <c r="B1052" s="36"/>
      <c r="C1052" s="58"/>
      <c r="D1052" s="57"/>
      <c r="E1052" s="57"/>
      <c r="F1052" s="41"/>
      <c r="G1052" s="41"/>
      <c r="H1052" s="41"/>
      <c r="I1052" s="57"/>
      <c r="J1052" s="36"/>
      <c r="K1052" s="57"/>
      <c r="L1052" s="57"/>
      <c r="M1052" s="57"/>
      <c r="N1052" s="42"/>
      <c r="O1052" s="57"/>
      <c r="P1052" s="43"/>
      <c r="Q1052" s="41"/>
      <c r="R1052" s="43"/>
      <c r="S1052" s="36"/>
      <c r="T1052" s="16">
        <f t="shared" si="32"/>
        <v>0</v>
      </c>
      <c r="U1052" s="16">
        <f t="shared" si="33"/>
        <v>0</v>
      </c>
      <c r="V1052" s="133"/>
    </row>
    <row r="1053" spans="1:22" s="56" customFormat="1">
      <c r="A1053" s="58"/>
      <c r="B1053" s="36"/>
      <c r="C1053" s="58"/>
      <c r="D1053" s="57"/>
      <c r="E1053" s="57"/>
      <c r="F1053" s="41"/>
      <c r="G1053" s="41"/>
      <c r="H1053" s="41"/>
      <c r="I1053" s="57"/>
      <c r="J1053" s="36"/>
      <c r="K1053" s="57"/>
      <c r="L1053" s="57"/>
      <c r="M1053" s="57"/>
      <c r="N1053" s="42"/>
      <c r="O1053" s="57"/>
      <c r="P1053" s="43"/>
      <c r="Q1053" s="41"/>
      <c r="R1053" s="43"/>
      <c r="S1053" s="36"/>
      <c r="T1053" s="16">
        <f t="shared" si="32"/>
        <v>0</v>
      </c>
      <c r="U1053" s="16">
        <f t="shared" si="33"/>
        <v>0</v>
      </c>
      <c r="V1053" s="133"/>
    </row>
    <row r="1054" spans="1:22" s="56" customFormat="1">
      <c r="A1054" s="58"/>
      <c r="B1054" s="36"/>
      <c r="C1054" s="58"/>
      <c r="D1054" s="57"/>
      <c r="E1054" s="57"/>
      <c r="F1054" s="41"/>
      <c r="G1054" s="41"/>
      <c r="H1054" s="41"/>
      <c r="I1054" s="57"/>
      <c r="J1054" s="36"/>
      <c r="K1054" s="57"/>
      <c r="L1054" s="57"/>
      <c r="M1054" s="57"/>
      <c r="N1054" s="42"/>
      <c r="O1054" s="57"/>
      <c r="P1054" s="43"/>
      <c r="Q1054" s="41"/>
      <c r="R1054" s="43"/>
      <c r="S1054" s="36"/>
      <c r="T1054" s="16">
        <f t="shared" si="32"/>
        <v>0</v>
      </c>
      <c r="U1054" s="16">
        <f t="shared" si="33"/>
        <v>0</v>
      </c>
      <c r="V1054" s="133"/>
    </row>
    <row r="1055" spans="1:22" s="56" customFormat="1">
      <c r="A1055" s="58"/>
      <c r="B1055" s="36"/>
      <c r="C1055" s="58"/>
      <c r="D1055" s="57"/>
      <c r="E1055" s="57"/>
      <c r="F1055" s="41"/>
      <c r="G1055" s="41"/>
      <c r="H1055" s="41"/>
      <c r="I1055" s="57"/>
      <c r="J1055" s="36"/>
      <c r="K1055" s="57"/>
      <c r="L1055" s="57"/>
      <c r="M1055" s="57"/>
      <c r="N1055" s="42"/>
      <c r="O1055" s="57"/>
      <c r="P1055" s="43"/>
      <c r="Q1055" s="41"/>
      <c r="R1055" s="43"/>
      <c r="S1055" s="36"/>
      <c r="T1055" s="16">
        <f t="shared" si="32"/>
        <v>0</v>
      </c>
      <c r="U1055" s="16">
        <f t="shared" si="33"/>
        <v>0</v>
      </c>
      <c r="V1055" s="133"/>
    </row>
    <row r="1056" spans="1:22" s="56" customFormat="1">
      <c r="A1056" s="58"/>
      <c r="B1056" s="36"/>
      <c r="C1056" s="58"/>
      <c r="D1056" s="57"/>
      <c r="E1056" s="57"/>
      <c r="F1056" s="41"/>
      <c r="G1056" s="41"/>
      <c r="H1056" s="41"/>
      <c r="I1056" s="57"/>
      <c r="J1056" s="36"/>
      <c r="K1056" s="57"/>
      <c r="L1056" s="57"/>
      <c r="M1056" s="57"/>
      <c r="N1056" s="42"/>
      <c r="O1056" s="57"/>
      <c r="P1056" s="43"/>
      <c r="Q1056" s="41"/>
      <c r="R1056" s="43"/>
      <c r="S1056" s="36"/>
      <c r="T1056" s="16">
        <f t="shared" si="32"/>
        <v>0</v>
      </c>
      <c r="U1056" s="16">
        <f t="shared" si="33"/>
        <v>0</v>
      </c>
      <c r="V1056" s="133"/>
    </row>
    <row r="1057" spans="1:22" s="56" customFormat="1">
      <c r="A1057" s="58"/>
      <c r="B1057" s="36"/>
      <c r="C1057" s="58"/>
      <c r="D1057" s="57"/>
      <c r="E1057" s="57"/>
      <c r="F1057" s="41"/>
      <c r="G1057" s="41"/>
      <c r="H1057" s="41"/>
      <c r="I1057" s="57"/>
      <c r="J1057" s="36"/>
      <c r="K1057" s="57"/>
      <c r="L1057" s="57"/>
      <c r="M1057" s="57"/>
      <c r="N1057" s="42"/>
      <c r="O1057" s="57"/>
      <c r="P1057" s="43"/>
      <c r="Q1057" s="41"/>
      <c r="R1057" s="43"/>
      <c r="S1057" s="36"/>
      <c r="T1057" s="16">
        <f t="shared" si="32"/>
        <v>0</v>
      </c>
      <c r="U1057" s="16">
        <f t="shared" si="33"/>
        <v>0</v>
      </c>
      <c r="V1057" s="133"/>
    </row>
    <row r="1058" spans="1:22" s="56" customFormat="1">
      <c r="A1058" s="58"/>
      <c r="B1058" s="36"/>
      <c r="C1058" s="58"/>
      <c r="D1058" s="57"/>
      <c r="E1058" s="57"/>
      <c r="F1058" s="41"/>
      <c r="G1058" s="41"/>
      <c r="H1058" s="41"/>
      <c r="I1058" s="57"/>
      <c r="J1058" s="36"/>
      <c r="K1058" s="57"/>
      <c r="L1058" s="57"/>
      <c r="M1058" s="57"/>
      <c r="N1058" s="42"/>
      <c r="O1058" s="57"/>
      <c r="P1058" s="43"/>
      <c r="Q1058" s="41"/>
      <c r="R1058" s="43"/>
      <c r="S1058" s="36"/>
      <c r="T1058" s="16">
        <f t="shared" si="32"/>
        <v>0</v>
      </c>
      <c r="U1058" s="16">
        <f t="shared" si="33"/>
        <v>0</v>
      </c>
      <c r="V1058" s="133"/>
    </row>
    <row r="1059" spans="1:22" s="56" customFormat="1">
      <c r="A1059" s="58"/>
      <c r="B1059" s="36"/>
      <c r="C1059" s="58"/>
      <c r="D1059" s="57"/>
      <c r="E1059" s="57"/>
      <c r="F1059" s="41"/>
      <c r="G1059" s="41"/>
      <c r="H1059" s="41"/>
      <c r="I1059" s="57"/>
      <c r="J1059" s="36"/>
      <c r="K1059" s="57"/>
      <c r="L1059" s="57"/>
      <c r="M1059" s="57"/>
      <c r="N1059" s="42"/>
      <c r="O1059" s="57"/>
      <c r="P1059" s="43"/>
      <c r="Q1059" s="41"/>
      <c r="R1059" s="43"/>
      <c r="S1059" s="36"/>
      <c r="T1059" s="16">
        <f t="shared" si="32"/>
        <v>0</v>
      </c>
      <c r="U1059" s="16">
        <f t="shared" si="33"/>
        <v>0</v>
      </c>
      <c r="V1059" s="133"/>
    </row>
    <row r="1060" spans="1:22" s="56" customFormat="1">
      <c r="A1060" s="58"/>
      <c r="B1060" s="36"/>
      <c r="C1060" s="58"/>
      <c r="D1060" s="57"/>
      <c r="E1060" s="57"/>
      <c r="F1060" s="41"/>
      <c r="G1060" s="41"/>
      <c r="H1060" s="41"/>
      <c r="I1060" s="57"/>
      <c r="J1060" s="36"/>
      <c r="K1060" s="57"/>
      <c r="L1060" s="57"/>
      <c r="M1060" s="57"/>
      <c r="N1060" s="42"/>
      <c r="O1060" s="57"/>
      <c r="P1060" s="43"/>
      <c r="Q1060" s="41"/>
      <c r="R1060" s="43"/>
      <c r="S1060" s="36"/>
      <c r="T1060" s="16">
        <f t="shared" si="32"/>
        <v>0</v>
      </c>
      <c r="U1060" s="16">
        <f t="shared" si="33"/>
        <v>0</v>
      </c>
      <c r="V1060" s="133"/>
    </row>
    <row r="1061" spans="1:22" s="56" customFormat="1">
      <c r="A1061" s="58"/>
      <c r="B1061" s="36"/>
      <c r="C1061" s="58"/>
      <c r="D1061" s="57"/>
      <c r="E1061" s="57"/>
      <c r="F1061" s="41"/>
      <c r="G1061" s="41"/>
      <c r="H1061" s="41"/>
      <c r="I1061" s="57"/>
      <c r="J1061" s="36"/>
      <c r="K1061" s="57"/>
      <c r="L1061" s="57"/>
      <c r="M1061" s="57"/>
      <c r="N1061" s="42"/>
      <c r="O1061" s="57"/>
      <c r="P1061" s="43"/>
      <c r="Q1061" s="41"/>
      <c r="R1061" s="43"/>
      <c r="S1061" s="36"/>
      <c r="T1061" s="16">
        <f t="shared" si="32"/>
        <v>0</v>
      </c>
      <c r="U1061" s="16">
        <f t="shared" si="33"/>
        <v>0</v>
      </c>
      <c r="V1061" s="133"/>
    </row>
    <row r="1062" spans="1:22" s="56" customFormat="1">
      <c r="A1062" s="58"/>
      <c r="B1062" s="36"/>
      <c r="C1062" s="58"/>
      <c r="D1062" s="57"/>
      <c r="E1062" s="57"/>
      <c r="F1062" s="41"/>
      <c r="G1062" s="41"/>
      <c r="H1062" s="41"/>
      <c r="I1062" s="57"/>
      <c r="J1062" s="36"/>
      <c r="K1062" s="57"/>
      <c r="L1062" s="57"/>
      <c r="M1062" s="57"/>
      <c r="N1062" s="42"/>
      <c r="O1062" s="57"/>
      <c r="P1062" s="43"/>
      <c r="Q1062" s="41"/>
      <c r="R1062" s="43"/>
      <c r="S1062" s="36"/>
      <c r="T1062" s="16">
        <f t="shared" si="32"/>
        <v>0</v>
      </c>
      <c r="U1062" s="16">
        <f t="shared" si="33"/>
        <v>0</v>
      </c>
      <c r="V1062" s="133"/>
    </row>
    <row r="1063" spans="1:22" s="56" customFormat="1">
      <c r="A1063" s="58"/>
      <c r="B1063" s="36"/>
      <c r="C1063" s="58"/>
      <c r="D1063" s="57"/>
      <c r="E1063" s="57"/>
      <c r="F1063" s="41"/>
      <c r="G1063" s="41"/>
      <c r="H1063" s="41"/>
      <c r="I1063" s="57"/>
      <c r="J1063" s="36"/>
      <c r="K1063" s="57"/>
      <c r="L1063" s="57"/>
      <c r="M1063" s="57"/>
      <c r="N1063" s="42"/>
      <c r="O1063" s="57"/>
      <c r="P1063" s="43"/>
      <c r="Q1063" s="41"/>
      <c r="R1063" s="43"/>
      <c r="S1063" s="36"/>
      <c r="T1063" s="16">
        <f t="shared" si="32"/>
        <v>0</v>
      </c>
      <c r="U1063" s="16">
        <f t="shared" si="33"/>
        <v>0</v>
      </c>
      <c r="V1063" s="133"/>
    </row>
    <row r="1064" spans="1:22" s="56" customFormat="1">
      <c r="A1064" s="58"/>
      <c r="B1064" s="36"/>
      <c r="C1064" s="58"/>
      <c r="D1064" s="57"/>
      <c r="E1064" s="57"/>
      <c r="F1064" s="41"/>
      <c r="G1064" s="41"/>
      <c r="H1064" s="41"/>
      <c r="I1064" s="57"/>
      <c r="J1064" s="36"/>
      <c r="K1064" s="57"/>
      <c r="L1064" s="57"/>
      <c r="M1064" s="57"/>
      <c r="N1064" s="42"/>
      <c r="O1064" s="57"/>
      <c r="P1064" s="43"/>
      <c r="Q1064" s="41"/>
      <c r="R1064" s="43"/>
      <c r="S1064" s="36"/>
      <c r="T1064" s="16">
        <f t="shared" si="32"/>
        <v>0</v>
      </c>
      <c r="U1064" s="16">
        <f t="shared" si="33"/>
        <v>0</v>
      </c>
      <c r="V1064" s="133"/>
    </row>
    <row r="1065" spans="1:22" s="56" customFormat="1">
      <c r="A1065" s="58"/>
      <c r="B1065" s="36"/>
      <c r="C1065" s="58"/>
      <c r="D1065" s="57"/>
      <c r="E1065" s="57"/>
      <c r="F1065" s="41"/>
      <c r="G1065" s="41"/>
      <c r="H1065" s="41"/>
      <c r="I1065" s="57"/>
      <c r="J1065" s="36"/>
      <c r="K1065" s="57"/>
      <c r="L1065" s="57"/>
      <c r="M1065" s="57"/>
      <c r="N1065" s="42"/>
      <c r="O1065" s="57"/>
      <c r="P1065" s="43"/>
      <c r="Q1065" s="41"/>
      <c r="R1065" s="43"/>
      <c r="S1065" s="36"/>
      <c r="T1065" s="16">
        <f t="shared" si="32"/>
        <v>0</v>
      </c>
      <c r="U1065" s="16">
        <f t="shared" si="33"/>
        <v>0</v>
      </c>
      <c r="V1065" s="133"/>
    </row>
    <row r="1066" spans="1:22" s="56" customFormat="1">
      <c r="A1066" s="58"/>
      <c r="B1066" s="36"/>
      <c r="C1066" s="58"/>
      <c r="D1066" s="57"/>
      <c r="E1066" s="57"/>
      <c r="F1066" s="41"/>
      <c r="G1066" s="41"/>
      <c r="H1066" s="41"/>
      <c r="I1066" s="57"/>
      <c r="J1066" s="36"/>
      <c r="K1066" s="57"/>
      <c r="L1066" s="57"/>
      <c r="M1066" s="57"/>
      <c r="N1066" s="42"/>
      <c r="O1066" s="57"/>
      <c r="P1066" s="43"/>
      <c r="Q1066" s="41"/>
      <c r="R1066" s="43"/>
      <c r="S1066" s="36"/>
      <c r="T1066" s="16">
        <f t="shared" si="32"/>
        <v>0</v>
      </c>
      <c r="U1066" s="16">
        <f t="shared" si="33"/>
        <v>0</v>
      </c>
      <c r="V1066" s="133"/>
    </row>
    <row r="1067" spans="1:22" s="56" customFormat="1">
      <c r="A1067" s="58"/>
      <c r="B1067" s="36"/>
      <c r="C1067" s="58"/>
      <c r="D1067" s="57"/>
      <c r="E1067" s="57"/>
      <c r="F1067" s="41"/>
      <c r="G1067" s="41"/>
      <c r="H1067" s="41"/>
      <c r="I1067" s="57"/>
      <c r="J1067" s="36"/>
      <c r="K1067" s="57"/>
      <c r="L1067" s="57"/>
      <c r="M1067" s="57"/>
      <c r="N1067" s="42"/>
      <c r="O1067" s="57"/>
      <c r="P1067" s="43"/>
      <c r="Q1067" s="41"/>
      <c r="R1067" s="43"/>
      <c r="S1067" s="36"/>
      <c r="T1067" s="16">
        <f t="shared" si="32"/>
        <v>0</v>
      </c>
      <c r="U1067" s="16">
        <f t="shared" si="33"/>
        <v>0</v>
      </c>
      <c r="V1067" s="133"/>
    </row>
    <row r="1068" spans="1:22" s="56" customFormat="1">
      <c r="A1068" s="58"/>
      <c r="B1068" s="36"/>
      <c r="C1068" s="58"/>
      <c r="D1068" s="57"/>
      <c r="E1068" s="57"/>
      <c r="F1068" s="41"/>
      <c r="G1068" s="41"/>
      <c r="H1068" s="41"/>
      <c r="I1068" s="57"/>
      <c r="J1068" s="36"/>
      <c r="K1068" s="57"/>
      <c r="L1068" s="57"/>
      <c r="M1068" s="57"/>
      <c r="N1068" s="42"/>
      <c r="O1068" s="57"/>
      <c r="P1068" s="43"/>
      <c r="Q1068" s="41"/>
      <c r="R1068" s="43"/>
      <c r="S1068" s="36"/>
      <c r="T1068" s="16">
        <f t="shared" si="32"/>
        <v>0</v>
      </c>
      <c r="U1068" s="16">
        <f t="shared" si="33"/>
        <v>0</v>
      </c>
      <c r="V1068" s="133"/>
    </row>
    <row r="1069" spans="1:22" s="56" customFormat="1">
      <c r="A1069" s="58"/>
      <c r="B1069" s="36"/>
      <c r="C1069" s="58"/>
      <c r="D1069" s="57"/>
      <c r="E1069" s="57"/>
      <c r="F1069" s="41"/>
      <c r="G1069" s="41"/>
      <c r="H1069" s="41"/>
      <c r="I1069" s="57"/>
      <c r="J1069" s="36"/>
      <c r="K1069" s="57"/>
      <c r="L1069" s="57"/>
      <c r="M1069" s="57"/>
      <c r="N1069" s="42"/>
      <c r="O1069" s="57"/>
      <c r="P1069" s="43"/>
      <c r="Q1069" s="41"/>
      <c r="R1069" s="43"/>
      <c r="S1069" s="36"/>
      <c r="T1069" s="16">
        <f t="shared" si="32"/>
        <v>0</v>
      </c>
      <c r="U1069" s="16">
        <f t="shared" si="33"/>
        <v>0</v>
      </c>
      <c r="V1069" s="133"/>
    </row>
    <row r="1070" spans="1:22" s="56" customFormat="1">
      <c r="A1070" s="58"/>
      <c r="B1070" s="36"/>
      <c r="C1070" s="58"/>
      <c r="D1070" s="57"/>
      <c r="E1070" s="57"/>
      <c r="F1070" s="41"/>
      <c r="G1070" s="41"/>
      <c r="H1070" s="41"/>
      <c r="I1070" s="57"/>
      <c r="J1070" s="36"/>
      <c r="K1070" s="57"/>
      <c r="L1070" s="57"/>
      <c r="M1070" s="57"/>
      <c r="N1070" s="42"/>
      <c r="O1070" s="57"/>
      <c r="P1070" s="43"/>
      <c r="Q1070" s="41"/>
      <c r="R1070" s="43"/>
      <c r="S1070" s="36"/>
      <c r="T1070" s="16">
        <f t="shared" si="32"/>
        <v>0</v>
      </c>
      <c r="U1070" s="16">
        <f t="shared" si="33"/>
        <v>0</v>
      </c>
      <c r="V1070" s="133"/>
    </row>
    <row r="1071" spans="1:22" s="56" customFormat="1">
      <c r="A1071" s="58"/>
      <c r="B1071" s="36"/>
      <c r="C1071" s="58"/>
      <c r="D1071" s="57"/>
      <c r="E1071" s="57"/>
      <c r="F1071" s="41"/>
      <c r="G1071" s="41"/>
      <c r="H1071" s="41"/>
      <c r="I1071" s="57"/>
      <c r="J1071" s="36"/>
      <c r="K1071" s="57"/>
      <c r="L1071" s="57"/>
      <c r="M1071" s="57"/>
      <c r="N1071" s="42"/>
      <c r="O1071" s="57"/>
      <c r="P1071" s="43"/>
      <c r="Q1071" s="41"/>
      <c r="R1071" s="43"/>
      <c r="S1071" s="36"/>
      <c r="T1071" s="16">
        <f t="shared" si="32"/>
        <v>0</v>
      </c>
      <c r="U1071" s="16">
        <f t="shared" si="33"/>
        <v>0</v>
      </c>
      <c r="V1071" s="133"/>
    </row>
    <row r="1072" spans="1:22" s="56" customFormat="1">
      <c r="A1072" s="58"/>
      <c r="B1072" s="36"/>
      <c r="C1072" s="58"/>
      <c r="D1072" s="57"/>
      <c r="E1072" s="57"/>
      <c r="F1072" s="41"/>
      <c r="G1072" s="41"/>
      <c r="H1072" s="41"/>
      <c r="I1072" s="57"/>
      <c r="J1072" s="36"/>
      <c r="K1072" s="57"/>
      <c r="L1072" s="57"/>
      <c r="M1072" s="57"/>
      <c r="N1072" s="42"/>
      <c r="O1072" s="57"/>
      <c r="P1072" s="43"/>
      <c r="Q1072" s="41"/>
      <c r="R1072" s="43"/>
      <c r="S1072" s="36"/>
      <c r="T1072" s="16">
        <f t="shared" si="32"/>
        <v>0</v>
      </c>
      <c r="U1072" s="16">
        <f t="shared" si="33"/>
        <v>0</v>
      </c>
      <c r="V1072" s="133"/>
    </row>
    <row r="1073" spans="1:22" s="56" customFormat="1">
      <c r="A1073" s="58"/>
      <c r="B1073" s="36"/>
      <c r="C1073" s="58"/>
      <c r="D1073" s="57"/>
      <c r="E1073" s="57"/>
      <c r="F1073" s="41"/>
      <c r="G1073" s="41"/>
      <c r="H1073" s="41"/>
      <c r="I1073" s="57"/>
      <c r="J1073" s="36"/>
      <c r="K1073" s="57"/>
      <c r="L1073" s="57"/>
      <c r="M1073" s="57"/>
      <c r="N1073" s="42"/>
      <c r="O1073" s="57"/>
      <c r="P1073" s="43"/>
      <c r="Q1073" s="41"/>
      <c r="R1073" s="43"/>
      <c r="S1073" s="36"/>
      <c r="T1073" s="16">
        <f t="shared" si="32"/>
        <v>0</v>
      </c>
      <c r="U1073" s="16">
        <f t="shared" si="33"/>
        <v>0</v>
      </c>
      <c r="V1073" s="133"/>
    </row>
    <row r="1074" spans="1:22" s="56" customFormat="1">
      <c r="A1074" s="58"/>
      <c r="B1074" s="36"/>
      <c r="C1074" s="58"/>
      <c r="D1074" s="57"/>
      <c r="E1074" s="57"/>
      <c r="F1074" s="41"/>
      <c r="G1074" s="41"/>
      <c r="H1074" s="41"/>
      <c r="I1074" s="57"/>
      <c r="J1074" s="36"/>
      <c r="K1074" s="57"/>
      <c r="L1074" s="57"/>
      <c r="M1074" s="57"/>
      <c r="N1074" s="42"/>
      <c r="O1074" s="57"/>
      <c r="P1074" s="43"/>
      <c r="Q1074" s="41"/>
      <c r="R1074" s="43"/>
      <c r="S1074" s="36"/>
      <c r="T1074" s="16">
        <f t="shared" si="32"/>
        <v>0</v>
      </c>
      <c r="U1074" s="16">
        <f t="shared" si="33"/>
        <v>0</v>
      </c>
      <c r="V1074" s="133"/>
    </row>
    <row r="1075" spans="1:22" s="56" customFormat="1">
      <c r="A1075" s="58"/>
      <c r="B1075" s="36"/>
      <c r="C1075" s="58"/>
      <c r="D1075" s="57"/>
      <c r="E1075" s="57"/>
      <c r="F1075" s="41"/>
      <c r="G1075" s="41"/>
      <c r="H1075" s="41"/>
      <c r="I1075" s="57"/>
      <c r="J1075" s="36"/>
      <c r="K1075" s="57"/>
      <c r="L1075" s="57"/>
      <c r="M1075" s="57"/>
      <c r="N1075" s="42"/>
      <c r="O1075" s="57"/>
      <c r="P1075" s="43"/>
      <c r="Q1075" s="41"/>
      <c r="R1075" s="43"/>
      <c r="S1075" s="36"/>
      <c r="T1075" s="16">
        <f t="shared" si="32"/>
        <v>0</v>
      </c>
      <c r="U1075" s="16">
        <f t="shared" si="33"/>
        <v>0</v>
      </c>
      <c r="V1075" s="133"/>
    </row>
    <row r="1076" spans="1:22" s="56" customFormat="1">
      <c r="A1076" s="58"/>
      <c r="B1076" s="36"/>
      <c r="C1076" s="58"/>
      <c r="D1076" s="57"/>
      <c r="E1076" s="57"/>
      <c r="F1076" s="41"/>
      <c r="G1076" s="41"/>
      <c r="H1076" s="41"/>
      <c r="I1076" s="57"/>
      <c r="J1076" s="36"/>
      <c r="K1076" s="57"/>
      <c r="L1076" s="57"/>
      <c r="M1076" s="57"/>
      <c r="N1076" s="42"/>
      <c r="O1076" s="57"/>
      <c r="P1076" s="43"/>
      <c r="Q1076" s="41"/>
      <c r="R1076" s="43"/>
      <c r="S1076" s="36"/>
      <c r="T1076" s="16">
        <f t="shared" si="32"/>
        <v>0</v>
      </c>
      <c r="U1076" s="16">
        <f t="shared" si="33"/>
        <v>0</v>
      </c>
      <c r="V1076" s="133"/>
    </row>
    <row r="1077" spans="1:22" s="56" customFormat="1">
      <c r="A1077" s="58"/>
      <c r="B1077" s="36"/>
      <c r="C1077" s="58"/>
      <c r="D1077" s="57"/>
      <c r="E1077" s="57"/>
      <c r="F1077" s="41"/>
      <c r="G1077" s="41"/>
      <c r="H1077" s="41"/>
      <c r="I1077" s="57"/>
      <c r="J1077" s="36"/>
      <c r="K1077" s="57"/>
      <c r="L1077" s="57"/>
      <c r="M1077" s="57"/>
      <c r="N1077" s="42"/>
      <c r="O1077" s="57"/>
      <c r="P1077" s="43"/>
      <c r="Q1077" s="41"/>
      <c r="R1077" s="43"/>
      <c r="S1077" s="36"/>
      <c r="T1077" s="16">
        <f t="shared" si="32"/>
        <v>0</v>
      </c>
      <c r="U1077" s="16">
        <f t="shared" si="33"/>
        <v>0</v>
      </c>
      <c r="V1077" s="133"/>
    </row>
    <row r="1078" spans="1:22" s="56" customFormat="1">
      <c r="A1078" s="58"/>
      <c r="B1078" s="36"/>
      <c r="C1078" s="58"/>
      <c r="D1078" s="57"/>
      <c r="E1078" s="57"/>
      <c r="F1078" s="41"/>
      <c r="G1078" s="41"/>
      <c r="H1078" s="41"/>
      <c r="I1078" s="57"/>
      <c r="J1078" s="36"/>
      <c r="K1078" s="57"/>
      <c r="L1078" s="57"/>
      <c r="M1078" s="57"/>
      <c r="N1078" s="42"/>
      <c r="O1078" s="57"/>
      <c r="P1078" s="43"/>
      <c r="Q1078" s="41"/>
      <c r="R1078" s="43"/>
      <c r="S1078" s="36"/>
      <c r="T1078" s="16">
        <f t="shared" si="32"/>
        <v>0</v>
      </c>
      <c r="U1078" s="16">
        <f t="shared" si="33"/>
        <v>0</v>
      </c>
      <c r="V1078" s="133"/>
    </row>
    <row r="1079" spans="1:22" s="56" customFormat="1">
      <c r="A1079" s="58"/>
      <c r="B1079" s="36"/>
      <c r="C1079" s="58"/>
      <c r="D1079" s="57"/>
      <c r="E1079" s="57"/>
      <c r="F1079" s="41"/>
      <c r="G1079" s="41"/>
      <c r="H1079" s="41"/>
      <c r="I1079" s="57"/>
      <c r="J1079" s="36"/>
      <c r="K1079" s="57"/>
      <c r="L1079" s="57"/>
      <c r="M1079" s="57"/>
      <c r="N1079" s="42"/>
      <c r="O1079" s="57"/>
      <c r="P1079" s="43"/>
      <c r="Q1079" s="41"/>
      <c r="R1079" s="43"/>
      <c r="S1079" s="36"/>
      <c r="T1079" s="16">
        <f t="shared" si="32"/>
        <v>0</v>
      </c>
      <c r="U1079" s="16">
        <f t="shared" si="33"/>
        <v>0</v>
      </c>
      <c r="V1079" s="133"/>
    </row>
    <row r="1080" spans="1:22" s="56" customFormat="1">
      <c r="A1080" s="58"/>
      <c r="B1080" s="36"/>
      <c r="C1080" s="58"/>
      <c r="D1080" s="57"/>
      <c r="E1080" s="57"/>
      <c r="F1080" s="41"/>
      <c r="G1080" s="41"/>
      <c r="H1080" s="41"/>
      <c r="I1080" s="57"/>
      <c r="J1080" s="36"/>
      <c r="K1080" s="57"/>
      <c r="L1080" s="57"/>
      <c r="M1080" s="57"/>
      <c r="N1080" s="42"/>
      <c r="O1080" s="57"/>
      <c r="P1080" s="43"/>
      <c r="Q1080" s="41"/>
      <c r="R1080" s="43"/>
      <c r="S1080" s="36"/>
      <c r="T1080" s="16">
        <f t="shared" si="32"/>
        <v>0</v>
      </c>
      <c r="U1080" s="16">
        <f t="shared" si="33"/>
        <v>0</v>
      </c>
      <c r="V1080" s="133"/>
    </row>
    <row r="1081" spans="1:22" s="56" customFormat="1">
      <c r="A1081" s="58"/>
      <c r="B1081" s="36"/>
      <c r="C1081" s="58"/>
      <c r="D1081" s="57"/>
      <c r="E1081" s="57"/>
      <c r="F1081" s="41"/>
      <c r="G1081" s="41"/>
      <c r="H1081" s="41"/>
      <c r="I1081" s="57"/>
      <c r="J1081" s="36"/>
      <c r="K1081" s="57"/>
      <c r="L1081" s="57"/>
      <c r="M1081" s="57"/>
      <c r="N1081" s="42"/>
      <c r="O1081" s="57"/>
      <c r="P1081" s="43"/>
      <c r="Q1081" s="41"/>
      <c r="R1081" s="43"/>
      <c r="S1081" s="36"/>
      <c r="T1081" s="16">
        <f t="shared" si="32"/>
        <v>0</v>
      </c>
      <c r="U1081" s="16">
        <f t="shared" si="33"/>
        <v>0</v>
      </c>
      <c r="V1081" s="133"/>
    </row>
    <row r="1082" spans="1:22" s="56" customFormat="1">
      <c r="A1082" s="58"/>
      <c r="B1082" s="36"/>
      <c r="C1082" s="58"/>
      <c r="D1082" s="57"/>
      <c r="E1082" s="57"/>
      <c r="F1082" s="41"/>
      <c r="G1082" s="41"/>
      <c r="H1082" s="41"/>
      <c r="I1082" s="57"/>
      <c r="J1082" s="36"/>
      <c r="K1082" s="57"/>
      <c r="L1082" s="57"/>
      <c r="M1082" s="57"/>
      <c r="N1082" s="42"/>
      <c r="O1082" s="57"/>
      <c r="P1082" s="43"/>
      <c r="Q1082" s="41"/>
      <c r="R1082" s="43"/>
      <c r="S1082" s="36"/>
      <c r="T1082" s="16">
        <f t="shared" si="32"/>
        <v>0</v>
      </c>
      <c r="U1082" s="16">
        <f t="shared" si="33"/>
        <v>0</v>
      </c>
      <c r="V1082" s="133"/>
    </row>
    <row r="1083" spans="1:22" s="56" customFormat="1">
      <c r="A1083" s="58"/>
      <c r="B1083" s="36"/>
      <c r="C1083" s="58"/>
      <c r="D1083" s="57"/>
      <c r="E1083" s="57"/>
      <c r="F1083" s="41"/>
      <c r="G1083" s="41"/>
      <c r="H1083" s="41"/>
      <c r="I1083" s="57"/>
      <c r="J1083" s="36"/>
      <c r="K1083" s="57"/>
      <c r="L1083" s="57"/>
      <c r="M1083" s="57"/>
      <c r="N1083" s="42"/>
      <c r="O1083" s="57"/>
      <c r="P1083" s="43"/>
      <c r="Q1083" s="41"/>
      <c r="R1083" s="43"/>
      <c r="S1083" s="36"/>
      <c r="T1083" s="16">
        <f t="shared" si="32"/>
        <v>0</v>
      </c>
      <c r="U1083" s="16">
        <f t="shared" si="33"/>
        <v>0</v>
      </c>
      <c r="V1083" s="133"/>
    </row>
    <row r="1084" spans="1:22" s="56" customFormat="1">
      <c r="A1084" s="58"/>
      <c r="B1084" s="36"/>
      <c r="C1084" s="58"/>
      <c r="D1084" s="57"/>
      <c r="E1084" s="57"/>
      <c r="F1084" s="41"/>
      <c r="G1084" s="41"/>
      <c r="H1084" s="41"/>
      <c r="I1084" s="57"/>
      <c r="J1084" s="36"/>
      <c r="K1084" s="57"/>
      <c r="L1084" s="57"/>
      <c r="M1084" s="57"/>
      <c r="N1084" s="42"/>
      <c r="O1084" s="57"/>
      <c r="P1084" s="43"/>
      <c r="Q1084" s="41"/>
      <c r="R1084" s="43"/>
      <c r="S1084" s="36"/>
      <c r="T1084" s="16">
        <f t="shared" si="32"/>
        <v>0</v>
      </c>
      <c r="U1084" s="16">
        <f t="shared" si="33"/>
        <v>0</v>
      </c>
      <c r="V1084" s="133"/>
    </row>
    <row r="1085" spans="1:22" s="56" customFormat="1">
      <c r="A1085" s="58"/>
      <c r="B1085" s="36"/>
      <c r="C1085" s="58"/>
      <c r="D1085" s="57"/>
      <c r="E1085" s="57"/>
      <c r="F1085" s="41"/>
      <c r="G1085" s="41"/>
      <c r="H1085" s="41"/>
      <c r="I1085" s="57"/>
      <c r="J1085" s="36"/>
      <c r="K1085" s="57"/>
      <c r="L1085" s="57"/>
      <c r="M1085" s="57"/>
      <c r="N1085" s="42"/>
      <c r="O1085" s="57"/>
      <c r="P1085" s="43"/>
      <c r="Q1085" s="41"/>
      <c r="R1085" s="43"/>
      <c r="S1085" s="36"/>
      <c r="T1085" s="16">
        <f t="shared" si="32"/>
        <v>0</v>
      </c>
      <c r="U1085" s="16">
        <f t="shared" si="33"/>
        <v>0</v>
      </c>
      <c r="V1085" s="133"/>
    </row>
    <row r="1086" spans="1:22" s="56" customFormat="1">
      <c r="A1086" s="58"/>
      <c r="B1086" s="36"/>
      <c r="C1086" s="58"/>
      <c r="D1086" s="57"/>
      <c r="E1086" s="57"/>
      <c r="F1086" s="41"/>
      <c r="G1086" s="41"/>
      <c r="H1086" s="41"/>
      <c r="I1086" s="57"/>
      <c r="J1086" s="36"/>
      <c r="K1086" s="57"/>
      <c r="L1086" s="57"/>
      <c r="M1086" s="57"/>
      <c r="N1086" s="42"/>
      <c r="O1086" s="57"/>
      <c r="P1086" s="43"/>
      <c r="Q1086" s="41"/>
      <c r="R1086" s="43"/>
      <c r="S1086" s="36"/>
      <c r="T1086" s="16">
        <f t="shared" si="32"/>
        <v>0</v>
      </c>
      <c r="U1086" s="16">
        <f t="shared" si="33"/>
        <v>0</v>
      </c>
      <c r="V1086" s="133"/>
    </row>
    <row r="1087" spans="1:22" s="56" customFormat="1">
      <c r="A1087" s="58"/>
      <c r="B1087" s="36"/>
      <c r="C1087" s="58"/>
      <c r="D1087" s="57"/>
      <c r="E1087" s="57"/>
      <c r="F1087" s="41"/>
      <c r="G1087" s="41"/>
      <c r="H1087" s="41"/>
      <c r="I1087" s="57"/>
      <c r="J1087" s="36"/>
      <c r="K1087" s="57"/>
      <c r="L1087" s="57"/>
      <c r="M1087" s="57"/>
      <c r="N1087" s="42"/>
      <c r="O1087" s="57"/>
      <c r="P1087" s="43"/>
      <c r="Q1087" s="41"/>
      <c r="R1087" s="43"/>
      <c r="S1087" s="36"/>
      <c r="T1087" s="16">
        <f t="shared" si="32"/>
        <v>0</v>
      </c>
      <c r="U1087" s="16">
        <f t="shared" si="33"/>
        <v>0</v>
      </c>
      <c r="V1087" s="133"/>
    </row>
    <row r="1088" spans="1:22" s="56" customFormat="1">
      <c r="A1088" s="58"/>
      <c r="B1088" s="36"/>
      <c r="C1088" s="58"/>
      <c r="D1088" s="57"/>
      <c r="E1088" s="57"/>
      <c r="F1088" s="41"/>
      <c r="G1088" s="41"/>
      <c r="H1088" s="41"/>
      <c r="I1088" s="57"/>
      <c r="J1088" s="36"/>
      <c r="K1088" s="57"/>
      <c r="L1088" s="57"/>
      <c r="M1088" s="57"/>
      <c r="N1088" s="42"/>
      <c r="O1088" s="57"/>
      <c r="P1088" s="43"/>
      <c r="Q1088" s="41"/>
      <c r="R1088" s="43"/>
      <c r="S1088" s="36"/>
      <c r="T1088" s="16">
        <f t="shared" si="32"/>
        <v>0</v>
      </c>
      <c r="U1088" s="16">
        <f t="shared" si="33"/>
        <v>0</v>
      </c>
      <c r="V1088" s="133"/>
    </row>
    <row r="1089" spans="1:22" s="56" customFormat="1">
      <c r="A1089" s="58"/>
      <c r="B1089" s="36"/>
      <c r="C1089" s="58"/>
      <c r="D1089" s="57"/>
      <c r="E1089" s="57"/>
      <c r="F1089" s="41"/>
      <c r="G1089" s="41"/>
      <c r="H1089" s="41"/>
      <c r="I1089" s="57"/>
      <c r="J1089" s="36"/>
      <c r="K1089" s="57"/>
      <c r="L1089" s="57"/>
      <c r="M1089" s="57"/>
      <c r="N1089" s="42"/>
      <c r="O1089" s="57"/>
      <c r="P1089" s="43"/>
      <c r="Q1089" s="41"/>
      <c r="R1089" s="43"/>
      <c r="S1089" s="36"/>
      <c r="T1089" s="16">
        <f t="shared" si="32"/>
        <v>0</v>
      </c>
      <c r="U1089" s="16">
        <f t="shared" si="33"/>
        <v>0</v>
      </c>
      <c r="V1089" s="133"/>
    </row>
    <row r="1090" spans="1:22" s="56" customFormat="1">
      <c r="A1090" s="58"/>
      <c r="B1090" s="36"/>
      <c r="C1090" s="58"/>
      <c r="D1090" s="57"/>
      <c r="E1090" s="57"/>
      <c r="F1090" s="41"/>
      <c r="G1090" s="41"/>
      <c r="H1090" s="41"/>
      <c r="I1090" s="57"/>
      <c r="J1090" s="36"/>
      <c r="K1090" s="57"/>
      <c r="L1090" s="57"/>
      <c r="M1090" s="57"/>
      <c r="N1090" s="42"/>
      <c r="O1090" s="57"/>
      <c r="P1090" s="43"/>
      <c r="Q1090" s="41"/>
      <c r="R1090" s="43"/>
      <c r="S1090" s="36"/>
      <c r="T1090" s="16">
        <f t="shared" si="32"/>
        <v>0</v>
      </c>
      <c r="U1090" s="16">
        <f t="shared" si="33"/>
        <v>0</v>
      </c>
      <c r="V1090" s="133"/>
    </row>
    <row r="1091" spans="1:22" s="56" customFormat="1">
      <c r="A1091" s="58"/>
      <c r="B1091" s="36"/>
      <c r="C1091" s="58"/>
      <c r="D1091" s="57"/>
      <c r="E1091" s="57"/>
      <c r="F1091" s="41"/>
      <c r="G1091" s="41"/>
      <c r="H1091" s="41"/>
      <c r="I1091" s="57"/>
      <c r="J1091" s="36"/>
      <c r="K1091" s="57"/>
      <c r="L1091" s="57"/>
      <c r="M1091" s="57"/>
      <c r="N1091" s="42"/>
      <c r="O1091" s="57"/>
      <c r="P1091" s="43"/>
      <c r="Q1091" s="41"/>
      <c r="R1091" s="43"/>
      <c r="S1091" s="36"/>
      <c r="T1091" s="16">
        <f t="shared" si="32"/>
        <v>0</v>
      </c>
      <c r="U1091" s="16">
        <f t="shared" si="33"/>
        <v>0</v>
      </c>
      <c r="V1091" s="133"/>
    </row>
    <row r="1092" spans="1:22" s="56" customFormat="1">
      <c r="A1092" s="58"/>
      <c r="B1092" s="36"/>
      <c r="C1092" s="58"/>
      <c r="D1092" s="57"/>
      <c r="E1092" s="57"/>
      <c r="F1092" s="41"/>
      <c r="G1092" s="41"/>
      <c r="H1092" s="41"/>
      <c r="I1092" s="57"/>
      <c r="J1092" s="36"/>
      <c r="K1092" s="57"/>
      <c r="L1092" s="57"/>
      <c r="M1092" s="57"/>
      <c r="N1092" s="42"/>
      <c r="O1092" s="57"/>
      <c r="P1092" s="43"/>
      <c r="Q1092" s="41"/>
      <c r="R1092" s="43"/>
      <c r="S1092" s="36"/>
      <c r="T1092" s="16">
        <f t="shared" si="32"/>
        <v>0</v>
      </c>
      <c r="U1092" s="16">
        <f t="shared" si="33"/>
        <v>0</v>
      </c>
      <c r="V1092" s="133"/>
    </row>
    <row r="1093" spans="1:22" s="56" customFormat="1">
      <c r="A1093" s="58"/>
      <c r="B1093" s="36"/>
      <c r="C1093" s="58"/>
      <c r="D1093" s="57"/>
      <c r="E1093" s="57"/>
      <c r="F1093" s="41"/>
      <c r="G1093" s="41"/>
      <c r="H1093" s="41"/>
      <c r="I1093" s="57"/>
      <c r="J1093" s="36"/>
      <c r="K1093" s="57"/>
      <c r="L1093" s="57"/>
      <c r="M1093" s="57"/>
      <c r="N1093" s="42"/>
      <c r="O1093" s="57"/>
      <c r="P1093" s="43"/>
      <c r="Q1093" s="41"/>
      <c r="R1093" s="43"/>
      <c r="S1093" s="36"/>
      <c r="T1093" s="16">
        <f t="shared" ref="T1093:T1156" si="34">IF(OR($J1093="Accepted",ISBLANK($J1093)),IF(AND($G1093="Legacy Data",$Q1093="Legacy Data"),1,IF(OR($G1093="Legacy Data",$Q1093="Legacy Data"),1,0)),IF(OR($N1093="Agree with original translator",ISBLANK($N1093)),IF(AND($G1093="Source Text Data",$Q1093="Legacy Data"),1,IF(AND($G1093="Legacy Data",$Q1093="Legacy Data"),1,IF($Q1093="Legacy Data",1,0))),IF(AND($G1093="Legacy Data",$Q1093="Legacy Data"),1,IF(OR($Q1093="Legacy Data",ISBLANK($Q1093)),IF($G1093&lt;&gt;"Legacy Data",IF(AND($G1093="Source Text Data",$Q1093="Legacy Data"),1,0),1),0))))</f>
        <v>0</v>
      </c>
      <c r="U1093" s="16">
        <f t="shared" ref="U1093:U1156" si="35">IF(OR($J1093="Accepted",ISBLANK($J1093)),IF(AND($G1093="Source Text Data",$Q1093="Source Text Data"),1,IF(OR($G1093="Source Text Data",$Q1093="Source Text Data"),1,0)),IF(OR($N1093="Agree with original translator",ISBLANK($N1093)),IF(AND($G1093="Legacy Data",$Q1093="Source Text Data"),1,IF(AND($G1093="Source Text Data",$Q1093="Source Text Data"),1,IF($Q1093="Source Text Data",1,0))),IF(AND($G1093="Source Text Data",$Q1093="Source Text Data"),1,IF(OR($Q1093="Source Text Data",ISBLANK($Q1093)),IF($G1093&lt;&gt;"Source Text Data",IF(AND($G1093="Legacy Data",$Q1093="Source Text Data"),1,0),1),0))))</f>
        <v>0</v>
      </c>
      <c r="V1093" s="133"/>
    </row>
    <row r="1094" spans="1:22" s="56" customFormat="1">
      <c r="A1094" s="58"/>
      <c r="B1094" s="36"/>
      <c r="C1094" s="58"/>
      <c r="D1094" s="57"/>
      <c r="E1094" s="57"/>
      <c r="F1094" s="41"/>
      <c r="G1094" s="41"/>
      <c r="H1094" s="41"/>
      <c r="I1094" s="57"/>
      <c r="J1094" s="36"/>
      <c r="K1094" s="57"/>
      <c r="L1094" s="57"/>
      <c r="M1094" s="57"/>
      <c r="N1094" s="42"/>
      <c r="O1094" s="57"/>
      <c r="P1094" s="43"/>
      <c r="Q1094" s="41"/>
      <c r="R1094" s="43"/>
      <c r="S1094" s="36"/>
      <c r="T1094" s="16">
        <f t="shared" si="34"/>
        <v>0</v>
      </c>
      <c r="U1094" s="16">
        <f t="shared" si="35"/>
        <v>0</v>
      </c>
      <c r="V1094" s="133"/>
    </row>
    <row r="1095" spans="1:22" s="56" customFormat="1">
      <c r="A1095" s="58"/>
      <c r="B1095" s="36"/>
      <c r="C1095" s="58"/>
      <c r="D1095" s="57"/>
      <c r="E1095" s="57"/>
      <c r="F1095" s="41"/>
      <c r="G1095" s="41"/>
      <c r="H1095" s="41"/>
      <c r="I1095" s="57"/>
      <c r="J1095" s="36"/>
      <c r="K1095" s="57"/>
      <c r="L1095" s="57"/>
      <c r="M1095" s="57"/>
      <c r="N1095" s="42"/>
      <c r="O1095" s="57"/>
      <c r="P1095" s="43"/>
      <c r="Q1095" s="41"/>
      <c r="R1095" s="43"/>
      <c r="S1095" s="36"/>
      <c r="T1095" s="16">
        <f t="shared" si="34"/>
        <v>0</v>
      </c>
      <c r="U1095" s="16">
        <f t="shared" si="35"/>
        <v>0</v>
      </c>
      <c r="V1095" s="133"/>
    </row>
    <row r="1096" spans="1:22" s="56" customFormat="1">
      <c r="A1096" s="58"/>
      <c r="B1096" s="36"/>
      <c r="C1096" s="58"/>
      <c r="D1096" s="57"/>
      <c r="E1096" s="57"/>
      <c r="F1096" s="41"/>
      <c r="G1096" s="41"/>
      <c r="H1096" s="41"/>
      <c r="I1096" s="57"/>
      <c r="J1096" s="36"/>
      <c r="K1096" s="57"/>
      <c r="L1096" s="57"/>
      <c r="M1096" s="57"/>
      <c r="N1096" s="42"/>
      <c r="O1096" s="57"/>
      <c r="P1096" s="43"/>
      <c r="Q1096" s="41"/>
      <c r="R1096" s="43"/>
      <c r="S1096" s="36"/>
      <c r="T1096" s="16">
        <f t="shared" si="34"/>
        <v>0</v>
      </c>
      <c r="U1096" s="16">
        <f t="shared" si="35"/>
        <v>0</v>
      </c>
      <c r="V1096" s="133"/>
    </row>
    <row r="1097" spans="1:22" s="56" customFormat="1">
      <c r="A1097" s="58"/>
      <c r="B1097" s="36"/>
      <c r="C1097" s="58"/>
      <c r="D1097" s="57"/>
      <c r="E1097" s="57"/>
      <c r="F1097" s="41"/>
      <c r="G1097" s="41"/>
      <c r="H1097" s="41"/>
      <c r="I1097" s="57"/>
      <c r="J1097" s="36"/>
      <c r="K1097" s="57"/>
      <c r="L1097" s="57"/>
      <c r="M1097" s="57"/>
      <c r="N1097" s="42"/>
      <c r="O1097" s="57"/>
      <c r="P1097" s="43"/>
      <c r="Q1097" s="41"/>
      <c r="R1097" s="43"/>
      <c r="S1097" s="36"/>
      <c r="T1097" s="16">
        <f t="shared" si="34"/>
        <v>0</v>
      </c>
      <c r="U1097" s="16">
        <f t="shared" si="35"/>
        <v>0</v>
      </c>
      <c r="V1097" s="133"/>
    </row>
    <row r="1098" spans="1:22" s="56" customFormat="1">
      <c r="A1098" s="58"/>
      <c r="B1098" s="36"/>
      <c r="C1098" s="58"/>
      <c r="D1098" s="57"/>
      <c r="E1098" s="57"/>
      <c r="F1098" s="41"/>
      <c r="G1098" s="41"/>
      <c r="H1098" s="41"/>
      <c r="I1098" s="57"/>
      <c r="J1098" s="36"/>
      <c r="K1098" s="57"/>
      <c r="L1098" s="57"/>
      <c r="M1098" s="57"/>
      <c r="N1098" s="42"/>
      <c r="O1098" s="57"/>
      <c r="P1098" s="43"/>
      <c r="Q1098" s="41"/>
      <c r="R1098" s="43"/>
      <c r="S1098" s="36"/>
      <c r="T1098" s="16">
        <f t="shared" si="34"/>
        <v>0</v>
      </c>
      <c r="U1098" s="16">
        <f t="shared" si="35"/>
        <v>0</v>
      </c>
      <c r="V1098" s="133"/>
    </row>
    <row r="1099" spans="1:22" s="56" customFormat="1">
      <c r="A1099" s="58"/>
      <c r="B1099" s="36"/>
      <c r="C1099" s="58"/>
      <c r="D1099" s="57"/>
      <c r="E1099" s="57"/>
      <c r="F1099" s="41"/>
      <c r="G1099" s="41"/>
      <c r="H1099" s="41"/>
      <c r="I1099" s="57"/>
      <c r="J1099" s="36"/>
      <c r="K1099" s="57"/>
      <c r="L1099" s="57"/>
      <c r="M1099" s="57"/>
      <c r="N1099" s="42"/>
      <c r="O1099" s="57"/>
      <c r="P1099" s="43"/>
      <c r="Q1099" s="41"/>
      <c r="R1099" s="43"/>
      <c r="S1099" s="36"/>
      <c r="T1099" s="16">
        <f t="shared" si="34"/>
        <v>0</v>
      </c>
      <c r="U1099" s="16">
        <f t="shared" si="35"/>
        <v>0</v>
      </c>
      <c r="V1099" s="133"/>
    </row>
    <row r="1100" spans="1:22" s="56" customFormat="1">
      <c r="A1100" s="58"/>
      <c r="B1100" s="36"/>
      <c r="C1100" s="58"/>
      <c r="D1100" s="57"/>
      <c r="E1100" s="57"/>
      <c r="F1100" s="41"/>
      <c r="G1100" s="41"/>
      <c r="H1100" s="41"/>
      <c r="I1100" s="57"/>
      <c r="J1100" s="36"/>
      <c r="K1100" s="57"/>
      <c r="L1100" s="57"/>
      <c r="M1100" s="57"/>
      <c r="N1100" s="42"/>
      <c r="O1100" s="57"/>
      <c r="P1100" s="43"/>
      <c r="Q1100" s="41"/>
      <c r="R1100" s="43"/>
      <c r="S1100" s="36"/>
      <c r="T1100" s="16">
        <f t="shared" si="34"/>
        <v>0</v>
      </c>
      <c r="U1100" s="16">
        <f t="shared" si="35"/>
        <v>0</v>
      </c>
      <c r="V1100" s="133"/>
    </row>
    <row r="1101" spans="1:22" s="56" customFormat="1">
      <c r="A1101" s="58"/>
      <c r="B1101" s="36"/>
      <c r="C1101" s="58"/>
      <c r="D1101" s="57"/>
      <c r="E1101" s="57"/>
      <c r="F1101" s="41"/>
      <c r="G1101" s="41"/>
      <c r="H1101" s="41"/>
      <c r="I1101" s="57"/>
      <c r="J1101" s="36"/>
      <c r="K1101" s="57"/>
      <c r="L1101" s="57"/>
      <c r="M1101" s="57"/>
      <c r="N1101" s="42"/>
      <c r="O1101" s="57"/>
      <c r="P1101" s="43"/>
      <c r="Q1101" s="41"/>
      <c r="R1101" s="43"/>
      <c r="S1101" s="36"/>
      <c r="T1101" s="16">
        <f t="shared" si="34"/>
        <v>0</v>
      </c>
      <c r="U1101" s="16">
        <f t="shared" si="35"/>
        <v>0</v>
      </c>
      <c r="V1101" s="133"/>
    </row>
    <row r="1102" spans="1:22" s="56" customFormat="1">
      <c r="A1102" s="58"/>
      <c r="B1102" s="36"/>
      <c r="C1102" s="58"/>
      <c r="D1102" s="57"/>
      <c r="E1102" s="57"/>
      <c r="F1102" s="41"/>
      <c r="G1102" s="41"/>
      <c r="H1102" s="41"/>
      <c r="I1102" s="57"/>
      <c r="J1102" s="36"/>
      <c r="K1102" s="57"/>
      <c r="L1102" s="57"/>
      <c r="M1102" s="57"/>
      <c r="N1102" s="42"/>
      <c r="O1102" s="57"/>
      <c r="P1102" s="43"/>
      <c r="Q1102" s="41"/>
      <c r="R1102" s="43"/>
      <c r="S1102" s="36"/>
      <c r="T1102" s="16">
        <f t="shared" si="34"/>
        <v>0</v>
      </c>
      <c r="U1102" s="16">
        <f t="shared" si="35"/>
        <v>0</v>
      </c>
      <c r="V1102" s="133"/>
    </row>
    <row r="1103" spans="1:22" s="56" customFormat="1">
      <c r="A1103" s="58"/>
      <c r="B1103" s="36"/>
      <c r="C1103" s="58"/>
      <c r="D1103" s="57"/>
      <c r="E1103" s="57"/>
      <c r="F1103" s="41"/>
      <c r="G1103" s="41"/>
      <c r="H1103" s="41"/>
      <c r="I1103" s="57"/>
      <c r="J1103" s="36"/>
      <c r="K1103" s="57"/>
      <c r="L1103" s="57"/>
      <c r="M1103" s="57"/>
      <c r="N1103" s="42"/>
      <c r="O1103" s="57"/>
      <c r="P1103" s="43"/>
      <c r="Q1103" s="41"/>
      <c r="R1103" s="43"/>
      <c r="S1103" s="36"/>
      <c r="T1103" s="16">
        <f t="shared" si="34"/>
        <v>0</v>
      </c>
      <c r="U1103" s="16">
        <f t="shared" si="35"/>
        <v>0</v>
      </c>
      <c r="V1103" s="133"/>
    </row>
    <row r="1104" spans="1:22" s="56" customFormat="1">
      <c r="A1104" s="58"/>
      <c r="B1104" s="36"/>
      <c r="C1104" s="58"/>
      <c r="D1104" s="57"/>
      <c r="E1104" s="57"/>
      <c r="F1104" s="41"/>
      <c r="G1104" s="41"/>
      <c r="H1104" s="41"/>
      <c r="I1104" s="57"/>
      <c r="J1104" s="36"/>
      <c r="K1104" s="57"/>
      <c r="L1104" s="57"/>
      <c r="M1104" s="57"/>
      <c r="N1104" s="42"/>
      <c r="O1104" s="57"/>
      <c r="P1104" s="43"/>
      <c r="Q1104" s="41"/>
      <c r="R1104" s="43"/>
      <c r="S1104" s="36"/>
      <c r="T1104" s="16">
        <f t="shared" si="34"/>
        <v>0</v>
      </c>
      <c r="U1104" s="16">
        <f t="shared" si="35"/>
        <v>0</v>
      </c>
      <c r="V1104" s="133"/>
    </row>
    <row r="1105" spans="1:22" s="56" customFormat="1">
      <c r="A1105" s="58"/>
      <c r="B1105" s="36"/>
      <c r="C1105" s="58"/>
      <c r="D1105" s="57"/>
      <c r="E1105" s="57"/>
      <c r="F1105" s="41"/>
      <c r="G1105" s="41"/>
      <c r="H1105" s="41"/>
      <c r="I1105" s="57"/>
      <c r="J1105" s="36"/>
      <c r="K1105" s="57"/>
      <c r="L1105" s="57"/>
      <c r="M1105" s="57"/>
      <c r="N1105" s="42"/>
      <c r="O1105" s="57"/>
      <c r="P1105" s="43"/>
      <c r="Q1105" s="41"/>
      <c r="R1105" s="43"/>
      <c r="S1105" s="36"/>
      <c r="T1105" s="16">
        <f t="shared" si="34"/>
        <v>0</v>
      </c>
      <c r="U1105" s="16">
        <f t="shared" si="35"/>
        <v>0</v>
      </c>
      <c r="V1105" s="133"/>
    </row>
    <row r="1106" spans="1:22" s="56" customFormat="1">
      <c r="A1106" s="58"/>
      <c r="B1106" s="36"/>
      <c r="C1106" s="58"/>
      <c r="D1106" s="57"/>
      <c r="E1106" s="57"/>
      <c r="F1106" s="41"/>
      <c r="G1106" s="41"/>
      <c r="H1106" s="41"/>
      <c r="I1106" s="57"/>
      <c r="J1106" s="36"/>
      <c r="K1106" s="57"/>
      <c r="L1106" s="57"/>
      <c r="M1106" s="57"/>
      <c r="N1106" s="42"/>
      <c r="O1106" s="57"/>
      <c r="P1106" s="43"/>
      <c r="Q1106" s="41"/>
      <c r="R1106" s="43"/>
      <c r="S1106" s="36"/>
      <c r="T1106" s="16">
        <f t="shared" si="34"/>
        <v>0</v>
      </c>
      <c r="U1106" s="16">
        <f t="shared" si="35"/>
        <v>0</v>
      </c>
      <c r="V1106" s="133"/>
    </row>
    <row r="1107" spans="1:22" s="56" customFormat="1">
      <c r="A1107" s="58"/>
      <c r="B1107" s="36"/>
      <c r="C1107" s="58"/>
      <c r="D1107" s="57"/>
      <c r="E1107" s="57"/>
      <c r="F1107" s="41"/>
      <c r="G1107" s="41"/>
      <c r="H1107" s="41"/>
      <c r="I1107" s="57"/>
      <c r="J1107" s="36"/>
      <c r="K1107" s="57"/>
      <c r="L1107" s="57"/>
      <c r="M1107" s="57"/>
      <c r="N1107" s="42"/>
      <c r="O1107" s="57"/>
      <c r="P1107" s="43"/>
      <c r="Q1107" s="41"/>
      <c r="R1107" s="43"/>
      <c r="S1107" s="36"/>
      <c r="T1107" s="16">
        <f t="shared" si="34"/>
        <v>0</v>
      </c>
      <c r="U1107" s="16">
        <f t="shared" si="35"/>
        <v>0</v>
      </c>
      <c r="V1107" s="133"/>
    </row>
    <row r="1108" spans="1:22" s="56" customFormat="1">
      <c r="A1108" s="58"/>
      <c r="B1108" s="36"/>
      <c r="C1108" s="58"/>
      <c r="D1108" s="57"/>
      <c r="E1108" s="57"/>
      <c r="F1108" s="41"/>
      <c r="G1108" s="41"/>
      <c r="H1108" s="41"/>
      <c r="I1108" s="57"/>
      <c r="J1108" s="36"/>
      <c r="K1108" s="57"/>
      <c r="L1108" s="57"/>
      <c r="M1108" s="57"/>
      <c r="N1108" s="42"/>
      <c r="O1108" s="57"/>
      <c r="P1108" s="43"/>
      <c r="Q1108" s="41"/>
      <c r="R1108" s="43"/>
      <c r="S1108" s="36"/>
      <c r="T1108" s="16">
        <f t="shared" si="34"/>
        <v>0</v>
      </c>
      <c r="U1108" s="16">
        <f t="shared" si="35"/>
        <v>0</v>
      </c>
      <c r="V1108" s="133"/>
    </row>
    <row r="1109" spans="1:22" s="56" customFormat="1">
      <c r="A1109" s="58"/>
      <c r="B1109" s="36"/>
      <c r="C1109" s="58"/>
      <c r="D1109" s="57"/>
      <c r="E1109" s="57"/>
      <c r="F1109" s="41"/>
      <c r="G1109" s="41"/>
      <c r="H1109" s="41"/>
      <c r="I1109" s="57"/>
      <c r="J1109" s="36"/>
      <c r="K1109" s="57"/>
      <c r="L1109" s="57"/>
      <c r="M1109" s="57"/>
      <c r="N1109" s="42"/>
      <c r="O1109" s="57"/>
      <c r="P1109" s="43"/>
      <c r="Q1109" s="41"/>
      <c r="R1109" s="43"/>
      <c r="S1109" s="36"/>
      <c r="T1109" s="16">
        <f t="shared" si="34"/>
        <v>0</v>
      </c>
      <c r="U1109" s="16">
        <f t="shared" si="35"/>
        <v>0</v>
      </c>
      <c r="V1109" s="133"/>
    </row>
    <row r="1110" spans="1:22" s="56" customFormat="1">
      <c r="A1110" s="58"/>
      <c r="B1110" s="36"/>
      <c r="C1110" s="58"/>
      <c r="D1110" s="57"/>
      <c r="E1110" s="57"/>
      <c r="F1110" s="41"/>
      <c r="G1110" s="41"/>
      <c r="H1110" s="41"/>
      <c r="I1110" s="57"/>
      <c r="J1110" s="36"/>
      <c r="K1110" s="57"/>
      <c r="L1110" s="57"/>
      <c r="M1110" s="57"/>
      <c r="N1110" s="42"/>
      <c r="O1110" s="57"/>
      <c r="P1110" s="43"/>
      <c r="Q1110" s="41"/>
      <c r="R1110" s="43"/>
      <c r="S1110" s="36"/>
      <c r="T1110" s="16">
        <f t="shared" si="34"/>
        <v>0</v>
      </c>
      <c r="U1110" s="16">
        <f t="shared" si="35"/>
        <v>0</v>
      </c>
      <c r="V1110" s="133"/>
    </row>
    <row r="1111" spans="1:22" s="56" customFormat="1">
      <c r="A1111" s="58"/>
      <c r="B1111" s="36"/>
      <c r="C1111" s="58"/>
      <c r="D1111" s="57"/>
      <c r="E1111" s="57"/>
      <c r="F1111" s="41"/>
      <c r="G1111" s="41"/>
      <c r="H1111" s="41"/>
      <c r="I1111" s="57"/>
      <c r="J1111" s="36"/>
      <c r="K1111" s="57"/>
      <c r="L1111" s="57"/>
      <c r="M1111" s="57"/>
      <c r="N1111" s="42"/>
      <c r="O1111" s="57"/>
      <c r="P1111" s="43"/>
      <c r="Q1111" s="41"/>
      <c r="R1111" s="43"/>
      <c r="S1111" s="36"/>
      <c r="T1111" s="16">
        <f t="shared" si="34"/>
        <v>0</v>
      </c>
      <c r="U1111" s="16">
        <f t="shared" si="35"/>
        <v>0</v>
      </c>
      <c r="V1111" s="133"/>
    </row>
    <row r="1112" spans="1:22" s="56" customFormat="1">
      <c r="A1112" s="58"/>
      <c r="B1112" s="36"/>
      <c r="C1112" s="58"/>
      <c r="D1112" s="57"/>
      <c r="E1112" s="57"/>
      <c r="F1112" s="41"/>
      <c r="G1112" s="41"/>
      <c r="H1112" s="41"/>
      <c r="I1112" s="57"/>
      <c r="J1112" s="36"/>
      <c r="K1112" s="57"/>
      <c r="L1112" s="57"/>
      <c r="M1112" s="57"/>
      <c r="N1112" s="42"/>
      <c r="O1112" s="57"/>
      <c r="P1112" s="43"/>
      <c r="Q1112" s="41"/>
      <c r="R1112" s="43"/>
      <c r="S1112" s="36"/>
      <c r="T1112" s="16">
        <f t="shared" si="34"/>
        <v>0</v>
      </c>
      <c r="U1112" s="16">
        <f t="shared" si="35"/>
        <v>0</v>
      </c>
      <c r="V1112" s="133"/>
    </row>
    <row r="1113" spans="1:22" s="56" customFormat="1">
      <c r="A1113" s="58"/>
      <c r="B1113" s="36"/>
      <c r="C1113" s="58"/>
      <c r="D1113" s="57"/>
      <c r="E1113" s="57"/>
      <c r="F1113" s="41"/>
      <c r="G1113" s="41"/>
      <c r="H1113" s="41"/>
      <c r="I1113" s="57"/>
      <c r="J1113" s="36"/>
      <c r="K1113" s="57"/>
      <c r="L1113" s="57"/>
      <c r="M1113" s="57"/>
      <c r="N1113" s="42"/>
      <c r="O1113" s="57"/>
      <c r="P1113" s="43"/>
      <c r="Q1113" s="41"/>
      <c r="R1113" s="43"/>
      <c r="S1113" s="36"/>
      <c r="T1113" s="16">
        <f t="shared" si="34"/>
        <v>0</v>
      </c>
      <c r="U1113" s="16">
        <f t="shared" si="35"/>
        <v>0</v>
      </c>
      <c r="V1113" s="133"/>
    </row>
    <row r="1114" spans="1:22" s="56" customFormat="1">
      <c r="A1114" s="58"/>
      <c r="B1114" s="36"/>
      <c r="C1114" s="58"/>
      <c r="D1114" s="57"/>
      <c r="E1114" s="57"/>
      <c r="F1114" s="41"/>
      <c r="G1114" s="41"/>
      <c r="H1114" s="41"/>
      <c r="I1114" s="57"/>
      <c r="J1114" s="36"/>
      <c r="K1114" s="57"/>
      <c r="L1114" s="57"/>
      <c r="M1114" s="57"/>
      <c r="N1114" s="42"/>
      <c r="O1114" s="57"/>
      <c r="P1114" s="43"/>
      <c r="Q1114" s="41"/>
      <c r="R1114" s="43"/>
      <c r="S1114" s="36"/>
      <c r="T1114" s="16">
        <f t="shared" si="34"/>
        <v>0</v>
      </c>
      <c r="U1114" s="16">
        <f t="shared" si="35"/>
        <v>0</v>
      </c>
      <c r="V1114" s="133"/>
    </row>
    <row r="1115" spans="1:22" s="56" customFormat="1">
      <c r="A1115" s="58"/>
      <c r="B1115" s="36"/>
      <c r="C1115" s="58"/>
      <c r="D1115" s="57"/>
      <c r="E1115" s="57"/>
      <c r="F1115" s="41"/>
      <c r="G1115" s="41"/>
      <c r="H1115" s="41"/>
      <c r="I1115" s="57"/>
      <c r="J1115" s="36"/>
      <c r="K1115" s="57"/>
      <c r="L1115" s="57"/>
      <c r="M1115" s="57"/>
      <c r="N1115" s="42"/>
      <c r="O1115" s="57"/>
      <c r="P1115" s="43"/>
      <c r="Q1115" s="41"/>
      <c r="R1115" s="43"/>
      <c r="S1115" s="36"/>
      <c r="T1115" s="16">
        <f t="shared" si="34"/>
        <v>0</v>
      </c>
      <c r="U1115" s="16">
        <f t="shared" si="35"/>
        <v>0</v>
      </c>
      <c r="V1115" s="133"/>
    </row>
    <row r="1116" spans="1:22" s="56" customFormat="1">
      <c r="A1116" s="58"/>
      <c r="B1116" s="36"/>
      <c r="C1116" s="58"/>
      <c r="D1116" s="57"/>
      <c r="E1116" s="57"/>
      <c r="F1116" s="41"/>
      <c r="G1116" s="41"/>
      <c r="H1116" s="41"/>
      <c r="I1116" s="57"/>
      <c r="J1116" s="36"/>
      <c r="K1116" s="57"/>
      <c r="L1116" s="57"/>
      <c r="M1116" s="57"/>
      <c r="N1116" s="42"/>
      <c r="O1116" s="57"/>
      <c r="P1116" s="43"/>
      <c r="Q1116" s="41"/>
      <c r="R1116" s="43"/>
      <c r="S1116" s="36"/>
      <c r="T1116" s="16">
        <f t="shared" si="34"/>
        <v>0</v>
      </c>
      <c r="U1116" s="16">
        <f t="shared" si="35"/>
        <v>0</v>
      </c>
      <c r="V1116" s="133"/>
    </row>
    <row r="1117" spans="1:22" s="56" customFormat="1">
      <c r="A1117" s="58"/>
      <c r="B1117" s="36"/>
      <c r="C1117" s="58"/>
      <c r="D1117" s="57"/>
      <c r="E1117" s="57"/>
      <c r="F1117" s="41"/>
      <c r="G1117" s="41"/>
      <c r="H1117" s="41"/>
      <c r="I1117" s="57"/>
      <c r="J1117" s="36"/>
      <c r="K1117" s="57"/>
      <c r="L1117" s="57"/>
      <c r="M1117" s="57"/>
      <c r="N1117" s="42"/>
      <c r="O1117" s="57"/>
      <c r="P1117" s="43"/>
      <c r="Q1117" s="41"/>
      <c r="R1117" s="43"/>
      <c r="S1117" s="36"/>
      <c r="T1117" s="16">
        <f t="shared" si="34"/>
        <v>0</v>
      </c>
      <c r="U1117" s="16">
        <f t="shared" si="35"/>
        <v>0</v>
      </c>
      <c r="V1117" s="133"/>
    </row>
    <row r="1118" spans="1:22" s="56" customFormat="1">
      <c r="A1118" s="58"/>
      <c r="B1118" s="36"/>
      <c r="C1118" s="58"/>
      <c r="D1118" s="57"/>
      <c r="E1118" s="57"/>
      <c r="F1118" s="41"/>
      <c r="G1118" s="41"/>
      <c r="H1118" s="41"/>
      <c r="I1118" s="57"/>
      <c r="J1118" s="36"/>
      <c r="K1118" s="57"/>
      <c r="L1118" s="57"/>
      <c r="M1118" s="57"/>
      <c r="N1118" s="42"/>
      <c r="O1118" s="57"/>
      <c r="P1118" s="43"/>
      <c r="Q1118" s="41"/>
      <c r="R1118" s="43"/>
      <c r="S1118" s="36"/>
      <c r="T1118" s="16">
        <f t="shared" si="34"/>
        <v>0</v>
      </c>
      <c r="U1118" s="16">
        <f t="shared" si="35"/>
        <v>0</v>
      </c>
      <c r="V1118" s="133"/>
    </row>
    <row r="1119" spans="1:22" s="56" customFormat="1">
      <c r="A1119" s="58"/>
      <c r="B1119" s="36"/>
      <c r="C1119" s="58"/>
      <c r="D1119" s="57"/>
      <c r="E1119" s="57"/>
      <c r="F1119" s="41"/>
      <c r="G1119" s="41"/>
      <c r="H1119" s="41"/>
      <c r="I1119" s="57"/>
      <c r="J1119" s="36"/>
      <c r="K1119" s="57"/>
      <c r="L1119" s="57"/>
      <c r="M1119" s="57"/>
      <c r="N1119" s="42"/>
      <c r="O1119" s="57"/>
      <c r="P1119" s="43"/>
      <c r="Q1119" s="41"/>
      <c r="R1119" s="43"/>
      <c r="S1119" s="36"/>
      <c r="T1119" s="16">
        <f t="shared" si="34"/>
        <v>0</v>
      </c>
      <c r="U1119" s="16">
        <f t="shared" si="35"/>
        <v>0</v>
      </c>
      <c r="V1119" s="133"/>
    </row>
    <row r="1120" spans="1:22" s="56" customFormat="1">
      <c r="A1120" s="58"/>
      <c r="B1120" s="36"/>
      <c r="C1120" s="58"/>
      <c r="D1120" s="57"/>
      <c r="E1120" s="57"/>
      <c r="F1120" s="41"/>
      <c r="G1120" s="41"/>
      <c r="H1120" s="41"/>
      <c r="I1120" s="57"/>
      <c r="J1120" s="36"/>
      <c r="K1120" s="57"/>
      <c r="L1120" s="57"/>
      <c r="M1120" s="57"/>
      <c r="N1120" s="42"/>
      <c r="O1120" s="57"/>
      <c r="P1120" s="43"/>
      <c r="Q1120" s="41"/>
      <c r="R1120" s="43"/>
      <c r="S1120" s="36"/>
      <c r="T1120" s="16">
        <f t="shared" si="34"/>
        <v>0</v>
      </c>
      <c r="U1120" s="16">
        <f t="shared" si="35"/>
        <v>0</v>
      </c>
      <c r="V1120" s="133"/>
    </row>
    <row r="1121" spans="1:22" s="56" customFormat="1">
      <c r="A1121" s="58"/>
      <c r="B1121" s="36"/>
      <c r="C1121" s="58"/>
      <c r="D1121" s="57"/>
      <c r="E1121" s="57"/>
      <c r="F1121" s="41"/>
      <c r="G1121" s="41"/>
      <c r="H1121" s="41"/>
      <c r="I1121" s="57"/>
      <c r="J1121" s="36"/>
      <c r="K1121" s="57"/>
      <c r="L1121" s="57"/>
      <c r="M1121" s="57"/>
      <c r="N1121" s="42"/>
      <c r="O1121" s="57"/>
      <c r="P1121" s="43"/>
      <c r="Q1121" s="41"/>
      <c r="R1121" s="43"/>
      <c r="S1121" s="36"/>
      <c r="T1121" s="16">
        <f t="shared" si="34"/>
        <v>0</v>
      </c>
      <c r="U1121" s="16">
        <f t="shared" si="35"/>
        <v>0</v>
      </c>
      <c r="V1121" s="133"/>
    </row>
    <row r="1122" spans="1:22" s="56" customFormat="1">
      <c r="A1122" s="58"/>
      <c r="B1122" s="36"/>
      <c r="C1122" s="58"/>
      <c r="D1122" s="57"/>
      <c r="E1122" s="57"/>
      <c r="F1122" s="41"/>
      <c r="G1122" s="41"/>
      <c r="H1122" s="41"/>
      <c r="I1122" s="57"/>
      <c r="J1122" s="36"/>
      <c r="K1122" s="57"/>
      <c r="L1122" s="57"/>
      <c r="M1122" s="57"/>
      <c r="N1122" s="42"/>
      <c r="O1122" s="57"/>
      <c r="P1122" s="43"/>
      <c r="Q1122" s="41"/>
      <c r="R1122" s="43"/>
      <c r="S1122" s="36"/>
      <c r="T1122" s="16">
        <f t="shared" si="34"/>
        <v>0</v>
      </c>
      <c r="U1122" s="16">
        <f t="shared" si="35"/>
        <v>0</v>
      </c>
      <c r="V1122" s="133"/>
    </row>
    <row r="1123" spans="1:22" s="56" customFormat="1">
      <c r="A1123" s="58"/>
      <c r="B1123" s="36"/>
      <c r="C1123" s="58"/>
      <c r="D1123" s="57"/>
      <c r="E1123" s="57"/>
      <c r="F1123" s="41"/>
      <c r="G1123" s="41"/>
      <c r="H1123" s="41"/>
      <c r="I1123" s="57"/>
      <c r="J1123" s="36"/>
      <c r="K1123" s="57"/>
      <c r="L1123" s="57"/>
      <c r="M1123" s="57"/>
      <c r="N1123" s="42"/>
      <c r="O1123" s="57"/>
      <c r="P1123" s="43"/>
      <c r="Q1123" s="41"/>
      <c r="R1123" s="43"/>
      <c r="S1123" s="36"/>
      <c r="T1123" s="16">
        <f t="shared" si="34"/>
        <v>0</v>
      </c>
      <c r="U1123" s="16">
        <f t="shared" si="35"/>
        <v>0</v>
      </c>
      <c r="V1123" s="133"/>
    </row>
    <row r="1124" spans="1:22" s="56" customFormat="1">
      <c r="A1124" s="58"/>
      <c r="B1124" s="36"/>
      <c r="C1124" s="58"/>
      <c r="D1124" s="57"/>
      <c r="E1124" s="57"/>
      <c r="F1124" s="41"/>
      <c r="G1124" s="41"/>
      <c r="H1124" s="41"/>
      <c r="I1124" s="57"/>
      <c r="J1124" s="36"/>
      <c r="K1124" s="57"/>
      <c r="L1124" s="57"/>
      <c r="M1124" s="57"/>
      <c r="N1124" s="42"/>
      <c r="O1124" s="57"/>
      <c r="P1124" s="43"/>
      <c r="Q1124" s="41"/>
      <c r="R1124" s="43"/>
      <c r="S1124" s="36"/>
      <c r="T1124" s="16">
        <f t="shared" si="34"/>
        <v>0</v>
      </c>
      <c r="U1124" s="16">
        <f t="shared" si="35"/>
        <v>0</v>
      </c>
      <c r="V1124" s="133"/>
    </row>
    <row r="1125" spans="1:22" s="56" customFormat="1">
      <c r="A1125" s="58"/>
      <c r="B1125" s="36"/>
      <c r="C1125" s="58"/>
      <c r="D1125" s="57"/>
      <c r="E1125" s="57"/>
      <c r="F1125" s="41"/>
      <c r="G1125" s="41"/>
      <c r="H1125" s="41"/>
      <c r="I1125" s="57"/>
      <c r="J1125" s="36"/>
      <c r="K1125" s="57"/>
      <c r="L1125" s="57"/>
      <c r="M1125" s="57"/>
      <c r="N1125" s="42"/>
      <c r="O1125" s="57"/>
      <c r="P1125" s="43"/>
      <c r="Q1125" s="41"/>
      <c r="R1125" s="43"/>
      <c r="S1125" s="36"/>
      <c r="T1125" s="16">
        <f t="shared" si="34"/>
        <v>0</v>
      </c>
      <c r="U1125" s="16">
        <f t="shared" si="35"/>
        <v>0</v>
      </c>
      <c r="V1125" s="133"/>
    </row>
    <row r="1126" spans="1:22" s="56" customFormat="1">
      <c r="A1126" s="58"/>
      <c r="B1126" s="36"/>
      <c r="C1126" s="58"/>
      <c r="D1126" s="57"/>
      <c r="E1126" s="57"/>
      <c r="F1126" s="41"/>
      <c r="G1126" s="41"/>
      <c r="H1126" s="41"/>
      <c r="I1126" s="57"/>
      <c r="J1126" s="36"/>
      <c r="K1126" s="57"/>
      <c r="L1126" s="57"/>
      <c r="M1126" s="57"/>
      <c r="N1126" s="42"/>
      <c r="O1126" s="57"/>
      <c r="P1126" s="43"/>
      <c r="Q1126" s="41"/>
      <c r="R1126" s="43"/>
      <c r="S1126" s="36"/>
      <c r="T1126" s="16">
        <f t="shared" si="34"/>
        <v>0</v>
      </c>
      <c r="U1126" s="16">
        <f t="shared" si="35"/>
        <v>0</v>
      </c>
      <c r="V1126" s="133"/>
    </row>
    <row r="1127" spans="1:22" s="56" customFormat="1">
      <c r="A1127" s="58"/>
      <c r="B1127" s="36"/>
      <c r="C1127" s="58"/>
      <c r="D1127" s="57"/>
      <c r="E1127" s="57"/>
      <c r="F1127" s="41"/>
      <c r="G1127" s="41"/>
      <c r="H1127" s="41"/>
      <c r="I1127" s="57"/>
      <c r="J1127" s="36"/>
      <c r="K1127" s="57"/>
      <c r="L1127" s="57"/>
      <c r="M1127" s="57"/>
      <c r="N1127" s="42"/>
      <c r="O1127" s="57"/>
      <c r="P1127" s="43"/>
      <c r="Q1127" s="41"/>
      <c r="R1127" s="43"/>
      <c r="S1127" s="36"/>
      <c r="T1127" s="16">
        <f t="shared" si="34"/>
        <v>0</v>
      </c>
      <c r="U1127" s="16">
        <f t="shared" si="35"/>
        <v>0</v>
      </c>
      <c r="V1127" s="133"/>
    </row>
    <row r="1128" spans="1:22" s="56" customFormat="1">
      <c r="A1128" s="58"/>
      <c r="B1128" s="36"/>
      <c r="C1128" s="58"/>
      <c r="D1128" s="57"/>
      <c r="E1128" s="57"/>
      <c r="F1128" s="41"/>
      <c r="G1128" s="41"/>
      <c r="H1128" s="41"/>
      <c r="I1128" s="57"/>
      <c r="J1128" s="36"/>
      <c r="K1128" s="57"/>
      <c r="L1128" s="57"/>
      <c r="M1128" s="57"/>
      <c r="N1128" s="42"/>
      <c r="O1128" s="57"/>
      <c r="P1128" s="43"/>
      <c r="Q1128" s="41"/>
      <c r="R1128" s="43"/>
      <c r="S1128" s="36"/>
      <c r="T1128" s="16">
        <f t="shared" si="34"/>
        <v>0</v>
      </c>
      <c r="U1128" s="16">
        <f t="shared" si="35"/>
        <v>0</v>
      </c>
      <c r="V1128" s="133"/>
    </row>
    <row r="1129" spans="1:22" s="56" customFormat="1">
      <c r="A1129" s="58"/>
      <c r="B1129" s="36"/>
      <c r="C1129" s="58"/>
      <c r="D1129" s="57"/>
      <c r="E1129" s="57"/>
      <c r="F1129" s="41"/>
      <c r="G1129" s="41"/>
      <c r="H1129" s="41"/>
      <c r="I1129" s="57"/>
      <c r="J1129" s="36"/>
      <c r="K1129" s="57"/>
      <c r="L1129" s="57"/>
      <c r="M1129" s="57"/>
      <c r="N1129" s="42"/>
      <c r="O1129" s="57"/>
      <c r="P1129" s="43"/>
      <c r="Q1129" s="41"/>
      <c r="R1129" s="43"/>
      <c r="S1129" s="36"/>
      <c r="T1129" s="16">
        <f t="shared" si="34"/>
        <v>0</v>
      </c>
      <c r="U1129" s="16">
        <f t="shared" si="35"/>
        <v>0</v>
      </c>
      <c r="V1129" s="133"/>
    </row>
    <row r="1130" spans="1:22" s="56" customFormat="1">
      <c r="A1130" s="58"/>
      <c r="B1130" s="36"/>
      <c r="C1130" s="58"/>
      <c r="D1130" s="57"/>
      <c r="E1130" s="57"/>
      <c r="F1130" s="41"/>
      <c r="G1130" s="41"/>
      <c r="H1130" s="41"/>
      <c r="I1130" s="57"/>
      <c r="J1130" s="36"/>
      <c r="K1130" s="57"/>
      <c r="L1130" s="57"/>
      <c r="M1130" s="57"/>
      <c r="N1130" s="42"/>
      <c r="O1130" s="57"/>
      <c r="P1130" s="43"/>
      <c r="Q1130" s="41"/>
      <c r="R1130" s="43"/>
      <c r="S1130" s="36"/>
      <c r="T1130" s="16">
        <f t="shared" si="34"/>
        <v>0</v>
      </c>
      <c r="U1130" s="16">
        <f t="shared" si="35"/>
        <v>0</v>
      </c>
      <c r="V1130" s="133"/>
    </row>
    <row r="1131" spans="1:22" s="56" customFormat="1">
      <c r="A1131" s="58"/>
      <c r="B1131" s="36"/>
      <c r="C1131" s="58"/>
      <c r="D1131" s="57"/>
      <c r="E1131" s="57"/>
      <c r="F1131" s="41"/>
      <c r="G1131" s="41"/>
      <c r="H1131" s="41"/>
      <c r="I1131" s="57"/>
      <c r="J1131" s="36"/>
      <c r="K1131" s="57"/>
      <c r="L1131" s="57"/>
      <c r="M1131" s="57"/>
      <c r="N1131" s="42"/>
      <c r="O1131" s="57"/>
      <c r="P1131" s="43"/>
      <c r="Q1131" s="41"/>
      <c r="R1131" s="43"/>
      <c r="S1131" s="36"/>
      <c r="T1131" s="16">
        <f t="shared" si="34"/>
        <v>0</v>
      </c>
      <c r="U1131" s="16">
        <f t="shared" si="35"/>
        <v>0</v>
      </c>
      <c r="V1131" s="133"/>
    </row>
    <row r="1132" spans="1:22" s="56" customFormat="1">
      <c r="A1132" s="58"/>
      <c r="B1132" s="36"/>
      <c r="C1132" s="58"/>
      <c r="D1132" s="57"/>
      <c r="E1132" s="57"/>
      <c r="F1132" s="41"/>
      <c r="G1132" s="41"/>
      <c r="H1132" s="41"/>
      <c r="I1132" s="57"/>
      <c r="J1132" s="36"/>
      <c r="K1132" s="57"/>
      <c r="L1132" s="57"/>
      <c r="M1132" s="57"/>
      <c r="N1132" s="42"/>
      <c r="O1132" s="57"/>
      <c r="P1132" s="43"/>
      <c r="Q1132" s="41"/>
      <c r="R1132" s="43"/>
      <c r="S1132" s="36"/>
      <c r="T1132" s="16">
        <f t="shared" si="34"/>
        <v>0</v>
      </c>
      <c r="U1132" s="16">
        <f t="shared" si="35"/>
        <v>0</v>
      </c>
      <c r="V1132" s="133"/>
    </row>
    <row r="1133" spans="1:22" s="56" customFormat="1">
      <c r="A1133" s="58"/>
      <c r="B1133" s="36"/>
      <c r="C1133" s="58"/>
      <c r="D1133" s="57"/>
      <c r="E1133" s="57"/>
      <c r="F1133" s="41"/>
      <c r="G1133" s="41"/>
      <c r="H1133" s="41"/>
      <c r="I1133" s="57"/>
      <c r="J1133" s="36"/>
      <c r="K1133" s="57"/>
      <c r="L1133" s="57"/>
      <c r="M1133" s="57"/>
      <c r="N1133" s="42"/>
      <c r="O1133" s="57"/>
      <c r="P1133" s="43"/>
      <c r="Q1133" s="41"/>
      <c r="R1133" s="43"/>
      <c r="S1133" s="36"/>
      <c r="T1133" s="16">
        <f t="shared" si="34"/>
        <v>0</v>
      </c>
      <c r="U1133" s="16">
        <f t="shared" si="35"/>
        <v>0</v>
      </c>
      <c r="V1133" s="133"/>
    </row>
    <row r="1134" spans="1:22" s="56" customFormat="1">
      <c r="A1134" s="58"/>
      <c r="B1134" s="36"/>
      <c r="C1134" s="58"/>
      <c r="D1134" s="57"/>
      <c r="E1134" s="57"/>
      <c r="F1134" s="41"/>
      <c r="G1134" s="41"/>
      <c r="H1134" s="41"/>
      <c r="I1134" s="57"/>
      <c r="J1134" s="36"/>
      <c r="K1134" s="57"/>
      <c r="L1134" s="57"/>
      <c r="M1134" s="57"/>
      <c r="N1134" s="42"/>
      <c r="O1134" s="57"/>
      <c r="P1134" s="43"/>
      <c r="Q1134" s="41"/>
      <c r="R1134" s="43"/>
      <c r="S1134" s="36"/>
      <c r="T1134" s="16">
        <f t="shared" si="34"/>
        <v>0</v>
      </c>
      <c r="U1134" s="16">
        <f t="shared" si="35"/>
        <v>0</v>
      </c>
      <c r="V1134" s="133"/>
    </row>
    <row r="1135" spans="1:22" s="56" customFormat="1">
      <c r="A1135" s="58"/>
      <c r="B1135" s="36"/>
      <c r="C1135" s="58"/>
      <c r="D1135" s="57"/>
      <c r="E1135" s="57"/>
      <c r="F1135" s="41"/>
      <c r="G1135" s="41"/>
      <c r="H1135" s="41"/>
      <c r="I1135" s="57"/>
      <c r="J1135" s="36"/>
      <c r="K1135" s="57"/>
      <c r="L1135" s="57"/>
      <c r="M1135" s="57"/>
      <c r="N1135" s="42"/>
      <c r="O1135" s="57"/>
      <c r="P1135" s="43"/>
      <c r="Q1135" s="41"/>
      <c r="R1135" s="43"/>
      <c r="S1135" s="36"/>
      <c r="T1135" s="16">
        <f t="shared" si="34"/>
        <v>0</v>
      </c>
      <c r="U1135" s="16">
        <f t="shared" si="35"/>
        <v>0</v>
      </c>
      <c r="V1135" s="133"/>
    </row>
    <row r="1136" spans="1:22" s="56" customFormat="1">
      <c r="A1136" s="58"/>
      <c r="B1136" s="36"/>
      <c r="C1136" s="58"/>
      <c r="D1136" s="57"/>
      <c r="E1136" s="57"/>
      <c r="F1136" s="41"/>
      <c r="G1136" s="41"/>
      <c r="H1136" s="41"/>
      <c r="I1136" s="57"/>
      <c r="J1136" s="36"/>
      <c r="K1136" s="57"/>
      <c r="L1136" s="57"/>
      <c r="M1136" s="57"/>
      <c r="N1136" s="42"/>
      <c r="O1136" s="57"/>
      <c r="P1136" s="43"/>
      <c r="Q1136" s="41"/>
      <c r="R1136" s="43"/>
      <c r="S1136" s="36"/>
      <c r="T1136" s="16">
        <f t="shared" si="34"/>
        <v>0</v>
      </c>
      <c r="U1136" s="16">
        <f t="shared" si="35"/>
        <v>0</v>
      </c>
      <c r="V1136" s="133"/>
    </row>
    <row r="1137" spans="1:22" s="56" customFormat="1">
      <c r="A1137" s="58"/>
      <c r="B1137" s="36"/>
      <c r="C1137" s="58"/>
      <c r="D1137" s="57"/>
      <c r="E1137" s="57"/>
      <c r="F1137" s="41"/>
      <c r="G1137" s="41"/>
      <c r="H1137" s="41"/>
      <c r="I1137" s="57"/>
      <c r="J1137" s="36"/>
      <c r="K1137" s="57"/>
      <c r="L1137" s="57"/>
      <c r="M1137" s="57"/>
      <c r="N1137" s="42"/>
      <c r="O1137" s="57"/>
      <c r="P1137" s="43"/>
      <c r="Q1137" s="41"/>
      <c r="R1137" s="43"/>
      <c r="S1137" s="36"/>
      <c r="T1137" s="16">
        <f t="shared" si="34"/>
        <v>0</v>
      </c>
      <c r="U1137" s="16">
        <f t="shared" si="35"/>
        <v>0</v>
      </c>
      <c r="V1137" s="133"/>
    </row>
    <row r="1138" spans="1:22" s="56" customFormat="1">
      <c r="A1138" s="58"/>
      <c r="B1138" s="36"/>
      <c r="C1138" s="58"/>
      <c r="D1138" s="57"/>
      <c r="E1138" s="57"/>
      <c r="F1138" s="41"/>
      <c r="G1138" s="41"/>
      <c r="H1138" s="41"/>
      <c r="I1138" s="57"/>
      <c r="J1138" s="36"/>
      <c r="K1138" s="57"/>
      <c r="L1138" s="57"/>
      <c r="M1138" s="57"/>
      <c r="N1138" s="42"/>
      <c r="O1138" s="57"/>
      <c r="P1138" s="43"/>
      <c r="Q1138" s="41"/>
      <c r="R1138" s="43"/>
      <c r="S1138" s="36"/>
      <c r="T1138" s="16">
        <f t="shared" si="34"/>
        <v>0</v>
      </c>
      <c r="U1138" s="16">
        <f t="shared" si="35"/>
        <v>0</v>
      </c>
      <c r="V1138" s="133"/>
    </row>
    <row r="1139" spans="1:22" s="56" customFormat="1">
      <c r="A1139" s="58"/>
      <c r="B1139" s="36"/>
      <c r="C1139" s="58"/>
      <c r="D1139" s="57"/>
      <c r="E1139" s="57"/>
      <c r="F1139" s="41"/>
      <c r="G1139" s="41"/>
      <c r="H1139" s="41"/>
      <c r="I1139" s="57"/>
      <c r="J1139" s="36"/>
      <c r="K1139" s="57"/>
      <c r="L1139" s="57"/>
      <c r="M1139" s="57"/>
      <c r="N1139" s="42"/>
      <c r="O1139" s="57"/>
      <c r="P1139" s="43"/>
      <c r="Q1139" s="41"/>
      <c r="R1139" s="43"/>
      <c r="S1139" s="36"/>
      <c r="T1139" s="16">
        <f t="shared" si="34"/>
        <v>0</v>
      </c>
      <c r="U1139" s="16">
        <f t="shared" si="35"/>
        <v>0</v>
      </c>
      <c r="V1139" s="133"/>
    </row>
    <row r="1140" spans="1:22" s="56" customFormat="1">
      <c r="A1140" s="58"/>
      <c r="B1140" s="36"/>
      <c r="C1140" s="58"/>
      <c r="D1140" s="57"/>
      <c r="E1140" s="57"/>
      <c r="F1140" s="41"/>
      <c r="G1140" s="41"/>
      <c r="H1140" s="41"/>
      <c r="I1140" s="57"/>
      <c r="J1140" s="36"/>
      <c r="K1140" s="57"/>
      <c r="L1140" s="57"/>
      <c r="M1140" s="57"/>
      <c r="N1140" s="42"/>
      <c r="O1140" s="57"/>
      <c r="P1140" s="43"/>
      <c r="Q1140" s="41"/>
      <c r="R1140" s="43"/>
      <c r="S1140" s="36"/>
      <c r="T1140" s="16">
        <f t="shared" si="34"/>
        <v>0</v>
      </c>
      <c r="U1140" s="16">
        <f t="shared" si="35"/>
        <v>0</v>
      </c>
      <c r="V1140" s="133"/>
    </row>
    <row r="1141" spans="1:22" s="56" customFormat="1">
      <c r="A1141" s="58"/>
      <c r="B1141" s="36"/>
      <c r="C1141" s="58"/>
      <c r="D1141" s="57"/>
      <c r="E1141" s="57"/>
      <c r="F1141" s="41"/>
      <c r="G1141" s="41"/>
      <c r="H1141" s="41"/>
      <c r="I1141" s="57"/>
      <c r="J1141" s="36"/>
      <c r="K1141" s="57"/>
      <c r="L1141" s="57"/>
      <c r="M1141" s="57"/>
      <c r="N1141" s="42"/>
      <c r="O1141" s="57"/>
      <c r="P1141" s="43"/>
      <c r="Q1141" s="41"/>
      <c r="R1141" s="43"/>
      <c r="S1141" s="36"/>
      <c r="T1141" s="16">
        <f t="shared" si="34"/>
        <v>0</v>
      </c>
      <c r="U1141" s="16">
        <f t="shared" si="35"/>
        <v>0</v>
      </c>
      <c r="V1141" s="133"/>
    </row>
    <row r="1142" spans="1:22" s="56" customFormat="1">
      <c r="A1142" s="58"/>
      <c r="B1142" s="36"/>
      <c r="C1142" s="58"/>
      <c r="D1142" s="57"/>
      <c r="E1142" s="57"/>
      <c r="F1142" s="41"/>
      <c r="G1142" s="41"/>
      <c r="H1142" s="41"/>
      <c r="I1142" s="57"/>
      <c r="J1142" s="36"/>
      <c r="K1142" s="57"/>
      <c r="L1142" s="57"/>
      <c r="M1142" s="57"/>
      <c r="N1142" s="42"/>
      <c r="O1142" s="57"/>
      <c r="P1142" s="43"/>
      <c r="Q1142" s="41"/>
      <c r="R1142" s="43"/>
      <c r="S1142" s="36"/>
      <c r="T1142" s="16">
        <f t="shared" si="34"/>
        <v>0</v>
      </c>
      <c r="U1142" s="16">
        <f t="shared" si="35"/>
        <v>0</v>
      </c>
      <c r="V1142" s="133"/>
    </row>
    <row r="1143" spans="1:22" s="56" customFormat="1">
      <c r="A1143" s="58"/>
      <c r="B1143" s="36"/>
      <c r="C1143" s="58"/>
      <c r="D1143" s="57"/>
      <c r="E1143" s="57"/>
      <c r="F1143" s="41"/>
      <c r="G1143" s="41"/>
      <c r="H1143" s="41"/>
      <c r="I1143" s="57"/>
      <c r="J1143" s="36"/>
      <c r="K1143" s="57"/>
      <c r="L1143" s="57"/>
      <c r="M1143" s="57"/>
      <c r="N1143" s="42"/>
      <c r="O1143" s="57"/>
      <c r="P1143" s="43"/>
      <c r="Q1143" s="41"/>
      <c r="R1143" s="43"/>
      <c r="S1143" s="36"/>
      <c r="T1143" s="16">
        <f t="shared" si="34"/>
        <v>0</v>
      </c>
      <c r="U1143" s="16">
        <f t="shared" si="35"/>
        <v>0</v>
      </c>
      <c r="V1143" s="133"/>
    </row>
    <row r="1144" spans="1:22" s="56" customFormat="1">
      <c r="A1144" s="58"/>
      <c r="B1144" s="36"/>
      <c r="C1144" s="58"/>
      <c r="D1144" s="57"/>
      <c r="E1144" s="57"/>
      <c r="F1144" s="41"/>
      <c r="G1144" s="41"/>
      <c r="H1144" s="41"/>
      <c r="I1144" s="57"/>
      <c r="J1144" s="36"/>
      <c r="K1144" s="57"/>
      <c r="L1144" s="57"/>
      <c r="M1144" s="57"/>
      <c r="N1144" s="42"/>
      <c r="O1144" s="57"/>
      <c r="P1144" s="43"/>
      <c r="Q1144" s="41"/>
      <c r="R1144" s="43"/>
      <c r="S1144" s="36"/>
      <c r="T1144" s="16">
        <f t="shared" si="34"/>
        <v>0</v>
      </c>
      <c r="U1144" s="16">
        <f t="shared" si="35"/>
        <v>0</v>
      </c>
      <c r="V1144" s="133"/>
    </row>
    <row r="1145" spans="1:22" s="56" customFormat="1">
      <c r="A1145" s="58"/>
      <c r="B1145" s="36"/>
      <c r="C1145" s="58"/>
      <c r="D1145" s="57"/>
      <c r="E1145" s="57"/>
      <c r="F1145" s="41"/>
      <c r="G1145" s="41"/>
      <c r="H1145" s="41"/>
      <c r="I1145" s="57"/>
      <c r="J1145" s="36"/>
      <c r="K1145" s="57"/>
      <c r="L1145" s="57"/>
      <c r="M1145" s="57"/>
      <c r="N1145" s="42"/>
      <c r="O1145" s="57"/>
      <c r="P1145" s="43"/>
      <c r="Q1145" s="41"/>
      <c r="R1145" s="43"/>
      <c r="S1145" s="36"/>
      <c r="T1145" s="16">
        <f t="shared" si="34"/>
        <v>0</v>
      </c>
      <c r="U1145" s="16">
        <f t="shared" si="35"/>
        <v>0</v>
      </c>
      <c r="V1145" s="133"/>
    </row>
    <row r="1146" spans="1:22" s="56" customFormat="1">
      <c r="A1146" s="58"/>
      <c r="B1146" s="36"/>
      <c r="C1146" s="58"/>
      <c r="D1146" s="57"/>
      <c r="E1146" s="57"/>
      <c r="F1146" s="41"/>
      <c r="G1146" s="41"/>
      <c r="H1146" s="41"/>
      <c r="I1146" s="57"/>
      <c r="J1146" s="36"/>
      <c r="K1146" s="57"/>
      <c r="L1146" s="57"/>
      <c r="M1146" s="57"/>
      <c r="N1146" s="42"/>
      <c r="O1146" s="57"/>
      <c r="P1146" s="43"/>
      <c r="Q1146" s="41"/>
      <c r="R1146" s="43"/>
      <c r="S1146" s="36"/>
      <c r="T1146" s="16">
        <f t="shared" si="34"/>
        <v>0</v>
      </c>
      <c r="U1146" s="16">
        <f t="shared" si="35"/>
        <v>0</v>
      </c>
      <c r="V1146" s="133"/>
    </row>
    <row r="1147" spans="1:22" s="56" customFormat="1">
      <c r="A1147" s="58"/>
      <c r="B1147" s="36"/>
      <c r="C1147" s="58"/>
      <c r="D1147" s="57"/>
      <c r="E1147" s="57"/>
      <c r="F1147" s="41"/>
      <c r="G1147" s="41"/>
      <c r="H1147" s="41"/>
      <c r="I1147" s="57"/>
      <c r="J1147" s="36"/>
      <c r="K1147" s="57"/>
      <c r="L1147" s="57"/>
      <c r="M1147" s="57"/>
      <c r="N1147" s="42"/>
      <c r="O1147" s="57"/>
      <c r="P1147" s="43"/>
      <c r="Q1147" s="41"/>
      <c r="R1147" s="43"/>
      <c r="S1147" s="36"/>
      <c r="T1147" s="16">
        <f t="shared" si="34"/>
        <v>0</v>
      </c>
      <c r="U1147" s="16">
        <f t="shared" si="35"/>
        <v>0</v>
      </c>
      <c r="V1147" s="133"/>
    </row>
    <row r="1148" spans="1:22" s="56" customFormat="1">
      <c r="A1148" s="58"/>
      <c r="B1148" s="36"/>
      <c r="C1148" s="58"/>
      <c r="D1148" s="57"/>
      <c r="E1148" s="57"/>
      <c r="F1148" s="41"/>
      <c r="G1148" s="41"/>
      <c r="H1148" s="41"/>
      <c r="I1148" s="57"/>
      <c r="J1148" s="36"/>
      <c r="K1148" s="57"/>
      <c r="L1148" s="57"/>
      <c r="M1148" s="57"/>
      <c r="N1148" s="42"/>
      <c r="O1148" s="57"/>
      <c r="P1148" s="43"/>
      <c r="Q1148" s="41"/>
      <c r="R1148" s="43"/>
      <c r="S1148" s="36"/>
      <c r="T1148" s="16">
        <f t="shared" si="34"/>
        <v>0</v>
      </c>
      <c r="U1148" s="16">
        <f t="shared" si="35"/>
        <v>0</v>
      </c>
      <c r="V1148" s="133"/>
    </row>
    <row r="1149" spans="1:22" s="56" customFormat="1">
      <c r="A1149" s="58"/>
      <c r="B1149" s="36"/>
      <c r="C1149" s="58"/>
      <c r="D1149" s="57"/>
      <c r="E1149" s="57"/>
      <c r="F1149" s="41"/>
      <c r="G1149" s="41"/>
      <c r="H1149" s="41"/>
      <c r="I1149" s="57"/>
      <c r="J1149" s="36"/>
      <c r="K1149" s="57"/>
      <c r="L1149" s="57"/>
      <c r="M1149" s="57"/>
      <c r="N1149" s="42"/>
      <c r="O1149" s="57"/>
      <c r="P1149" s="43"/>
      <c r="Q1149" s="41"/>
      <c r="R1149" s="43"/>
      <c r="S1149" s="36"/>
      <c r="T1149" s="16">
        <f t="shared" si="34"/>
        <v>0</v>
      </c>
      <c r="U1149" s="16">
        <f t="shared" si="35"/>
        <v>0</v>
      </c>
      <c r="V1149" s="133"/>
    </row>
    <row r="1150" spans="1:22" s="56" customFormat="1">
      <c r="A1150" s="58"/>
      <c r="B1150" s="36"/>
      <c r="C1150" s="58"/>
      <c r="D1150" s="57"/>
      <c r="E1150" s="57"/>
      <c r="F1150" s="41"/>
      <c r="G1150" s="41"/>
      <c r="H1150" s="41"/>
      <c r="I1150" s="57"/>
      <c r="J1150" s="36"/>
      <c r="K1150" s="57"/>
      <c r="L1150" s="57"/>
      <c r="M1150" s="57"/>
      <c r="N1150" s="42"/>
      <c r="O1150" s="57"/>
      <c r="P1150" s="43"/>
      <c r="Q1150" s="41"/>
      <c r="R1150" s="43"/>
      <c r="S1150" s="36"/>
      <c r="T1150" s="16">
        <f t="shared" si="34"/>
        <v>0</v>
      </c>
      <c r="U1150" s="16">
        <f t="shared" si="35"/>
        <v>0</v>
      </c>
      <c r="V1150" s="133"/>
    </row>
    <row r="1151" spans="1:22" s="56" customFormat="1">
      <c r="A1151" s="58"/>
      <c r="B1151" s="36"/>
      <c r="C1151" s="58"/>
      <c r="D1151" s="57"/>
      <c r="E1151" s="57"/>
      <c r="F1151" s="41"/>
      <c r="G1151" s="41"/>
      <c r="H1151" s="41"/>
      <c r="I1151" s="57"/>
      <c r="J1151" s="36"/>
      <c r="K1151" s="57"/>
      <c r="L1151" s="57"/>
      <c r="M1151" s="57"/>
      <c r="N1151" s="42"/>
      <c r="O1151" s="57"/>
      <c r="P1151" s="43"/>
      <c r="Q1151" s="41"/>
      <c r="R1151" s="43"/>
      <c r="S1151" s="36"/>
      <c r="T1151" s="16">
        <f t="shared" si="34"/>
        <v>0</v>
      </c>
      <c r="U1151" s="16">
        <f t="shared" si="35"/>
        <v>0</v>
      </c>
      <c r="V1151" s="133"/>
    </row>
    <row r="1152" spans="1:22" s="56" customFormat="1">
      <c r="A1152" s="58"/>
      <c r="B1152" s="36"/>
      <c r="C1152" s="58"/>
      <c r="D1152" s="57"/>
      <c r="E1152" s="57"/>
      <c r="F1152" s="41"/>
      <c r="G1152" s="41"/>
      <c r="H1152" s="41"/>
      <c r="I1152" s="57"/>
      <c r="J1152" s="36"/>
      <c r="K1152" s="57"/>
      <c r="L1152" s="57"/>
      <c r="M1152" s="57"/>
      <c r="N1152" s="42"/>
      <c r="O1152" s="57"/>
      <c r="P1152" s="43"/>
      <c r="Q1152" s="41"/>
      <c r="R1152" s="43"/>
      <c r="S1152" s="36"/>
      <c r="T1152" s="16">
        <f t="shared" si="34"/>
        <v>0</v>
      </c>
      <c r="U1152" s="16">
        <f t="shared" si="35"/>
        <v>0</v>
      </c>
      <c r="V1152" s="133"/>
    </row>
    <row r="1153" spans="1:22" s="56" customFormat="1">
      <c r="A1153" s="58"/>
      <c r="B1153" s="36"/>
      <c r="C1153" s="58"/>
      <c r="D1153" s="57"/>
      <c r="E1153" s="57"/>
      <c r="F1153" s="41"/>
      <c r="G1153" s="41"/>
      <c r="H1153" s="41"/>
      <c r="I1153" s="57"/>
      <c r="J1153" s="36"/>
      <c r="K1153" s="57"/>
      <c r="L1153" s="57"/>
      <c r="M1153" s="57"/>
      <c r="N1153" s="42"/>
      <c r="O1153" s="57"/>
      <c r="P1153" s="43"/>
      <c r="Q1153" s="41"/>
      <c r="R1153" s="43"/>
      <c r="S1153" s="36"/>
      <c r="T1153" s="16">
        <f t="shared" si="34"/>
        <v>0</v>
      </c>
      <c r="U1153" s="16">
        <f t="shared" si="35"/>
        <v>0</v>
      </c>
      <c r="V1153" s="133"/>
    </row>
    <row r="1154" spans="1:22" s="56" customFormat="1">
      <c r="A1154" s="58"/>
      <c r="B1154" s="36"/>
      <c r="C1154" s="58"/>
      <c r="D1154" s="57"/>
      <c r="E1154" s="57"/>
      <c r="F1154" s="41"/>
      <c r="G1154" s="41"/>
      <c r="H1154" s="41"/>
      <c r="I1154" s="57"/>
      <c r="J1154" s="36"/>
      <c r="K1154" s="57"/>
      <c r="L1154" s="57"/>
      <c r="M1154" s="57"/>
      <c r="N1154" s="42"/>
      <c r="O1154" s="57"/>
      <c r="P1154" s="43"/>
      <c r="Q1154" s="41"/>
      <c r="R1154" s="43"/>
      <c r="S1154" s="36"/>
      <c r="T1154" s="16">
        <f t="shared" si="34"/>
        <v>0</v>
      </c>
      <c r="U1154" s="16">
        <f t="shared" si="35"/>
        <v>0</v>
      </c>
      <c r="V1154" s="133"/>
    </row>
    <row r="1155" spans="1:22" s="56" customFormat="1">
      <c r="A1155" s="58"/>
      <c r="B1155" s="36"/>
      <c r="C1155" s="58"/>
      <c r="D1155" s="57"/>
      <c r="E1155" s="57"/>
      <c r="F1155" s="41"/>
      <c r="G1155" s="41"/>
      <c r="H1155" s="41"/>
      <c r="I1155" s="57"/>
      <c r="J1155" s="36"/>
      <c r="K1155" s="57"/>
      <c r="L1155" s="57"/>
      <c r="M1155" s="57"/>
      <c r="N1155" s="42"/>
      <c r="O1155" s="57"/>
      <c r="P1155" s="43"/>
      <c r="Q1155" s="41"/>
      <c r="R1155" s="43"/>
      <c r="S1155" s="36"/>
      <c r="T1155" s="16">
        <f t="shared" si="34"/>
        <v>0</v>
      </c>
      <c r="U1155" s="16">
        <f t="shared" si="35"/>
        <v>0</v>
      </c>
      <c r="V1155" s="133"/>
    </row>
    <row r="1156" spans="1:22" s="56" customFormat="1">
      <c r="A1156" s="58"/>
      <c r="B1156" s="36"/>
      <c r="C1156" s="58"/>
      <c r="D1156" s="57"/>
      <c r="E1156" s="57"/>
      <c r="F1156" s="41"/>
      <c r="G1156" s="41"/>
      <c r="H1156" s="41"/>
      <c r="I1156" s="57"/>
      <c r="J1156" s="36"/>
      <c r="K1156" s="57"/>
      <c r="L1156" s="57"/>
      <c r="M1156" s="57"/>
      <c r="N1156" s="42"/>
      <c r="O1156" s="57"/>
      <c r="P1156" s="43"/>
      <c r="Q1156" s="41"/>
      <c r="R1156" s="43"/>
      <c r="S1156" s="36"/>
      <c r="T1156" s="16">
        <f t="shared" si="34"/>
        <v>0</v>
      </c>
      <c r="U1156" s="16">
        <f t="shared" si="35"/>
        <v>0</v>
      </c>
      <c r="V1156" s="133"/>
    </row>
    <row r="1157" spans="1:22" s="56" customFormat="1">
      <c r="A1157" s="58"/>
      <c r="B1157" s="36"/>
      <c r="C1157" s="58"/>
      <c r="D1157" s="57"/>
      <c r="E1157" s="57"/>
      <c r="F1157" s="41"/>
      <c r="G1157" s="41"/>
      <c r="H1157" s="41"/>
      <c r="I1157" s="57"/>
      <c r="J1157" s="36"/>
      <c r="K1157" s="57"/>
      <c r="L1157" s="57"/>
      <c r="M1157" s="57"/>
      <c r="N1157" s="42"/>
      <c r="O1157" s="57"/>
      <c r="P1157" s="43"/>
      <c r="Q1157" s="41"/>
      <c r="R1157" s="43"/>
      <c r="S1157" s="36"/>
      <c r="T1157" s="16">
        <f t="shared" ref="T1157:T1220" si="36">IF(OR($J1157="Accepted",ISBLANK($J1157)),IF(AND($G1157="Legacy Data",$Q1157="Legacy Data"),1,IF(OR($G1157="Legacy Data",$Q1157="Legacy Data"),1,0)),IF(OR($N1157="Agree with original translator",ISBLANK($N1157)),IF(AND($G1157="Source Text Data",$Q1157="Legacy Data"),1,IF(AND($G1157="Legacy Data",$Q1157="Legacy Data"),1,IF($Q1157="Legacy Data",1,0))),IF(AND($G1157="Legacy Data",$Q1157="Legacy Data"),1,IF(OR($Q1157="Legacy Data",ISBLANK($Q1157)),IF($G1157&lt;&gt;"Legacy Data",IF(AND($G1157="Source Text Data",$Q1157="Legacy Data"),1,0),1),0))))</f>
        <v>0</v>
      </c>
      <c r="U1157" s="16">
        <f t="shared" ref="U1157:U1220" si="37">IF(OR($J1157="Accepted",ISBLANK($J1157)),IF(AND($G1157="Source Text Data",$Q1157="Source Text Data"),1,IF(OR($G1157="Source Text Data",$Q1157="Source Text Data"),1,0)),IF(OR($N1157="Agree with original translator",ISBLANK($N1157)),IF(AND($G1157="Legacy Data",$Q1157="Source Text Data"),1,IF(AND($G1157="Source Text Data",$Q1157="Source Text Data"),1,IF($Q1157="Source Text Data",1,0))),IF(AND($G1157="Source Text Data",$Q1157="Source Text Data"),1,IF(OR($Q1157="Source Text Data",ISBLANK($Q1157)),IF($G1157&lt;&gt;"Source Text Data",IF(AND($G1157="Legacy Data",$Q1157="Source Text Data"),1,0),1),0))))</f>
        <v>0</v>
      </c>
      <c r="V1157" s="133"/>
    </row>
    <row r="1158" spans="1:22" s="56" customFormat="1">
      <c r="A1158" s="58"/>
      <c r="B1158" s="36"/>
      <c r="C1158" s="58"/>
      <c r="D1158" s="57"/>
      <c r="E1158" s="57"/>
      <c r="F1158" s="41"/>
      <c r="G1158" s="41"/>
      <c r="H1158" s="41"/>
      <c r="I1158" s="57"/>
      <c r="J1158" s="36"/>
      <c r="K1158" s="57"/>
      <c r="L1158" s="57"/>
      <c r="M1158" s="57"/>
      <c r="N1158" s="42"/>
      <c r="O1158" s="57"/>
      <c r="P1158" s="43"/>
      <c r="Q1158" s="41"/>
      <c r="R1158" s="43"/>
      <c r="S1158" s="36"/>
      <c r="T1158" s="16">
        <f t="shared" si="36"/>
        <v>0</v>
      </c>
      <c r="U1158" s="16">
        <f t="shared" si="37"/>
        <v>0</v>
      </c>
      <c r="V1158" s="133"/>
    </row>
    <row r="1159" spans="1:22" s="56" customFormat="1">
      <c r="A1159" s="58"/>
      <c r="B1159" s="36"/>
      <c r="C1159" s="58"/>
      <c r="D1159" s="57"/>
      <c r="E1159" s="57"/>
      <c r="F1159" s="41"/>
      <c r="G1159" s="41"/>
      <c r="H1159" s="41"/>
      <c r="I1159" s="57"/>
      <c r="J1159" s="36"/>
      <c r="K1159" s="57"/>
      <c r="L1159" s="57"/>
      <c r="M1159" s="57"/>
      <c r="N1159" s="42"/>
      <c r="O1159" s="57"/>
      <c r="P1159" s="43"/>
      <c r="Q1159" s="41"/>
      <c r="R1159" s="43"/>
      <c r="S1159" s="36"/>
      <c r="T1159" s="16">
        <f t="shared" si="36"/>
        <v>0</v>
      </c>
      <c r="U1159" s="16">
        <f t="shared" si="37"/>
        <v>0</v>
      </c>
      <c r="V1159" s="133"/>
    </row>
    <row r="1160" spans="1:22" s="56" customFormat="1">
      <c r="A1160" s="58"/>
      <c r="B1160" s="36"/>
      <c r="C1160" s="58"/>
      <c r="D1160" s="57"/>
      <c r="E1160" s="57"/>
      <c r="F1160" s="41"/>
      <c r="G1160" s="41"/>
      <c r="H1160" s="41"/>
      <c r="I1160" s="57"/>
      <c r="J1160" s="36"/>
      <c r="K1160" s="57"/>
      <c r="L1160" s="57"/>
      <c r="M1160" s="57"/>
      <c r="N1160" s="42"/>
      <c r="O1160" s="57"/>
      <c r="P1160" s="43"/>
      <c r="Q1160" s="41"/>
      <c r="R1160" s="43"/>
      <c r="S1160" s="36"/>
      <c r="T1160" s="16">
        <f t="shared" si="36"/>
        <v>0</v>
      </c>
      <c r="U1160" s="16">
        <f t="shared" si="37"/>
        <v>0</v>
      </c>
      <c r="V1160" s="133"/>
    </row>
    <row r="1161" spans="1:22" s="56" customFormat="1">
      <c r="A1161" s="58"/>
      <c r="B1161" s="36"/>
      <c r="C1161" s="58"/>
      <c r="D1161" s="57"/>
      <c r="E1161" s="57"/>
      <c r="F1161" s="41"/>
      <c r="G1161" s="41"/>
      <c r="H1161" s="41"/>
      <c r="I1161" s="57"/>
      <c r="J1161" s="36"/>
      <c r="K1161" s="57"/>
      <c r="L1161" s="57"/>
      <c r="M1161" s="57"/>
      <c r="N1161" s="42"/>
      <c r="O1161" s="57"/>
      <c r="P1161" s="43"/>
      <c r="Q1161" s="41"/>
      <c r="R1161" s="43"/>
      <c r="S1161" s="36"/>
      <c r="T1161" s="16">
        <f t="shared" si="36"/>
        <v>0</v>
      </c>
      <c r="U1161" s="16">
        <f t="shared" si="37"/>
        <v>0</v>
      </c>
      <c r="V1161" s="133"/>
    </row>
    <row r="1162" spans="1:22" s="56" customFormat="1">
      <c r="A1162" s="58"/>
      <c r="B1162" s="36"/>
      <c r="C1162" s="58"/>
      <c r="D1162" s="57"/>
      <c r="E1162" s="57"/>
      <c r="F1162" s="41"/>
      <c r="G1162" s="41"/>
      <c r="H1162" s="41"/>
      <c r="I1162" s="57"/>
      <c r="J1162" s="36"/>
      <c r="K1162" s="57"/>
      <c r="L1162" s="57"/>
      <c r="M1162" s="57"/>
      <c r="N1162" s="42"/>
      <c r="O1162" s="57"/>
      <c r="P1162" s="43"/>
      <c r="Q1162" s="41"/>
      <c r="R1162" s="43"/>
      <c r="S1162" s="36"/>
      <c r="T1162" s="16">
        <f t="shared" si="36"/>
        <v>0</v>
      </c>
      <c r="U1162" s="16">
        <f t="shared" si="37"/>
        <v>0</v>
      </c>
      <c r="V1162" s="133"/>
    </row>
    <row r="1163" spans="1:22" s="56" customFormat="1">
      <c r="A1163" s="58"/>
      <c r="B1163" s="36"/>
      <c r="C1163" s="58"/>
      <c r="D1163" s="57"/>
      <c r="E1163" s="57"/>
      <c r="F1163" s="41"/>
      <c r="G1163" s="41"/>
      <c r="H1163" s="41"/>
      <c r="I1163" s="57"/>
      <c r="J1163" s="36"/>
      <c r="K1163" s="57"/>
      <c r="L1163" s="57"/>
      <c r="M1163" s="57"/>
      <c r="N1163" s="42"/>
      <c r="O1163" s="57"/>
      <c r="P1163" s="43"/>
      <c r="Q1163" s="41"/>
      <c r="R1163" s="43"/>
      <c r="S1163" s="36"/>
      <c r="T1163" s="16">
        <f t="shared" si="36"/>
        <v>0</v>
      </c>
      <c r="U1163" s="16">
        <f t="shared" si="37"/>
        <v>0</v>
      </c>
      <c r="V1163" s="133"/>
    </row>
    <row r="1164" spans="1:22" s="56" customFormat="1">
      <c r="A1164" s="58"/>
      <c r="B1164" s="36"/>
      <c r="C1164" s="58"/>
      <c r="D1164" s="57"/>
      <c r="E1164" s="57"/>
      <c r="F1164" s="41"/>
      <c r="G1164" s="41"/>
      <c r="H1164" s="41"/>
      <c r="I1164" s="57"/>
      <c r="J1164" s="36"/>
      <c r="K1164" s="57"/>
      <c r="L1164" s="57"/>
      <c r="M1164" s="57"/>
      <c r="N1164" s="42"/>
      <c r="O1164" s="57"/>
      <c r="P1164" s="43"/>
      <c r="Q1164" s="41"/>
      <c r="R1164" s="43"/>
      <c r="S1164" s="36"/>
      <c r="T1164" s="16">
        <f t="shared" si="36"/>
        <v>0</v>
      </c>
      <c r="U1164" s="16">
        <f t="shared" si="37"/>
        <v>0</v>
      </c>
      <c r="V1164" s="133"/>
    </row>
    <row r="1165" spans="1:22" s="56" customFormat="1">
      <c r="A1165" s="58"/>
      <c r="B1165" s="36"/>
      <c r="C1165" s="58"/>
      <c r="D1165" s="57"/>
      <c r="E1165" s="57"/>
      <c r="F1165" s="41"/>
      <c r="G1165" s="41"/>
      <c r="H1165" s="41"/>
      <c r="I1165" s="57"/>
      <c r="J1165" s="36"/>
      <c r="K1165" s="57"/>
      <c r="L1165" s="57"/>
      <c r="M1165" s="57"/>
      <c r="N1165" s="42"/>
      <c r="O1165" s="57"/>
      <c r="P1165" s="43"/>
      <c r="Q1165" s="41"/>
      <c r="R1165" s="43"/>
      <c r="S1165" s="36"/>
      <c r="T1165" s="16">
        <f t="shared" si="36"/>
        <v>0</v>
      </c>
      <c r="U1165" s="16">
        <f t="shared" si="37"/>
        <v>0</v>
      </c>
      <c r="V1165" s="133"/>
    </row>
    <row r="1166" spans="1:22" s="56" customFormat="1">
      <c r="A1166" s="58"/>
      <c r="B1166" s="36"/>
      <c r="C1166" s="58"/>
      <c r="D1166" s="57"/>
      <c r="E1166" s="57"/>
      <c r="F1166" s="41"/>
      <c r="G1166" s="41"/>
      <c r="H1166" s="41"/>
      <c r="I1166" s="57"/>
      <c r="J1166" s="36"/>
      <c r="K1166" s="57"/>
      <c r="L1166" s="57"/>
      <c r="M1166" s="57"/>
      <c r="N1166" s="42"/>
      <c r="O1166" s="57"/>
      <c r="P1166" s="43"/>
      <c r="Q1166" s="41"/>
      <c r="R1166" s="43"/>
      <c r="S1166" s="36"/>
      <c r="T1166" s="16">
        <f t="shared" si="36"/>
        <v>0</v>
      </c>
      <c r="U1166" s="16">
        <f t="shared" si="37"/>
        <v>0</v>
      </c>
      <c r="V1166" s="133"/>
    </row>
    <row r="1167" spans="1:22" s="56" customFormat="1">
      <c r="A1167" s="58"/>
      <c r="B1167" s="36"/>
      <c r="C1167" s="58"/>
      <c r="D1167" s="57"/>
      <c r="E1167" s="57"/>
      <c r="F1167" s="41"/>
      <c r="G1167" s="41"/>
      <c r="H1167" s="41"/>
      <c r="I1167" s="57"/>
      <c r="J1167" s="36"/>
      <c r="K1167" s="57"/>
      <c r="L1167" s="57"/>
      <c r="M1167" s="57"/>
      <c r="N1167" s="42"/>
      <c r="O1167" s="57"/>
      <c r="P1167" s="43"/>
      <c r="Q1167" s="41"/>
      <c r="R1167" s="43"/>
      <c r="S1167" s="36"/>
      <c r="T1167" s="16">
        <f t="shared" si="36"/>
        <v>0</v>
      </c>
      <c r="U1167" s="16">
        <f t="shared" si="37"/>
        <v>0</v>
      </c>
      <c r="V1167" s="133"/>
    </row>
    <row r="1168" spans="1:22" s="56" customFormat="1">
      <c r="A1168" s="58"/>
      <c r="B1168" s="36"/>
      <c r="C1168" s="58"/>
      <c r="D1168" s="57"/>
      <c r="E1168" s="57"/>
      <c r="F1168" s="41"/>
      <c r="G1168" s="41"/>
      <c r="H1168" s="41"/>
      <c r="I1168" s="57"/>
      <c r="J1168" s="36"/>
      <c r="K1168" s="57"/>
      <c r="L1168" s="57"/>
      <c r="M1168" s="57"/>
      <c r="N1168" s="42"/>
      <c r="O1168" s="57"/>
      <c r="P1168" s="43"/>
      <c r="Q1168" s="41"/>
      <c r="R1168" s="43"/>
      <c r="S1168" s="36"/>
      <c r="T1168" s="16">
        <f t="shared" si="36"/>
        <v>0</v>
      </c>
      <c r="U1168" s="16">
        <f t="shared" si="37"/>
        <v>0</v>
      </c>
      <c r="V1168" s="133"/>
    </row>
    <row r="1169" spans="1:22" s="56" customFormat="1">
      <c r="A1169" s="58"/>
      <c r="B1169" s="36"/>
      <c r="C1169" s="58"/>
      <c r="D1169" s="57"/>
      <c r="E1169" s="57"/>
      <c r="F1169" s="41"/>
      <c r="G1169" s="41"/>
      <c r="H1169" s="41"/>
      <c r="I1169" s="57"/>
      <c r="J1169" s="36"/>
      <c r="K1169" s="57"/>
      <c r="L1169" s="57"/>
      <c r="M1169" s="57"/>
      <c r="N1169" s="42"/>
      <c r="O1169" s="57"/>
      <c r="P1169" s="43"/>
      <c r="Q1169" s="41"/>
      <c r="R1169" s="43"/>
      <c r="S1169" s="36"/>
      <c r="T1169" s="16">
        <f t="shared" si="36"/>
        <v>0</v>
      </c>
      <c r="U1169" s="16">
        <f t="shared" si="37"/>
        <v>0</v>
      </c>
      <c r="V1169" s="133"/>
    </row>
    <row r="1170" spans="1:22" s="56" customFormat="1">
      <c r="A1170" s="58"/>
      <c r="B1170" s="36"/>
      <c r="C1170" s="58"/>
      <c r="D1170" s="57"/>
      <c r="E1170" s="57"/>
      <c r="F1170" s="41"/>
      <c r="G1170" s="41"/>
      <c r="H1170" s="41"/>
      <c r="I1170" s="57"/>
      <c r="J1170" s="36"/>
      <c r="K1170" s="57"/>
      <c r="L1170" s="57"/>
      <c r="M1170" s="57"/>
      <c r="N1170" s="42"/>
      <c r="O1170" s="57"/>
      <c r="P1170" s="43"/>
      <c r="Q1170" s="41"/>
      <c r="R1170" s="43"/>
      <c r="S1170" s="36"/>
      <c r="T1170" s="16">
        <f t="shared" si="36"/>
        <v>0</v>
      </c>
      <c r="U1170" s="16">
        <f t="shared" si="37"/>
        <v>0</v>
      </c>
      <c r="V1170" s="133"/>
    </row>
    <row r="1171" spans="1:22" s="56" customFormat="1">
      <c r="A1171" s="58"/>
      <c r="B1171" s="36"/>
      <c r="C1171" s="58"/>
      <c r="D1171" s="57"/>
      <c r="E1171" s="57"/>
      <c r="F1171" s="41"/>
      <c r="G1171" s="41"/>
      <c r="H1171" s="41"/>
      <c r="I1171" s="57"/>
      <c r="J1171" s="36"/>
      <c r="K1171" s="57"/>
      <c r="L1171" s="57"/>
      <c r="M1171" s="57"/>
      <c r="N1171" s="42"/>
      <c r="O1171" s="57"/>
      <c r="P1171" s="43"/>
      <c r="Q1171" s="41"/>
      <c r="R1171" s="43"/>
      <c r="S1171" s="36"/>
      <c r="T1171" s="16">
        <f t="shared" si="36"/>
        <v>0</v>
      </c>
      <c r="U1171" s="16">
        <f t="shared" si="37"/>
        <v>0</v>
      </c>
      <c r="V1171" s="133"/>
    </row>
    <row r="1172" spans="1:22" s="56" customFormat="1">
      <c r="A1172" s="58"/>
      <c r="B1172" s="36"/>
      <c r="C1172" s="58"/>
      <c r="D1172" s="57"/>
      <c r="E1172" s="57"/>
      <c r="F1172" s="41"/>
      <c r="G1172" s="41"/>
      <c r="H1172" s="41"/>
      <c r="I1172" s="57"/>
      <c r="J1172" s="36"/>
      <c r="K1172" s="57"/>
      <c r="L1172" s="57"/>
      <c r="M1172" s="57"/>
      <c r="N1172" s="42"/>
      <c r="O1172" s="57"/>
      <c r="P1172" s="43"/>
      <c r="Q1172" s="41"/>
      <c r="R1172" s="43"/>
      <c r="S1172" s="36"/>
      <c r="T1172" s="16">
        <f t="shared" si="36"/>
        <v>0</v>
      </c>
      <c r="U1172" s="16">
        <f t="shared" si="37"/>
        <v>0</v>
      </c>
      <c r="V1172" s="133"/>
    </row>
    <row r="1173" spans="1:22" s="56" customFormat="1">
      <c r="A1173" s="58"/>
      <c r="B1173" s="36"/>
      <c r="C1173" s="58"/>
      <c r="D1173" s="57"/>
      <c r="E1173" s="57"/>
      <c r="F1173" s="41"/>
      <c r="G1173" s="41"/>
      <c r="H1173" s="41"/>
      <c r="I1173" s="57"/>
      <c r="J1173" s="36"/>
      <c r="K1173" s="57"/>
      <c r="L1173" s="57"/>
      <c r="M1173" s="57"/>
      <c r="N1173" s="42"/>
      <c r="O1173" s="57"/>
      <c r="P1173" s="43"/>
      <c r="Q1173" s="41"/>
      <c r="R1173" s="43"/>
      <c r="S1173" s="36"/>
      <c r="T1173" s="16">
        <f t="shared" si="36"/>
        <v>0</v>
      </c>
      <c r="U1173" s="16">
        <f t="shared" si="37"/>
        <v>0</v>
      </c>
      <c r="V1173" s="133"/>
    </row>
    <row r="1174" spans="1:22" s="56" customFormat="1">
      <c r="A1174" s="58"/>
      <c r="B1174" s="36"/>
      <c r="C1174" s="58"/>
      <c r="D1174" s="57"/>
      <c r="E1174" s="57"/>
      <c r="F1174" s="41"/>
      <c r="G1174" s="41"/>
      <c r="H1174" s="41"/>
      <c r="I1174" s="57"/>
      <c r="J1174" s="36"/>
      <c r="K1174" s="57"/>
      <c r="L1174" s="57"/>
      <c r="M1174" s="57"/>
      <c r="N1174" s="42"/>
      <c r="O1174" s="57"/>
      <c r="P1174" s="43"/>
      <c r="Q1174" s="41"/>
      <c r="R1174" s="43"/>
      <c r="S1174" s="36"/>
      <c r="T1174" s="16">
        <f t="shared" si="36"/>
        <v>0</v>
      </c>
      <c r="U1174" s="16">
        <f t="shared" si="37"/>
        <v>0</v>
      </c>
      <c r="V1174" s="133"/>
    </row>
    <row r="1175" spans="1:22" s="56" customFormat="1">
      <c r="A1175" s="58"/>
      <c r="B1175" s="36"/>
      <c r="C1175" s="58"/>
      <c r="D1175" s="57"/>
      <c r="E1175" s="57"/>
      <c r="F1175" s="41"/>
      <c r="G1175" s="41"/>
      <c r="H1175" s="41"/>
      <c r="I1175" s="57"/>
      <c r="J1175" s="36"/>
      <c r="K1175" s="57"/>
      <c r="L1175" s="57"/>
      <c r="M1175" s="57"/>
      <c r="N1175" s="42"/>
      <c r="O1175" s="57"/>
      <c r="P1175" s="43"/>
      <c r="Q1175" s="41"/>
      <c r="R1175" s="43"/>
      <c r="S1175" s="36"/>
      <c r="T1175" s="16">
        <f t="shared" si="36"/>
        <v>0</v>
      </c>
      <c r="U1175" s="16">
        <f t="shared" si="37"/>
        <v>0</v>
      </c>
      <c r="V1175" s="133"/>
    </row>
    <row r="1176" spans="1:22" s="56" customFormat="1">
      <c r="A1176" s="58"/>
      <c r="B1176" s="36"/>
      <c r="C1176" s="58"/>
      <c r="D1176" s="57"/>
      <c r="E1176" s="57"/>
      <c r="F1176" s="41"/>
      <c r="G1176" s="41"/>
      <c r="H1176" s="41"/>
      <c r="I1176" s="57"/>
      <c r="J1176" s="36"/>
      <c r="K1176" s="57"/>
      <c r="L1176" s="57"/>
      <c r="M1176" s="57"/>
      <c r="N1176" s="42"/>
      <c r="O1176" s="57"/>
      <c r="P1176" s="43"/>
      <c r="Q1176" s="41"/>
      <c r="R1176" s="43"/>
      <c r="S1176" s="36"/>
      <c r="T1176" s="16">
        <f t="shared" si="36"/>
        <v>0</v>
      </c>
      <c r="U1176" s="16">
        <f t="shared" si="37"/>
        <v>0</v>
      </c>
      <c r="V1176" s="133"/>
    </row>
    <row r="1177" spans="1:22" s="56" customFormat="1">
      <c r="A1177" s="58"/>
      <c r="B1177" s="36"/>
      <c r="C1177" s="58"/>
      <c r="D1177" s="57"/>
      <c r="E1177" s="57"/>
      <c r="F1177" s="41"/>
      <c r="G1177" s="41"/>
      <c r="H1177" s="41"/>
      <c r="I1177" s="57"/>
      <c r="J1177" s="36"/>
      <c r="K1177" s="57"/>
      <c r="L1177" s="57"/>
      <c r="M1177" s="57"/>
      <c r="N1177" s="42"/>
      <c r="O1177" s="57"/>
      <c r="P1177" s="43"/>
      <c r="Q1177" s="41"/>
      <c r="R1177" s="43"/>
      <c r="S1177" s="36"/>
      <c r="T1177" s="16">
        <f t="shared" si="36"/>
        <v>0</v>
      </c>
      <c r="U1177" s="16">
        <f t="shared" si="37"/>
        <v>0</v>
      </c>
      <c r="V1177" s="133"/>
    </row>
    <row r="1178" spans="1:22" s="56" customFormat="1">
      <c r="A1178" s="58"/>
      <c r="B1178" s="36"/>
      <c r="C1178" s="58"/>
      <c r="D1178" s="57"/>
      <c r="E1178" s="57"/>
      <c r="F1178" s="41"/>
      <c r="G1178" s="41"/>
      <c r="H1178" s="41"/>
      <c r="I1178" s="57"/>
      <c r="J1178" s="36"/>
      <c r="K1178" s="57"/>
      <c r="L1178" s="57"/>
      <c r="M1178" s="57"/>
      <c r="N1178" s="42"/>
      <c r="O1178" s="57"/>
      <c r="P1178" s="43"/>
      <c r="Q1178" s="41"/>
      <c r="R1178" s="43"/>
      <c r="S1178" s="36"/>
      <c r="T1178" s="16">
        <f t="shared" si="36"/>
        <v>0</v>
      </c>
      <c r="U1178" s="16">
        <f t="shared" si="37"/>
        <v>0</v>
      </c>
      <c r="V1178" s="133"/>
    </row>
    <row r="1179" spans="1:22" s="56" customFormat="1">
      <c r="A1179" s="58"/>
      <c r="B1179" s="36"/>
      <c r="C1179" s="58"/>
      <c r="D1179" s="57"/>
      <c r="E1179" s="57"/>
      <c r="F1179" s="41"/>
      <c r="G1179" s="41"/>
      <c r="H1179" s="41"/>
      <c r="I1179" s="57"/>
      <c r="J1179" s="36"/>
      <c r="K1179" s="57"/>
      <c r="L1179" s="57"/>
      <c r="M1179" s="57"/>
      <c r="N1179" s="42"/>
      <c r="O1179" s="57"/>
      <c r="P1179" s="43"/>
      <c r="Q1179" s="41"/>
      <c r="R1179" s="43"/>
      <c r="S1179" s="36"/>
      <c r="T1179" s="16">
        <f t="shared" si="36"/>
        <v>0</v>
      </c>
      <c r="U1179" s="16">
        <f t="shared" si="37"/>
        <v>0</v>
      </c>
      <c r="V1179" s="133"/>
    </row>
    <row r="1180" spans="1:22" s="56" customFormat="1">
      <c r="A1180" s="58"/>
      <c r="B1180" s="36"/>
      <c r="C1180" s="58"/>
      <c r="D1180" s="57"/>
      <c r="E1180" s="57"/>
      <c r="F1180" s="41"/>
      <c r="G1180" s="41"/>
      <c r="H1180" s="41"/>
      <c r="I1180" s="57"/>
      <c r="J1180" s="36"/>
      <c r="K1180" s="57"/>
      <c r="L1180" s="57"/>
      <c r="M1180" s="57"/>
      <c r="N1180" s="42"/>
      <c r="O1180" s="57"/>
      <c r="P1180" s="43"/>
      <c r="Q1180" s="41"/>
      <c r="R1180" s="43"/>
      <c r="S1180" s="36"/>
      <c r="T1180" s="16">
        <f t="shared" si="36"/>
        <v>0</v>
      </c>
      <c r="U1180" s="16">
        <f t="shared" si="37"/>
        <v>0</v>
      </c>
      <c r="V1180" s="133"/>
    </row>
    <row r="1181" spans="1:22" s="56" customFormat="1">
      <c r="A1181" s="58"/>
      <c r="B1181" s="36"/>
      <c r="C1181" s="58"/>
      <c r="D1181" s="57"/>
      <c r="E1181" s="57"/>
      <c r="F1181" s="41"/>
      <c r="G1181" s="41"/>
      <c r="H1181" s="41"/>
      <c r="I1181" s="57"/>
      <c r="J1181" s="36"/>
      <c r="K1181" s="57"/>
      <c r="L1181" s="57"/>
      <c r="M1181" s="57"/>
      <c r="N1181" s="42"/>
      <c r="O1181" s="57"/>
      <c r="P1181" s="43"/>
      <c r="Q1181" s="41"/>
      <c r="R1181" s="43"/>
      <c r="S1181" s="36"/>
      <c r="T1181" s="16">
        <f t="shared" si="36"/>
        <v>0</v>
      </c>
      <c r="U1181" s="16">
        <f t="shared" si="37"/>
        <v>0</v>
      </c>
      <c r="V1181" s="133"/>
    </row>
    <row r="1182" spans="1:22" s="56" customFormat="1">
      <c r="A1182" s="58"/>
      <c r="B1182" s="36"/>
      <c r="C1182" s="58"/>
      <c r="D1182" s="57"/>
      <c r="E1182" s="57"/>
      <c r="F1182" s="41"/>
      <c r="G1182" s="41"/>
      <c r="H1182" s="41"/>
      <c r="I1182" s="57"/>
      <c r="J1182" s="36"/>
      <c r="K1182" s="57"/>
      <c r="L1182" s="57"/>
      <c r="M1182" s="57"/>
      <c r="N1182" s="42"/>
      <c r="O1182" s="57"/>
      <c r="P1182" s="43"/>
      <c r="Q1182" s="41"/>
      <c r="R1182" s="43"/>
      <c r="S1182" s="36"/>
      <c r="T1182" s="16">
        <f t="shared" si="36"/>
        <v>0</v>
      </c>
      <c r="U1182" s="16">
        <f t="shared" si="37"/>
        <v>0</v>
      </c>
      <c r="V1182" s="133"/>
    </row>
    <row r="1183" spans="1:22" s="56" customFormat="1">
      <c r="A1183" s="58"/>
      <c r="B1183" s="36"/>
      <c r="C1183" s="58"/>
      <c r="D1183" s="57"/>
      <c r="E1183" s="57"/>
      <c r="F1183" s="41"/>
      <c r="G1183" s="41"/>
      <c r="H1183" s="41"/>
      <c r="I1183" s="57"/>
      <c r="J1183" s="36"/>
      <c r="K1183" s="57"/>
      <c r="L1183" s="57"/>
      <c r="M1183" s="57"/>
      <c r="N1183" s="42"/>
      <c r="O1183" s="57"/>
      <c r="P1183" s="43"/>
      <c r="Q1183" s="41"/>
      <c r="R1183" s="43"/>
      <c r="S1183" s="36"/>
      <c r="T1183" s="16">
        <f t="shared" si="36"/>
        <v>0</v>
      </c>
      <c r="U1183" s="16">
        <f t="shared" si="37"/>
        <v>0</v>
      </c>
      <c r="V1183" s="133"/>
    </row>
    <row r="1184" spans="1:22" s="56" customFormat="1">
      <c r="A1184" s="58"/>
      <c r="B1184" s="36"/>
      <c r="C1184" s="58"/>
      <c r="D1184" s="57"/>
      <c r="E1184" s="57"/>
      <c r="F1184" s="41"/>
      <c r="G1184" s="41"/>
      <c r="H1184" s="41"/>
      <c r="I1184" s="57"/>
      <c r="J1184" s="36"/>
      <c r="K1184" s="57"/>
      <c r="L1184" s="57"/>
      <c r="M1184" s="57"/>
      <c r="N1184" s="42"/>
      <c r="O1184" s="57"/>
      <c r="P1184" s="43"/>
      <c r="Q1184" s="41"/>
      <c r="R1184" s="43"/>
      <c r="S1184" s="36"/>
      <c r="T1184" s="16">
        <f t="shared" si="36"/>
        <v>0</v>
      </c>
      <c r="U1184" s="16">
        <f t="shared" si="37"/>
        <v>0</v>
      </c>
      <c r="V1184" s="133"/>
    </row>
    <row r="1185" spans="1:22" s="56" customFormat="1">
      <c r="A1185" s="58"/>
      <c r="B1185" s="36"/>
      <c r="C1185" s="58"/>
      <c r="D1185" s="57"/>
      <c r="E1185" s="57"/>
      <c r="F1185" s="41"/>
      <c r="G1185" s="41"/>
      <c r="H1185" s="41"/>
      <c r="I1185" s="57"/>
      <c r="J1185" s="36"/>
      <c r="K1185" s="57"/>
      <c r="L1185" s="57"/>
      <c r="M1185" s="57"/>
      <c r="N1185" s="42"/>
      <c r="O1185" s="57"/>
      <c r="P1185" s="43"/>
      <c r="Q1185" s="41"/>
      <c r="R1185" s="43"/>
      <c r="S1185" s="36"/>
      <c r="T1185" s="16">
        <f t="shared" si="36"/>
        <v>0</v>
      </c>
      <c r="U1185" s="16">
        <f t="shared" si="37"/>
        <v>0</v>
      </c>
      <c r="V1185" s="133"/>
    </row>
    <row r="1186" spans="1:22" s="56" customFormat="1">
      <c r="A1186" s="58"/>
      <c r="B1186" s="36"/>
      <c r="C1186" s="58"/>
      <c r="D1186" s="57"/>
      <c r="E1186" s="57"/>
      <c r="F1186" s="41"/>
      <c r="G1186" s="41"/>
      <c r="H1186" s="41"/>
      <c r="I1186" s="57"/>
      <c r="J1186" s="36"/>
      <c r="K1186" s="57"/>
      <c r="L1186" s="57"/>
      <c r="M1186" s="57"/>
      <c r="N1186" s="42"/>
      <c r="O1186" s="57"/>
      <c r="P1186" s="43"/>
      <c r="Q1186" s="41"/>
      <c r="R1186" s="43"/>
      <c r="S1186" s="36"/>
      <c r="T1186" s="16">
        <f t="shared" si="36"/>
        <v>0</v>
      </c>
      <c r="U1186" s="16">
        <f t="shared" si="37"/>
        <v>0</v>
      </c>
      <c r="V1186" s="133"/>
    </row>
    <row r="1187" spans="1:22" s="56" customFormat="1">
      <c r="A1187" s="58"/>
      <c r="B1187" s="36"/>
      <c r="C1187" s="58"/>
      <c r="D1187" s="57"/>
      <c r="E1187" s="57"/>
      <c r="F1187" s="41"/>
      <c r="G1187" s="41"/>
      <c r="H1187" s="41"/>
      <c r="I1187" s="57"/>
      <c r="J1187" s="36"/>
      <c r="K1187" s="57"/>
      <c r="L1187" s="57"/>
      <c r="M1187" s="57"/>
      <c r="N1187" s="42"/>
      <c r="O1187" s="57"/>
      <c r="P1187" s="43"/>
      <c r="Q1187" s="41"/>
      <c r="R1187" s="43"/>
      <c r="S1187" s="36"/>
      <c r="T1187" s="16">
        <f t="shared" si="36"/>
        <v>0</v>
      </c>
      <c r="U1187" s="16">
        <f t="shared" si="37"/>
        <v>0</v>
      </c>
      <c r="V1187" s="133"/>
    </row>
    <row r="1188" spans="1:22" s="56" customFormat="1">
      <c r="A1188" s="58"/>
      <c r="B1188" s="36"/>
      <c r="C1188" s="58"/>
      <c r="D1188" s="57"/>
      <c r="E1188" s="57"/>
      <c r="F1188" s="41"/>
      <c r="G1188" s="41"/>
      <c r="H1188" s="41"/>
      <c r="I1188" s="57"/>
      <c r="J1188" s="36"/>
      <c r="K1188" s="57"/>
      <c r="L1188" s="57"/>
      <c r="M1188" s="57"/>
      <c r="N1188" s="42"/>
      <c r="O1188" s="57"/>
      <c r="P1188" s="43"/>
      <c r="Q1188" s="41"/>
      <c r="R1188" s="43"/>
      <c r="S1188" s="36"/>
      <c r="T1188" s="16">
        <f t="shared" si="36"/>
        <v>0</v>
      </c>
      <c r="U1188" s="16">
        <f t="shared" si="37"/>
        <v>0</v>
      </c>
      <c r="V1188" s="133"/>
    </row>
    <row r="1189" spans="1:22" s="56" customFormat="1">
      <c r="A1189" s="58"/>
      <c r="B1189" s="36"/>
      <c r="C1189" s="58"/>
      <c r="D1189" s="57"/>
      <c r="E1189" s="57"/>
      <c r="F1189" s="41"/>
      <c r="G1189" s="41"/>
      <c r="H1189" s="41"/>
      <c r="I1189" s="57"/>
      <c r="J1189" s="36"/>
      <c r="K1189" s="57"/>
      <c r="L1189" s="57"/>
      <c r="M1189" s="57"/>
      <c r="N1189" s="42"/>
      <c r="O1189" s="57"/>
      <c r="P1189" s="43"/>
      <c r="Q1189" s="41"/>
      <c r="R1189" s="43"/>
      <c r="S1189" s="36"/>
      <c r="T1189" s="16">
        <f t="shared" si="36"/>
        <v>0</v>
      </c>
      <c r="U1189" s="16">
        <f t="shared" si="37"/>
        <v>0</v>
      </c>
      <c r="V1189" s="133"/>
    </row>
    <row r="1190" spans="1:22" s="56" customFormat="1">
      <c r="A1190" s="58"/>
      <c r="B1190" s="36"/>
      <c r="C1190" s="58"/>
      <c r="D1190" s="57"/>
      <c r="E1190" s="57"/>
      <c r="F1190" s="41"/>
      <c r="G1190" s="41"/>
      <c r="H1190" s="41"/>
      <c r="I1190" s="57"/>
      <c r="J1190" s="36"/>
      <c r="K1190" s="57"/>
      <c r="L1190" s="57"/>
      <c r="M1190" s="57"/>
      <c r="N1190" s="42"/>
      <c r="O1190" s="57"/>
      <c r="P1190" s="43"/>
      <c r="Q1190" s="41"/>
      <c r="R1190" s="43"/>
      <c r="S1190" s="36"/>
      <c r="T1190" s="16">
        <f t="shared" si="36"/>
        <v>0</v>
      </c>
      <c r="U1190" s="16">
        <f t="shared" si="37"/>
        <v>0</v>
      </c>
      <c r="V1190" s="133"/>
    </row>
    <row r="1191" spans="1:22" s="56" customFormat="1">
      <c r="A1191" s="58"/>
      <c r="B1191" s="36"/>
      <c r="C1191" s="58"/>
      <c r="D1191" s="57"/>
      <c r="E1191" s="57"/>
      <c r="F1191" s="41"/>
      <c r="G1191" s="41"/>
      <c r="H1191" s="41"/>
      <c r="I1191" s="57"/>
      <c r="J1191" s="36"/>
      <c r="K1191" s="57"/>
      <c r="L1191" s="57"/>
      <c r="M1191" s="57"/>
      <c r="N1191" s="42"/>
      <c r="O1191" s="57"/>
      <c r="P1191" s="43"/>
      <c r="Q1191" s="41"/>
      <c r="R1191" s="43"/>
      <c r="S1191" s="36"/>
      <c r="T1191" s="16">
        <f t="shared" si="36"/>
        <v>0</v>
      </c>
      <c r="U1191" s="16">
        <f t="shared" si="37"/>
        <v>0</v>
      </c>
      <c r="V1191" s="133"/>
    </row>
    <row r="1192" spans="1:22" s="56" customFormat="1">
      <c r="A1192" s="58"/>
      <c r="B1192" s="36"/>
      <c r="C1192" s="58"/>
      <c r="D1192" s="57"/>
      <c r="E1192" s="57"/>
      <c r="F1192" s="41"/>
      <c r="G1192" s="41"/>
      <c r="H1192" s="41"/>
      <c r="I1192" s="57"/>
      <c r="J1192" s="36"/>
      <c r="K1192" s="57"/>
      <c r="L1192" s="57"/>
      <c r="M1192" s="57"/>
      <c r="N1192" s="42"/>
      <c r="O1192" s="57"/>
      <c r="P1192" s="43"/>
      <c r="Q1192" s="41"/>
      <c r="R1192" s="43"/>
      <c r="S1192" s="36"/>
      <c r="T1192" s="16">
        <f t="shared" si="36"/>
        <v>0</v>
      </c>
      <c r="U1192" s="16">
        <f t="shared" si="37"/>
        <v>0</v>
      </c>
      <c r="V1192" s="133"/>
    </row>
    <row r="1193" spans="1:22" s="56" customFormat="1">
      <c r="A1193" s="58"/>
      <c r="B1193" s="36"/>
      <c r="C1193" s="58"/>
      <c r="D1193" s="57"/>
      <c r="E1193" s="57"/>
      <c r="F1193" s="41"/>
      <c r="G1193" s="41"/>
      <c r="H1193" s="41"/>
      <c r="I1193" s="57"/>
      <c r="J1193" s="36"/>
      <c r="K1193" s="57"/>
      <c r="L1193" s="57"/>
      <c r="M1193" s="57"/>
      <c r="N1193" s="42"/>
      <c r="O1193" s="57"/>
      <c r="P1193" s="43"/>
      <c r="Q1193" s="41"/>
      <c r="R1193" s="43"/>
      <c r="S1193" s="36"/>
      <c r="T1193" s="16">
        <f t="shared" si="36"/>
        <v>0</v>
      </c>
      <c r="U1193" s="16">
        <f t="shared" si="37"/>
        <v>0</v>
      </c>
      <c r="V1193" s="133"/>
    </row>
    <row r="1194" spans="1:22" s="56" customFormat="1">
      <c r="A1194" s="58"/>
      <c r="B1194" s="36"/>
      <c r="C1194" s="58"/>
      <c r="D1194" s="57"/>
      <c r="E1194" s="57"/>
      <c r="F1194" s="41"/>
      <c r="G1194" s="41"/>
      <c r="H1194" s="41"/>
      <c r="I1194" s="57"/>
      <c r="J1194" s="36"/>
      <c r="K1194" s="57"/>
      <c r="L1194" s="57"/>
      <c r="M1194" s="57"/>
      <c r="N1194" s="42"/>
      <c r="O1194" s="57"/>
      <c r="P1194" s="43"/>
      <c r="Q1194" s="41"/>
      <c r="R1194" s="43"/>
      <c r="S1194" s="36"/>
      <c r="T1194" s="16">
        <f t="shared" si="36"/>
        <v>0</v>
      </c>
      <c r="U1194" s="16">
        <f t="shared" si="37"/>
        <v>0</v>
      </c>
      <c r="V1194" s="133"/>
    </row>
    <row r="1195" spans="1:22" s="56" customFormat="1">
      <c r="A1195" s="58"/>
      <c r="B1195" s="36"/>
      <c r="C1195" s="58"/>
      <c r="D1195" s="57"/>
      <c r="E1195" s="57"/>
      <c r="F1195" s="41"/>
      <c r="G1195" s="41"/>
      <c r="H1195" s="41"/>
      <c r="I1195" s="57"/>
      <c r="J1195" s="36"/>
      <c r="K1195" s="57"/>
      <c r="L1195" s="57"/>
      <c r="M1195" s="57"/>
      <c r="N1195" s="42"/>
      <c r="O1195" s="57"/>
      <c r="P1195" s="43"/>
      <c r="Q1195" s="41"/>
      <c r="R1195" s="43"/>
      <c r="S1195" s="36"/>
      <c r="T1195" s="16">
        <f t="shared" si="36"/>
        <v>0</v>
      </c>
      <c r="U1195" s="16">
        <f t="shared" si="37"/>
        <v>0</v>
      </c>
      <c r="V1195" s="133"/>
    </row>
    <row r="1196" spans="1:22" s="56" customFormat="1">
      <c r="A1196" s="58"/>
      <c r="B1196" s="36"/>
      <c r="C1196" s="58"/>
      <c r="D1196" s="57"/>
      <c r="E1196" s="57"/>
      <c r="F1196" s="41"/>
      <c r="G1196" s="41"/>
      <c r="H1196" s="41"/>
      <c r="I1196" s="57"/>
      <c r="J1196" s="36"/>
      <c r="K1196" s="57"/>
      <c r="L1196" s="57"/>
      <c r="M1196" s="57"/>
      <c r="N1196" s="42"/>
      <c r="O1196" s="57"/>
      <c r="P1196" s="43"/>
      <c r="Q1196" s="41"/>
      <c r="R1196" s="43"/>
      <c r="S1196" s="36"/>
      <c r="T1196" s="16">
        <f t="shared" si="36"/>
        <v>0</v>
      </c>
      <c r="U1196" s="16">
        <f t="shared" si="37"/>
        <v>0</v>
      </c>
      <c r="V1196" s="133"/>
    </row>
    <row r="1197" spans="1:22" s="56" customFormat="1">
      <c r="A1197" s="58"/>
      <c r="B1197" s="36"/>
      <c r="C1197" s="58"/>
      <c r="D1197" s="57"/>
      <c r="E1197" s="57"/>
      <c r="F1197" s="41"/>
      <c r="G1197" s="41"/>
      <c r="H1197" s="41"/>
      <c r="I1197" s="57"/>
      <c r="J1197" s="36"/>
      <c r="K1197" s="57"/>
      <c r="L1197" s="57"/>
      <c r="M1197" s="57"/>
      <c r="N1197" s="42"/>
      <c r="O1197" s="57"/>
      <c r="P1197" s="43"/>
      <c r="Q1197" s="41"/>
      <c r="R1197" s="43"/>
      <c r="S1197" s="36"/>
      <c r="T1197" s="16">
        <f t="shared" si="36"/>
        <v>0</v>
      </c>
      <c r="U1197" s="16">
        <f t="shared" si="37"/>
        <v>0</v>
      </c>
      <c r="V1197" s="133"/>
    </row>
    <row r="1198" spans="1:22" s="56" customFormat="1">
      <c r="A1198" s="58"/>
      <c r="B1198" s="36"/>
      <c r="C1198" s="58"/>
      <c r="D1198" s="57"/>
      <c r="E1198" s="57"/>
      <c r="F1198" s="41"/>
      <c r="G1198" s="41"/>
      <c r="H1198" s="41"/>
      <c r="I1198" s="57"/>
      <c r="J1198" s="36"/>
      <c r="K1198" s="57"/>
      <c r="L1198" s="57"/>
      <c r="M1198" s="57"/>
      <c r="N1198" s="42"/>
      <c r="O1198" s="57"/>
      <c r="P1198" s="43"/>
      <c r="Q1198" s="41"/>
      <c r="R1198" s="43"/>
      <c r="S1198" s="36"/>
      <c r="T1198" s="16">
        <f t="shared" si="36"/>
        <v>0</v>
      </c>
      <c r="U1198" s="16">
        <f t="shared" si="37"/>
        <v>0</v>
      </c>
      <c r="V1198" s="133"/>
    </row>
    <row r="1199" spans="1:22" s="56" customFormat="1">
      <c r="A1199" s="58"/>
      <c r="B1199" s="36"/>
      <c r="C1199" s="58"/>
      <c r="D1199" s="57"/>
      <c r="E1199" s="57"/>
      <c r="F1199" s="41"/>
      <c r="G1199" s="41"/>
      <c r="H1199" s="41"/>
      <c r="I1199" s="57"/>
      <c r="J1199" s="36"/>
      <c r="K1199" s="57"/>
      <c r="L1199" s="57"/>
      <c r="M1199" s="57"/>
      <c r="N1199" s="42"/>
      <c r="O1199" s="57"/>
      <c r="P1199" s="43"/>
      <c r="Q1199" s="41"/>
      <c r="R1199" s="43"/>
      <c r="S1199" s="36"/>
      <c r="T1199" s="16">
        <f t="shared" si="36"/>
        <v>0</v>
      </c>
      <c r="U1199" s="16">
        <f t="shared" si="37"/>
        <v>0</v>
      </c>
      <c r="V1199" s="133"/>
    </row>
    <row r="1200" spans="1:22" s="56" customFormat="1">
      <c r="A1200" s="58"/>
      <c r="B1200" s="36"/>
      <c r="C1200" s="58"/>
      <c r="D1200" s="57"/>
      <c r="E1200" s="57"/>
      <c r="F1200" s="41"/>
      <c r="G1200" s="41"/>
      <c r="H1200" s="41"/>
      <c r="I1200" s="57"/>
      <c r="J1200" s="36"/>
      <c r="K1200" s="57"/>
      <c r="L1200" s="57"/>
      <c r="M1200" s="57"/>
      <c r="N1200" s="42"/>
      <c r="O1200" s="57"/>
      <c r="P1200" s="43"/>
      <c r="Q1200" s="41"/>
      <c r="R1200" s="43"/>
      <c r="S1200" s="36"/>
      <c r="T1200" s="16">
        <f t="shared" si="36"/>
        <v>0</v>
      </c>
      <c r="U1200" s="16">
        <f t="shared" si="37"/>
        <v>0</v>
      </c>
      <c r="V1200" s="133"/>
    </row>
    <row r="1201" spans="1:22" s="56" customFormat="1">
      <c r="A1201" s="58"/>
      <c r="B1201" s="36"/>
      <c r="C1201" s="58"/>
      <c r="D1201" s="57"/>
      <c r="E1201" s="57"/>
      <c r="F1201" s="41"/>
      <c r="G1201" s="41"/>
      <c r="H1201" s="41"/>
      <c r="I1201" s="57"/>
      <c r="J1201" s="36"/>
      <c r="K1201" s="57"/>
      <c r="L1201" s="57"/>
      <c r="M1201" s="57"/>
      <c r="N1201" s="42"/>
      <c r="O1201" s="57"/>
      <c r="P1201" s="43"/>
      <c r="Q1201" s="41"/>
      <c r="R1201" s="43"/>
      <c r="S1201" s="36"/>
      <c r="T1201" s="16">
        <f t="shared" si="36"/>
        <v>0</v>
      </c>
      <c r="U1201" s="16">
        <f t="shared" si="37"/>
        <v>0</v>
      </c>
      <c r="V1201" s="133"/>
    </row>
    <row r="1202" spans="1:22" s="56" customFormat="1">
      <c r="A1202" s="58"/>
      <c r="B1202" s="36"/>
      <c r="C1202" s="58"/>
      <c r="D1202" s="57"/>
      <c r="E1202" s="57"/>
      <c r="F1202" s="41"/>
      <c r="G1202" s="41"/>
      <c r="H1202" s="41"/>
      <c r="I1202" s="57"/>
      <c r="J1202" s="36"/>
      <c r="K1202" s="57"/>
      <c r="L1202" s="57"/>
      <c r="M1202" s="57"/>
      <c r="N1202" s="42"/>
      <c r="O1202" s="57"/>
      <c r="P1202" s="43"/>
      <c r="Q1202" s="41"/>
      <c r="R1202" s="43"/>
      <c r="S1202" s="36"/>
      <c r="T1202" s="16">
        <f t="shared" si="36"/>
        <v>0</v>
      </c>
      <c r="U1202" s="16">
        <f t="shared" si="37"/>
        <v>0</v>
      </c>
      <c r="V1202" s="133"/>
    </row>
    <row r="1203" spans="1:22" s="56" customFormat="1">
      <c r="A1203" s="58"/>
      <c r="B1203" s="36"/>
      <c r="C1203" s="58"/>
      <c r="D1203" s="57"/>
      <c r="E1203" s="57"/>
      <c r="F1203" s="41"/>
      <c r="G1203" s="41"/>
      <c r="H1203" s="41"/>
      <c r="I1203" s="57"/>
      <c r="J1203" s="36"/>
      <c r="K1203" s="57"/>
      <c r="L1203" s="57"/>
      <c r="M1203" s="57"/>
      <c r="N1203" s="42"/>
      <c r="O1203" s="57"/>
      <c r="P1203" s="43"/>
      <c r="Q1203" s="41"/>
      <c r="R1203" s="43"/>
      <c r="S1203" s="36"/>
      <c r="T1203" s="16">
        <f t="shared" si="36"/>
        <v>0</v>
      </c>
      <c r="U1203" s="16">
        <f t="shared" si="37"/>
        <v>0</v>
      </c>
      <c r="V1203" s="133"/>
    </row>
    <row r="1204" spans="1:22" s="56" customFormat="1">
      <c r="A1204" s="58"/>
      <c r="B1204" s="36"/>
      <c r="C1204" s="58"/>
      <c r="D1204" s="57"/>
      <c r="E1204" s="57"/>
      <c r="F1204" s="41"/>
      <c r="G1204" s="41"/>
      <c r="H1204" s="41"/>
      <c r="I1204" s="57"/>
      <c r="J1204" s="36"/>
      <c r="K1204" s="57"/>
      <c r="L1204" s="57"/>
      <c r="M1204" s="57"/>
      <c r="N1204" s="42"/>
      <c r="O1204" s="57"/>
      <c r="P1204" s="43"/>
      <c r="Q1204" s="41"/>
      <c r="R1204" s="43"/>
      <c r="S1204" s="36"/>
      <c r="T1204" s="16">
        <f t="shared" si="36"/>
        <v>0</v>
      </c>
      <c r="U1204" s="16">
        <f t="shared" si="37"/>
        <v>0</v>
      </c>
      <c r="V1204" s="133"/>
    </row>
    <row r="1205" spans="1:22" s="56" customFormat="1">
      <c r="A1205" s="58"/>
      <c r="B1205" s="36"/>
      <c r="C1205" s="58"/>
      <c r="D1205" s="57"/>
      <c r="E1205" s="57"/>
      <c r="F1205" s="41"/>
      <c r="G1205" s="41"/>
      <c r="H1205" s="41"/>
      <c r="I1205" s="57"/>
      <c r="J1205" s="36"/>
      <c r="K1205" s="57"/>
      <c r="L1205" s="57"/>
      <c r="M1205" s="57"/>
      <c r="N1205" s="42"/>
      <c r="O1205" s="57"/>
      <c r="P1205" s="43"/>
      <c r="Q1205" s="41"/>
      <c r="R1205" s="43"/>
      <c r="S1205" s="36"/>
      <c r="T1205" s="16">
        <f t="shared" si="36"/>
        <v>0</v>
      </c>
      <c r="U1205" s="16">
        <f t="shared" si="37"/>
        <v>0</v>
      </c>
      <c r="V1205" s="133"/>
    </row>
    <row r="1206" spans="1:22" s="56" customFormat="1">
      <c r="A1206" s="58"/>
      <c r="B1206" s="36"/>
      <c r="C1206" s="58"/>
      <c r="D1206" s="57"/>
      <c r="E1206" s="57"/>
      <c r="F1206" s="41"/>
      <c r="G1206" s="41"/>
      <c r="H1206" s="41"/>
      <c r="I1206" s="57"/>
      <c r="J1206" s="36"/>
      <c r="K1206" s="57"/>
      <c r="L1206" s="57"/>
      <c r="M1206" s="57"/>
      <c r="N1206" s="42"/>
      <c r="O1206" s="57"/>
      <c r="P1206" s="43"/>
      <c r="Q1206" s="41"/>
      <c r="R1206" s="43"/>
      <c r="S1206" s="36"/>
      <c r="T1206" s="16">
        <f t="shared" si="36"/>
        <v>0</v>
      </c>
      <c r="U1206" s="16">
        <f t="shared" si="37"/>
        <v>0</v>
      </c>
      <c r="V1206" s="133"/>
    </row>
    <row r="1207" spans="1:22" s="56" customFormat="1">
      <c r="A1207" s="58"/>
      <c r="B1207" s="36"/>
      <c r="C1207" s="58"/>
      <c r="D1207" s="57"/>
      <c r="E1207" s="57"/>
      <c r="F1207" s="41"/>
      <c r="G1207" s="41"/>
      <c r="H1207" s="41"/>
      <c r="I1207" s="57"/>
      <c r="J1207" s="36"/>
      <c r="K1207" s="57"/>
      <c r="L1207" s="57"/>
      <c r="M1207" s="57"/>
      <c r="N1207" s="42"/>
      <c r="O1207" s="57"/>
      <c r="P1207" s="43"/>
      <c r="Q1207" s="41"/>
      <c r="R1207" s="43"/>
      <c r="S1207" s="36"/>
      <c r="T1207" s="16">
        <f t="shared" si="36"/>
        <v>0</v>
      </c>
      <c r="U1207" s="16">
        <f t="shared" si="37"/>
        <v>0</v>
      </c>
      <c r="V1207" s="133"/>
    </row>
    <row r="1208" spans="1:22" s="56" customFormat="1">
      <c r="A1208" s="58"/>
      <c r="B1208" s="36"/>
      <c r="C1208" s="58"/>
      <c r="D1208" s="57"/>
      <c r="E1208" s="57"/>
      <c r="F1208" s="41"/>
      <c r="G1208" s="41"/>
      <c r="H1208" s="41"/>
      <c r="I1208" s="57"/>
      <c r="J1208" s="36"/>
      <c r="K1208" s="57"/>
      <c r="L1208" s="57"/>
      <c r="M1208" s="57"/>
      <c r="N1208" s="42"/>
      <c r="O1208" s="57"/>
      <c r="P1208" s="43"/>
      <c r="Q1208" s="41"/>
      <c r="R1208" s="43"/>
      <c r="S1208" s="36"/>
      <c r="T1208" s="16">
        <f t="shared" si="36"/>
        <v>0</v>
      </c>
      <c r="U1208" s="16">
        <f t="shared" si="37"/>
        <v>0</v>
      </c>
      <c r="V1208" s="133"/>
    </row>
    <row r="1209" spans="1:22" s="56" customFormat="1">
      <c r="A1209" s="58"/>
      <c r="B1209" s="36"/>
      <c r="C1209" s="58"/>
      <c r="D1209" s="57"/>
      <c r="E1209" s="57"/>
      <c r="F1209" s="41"/>
      <c r="G1209" s="41"/>
      <c r="H1209" s="41"/>
      <c r="I1209" s="57"/>
      <c r="J1209" s="36"/>
      <c r="K1209" s="57"/>
      <c r="L1209" s="57"/>
      <c r="M1209" s="57"/>
      <c r="N1209" s="42"/>
      <c r="O1209" s="57"/>
      <c r="P1209" s="43"/>
      <c r="Q1209" s="41"/>
      <c r="R1209" s="43"/>
      <c r="S1209" s="36"/>
      <c r="T1209" s="16">
        <f t="shared" si="36"/>
        <v>0</v>
      </c>
      <c r="U1209" s="16">
        <f t="shared" si="37"/>
        <v>0</v>
      </c>
      <c r="V1209" s="133"/>
    </row>
    <row r="1210" spans="1:22" s="56" customFormat="1">
      <c r="A1210" s="58"/>
      <c r="B1210" s="36"/>
      <c r="C1210" s="58"/>
      <c r="D1210" s="57"/>
      <c r="E1210" s="57"/>
      <c r="F1210" s="41"/>
      <c r="G1210" s="41"/>
      <c r="H1210" s="41"/>
      <c r="I1210" s="57"/>
      <c r="J1210" s="36"/>
      <c r="K1210" s="57"/>
      <c r="L1210" s="57"/>
      <c r="M1210" s="57"/>
      <c r="N1210" s="42"/>
      <c r="O1210" s="57"/>
      <c r="P1210" s="43"/>
      <c r="Q1210" s="41"/>
      <c r="R1210" s="43"/>
      <c r="S1210" s="36"/>
      <c r="T1210" s="16">
        <f t="shared" si="36"/>
        <v>0</v>
      </c>
      <c r="U1210" s="16">
        <f t="shared" si="37"/>
        <v>0</v>
      </c>
      <c r="V1210" s="133"/>
    </row>
    <row r="1211" spans="1:22" s="56" customFormat="1">
      <c r="A1211" s="58"/>
      <c r="B1211" s="36"/>
      <c r="C1211" s="58"/>
      <c r="D1211" s="57"/>
      <c r="E1211" s="57"/>
      <c r="F1211" s="41"/>
      <c r="G1211" s="41"/>
      <c r="H1211" s="41"/>
      <c r="I1211" s="57"/>
      <c r="J1211" s="36"/>
      <c r="K1211" s="57"/>
      <c r="L1211" s="57"/>
      <c r="M1211" s="57"/>
      <c r="N1211" s="42"/>
      <c r="O1211" s="57"/>
      <c r="P1211" s="43"/>
      <c r="Q1211" s="41"/>
      <c r="R1211" s="43"/>
      <c r="S1211" s="36"/>
      <c r="T1211" s="16">
        <f t="shared" si="36"/>
        <v>0</v>
      </c>
      <c r="U1211" s="16">
        <f t="shared" si="37"/>
        <v>0</v>
      </c>
      <c r="V1211" s="133"/>
    </row>
    <row r="1212" spans="1:22" s="56" customFormat="1">
      <c r="A1212" s="58"/>
      <c r="B1212" s="36"/>
      <c r="C1212" s="58"/>
      <c r="D1212" s="57"/>
      <c r="E1212" s="57"/>
      <c r="F1212" s="41"/>
      <c r="G1212" s="41"/>
      <c r="H1212" s="41"/>
      <c r="I1212" s="57"/>
      <c r="J1212" s="36"/>
      <c r="K1212" s="57"/>
      <c r="L1212" s="57"/>
      <c r="M1212" s="57"/>
      <c r="N1212" s="42"/>
      <c r="O1212" s="57"/>
      <c r="P1212" s="43"/>
      <c r="Q1212" s="41"/>
      <c r="R1212" s="43"/>
      <c r="S1212" s="36"/>
      <c r="T1212" s="16">
        <f t="shared" si="36"/>
        <v>0</v>
      </c>
      <c r="U1212" s="16">
        <f t="shared" si="37"/>
        <v>0</v>
      </c>
      <c r="V1212" s="133"/>
    </row>
    <row r="1213" spans="1:22" s="56" customFormat="1">
      <c r="A1213" s="58"/>
      <c r="B1213" s="36"/>
      <c r="C1213" s="58"/>
      <c r="D1213" s="57"/>
      <c r="E1213" s="57"/>
      <c r="F1213" s="41"/>
      <c r="G1213" s="41"/>
      <c r="H1213" s="41"/>
      <c r="I1213" s="57"/>
      <c r="J1213" s="36"/>
      <c r="K1213" s="57"/>
      <c r="L1213" s="57"/>
      <c r="M1213" s="57"/>
      <c r="N1213" s="42"/>
      <c r="O1213" s="57"/>
      <c r="P1213" s="43"/>
      <c r="Q1213" s="41"/>
      <c r="R1213" s="43"/>
      <c r="S1213" s="36"/>
      <c r="T1213" s="16">
        <f t="shared" si="36"/>
        <v>0</v>
      </c>
      <c r="U1213" s="16">
        <f t="shared" si="37"/>
        <v>0</v>
      </c>
      <c r="V1213" s="133"/>
    </row>
    <row r="1214" spans="1:22" s="56" customFormat="1">
      <c r="A1214" s="58"/>
      <c r="B1214" s="36"/>
      <c r="C1214" s="58"/>
      <c r="D1214" s="57"/>
      <c r="E1214" s="57"/>
      <c r="F1214" s="41"/>
      <c r="G1214" s="41"/>
      <c r="H1214" s="41"/>
      <c r="I1214" s="57"/>
      <c r="J1214" s="36"/>
      <c r="K1214" s="57"/>
      <c r="L1214" s="57"/>
      <c r="M1214" s="57"/>
      <c r="N1214" s="42"/>
      <c r="O1214" s="57"/>
      <c r="P1214" s="43"/>
      <c r="Q1214" s="41"/>
      <c r="R1214" s="43"/>
      <c r="S1214" s="36"/>
      <c r="T1214" s="16">
        <f t="shared" si="36"/>
        <v>0</v>
      </c>
      <c r="U1214" s="16">
        <f t="shared" si="37"/>
        <v>0</v>
      </c>
      <c r="V1214" s="133"/>
    </row>
    <row r="1215" spans="1:22" s="56" customFormat="1">
      <c r="A1215" s="58"/>
      <c r="B1215" s="36"/>
      <c r="C1215" s="58"/>
      <c r="D1215" s="57"/>
      <c r="E1215" s="57"/>
      <c r="F1215" s="41"/>
      <c r="G1215" s="41"/>
      <c r="H1215" s="41"/>
      <c r="I1215" s="57"/>
      <c r="J1215" s="36"/>
      <c r="K1215" s="57"/>
      <c r="L1215" s="57"/>
      <c r="M1215" s="57"/>
      <c r="N1215" s="42"/>
      <c r="O1215" s="57"/>
      <c r="P1215" s="43"/>
      <c r="Q1215" s="41"/>
      <c r="R1215" s="43"/>
      <c r="S1215" s="36"/>
      <c r="T1215" s="16">
        <f t="shared" si="36"/>
        <v>0</v>
      </c>
      <c r="U1215" s="16">
        <f t="shared" si="37"/>
        <v>0</v>
      </c>
      <c r="V1215" s="133"/>
    </row>
    <row r="1216" spans="1:22" s="56" customFormat="1">
      <c r="A1216" s="58"/>
      <c r="B1216" s="36"/>
      <c r="C1216" s="58"/>
      <c r="D1216" s="57"/>
      <c r="E1216" s="57"/>
      <c r="F1216" s="41"/>
      <c r="G1216" s="41"/>
      <c r="H1216" s="41"/>
      <c r="I1216" s="57"/>
      <c r="J1216" s="36"/>
      <c r="K1216" s="57"/>
      <c r="L1216" s="57"/>
      <c r="M1216" s="57"/>
      <c r="N1216" s="42"/>
      <c r="O1216" s="57"/>
      <c r="P1216" s="43"/>
      <c r="Q1216" s="41"/>
      <c r="R1216" s="43"/>
      <c r="S1216" s="36"/>
      <c r="T1216" s="16">
        <f t="shared" si="36"/>
        <v>0</v>
      </c>
      <c r="U1216" s="16">
        <f t="shared" si="37"/>
        <v>0</v>
      </c>
      <c r="V1216" s="133"/>
    </row>
    <row r="1217" spans="1:22" s="56" customFormat="1">
      <c r="A1217" s="58"/>
      <c r="B1217" s="36"/>
      <c r="C1217" s="58"/>
      <c r="D1217" s="57"/>
      <c r="E1217" s="57"/>
      <c r="F1217" s="41"/>
      <c r="G1217" s="41"/>
      <c r="H1217" s="41"/>
      <c r="I1217" s="57"/>
      <c r="J1217" s="36"/>
      <c r="K1217" s="57"/>
      <c r="L1217" s="57"/>
      <c r="M1217" s="57"/>
      <c r="N1217" s="42"/>
      <c r="O1217" s="57"/>
      <c r="P1217" s="43"/>
      <c r="Q1217" s="41"/>
      <c r="R1217" s="43"/>
      <c r="S1217" s="36"/>
      <c r="T1217" s="16">
        <f t="shared" si="36"/>
        <v>0</v>
      </c>
      <c r="U1217" s="16">
        <f t="shared" si="37"/>
        <v>0</v>
      </c>
      <c r="V1217" s="133"/>
    </row>
    <row r="1218" spans="1:22" s="56" customFormat="1">
      <c r="A1218" s="58"/>
      <c r="B1218" s="36"/>
      <c r="C1218" s="58"/>
      <c r="D1218" s="57"/>
      <c r="E1218" s="57"/>
      <c r="F1218" s="41"/>
      <c r="G1218" s="41"/>
      <c r="H1218" s="41"/>
      <c r="I1218" s="57"/>
      <c r="J1218" s="36"/>
      <c r="K1218" s="57"/>
      <c r="L1218" s="57"/>
      <c r="M1218" s="57"/>
      <c r="N1218" s="42"/>
      <c r="O1218" s="57"/>
      <c r="P1218" s="43"/>
      <c r="Q1218" s="41"/>
      <c r="R1218" s="43"/>
      <c r="S1218" s="36"/>
      <c r="T1218" s="16">
        <f t="shared" si="36"/>
        <v>0</v>
      </c>
      <c r="U1218" s="16">
        <f t="shared" si="37"/>
        <v>0</v>
      </c>
      <c r="V1218" s="133"/>
    </row>
    <row r="1219" spans="1:22" s="56" customFormat="1">
      <c r="A1219" s="58"/>
      <c r="B1219" s="36"/>
      <c r="C1219" s="58"/>
      <c r="D1219" s="57"/>
      <c r="E1219" s="57"/>
      <c r="F1219" s="41"/>
      <c r="G1219" s="41"/>
      <c r="H1219" s="41"/>
      <c r="I1219" s="57"/>
      <c r="J1219" s="36"/>
      <c r="K1219" s="57"/>
      <c r="L1219" s="57"/>
      <c r="M1219" s="57"/>
      <c r="N1219" s="42"/>
      <c r="O1219" s="57"/>
      <c r="P1219" s="43"/>
      <c r="Q1219" s="41"/>
      <c r="R1219" s="43"/>
      <c r="S1219" s="36"/>
      <c r="T1219" s="16">
        <f t="shared" si="36"/>
        <v>0</v>
      </c>
      <c r="U1219" s="16">
        <f t="shared" si="37"/>
        <v>0</v>
      </c>
      <c r="V1219" s="133"/>
    </row>
    <row r="1220" spans="1:22" s="56" customFormat="1">
      <c r="A1220" s="58"/>
      <c r="B1220" s="36"/>
      <c r="C1220" s="58"/>
      <c r="D1220" s="57"/>
      <c r="E1220" s="57"/>
      <c r="F1220" s="41"/>
      <c r="G1220" s="41"/>
      <c r="H1220" s="41"/>
      <c r="I1220" s="57"/>
      <c r="J1220" s="36"/>
      <c r="K1220" s="57"/>
      <c r="L1220" s="57"/>
      <c r="M1220" s="57"/>
      <c r="N1220" s="42"/>
      <c r="O1220" s="57"/>
      <c r="P1220" s="43"/>
      <c r="Q1220" s="41"/>
      <c r="R1220" s="43"/>
      <c r="S1220" s="36"/>
      <c r="T1220" s="16">
        <f t="shared" si="36"/>
        <v>0</v>
      </c>
      <c r="U1220" s="16">
        <f t="shared" si="37"/>
        <v>0</v>
      </c>
      <c r="V1220" s="133"/>
    </row>
    <row r="1221" spans="1:22" s="56" customFormat="1">
      <c r="A1221" s="58"/>
      <c r="B1221" s="36"/>
      <c r="C1221" s="58"/>
      <c r="D1221" s="57"/>
      <c r="E1221" s="57"/>
      <c r="F1221" s="41"/>
      <c r="G1221" s="41"/>
      <c r="H1221" s="41"/>
      <c r="I1221" s="57"/>
      <c r="J1221" s="36"/>
      <c r="K1221" s="57"/>
      <c r="L1221" s="57"/>
      <c r="M1221" s="57"/>
      <c r="N1221" s="42"/>
      <c r="O1221" s="57"/>
      <c r="P1221" s="43"/>
      <c r="Q1221" s="41"/>
      <c r="R1221" s="43"/>
      <c r="S1221" s="36"/>
      <c r="T1221" s="16">
        <f t="shared" ref="T1221:T1284" si="38">IF(OR($J1221="Accepted",ISBLANK($J1221)),IF(AND($G1221="Legacy Data",$Q1221="Legacy Data"),1,IF(OR($G1221="Legacy Data",$Q1221="Legacy Data"),1,0)),IF(OR($N1221="Agree with original translator",ISBLANK($N1221)),IF(AND($G1221="Source Text Data",$Q1221="Legacy Data"),1,IF(AND($G1221="Legacy Data",$Q1221="Legacy Data"),1,IF($Q1221="Legacy Data",1,0))),IF(AND($G1221="Legacy Data",$Q1221="Legacy Data"),1,IF(OR($Q1221="Legacy Data",ISBLANK($Q1221)),IF($G1221&lt;&gt;"Legacy Data",IF(AND($G1221="Source Text Data",$Q1221="Legacy Data"),1,0),1),0))))</f>
        <v>0</v>
      </c>
      <c r="U1221" s="16">
        <f t="shared" ref="U1221:U1284" si="39">IF(OR($J1221="Accepted",ISBLANK($J1221)),IF(AND($G1221="Source Text Data",$Q1221="Source Text Data"),1,IF(OR($G1221="Source Text Data",$Q1221="Source Text Data"),1,0)),IF(OR($N1221="Agree with original translator",ISBLANK($N1221)),IF(AND($G1221="Legacy Data",$Q1221="Source Text Data"),1,IF(AND($G1221="Source Text Data",$Q1221="Source Text Data"),1,IF($Q1221="Source Text Data",1,0))),IF(AND($G1221="Source Text Data",$Q1221="Source Text Data"),1,IF(OR($Q1221="Source Text Data",ISBLANK($Q1221)),IF($G1221&lt;&gt;"Source Text Data",IF(AND($G1221="Legacy Data",$Q1221="Source Text Data"),1,0),1),0))))</f>
        <v>0</v>
      </c>
      <c r="V1221" s="133"/>
    </row>
    <row r="1222" spans="1:22" s="56" customFormat="1">
      <c r="A1222" s="58"/>
      <c r="B1222" s="36"/>
      <c r="C1222" s="58"/>
      <c r="D1222" s="57"/>
      <c r="E1222" s="57"/>
      <c r="F1222" s="41"/>
      <c r="G1222" s="41"/>
      <c r="H1222" s="41"/>
      <c r="I1222" s="57"/>
      <c r="J1222" s="36"/>
      <c r="K1222" s="57"/>
      <c r="L1222" s="57"/>
      <c r="M1222" s="57"/>
      <c r="N1222" s="42"/>
      <c r="O1222" s="57"/>
      <c r="P1222" s="43"/>
      <c r="Q1222" s="41"/>
      <c r="R1222" s="43"/>
      <c r="S1222" s="36"/>
      <c r="T1222" s="16">
        <f t="shared" si="38"/>
        <v>0</v>
      </c>
      <c r="U1222" s="16">
        <f t="shared" si="39"/>
        <v>0</v>
      </c>
      <c r="V1222" s="133"/>
    </row>
    <row r="1223" spans="1:22" s="56" customFormat="1">
      <c r="A1223" s="58"/>
      <c r="B1223" s="36"/>
      <c r="C1223" s="58"/>
      <c r="D1223" s="57"/>
      <c r="E1223" s="57"/>
      <c r="F1223" s="41"/>
      <c r="G1223" s="41"/>
      <c r="H1223" s="41"/>
      <c r="I1223" s="57"/>
      <c r="J1223" s="36"/>
      <c r="K1223" s="57"/>
      <c r="L1223" s="57"/>
      <c r="M1223" s="57"/>
      <c r="N1223" s="42"/>
      <c r="O1223" s="57"/>
      <c r="P1223" s="43"/>
      <c r="Q1223" s="41"/>
      <c r="R1223" s="43"/>
      <c r="S1223" s="36"/>
      <c r="T1223" s="16">
        <f t="shared" si="38"/>
        <v>0</v>
      </c>
      <c r="U1223" s="16">
        <f t="shared" si="39"/>
        <v>0</v>
      </c>
      <c r="V1223" s="133"/>
    </row>
    <row r="1224" spans="1:22" s="56" customFormat="1">
      <c r="A1224" s="58"/>
      <c r="B1224" s="36"/>
      <c r="C1224" s="58"/>
      <c r="D1224" s="57"/>
      <c r="E1224" s="57"/>
      <c r="F1224" s="41"/>
      <c r="G1224" s="41"/>
      <c r="H1224" s="41"/>
      <c r="I1224" s="57"/>
      <c r="J1224" s="36"/>
      <c r="K1224" s="57"/>
      <c r="L1224" s="57"/>
      <c r="M1224" s="57"/>
      <c r="N1224" s="42"/>
      <c r="O1224" s="57"/>
      <c r="P1224" s="43"/>
      <c r="Q1224" s="41"/>
      <c r="R1224" s="43"/>
      <c r="S1224" s="36"/>
      <c r="T1224" s="16">
        <f t="shared" si="38"/>
        <v>0</v>
      </c>
      <c r="U1224" s="16">
        <f t="shared" si="39"/>
        <v>0</v>
      </c>
      <c r="V1224" s="133"/>
    </row>
    <row r="1225" spans="1:22" s="56" customFormat="1">
      <c r="A1225" s="58"/>
      <c r="B1225" s="36"/>
      <c r="C1225" s="58"/>
      <c r="D1225" s="57"/>
      <c r="E1225" s="57"/>
      <c r="F1225" s="41"/>
      <c r="G1225" s="41"/>
      <c r="H1225" s="41"/>
      <c r="I1225" s="57"/>
      <c r="J1225" s="36"/>
      <c r="K1225" s="57"/>
      <c r="L1225" s="57"/>
      <c r="M1225" s="57"/>
      <c r="N1225" s="42"/>
      <c r="O1225" s="57"/>
      <c r="P1225" s="43"/>
      <c r="Q1225" s="41"/>
      <c r="R1225" s="43"/>
      <c r="S1225" s="36"/>
      <c r="T1225" s="16">
        <f t="shared" si="38"/>
        <v>0</v>
      </c>
      <c r="U1225" s="16">
        <f t="shared" si="39"/>
        <v>0</v>
      </c>
      <c r="V1225" s="133"/>
    </row>
    <row r="1226" spans="1:22" s="56" customFormat="1">
      <c r="A1226" s="58"/>
      <c r="B1226" s="36"/>
      <c r="C1226" s="58"/>
      <c r="D1226" s="57"/>
      <c r="E1226" s="57"/>
      <c r="F1226" s="41"/>
      <c r="G1226" s="41"/>
      <c r="H1226" s="41"/>
      <c r="I1226" s="57"/>
      <c r="J1226" s="36"/>
      <c r="K1226" s="57"/>
      <c r="L1226" s="57"/>
      <c r="M1226" s="57"/>
      <c r="N1226" s="42"/>
      <c r="O1226" s="57"/>
      <c r="P1226" s="43"/>
      <c r="Q1226" s="41"/>
      <c r="R1226" s="43"/>
      <c r="S1226" s="36"/>
      <c r="T1226" s="16">
        <f t="shared" si="38"/>
        <v>0</v>
      </c>
      <c r="U1226" s="16">
        <f t="shared" si="39"/>
        <v>0</v>
      </c>
      <c r="V1226" s="133"/>
    </row>
    <row r="1227" spans="1:22" s="56" customFormat="1">
      <c r="A1227" s="58"/>
      <c r="B1227" s="36"/>
      <c r="C1227" s="58"/>
      <c r="D1227" s="57"/>
      <c r="E1227" s="57"/>
      <c r="F1227" s="41"/>
      <c r="G1227" s="41"/>
      <c r="H1227" s="41"/>
      <c r="I1227" s="57"/>
      <c r="J1227" s="36"/>
      <c r="K1227" s="57"/>
      <c r="L1227" s="57"/>
      <c r="M1227" s="57"/>
      <c r="N1227" s="42"/>
      <c r="O1227" s="57"/>
      <c r="P1227" s="43"/>
      <c r="Q1227" s="41"/>
      <c r="R1227" s="43"/>
      <c r="S1227" s="36"/>
      <c r="T1227" s="16">
        <f t="shared" si="38"/>
        <v>0</v>
      </c>
      <c r="U1227" s="16">
        <f t="shared" si="39"/>
        <v>0</v>
      </c>
      <c r="V1227" s="133"/>
    </row>
    <row r="1228" spans="1:22" s="56" customFormat="1">
      <c r="A1228" s="58"/>
      <c r="B1228" s="36"/>
      <c r="C1228" s="58"/>
      <c r="D1228" s="57"/>
      <c r="E1228" s="57"/>
      <c r="F1228" s="41"/>
      <c r="G1228" s="41"/>
      <c r="H1228" s="41"/>
      <c r="I1228" s="57"/>
      <c r="J1228" s="36"/>
      <c r="K1228" s="57"/>
      <c r="L1228" s="57"/>
      <c r="M1228" s="57"/>
      <c r="N1228" s="42"/>
      <c r="O1228" s="57"/>
      <c r="P1228" s="43"/>
      <c r="Q1228" s="41"/>
      <c r="R1228" s="43"/>
      <c r="S1228" s="36"/>
      <c r="T1228" s="16">
        <f t="shared" si="38"/>
        <v>0</v>
      </c>
      <c r="U1228" s="16">
        <f t="shared" si="39"/>
        <v>0</v>
      </c>
      <c r="V1228" s="133"/>
    </row>
    <row r="1229" spans="1:22" s="56" customFormat="1">
      <c r="A1229" s="58"/>
      <c r="B1229" s="36"/>
      <c r="C1229" s="58"/>
      <c r="D1229" s="57"/>
      <c r="E1229" s="57"/>
      <c r="F1229" s="41"/>
      <c r="G1229" s="41"/>
      <c r="H1229" s="41"/>
      <c r="I1229" s="57"/>
      <c r="J1229" s="36"/>
      <c r="K1229" s="57"/>
      <c r="L1229" s="57"/>
      <c r="M1229" s="57"/>
      <c r="N1229" s="42"/>
      <c r="O1229" s="57"/>
      <c r="P1229" s="43"/>
      <c r="Q1229" s="41"/>
      <c r="R1229" s="43"/>
      <c r="S1229" s="36"/>
      <c r="T1229" s="16">
        <f t="shared" si="38"/>
        <v>0</v>
      </c>
      <c r="U1229" s="16">
        <f t="shared" si="39"/>
        <v>0</v>
      </c>
      <c r="V1229" s="133"/>
    </row>
    <row r="1230" spans="1:22" s="56" customFormat="1">
      <c r="A1230" s="58"/>
      <c r="B1230" s="36"/>
      <c r="C1230" s="58"/>
      <c r="D1230" s="57"/>
      <c r="E1230" s="57"/>
      <c r="F1230" s="41"/>
      <c r="G1230" s="41"/>
      <c r="H1230" s="41"/>
      <c r="I1230" s="57"/>
      <c r="J1230" s="36"/>
      <c r="K1230" s="57"/>
      <c r="L1230" s="57"/>
      <c r="M1230" s="57"/>
      <c r="N1230" s="42"/>
      <c r="O1230" s="57"/>
      <c r="P1230" s="43"/>
      <c r="Q1230" s="41"/>
      <c r="R1230" s="43"/>
      <c r="S1230" s="36"/>
      <c r="T1230" s="16">
        <f t="shared" si="38"/>
        <v>0</v>
      </c>
      <c r="U1230" s="16">
        <f t="shared" si="39"/>
        <v>0</v>
      </c>
      <c r="V1230" s="133"/>
    </row>
    <row r="1231" spans="1:22" s="56" customFormat="1">
      <c r="A1231" s="58"/>
      <c r="B1231" s="36"/>
      <c r="C1231" s="58"/>
      <c r="D1231" s="57"/>
      <c r="E1231" s="57"/>
      <c r="F1231" s="41"/>
      <c r="G1231" s="41"/>
      <c r="H1231" s="41"/>
      <c r="I1231" s="57"/>
      <c r="J1231" s="36"/>
      <c r="K1231" s="57"/>
      <c r="L1231" s="57"/>
      <c r="M1231" s="57"/>
      <c r="N1231" s="42"/>
      <c r="O1231" s="57"/>
      <c r="P1231" s="43"/>
      <c r="Q1231" s="41"/>
      <c r="R1231" s="43"/>
      <c r="S1231" s="36"/>
      <c r="T1231" s="16">
        <f t="shared" si="38"/>
        <v>0</v>
      </c>
      <c r="U1231" s="16">
        <f t="shared" si="39"/>
        <v>0</v>
      </c>
      <c r="V1231" s="133"/>
    </row>
    <row r="1232" spans="1:22" s="56" customFormat="1">
      <c r="A1232" s="58"/>
      <c r="B1232" s="36"/>
      <c r="C1232" s="58"/>
      <c r="D1232" s="57"/>
      <c r="E1232" s="57"/>
      <c r="F1232" s="41"/>
      <c r="G1232" s="41"/>
      <c r="H1232" s="41"/>
      <c r="I1232" s="57"/>
      <c r="J1232" s="36"/>
      <c r="K1232" s="57"/>
      <c r="L1232" s="57"/>
      <c r="M1232" s="57"/>
      <c r="N1232" s="42"/>
      <c r="O1232" s="57"/>
      <c r="P1232" s="43"/>
      <c r="Q1232" s="41"/>
      <c r="R1232" s="43"/>
      <c r="S1232" s="36"/>
      <c r="T1232" s="16">
        <f t="shared" si="38"/>
        <v>0</v>
      </c>
      <c r="U1232" s="16">
        <f t="shared" si="39"/>
        <v>0</v>
      </c>
      <c r="V1232" s="133"/>
    </row>
    <row r="1233" spans="1:22" s="56" customFormat="1">
      <c r="A1233" s="58"/>
      <c r="B1233" s="36"/>
      <c r="C1233" s="58"/>
      <c r="D1233" s="57"/>
      <c r="E1233" s="57"/>
      <c r="F1233" s="41"/>
      <c r="G1233" s="41"/>
      <c r="H1233" s="41"/>
      <c r="I1233" s="57"/>
      <c r="J1233" s="36"/>
      <c r="K1233" s="57"/>
      <c r="L1233" s="57"/>
      <c r="M1233" s="57"/>
      <c r="N1233" s="42"/>
      <c r="O1233" s="57"/>
      <c r="P1233" s="43"/>
      <c r="Q1233" s="41"/>
      <c r="R1233" s="43"/>
      <c r="S1233" s="36"/>
      <c r="T1233" s="16">
        <f t="shared" si="38"/>
        <v>0</v>
      </c>
      <c r="U1233" s="16">
        <f t="shared" si="39"/>
        <v>0</v>
      </c>
      <c r="V1233" s="133"/>
    </row>
    <row r="1234" spans="1:22" s="56" customFormat="1">
      <c r="A1234" s="58"/>
      <c r="B1234" s="36"/>
      <c r="C1234" s="58"/>
      <c r="D1234" s="57"/>
      <c r="E1234" s="57"/>
      <c r="F1234" s="41"/>
      <c r="G1234" s="41"/>
      <c r="H1234" s="41"/>
      <c r="I1234" s="57"/>
      <c r="J1234" s="36"/>
      <c r="K1234" s="57"/>
      <c r="L1234" s="57"/>
      <c r="M1234" s="57"/>
      <c r="N1234" s="42"/>
      <c r="O1234" s="57"/>
      <c r="P1234" s="43"/>
      <c r="Q1234" s="41"/>
      <c r="R1234" s="43"/>
      <c r="S1234" s="36"/>
      <c r="T1234" s="16">
        <f t="shared" si="38"/>
        <v>0</v>
      </c>
      <c r="U1234" s="16">
        <f t="shared" si="39"/>
        <v>0</v>
      </c>
      <c r="V1234" s="133"/>
    </row>
    <row r="1235" spans="1:22" s="56" customFormat="1">
      <c r="A1235" s="58"/>
      <c r="B1235" s="36"/>
      <c r="C1235" s="58"/>
      <c r="D1235" s="57"/>
      <c r="E1235" s="57"/>
      <c r="F1235" s="41"/>
      <c r="G1235" s="41"/>
      <c r="H1235" s="41"/>
      <c r="I1235" s="57"/>
      <c r="J1235" s="36"/>
      <c r="K1235" s="57"/>
      <c r="L1235" s="57"/>
      <c r="M1235" s="57"/>
      <c r="N1235" s="42"/>
      <c r="O1235" s="57"/>
      <c r="P1235" s="43"/>
      <c r="Q1235" s="41"/>
      <c r="R1235" s="43"/>
      <c r="S1235" s="36"/>
      <c r="T1235" s="16">
        <f t="shared" si="38"/>
        <v>0</v>
      </c>
      <c r="U1235" s="16">
        <f t="shared" si="39"/>
        <v>0</v>
      </c>
      <c r="V1235" s="133"/>
    </row>
    <row r="1236" spans="1:22" s="56" customFormat="1">
      <c r="A1236" s="58"/>
      <c r="B1236" s="36"/>
      <c r="C1236" s="58"/>
      <c r="D1236" s="57"/>
      <c r="E1236" s="57"/>
      <c r="F1236" s="41"/>
      <c r="G1236" s="41"/>
      <c r="H1236" s="41"/>
      <c r="I1236" s="57"/>
      <c r="J1236" s="36"/>
      <c r="K1236" s="57"/>
      <c r="L1236" s="57"/>
      <c r="M1236" s="57"/>
      <c r="N1236" s="42"/>
      <c r="O1236" s="57"/>
      <c r="P1236" s="43"/>
      <c r="Q1236" s="41"/>
      <c r="R1236" s="43"/>
      <c r="S1236" s="36"/>
      <c r="T1236" s="16">
        <f t="shared" si="38"/>
        <v>0</v>
      </c>
      <c r="U1236" s="16">
        <f t="shared" si="39"/>
        <v>0</v>
      </c>
      <c r="V1236" s="133"/>
    </row>
    <row r="1237" spans="1:22" s="56" customFormat="1">
      <c r="A1237" s="58"/>
      <c r="B1237" s="36"/>
      <c r="C1237" s="58"/>
      <c r="D1237" s="57"/>
      <c r="E1237" s="57"/>
      <c r="F1237" s="41"/>
      <c r="G1237" s="41"/>
      <c r="H1237" s="41"/>
      <c r="I1237" s="57"/>
      <c r="J1237" s="36"/>
      <c r="K1237" s="57"/>
      <c r="L1237" s="57"/>
      <c r="M1237" s="57"/>
      <c r="N1237" s="42"/>
      <c r="O1237" s="57"/>
      <c r="P1237" s="43"/>
      <c r="Q1237" s="41"/>
      <c r="R1237" s="43"/>
      <c r="S1237" s="36"/>
      <c r="T1237" s="16">
        <f t="shared" si="38"/>
        <v>0</v>
      </c>
      <c r="U1237" s="16">
        <f t="shared" si="39"/>
        <v>0</v>
      </c>
      <c r="V1237" s="133"/>
    </row>
    <row r="1238" spans="1:22" s="56" customFormat="1">
      <c r="A1238" s="58"/>
      <c r="B1238" s="36"/>
      <c r="C1238" s="58"/>
      <c r="D1238" s="57"/>
      <c r="E1238" s="57"/>
      <c r="F1238" s="41"/>
      <c r="G1238" s="41"/>
      <c r="H1238" s="41"/>
      <c r="I1238" s="57"/>
      <c r="J1238" s="36"/>
      <c r="K1238" s="57"/>
      <c r="L1238" s="57"/>
      <c r="M1238" s="57"/>
      <c r="N1238" s="42"/>
      <c r="O1238" s="57"/>
      <c r="P1238" s="43"/>
      <c r="Q1238" s="41"/>
      <c r="R1238" s="43"/>
      <c r="S1238" s="36"/>
      <c r="T1238" s="16">
        <f t="shared" si="38"/>
        <v>0</v>
      </c>
      <c r="U1238" s="16">
        <f t="shared" si="39"/>
        <v>0</v>
      </c>
      <c r="V1238" s="133"/>
    </row>
    <row r="1239" spans="1:22" s="56" customFormat="1">
      <c r="A1239" s="58"/>
      <c r="B1239" s="36"/>
      <c r="C1239" s="58"/>
      <c r="D1239" s="57"/>
      <c r="E1239" s="57"/>
      <c r="F1239" s="41"/>
      <c r="G1239" s="41"/>
      <c r="H1239" s="41"/>
      <c r="I1239" s="57"/>
      <c r="J1239" s="36"/>
      <c r="K1239" s="57"/>
      <c r="L1239" s="57"/>
      <c r="M1239" s="57"/>
      <c r="N1239" s="42"/>
      <c r="O1239" s="57"/>
      <c r="P1239" s="43"/>
      <c r="Q1239" s="41"/>
      <c r="R1239" s="43"/>
      <c r="S1239" s="36"/>
      <c r="T1239" s="16">
        <f t="shared" si="38"/>
        <v>0</v>
      </c>
      <c r="U1239" s="16">
        <f t="shared" si="39"/>
        <v>0</v>
      </c>
      <c r="V1239" s="133"/>
    </row>
    <row r="1240" spans="1:22" s="56" customFormat="1">
      <c r="A1240" s="58"/>
      <c r="B1240" s="36"/>
      <c r="C1240" s="58"/>
      <c r="D1240" s="57"/>
      <c r="E1240" s="57"/>
      <c r="F1240" s="41"/>
      <c r="G1240" s="41"/>
      <c r="H1240" s="41"/>
      <c r="I1240" s="57"/>
      <c r="J1240" s="36"/>
      <c r="K1240" s="57"/>
      <c r="L1240" s="57"/>
      <c r="M1240" s="57"/>
      <c r="N1240" s="42"/>
      <c r="O1240" s="57"/>
      <c r="P1240" s="43"/>
      <c r="Q1240" s="41"/>
      <c r="R1240" s="43"/>
      <c r="S1240" s="36"/>
      <c r="T1240" s="16">
        <f t="shared" si="38"/>
        <v>0</v>
      </c>
      <c r="U1240" s="16">
        <f t="shared" si="39"/>
        <v>0</v>
      </c>
      <c r="V1240" s="133"/>
    </row>
    <row r="1241" spans="1:22" s="56" customFormat="1">
      <c r="A1241" s="58"/>
      <c r="B1241" s="36"/>
      <c r="C1241" s="58"/>
      <c r="D1241" s="57"/>
      <c r="E1241" s="57"/>
      <c r="F1241" s="41"/>
      <c r="G1241" s="41"/>
      <c r="H1241" s="41"/>
      <c r="I1241" s="57"/>
      <c r="J1241" s="36"/>
      <c r="K1241" s="57"/>
      <c r="L1241" s="57"/>
      <c r="M1241" s="57"/>
      <c r="N1241" s="42"/>
      <c r="O1241" s="57"/>
      <c r="P1241" s="43"/>
      <c r="Q1241" s="41"/>
      <c r="R1241" s="43"/>
      <c r="S1241" s="36"/>
      <c r="T1241" s="16">
        <f t="shared" si="38"/>
        <v>0</v>
      </c>
      <c r="U1241" s="16">
        <f t="shared" si="39"/>
        <v>0</v>
      </c>
      <c r="V1241" s="133"/>
    </row>
    <row r="1242" spans="1:22" s="56" customFormat="1">
      <c r="A1242" s="58"/>
      <c r="B1242" s="36"/>
      <c r="C1242" s="58"/>
      <c r="D1242" s="57"/>
      <c r="E1242" s="57"/>
      <c r="F1242" s="41"/>
      <c r="G1242" s="41"/>
      <c r="H1242" s="41"/>
      <c r="I1242" s="57"/>
      <c r="J1242" s="36"/>
      <c r="K1242" s="57"/>
      <c r="L1242" s="57"/>
      <c r="M1242" s="57"/>
      <c r="N1242" s="42"/>
      <c r="O1242" s="57"/>
      <c r="P1242" s="43"/>
      <c r="Q1242" s="41"/>
      <c r="R1242" s="43"/>
      <c r="S1242" s="36"/>
      <c r="T1242" s="16">
        <f t="shared" si="38"/>
        <v>0</v>
      </c>
      <c r="U1242" s="16">
        <f t="shared" si="39"/>
        <v>0</v>
      </c>
      <c r="V1242" s="133"/>
    </row>
    <row r="1243" spans="1:22" s="56" customFormat="1">
      <c r="A1243" s="58"/>
      <c r="B1243" s="36"/>
      <c r="C1243" s="58"/>
      <c r="D1243" s="57"/>
      <c r="E1243" s="57"/>
      <c r="F1243" s="41"/>
      <c r="G1243" s="41"/>
      <c r="H1243" s="41"/>
      <c r="I1243" s="57"/>
      <c r="J1243" s="36"/>
      <c r="K1243" s="57"/>
      <c r="L1243" s="57"/>
      <c r="M1243" s="57"/>
      <c r="N1243" s="42"/>
      <c r="O1243" s="57"/>
      <c r="P1243" s="43"/>
      <c r="Q1243" s="41"/>
      <c r="R1243" s="43"/>
      <c r="S1243" s="36"/>
      <c r="T1243" s="16">
        <f t="shared" si="38"/>
        <v>0</v>
      </c>
      <c r="U1243" s="16">
        <f t="shared" si="39"/>
        <v>0</v>
      </c>
      <c r="V1243" s="133"/>
    </row>
    <row r="1244" spans="1:22" s="56" customFormat="1">
      <c r="A1244" s="58"/>
      <c r="B1244" s="36"/>
      <c r="C1244" s="58"/>
      <c r="D1244" s="57"/>
      <c r="E1244" s="57"/>
      <c r="F1244" s="41"/>
      <c r="G1244" s="41"/>
      <c r="H1244" s="41"/>
      <c r="I1244" s="57"/>
      <c r="J1244" s="36"/>
      <c r="K1244" s="57"/>
      <c r="L1244" s="57"/>
      <c r="M1244" s="57"/>
      <c r="N1244" s="42"/>
      <c r="O1244" s="57"/>
      <c r="P1244" s="43"/>
      <c r="Q1244" s="41"/>
      <c r="R1244" s="43"/>
      <c r="S1244" s="36"/>
      <c r="T1244" s="16">
        <f t="shared" si="38"/>
        <v>0</v>
      </c>
      <c r="U1244" s="16">
        <f t="shared" si="39"/>
        <v>0</v>
      </c>
      <c r="V1244" s="133"/>
    </row>
    <row r="1245" spans="1:22" s="56" customFormat="1">
      <c r="A1245" s="58"/>
      <c r="B1245" s="36"/>
      <c r="C1245" s="58"/>
      <c r="D1245" s="57"/>
      <c r="E1245" s="57"/>
      <c r="F1245" s="41"/>
      <c r="G1245" s="41"/>
      <c r="H1245" s="41"/>
      <c r="I1245" s="57"/>
      <c r="J1245" s="36"/>
      <c r="K1245" s="57"/>
      <c r="L1245" s="57"/>
      <c r="M1245" s="57"/>
      <c r="N1245" s="42"/>
      <c r="O1245" s="57"/>
      <c r="P1245" s="43"/>
      <c r="Q1245" s="41"/>
      <c r="R1245" s="43"/>
      <c r="S1245" s="36"/>
      <c r="T1245" s="16">
        <f t="shared" si="38"/>
        <v>0</v>
      </c>
      <c r="U1245" s="16">
        <f t="shared" si="39"/>
        <v>0</v>
      </c>
      <c r="V1245" s="133"/>
    </row>
    <row r="1246" spans="1:22" s="56" customFormat="1">
      <c r="A1246" s="58"/>
      <c r="B1246" s="36"/>
      <c r="C1246" s="58"/>
      <c r="D1246" s="57"/>
      <c r="E1246" s="57"/>
      <c r="F1246" s="41"/>
      <c r="G1246" s="41"/>
      <c r="H1246" s="41"/>
      <c r="I1246" s="57"/>
      <c r="J1246" s="36"/>
      <c r="K1246" s="57"/>
      <c r="L1246" s="57"/>
      <c r="M1246" s="57"/>
      <c r="N1246" s="42"/>
      <c r="O1246" s="57"/>
      <c r="P1246" s="43"/>
      <c r="Q1246" s="41"/>
      <c r="R1246" s="43"/>
      <c r="S1246" s="36"/>
      <c r="T1246" s="16">
        <f t="shared" si="38"/>
        <v>0</v>
      </c>
      <c r="U1246" s="16">
        <f t="shared" si="39"/>
        <v>0</v>
      </c>
      <c r="V1246" s="133"/>
    </row>
    <row r="1247" spans="1:22" s="56" customFormat="1">
      <c r="A1247" s="58"/>
      <c r="B1247" s="36"/>
      <c r="C1247" s="58"/>
      <c r="D1247" s="57"/>
      <c r="E1247" s="57"/>
      <c r="F1247" s="41"/>
      <c r="G1247" s="41"/>
      <c r="H1247" s="41"/>
      <c r="I1247" s="57"/>
      <c r="J1247" s="36"/>
      <c r="K1247" s="57"/>
      <c r="L1247" s="57"/>
      <c r="M1247" s="57"/>
      <c r="N1247" s="42"/>
      <c r="O1247" s="57"/>
      <c r="P1247" s="43"/>
      <c r="Q1247" s="41"/>
      <c r="R1247" s="43"/>
      <c r="S1247" s="36"/>
      <c r="T1247" s="16">
        <f t="shared" si="38"/>
        <v>0</v>
      </c>
      <c r="U1247" s="16">
        <f t="shared" si="39"/>
        <v>0</v>
      </c>
      <c r="V1247" s="133"/>
    </row>
    <row r="1248" spans="1:22" s="56" customFormat="1">
      <c r="A1248" s="58"/>
      <c r="B1248" s="36"/>
      <c r="C1248" s="58"/>
      <c r="D1248" s="57"/>
      <c r="E1248" s="57"/>
      <c r="F1248" s="41"/>
      <c r="G1248" s="41"/>
      <c r="H1248" s="41"/>
      <c r="I1248" s="57"/>
      <c r="J1248" s="36"/>
      <c r="K1248" s="57"/>
      <c r="L1248" s="57"/>
      <c r="M1248" s="57"/>
      <c r="N1248" s="42"/>
      <c r="O1248" s="57"/>
      <c r="P1248" s="43"/>
      <c r="Q1248" s="41"/>
      <c r="R1248" s="43"/>
      <c r="S1248" s="36"/>
      <c r="T1248" s="16">
        <f t="shared" si="38"/>
        <v>0</v>
      </c>
      <c r="U1248" s="16">
        <f t="shared" si="39"/>
        <v>0</v>
      </c>
      <c r="V1248" s="133"/>
    </row>
    <row r="1249" spans="1:22" s="56" customFormat="1">
      <c r="A1249" s="58"/>
      <c r="B1249" s="36"/>
      <c r="C1249" s="58"/>
      <c r="D1249" s="57"/>
      <c r="E1249" s="57"/>
      <c r="F1249" s="41"/>
      <c r="G1249" s="41"/>
      <c r="H1249" s="41"/>
      <c r="I1249" s="57"/>
      <c r="J1249" s="36"/>
      <c r="K1249" s="57"/>
      <c r="L1249" s="57"/>
      <c r="M1249" s="57"/>
      <c r="N1249" s="42"/>
      <c r="O1249" s="57"/>
      <c r="P1249" s="43"/>
      <c r="Q1249" s="41"/>
      <c r="R1249" s="43"/>
      <c r="S1249" s="36"/>
      <c r="T1249" s="16">
        <f t="shared" si="38"/>
        <v>0</v>
      </c>
      <c r="U1249" s="16">
        <f t="shared" si="39"/>
        <v>0</v>
      </c>
      <c r="V1249" s="133"/>
    </row>
    <row r="1250" spans="1:22" s="56" customFormat="1">
      <c r="A1250" s="58"/>
      <c r="B1250" s="36"/>
      <c r="C1250" s="58"/>
      <c r="D1250" s="57"/>
      <c r="E1250" s="57"/>
      <c r="F1250" s="41"/>
      <c r="G1250" s="41"/>
      <c r="H1250" s="41"/>
      <c r="I1250" s="57"/>
      <c r="J1250" s="36"/>
      <c r="K1250" s="57"/>
      <c r="L1250" s="57"/>
      <c r="M1250" s="57"/>
      <c r="N1250" s="42"/>
      <c r="O1250" s="57"/>
      <c r="P1250" s="43"/>
      <c r="Q1250" s="41"/>
      <c r="R1250" s="43"/>
      <c r="S1250" s="36"/>
      <c r="T1250" s="16">
        <f t="shared" si="38"/>
        <v>0</v>
      </c>
      <c r="U1250" s="16">
        <f t="shared" si="39"/>
        <v>0</v>
      </c>
      <c r="V1250" s="133"/>
    </row>
    <row r="1251" spans="1:22" s="56" customFormat="1">
      <c r="A1251" s="58"/>
      <c r="B1251" s="36"/>
      <c r="C1251" s="58"/>
      <c r="D1251" s="57"/>
      <c r="E1251" s="57"/>
      <c r="F1251" s="41"/>
      <c r="G1251" s="41"/>
      <c r="H1251" s="41"/>
      <c r="I1251" s="57"/>
      <c r="J1251" s="36"/>
      <c r="K1251" s="57"/>
      <c r="L1251" s="57"/>
      <c r="M1251" s="57"/>
      <c r="N1251" s="42"/>
      <c r="O1251" s="57"/>
      <c r="P1251" s="43"/>
      <c r="Q1251" s="41"/>
      <c r="R1251" s="43"/>
      <c r="S1251" s="36"/>
      <c r="T1251" s="16">
        <f t="shared" si="38"/>
        <v>0</v>
      </c>
      <c r="U1251" s="16">
        <f t="shared" si="39"/>
        <v>0</v>
      </c>
      <c r="V1251" s="133"/>
    </row>
    <row r="1252" spans="1:22" s="56" customFormat="1">
      <c r="A1252" s="58"/>
      <c r="B1252" s="36"/>
      <c r="C1252" s="58"/>
      <c r="D1252" s="57"/>
      <c r="E1252" s="57"/>
      <c r="F1252" s="41"/>
      <c r="G1252" s="41"/>
      <c r="H1252" s="41"/>
      <c r="I1252" s="57"/>
      <c r="J1252" s="36"/>
      <c r="K1252" s="57"/>
      <c r="L1252" s="57"/>
      <c r="M1252" s="57"/>
      <c r="N1252" s="42"/>
      <c r="O1252" s="57"/>
      <c r="P1252" s="43"/>
      <c r="Q1252" s="41"/>
      <c r="R1252" s="43"/>
      <c r="S1252" s="36"/>
      <c r="T1252" s="16">
        <f t="shared" si="38"/>
        <v>0</v>
      </c>
      <c r="U1252" s="16">
        <f t="shared" si="39"/>
        <v>0</v>
      </c>
      <c r="V1252" s="133"/>
    </row>
    <row r="1253" spans="1:22" s="56" customFormat="1">
      <c r="A1253" s="58"/>
      <c r="B1253" s="36"/>
      <c r="C1253" s="58"/>
      <c r="D1253" s="57"/>
      <c r="E1253" s="57"/>
      <c r="F1253" s="41"/>
      <c r="G1253" s="41"/>
      <c r="H1253" s="41"/>
      <c r="I1253" s="57"/>
      <c r="J1253" s="36"/>
      <c r="K1253" s="57"/>
      <c r="L1253" s="57"/>
      <c r="M1253" s="57"/>
      <c r="N1253" s="42"/>
      <c r="O1253" s="57"/>
      <c r="P1253" s="43"/>
      <c r="Q1253" s="41"/>
      <c r="R1253" s="43"/>
      <c r="S1253" s="36"/>
      <c r="T1253" s="16">
        <f t="shared" si="38"/>
        <v>0</v>
      </c>
      <c r="U1253" s="16">
        <f t="shared" si="39"/>
        <v>0</v>
      </c>
      <c r="V1253" s="133"/>
    </row>
    <row r="1254" spans="1:22" s="56" customFormat="1">
      <c r="A1254" s="58"/>
      <c r="B1254" s="36"/>
      <c r="C1254" s="58"/>
      <c r="D1254" s="57"/>
      <c r="E1254" s="57"/>
      <c r="F1254" s="41"/>
      <c r="G1254" s="41"/>
      <c r="H1254" s="41"/>
      <c r="I1254" s="57"/>
      <c r="J1254" s="36"/>
      <c r="K1254" s="57"/>
      <c r="L1254" s="57"/>
      <c r="M1254" s="57"/>
      <c r="N1254" s="42"/>
      <c r="O1254" s="57"/>
      <c r="P1254" s="43"/>
      <c r="Q1254" s="41"/>
      <c r="R1254" s="43"/>
      <c r="S1254" s="36"/>
      <c r="T1254" s="16">
        <f t="shared" si="38"/>
        <v>0</v>
      </c>
      <c r="U1254" s="16">
        <f t="shared" si="39"/>
        <v>0</v>
      </c>
      <c r="V1254" s="133"/>
    </row>
    <row r="1255" spans="1:22" s="56" customFormat="1">
      <c r="A1255" s="58"/>
      <c r="B1255" s="36"/>
      <c r="C1255" s="58"/>
      <c r="D1255" s="57"/>
      <c r="E1255" s="57"/>
      <c r="F1255" s="41"/>
      <c r="G1255" s="41"/>
      <c r="H1255" s="41"/>
      <c r="I1255" s="57"/>
      <c r="J1255" s="36"/>
      <c r="K1255" s="57"/>
      <c r="L1255" s="57"/>
      <c r="M1255" s="57"/>
      <c r="N1255" s="42"/>
      <c r="O1255" s="57"/>
      <c r="P1255" s="43"/>
      <c r="Q1255" s="41"/>
      <c r="R1255" s="43"/>
      <c r="S1255" s="36"/>
      <c r="T1255" s="16">
        <f t="shared" si="38"/>
        <v>0</v>
      </c>
      <c r="U1255" s="16">
        <f t="shared" si="39"/>
        <v>0</v>
      </c>
      <c r="V1255" s="133"/>
    </row>
    <row r="1256" spans="1:22" s="56" customFormat="1">
      <c r="A1256" s="58"/>
      <c r="B1256" s="36"/>
      <c r="C1256" s="58"/>
      <c r="D1256" s="57"/>
      <c r="E1256" s="57"/>
      <c r="F1256" s="41"/>
      <c r="G1256" s="41"/>
      <c r="H1256" s="41"/>
      <c r="I1256" s="57"/>
      <c r="J1256" s="36"/>
      <c r="K1256" s="57"/>
      <c r="L1256" s="57"/>
      <c r="M1256" s="57"/>
      <c r="N1256" s="42"/>
      <c r="O1256" s="57"/>
      <c r="P1256" s="43"/>
      <c r="Q1256" s="41"/>
      <c r="R1256" s="43"/>
      <c r="S1256" s="36"/>
      <c r="T1256" s="16">
        <f t="shared" si="38"/>
        <v>0</v>
      </c>
      <c r="U1256" s="16">
        <f t="shared" si="39"/>
        <v>0</v>
      </c>
      <c r="V1256" s="133"/>
    </row>
    <row r="1257" spans="1:22" s="56" customFormat="1">
      <c r="A1257" s="58"/>
      <c r="B1257" s="36"/>
      <c r="C1257" s="58"/>
      <c r="D1257" s="57"/>
      <c r="E1257" s="57"/>
      <c r="F1257" s="41"/>
      <c r="G1257" s="41"/>
      <c r="H1257" s="41"/>
      <c r="I1257" s="57"/>
      <c r="J1257" s="36"/>
      <c r="K1257" s="57"/>
      <c r="L1257" s="57"/>
      <c r="M1257" s="57"/>
      <c r="N1257" s="42"/>
      <c r="O1257" s="57"/>
      <c r="P1257" s="43"/>
      <c r="Q1257" s="41"/>
      <c r="R1257" s="43"/>
      <c r="S1257" s="36"/>
      <c r="T1257" s="16">
        <f t="shared" si="38"/>
        <v>0</v>
      </c>
      <c r="U1257" s="16">
        <f t="shared" si="39"/>
        <v>0</v>
      </c>
      <c r="V1257" s="133"/>
    </row>
    <row r="1258" spans="1:22" s="56" customFormat="1">
      <c r="A1258" s="58"/>
      <c r="B1258" s="36"/>
      <c r="C1258" s="58"/>
      <c r="D1258" s="57"/>
      <c r="E1258" s="57"/>
      <c r="F1258" s="41"/>
      <c r="G1258" s="41"/>
      <c r="H1258" s="41"/>
      <c r="I1258" s="57"/>
      <c r="J1258" s="36"/>
      <c r="K1258" s="57"/>
      <c r="L1258" s="57"/>
      <c r="M1258" s="57"/>
      <c r="N1258" s="42"/>
      <c r="O1258" s="57"/>
      <c r="P1258" s="43"/>
      <c r="Q1258" s="41"/>
      <c r="R1258" s="43"/>
      <c r="S1258" s="36"/>
      <c r="T1258" s="16">
        <f t="shared" si="38"/>
        <v>0</v>
      </c>
      <c r="U1258" s="16">
        <f t="shared" si="39"/>
        <v>0</v>
      </c>
      <c r="V1258" s="133"/>
    </row>
    <row r="1259" spans="1:22" s="56" customFormat="1">
      <c r="A1259" s="58"/>
      <c r="B1259" s="36"/>
      <c r="C1259" s="58"/>
      <c r="D1259" s="57"/>
      <c r="E1259" s="57"/>
      <c r="F1259" s="41"/>
      <c r="G1259" s="41"/>
      <c r="H1259" s="41"/>
      <c r="I1259" s="57"/>
      <c r="J1259" s="36"/>
      <c r="K1259" s="57"/>
      <c r="L1259" s="57"/>
      <c r="M1259" s="57"/>
      <c r="N1259" s="42"/>
      <c r="O1259" s="57"/>
      <c r="P1259" s="43"/>
      <c r="Q1259" s="41"/>
      <c r="R1259" s="43"/>
      <c r="S1259" s="36"/>
      <c r="T1259" s="16">
        <f t="shared" si="38"/>
        <v>0</v>
      </c>
      <c r="U1259" s="16">
        <f t="shared" si="39"/>
        <v>0</v>
      </c>
      <c r="V1259" s="133"/>
    </row>
    <row r="1260" spans="1:22" s="56" customFormat="1">
      <c r="A1260" s="58"/>
      <c r="B1260" s="36"/>
      <c r="C1260" s="58"/>
      <c r="D1260" s="57"/>
      <c r="E1260" s="57"/>
      <c r="F1260" s="41"/>
      <c r="G1260" s="41"/>
      <c r="H1260" s="41"/>
      <c r="I1260" s="57"/>
      <c r="J1260" s="36"/>
      <c r="K1260" s="57"/>
      <c r="L1260" s="57"/>
      <c r="M1260" s="57"/>
      <c r="N1260" s="42"/>
      <c r="O1260" s="57"/>
      <c r="P1260" s="43"/>
      <c r="Q1260" s="41"/>
      <c r="R1260" s="43"/>
      <c r="S1260" s="36"/>
      <c r="T1260" s="16">
        <f t="shared" si="38"/>
        <v>0</v>
      </c>
      <c r="U1260" s="16">
        <f t="shared" si="39"/>
        <v>0</v>
      </c>
      <c r="V1260" s="133"/>
    </row>
    <row r="1261" spans="1:22" s="56" customFormat="1">
      <c r="A1261" s="58"/>
      <c r="B1261" s="36"/>
      <c r="C1261" s="58"/>
      <c r="D1261" s="57"/>
      <c r="E1261" s="57"/>
      <c r="F1261" s="41"/>
      <c r="G1261" s="41"/>
      <c r="H1261" s="41"/>
      <c r="I1261" s="57"/>
      <c r="J1261" s="36"/>
      <c r="K1261" s="57"/>
      <c r="L1261" s="57"/>
      <c r="M1261" s="57"/>
      <c r="N1261" s="42"/>
      <c r="O1261" s="57"/>
      <c r="P1261" s="43"/>
      <c r="Q1261" s="41"/>
      <c r="R1261" s="43"/>
      <c r="S1261" s="36"/>
      <c r="T1261" s="16">
        <f t="shared" si="38"/>
        <v>0</v>
      </c>
      <c r="U1261" s="16">
        <f t="shared" si="39"/>
        <v>0</v>
      </c>
      <c r="V1261" s="133"/>
    </row>
    <row r="1262" spans="1:22" s="56" customFormat="1">
      <c r="A1262" s="58"/>
      <c r="B1262" s="36"/>
      <c r="C1262" s="58"/>
      <c r="D1262" s="57"/>
      <c r="E1262" s="57"/>
      <c r="F1262" s="41"/>
      <c r="G1262" s="41"/>
      <c r="H1262" s="41"/>
      <c r="I1262" s="57"/>
      <c r="J1262" s="36"/>
      <c r="K1262" s="57"/>
      <c r="L1262" s="57"/>
      <c r="M1262" s="57"/>
      <c r="N1262" s="42"/>
      <c r="O1262" s="57"/>
      <c r="P1262" s="43"/>
      <c r="Q1262" s="41"/>
      <c r="R1262" s="43"/>
      <c r="S1262" s="36"/>
      <c r="T1262" s="16">
        <f t="shared" si="38"/>
        <v>0</v>
      </c>
      <c r="U1262" s="16">
        <f t="shared" si="39"/>
        <v>0</v>
      </c>
      <c r="V1262" s="133"/>
    </row>
    <row r="1263" spans="1:22" s="56" customFormat="1">
      <c r="A1263" s="58"/>
      <c r="B1263" s="36"/>
      <c r="C1263" s="58"/>
      <c r="D1263" s="57"/>
      <c r="E1263" s="57"/>
      <c r="F1263" s="41"/>
      <c r="G1263" s="41"/>
      <c r="H1263" s="41"/>
      <c r="I1263" s="57"/>
      <c r="J1263" s="36"/>
      <c r="K1263" s="57"/>
      <c r="L1263" s="57"/>
      <c r="M1263" s="57"/>
      <c r="N1263" s="42"/>
      <c r="O1263" s="57"/>
      <c r="P1263" s="43"/>
      <c r="Q1263" s="41"/>
      <c r="R1263" s="43"/>
      <c r="S1263" s="36"/>
      <c r="T1263" s="16">
        <f t="shared" si="38"/>
        <v>0</v>
      </c>
      <c r="U1263" s="16">
        <f t="shared" si="39"/>
        <v>0</v>
      </c>
      <c r="V1263" s="133"/>
    </row>
    <row r="1264" spans="1:22" s="56" customFormat="1">
      <c r="A1264" s="58"/>
      <c r="B1264" s="36"/>
      <c r="C1264" s="58"/>
      <c r="D1264" s="57"/>
      <c r="E1264" s="57"/>
      <c r="F1264" s="41"/>
      <c r="G1264" s="41"/>
      <c r="H1264" s="41"/>
      <c r="I1264" s="57"/>
      <c r="J1264" s="36"/>
      <c r="K1264" s="57"/>
      <c r="L1264" s="57"/>
      <c r="M1264" s="57"/>
      <c r="N1264" s="42"/>
      <c r="O1264" s="57"/>
      <c r="P1264" s="43"/>
      <c r="Q1264" s="41"/>
      <c r="R1264" s="43"/>
      <c r="S1264" s="36"/>
      <c r="T1264" s="16">
        <f t="shared" si="38"/>
        <v>0</v>
      </c>
      <c r="U1264" s="16">
        <f t="shared" si="39"/>
        <v>0</v>
      </c>
      <c r="V1264" s="133"/>
    </row>
    <row r="1265" spans="1:22" s="56" customFormat="1">
      <c r="A1265" s="58"/>
      <c r="B1265" s="36"/>
      <c r="C1265" s="58"/>
      <c r="D1265" s="57"/>
      <c r="E1265" s="57"/>
      <c r="F1265" s="41"/>
      <c r="G1265" s="41"/>
      <c r="H1265" s="41"/>
      <c r="I1265" s="57"/>
      <c r="J1265" s="36"/>
      <c r="K1265" s="57"/>
      <c r="L1265" s="57"/>
      <c r="M1265" s="57"/>
      <c r="N1265" s="42"/>
      <c r="O1265" s="57"/>
      <c r="P1265" s="43"/>
      <c r="Q1265" s="41"/>
      <c r="R1265" s="43"/>
      <c r="S1265" s="36"/>
      <c r="T1265" s="16">
        <f t="shared" si="38"/>
        <v>0</v>
      </c>
      <c r="U1265" s="16">
        <f t="shared" si="39"/>
        <v>0</v>
      </c>
      <c r="V1265" s="133"/>
    </row>
    <row r="1266" spans="1:22" s="56" customFormat="1">
      <c r="A1266" s="58"/>
      <c r="B1266" s="36"/>
      <c r="C1266" s="58"/>
      <c r="D1266" s="57"/>
      <c r="E1266" s="57"/>
      <c r="F1266" s="41"/>
      <c r="G1266" s="41"/>
      <c r="H1266" s="41"/>
      <c r="I1266" s="57"/>
      <c r="J1266" s="36"/>
      <c r="K1266" s="57"/>
      <c r="L1266" s="57"/>
      <c r="M1266" s="57"/>
      <c r="N1266" s="42"/>
      <c r="O1266" s="57"/>
      <c r="P1266" s="43"/>
      <c r="Q1266" s="41"/>
      <c r="R1266" s="43"/>
      <c r="S1266" s="36"/>
      <c r="T1266" s="16">
        <f t="shared" si="38"/>
        <v>0</v>
      </c>
      <c r="U1266" s="16">
        <f t="shared" si="39"/>
        <v>0</v>
      </c>
      <c r="V1266" s="133"/>
    </row>
    <row r="1267" spans="1:22" s="56" customFormat="1">
      <c r="A1267" s="58"/>
      <c r="B1267" s="36"/>
      <c r="C1267" s="58"/>
      <c r="D1267" s="57"/>
      <c r="E1267" s="57"/>
      <c r="F1267" s="41"/>
      <c r="G1267" s="41"/>
      <c r="H1267" s="41"/>
      <c r="I1267" s="57"/>
      <c r="J1267" s="36"/>
      <c r="K1267" s="57"/>
      <c r="L1267" s="57"/>
      <c r="M1267" s="57"/>
      <c r="N1267" s="42"/>
      <c r="O1267" s="57"/>
      <c r="P1267" s="43"/>
      <c r="Q1267" s="41"/>
      <c r="R1267" s="43"/>
      <c r="S1267" s="36"/>
      <c r="T1267" s="16">
        <f t="shared" si="38"/>
        <v>0</v>
      </c>
      <c r="U1267" s="16">
        <f t="shared" si="39"/>
        <v>0</v>
      </c>
      <c r="V1267" s="133"/>
    </row>
    <row r="1268" spans="1:22" s="56" customFormat="1">
      <c r="A1268" s="58"/>
      <c r="B1268" s="36"/>
      <c r="C1268" s="58"/>
      <c r="D1268" s="57"/>
      <c r="E1268" s="57"/>
      <c r="F1268" s="41"/>
      <c r="G1268" s="41"/>
      <c r="H1268" s="41"/>
      <c r="I1268" s="57"/>
      <c r="J1268" s="36"/>
      <c r="K1268" s="57"/>
      <c r="L1268" s="57"/>
      <c r="M1268" s="57"/>
      <c r="N1268" s="42"/>
      <c r="O1268" s="57"/>
      <c r="P1268" s="43"/>
      <c r="Q1268" s="41"/>
      <c r="R1268" s="43"/>
      <c r="S1268" s="36"/>
      <c r="T1268" s="16">
        <f t="shared" si="38"/>
        <v>0</v>
      </c>
      <c r="U1268" s="16">
        <f t="shared" si="39"/>
        <v>0</v>
      </c>
      <c r="V1268" s="133"/>
    </row>
    <row r="1269" spans="1:22" s="56" customFormat="1">
      <c r="A1269" s="58"/>
      <c r="B1269" s="36"/>
      <c r="C1269" s="58"/>
      <c r="D1269" s="57"/>
      <c r="E1269" s="57"/>
      <c r="F1269" s="41"/>
      <c r="G1269" s="41"/>
      <c r="H1269" s="41"/>
      <c r="I1269" s="57"/>
      <c r="J1269" s="36"/>
      <c r="K1269" s="57"/>
      <c r="L1269" s="57"/>
      <c r="M1269" s="57"/>
      <c r="N1269" s="42"/>
      <c r="O1269" s="57"/>
      <c r="P1269" s="43"/>
      <c r="Q1269" s="41"/>
      <c r="R1269" s="43"/>
      <c r="S1269" s="36"/>
      <c r="T1269" s="16">
        <f t="shared" si="38"/>
        <v>0</v>
      </c>
      <c r="U1269" s="16">
        <f t="shared" si="39"/>
        <v>0</v>
      </c>
      <c r="V1269" s="133"/>
    </row>
    <row r="1270" spans="1:22" s="56" customFormat="1">
      <c r="A1270" s="58"/>
      <c r="B1270" s="36"/>
      <c r="C1270" s="58"/>
      <c r="D1270" s="57"/>
      <c r="E1270" s="57"/>
      <c r="F1270" s="41"/>
      <c r="G1270" s="41"/>
      <c r="H1270" s="41"/>
      <c r="I1270" s="57"/>
      <c r="J1270" s="36"/>
      <c r="K1270" s="57"/>
      <c r="L1270" s="57"/>
      <c r="M1270" s="57"/>
      <c r="N1270" s="42"/>
      <c r="O1270" s="57"/>
      <c r="P1270" s="43"/>
      <c r="Q1270" s="41"/>
      <c r="R1270" s="43"/>
      <c r="S1270" s="36"/>
      <c r="T1270" s="16">
        <f t="shared" si="38"/>
        <v>0</v>
      </c>
      <c r="U1270" s="16">
        <f t="shared" si="39"/>
        <v>0</v>
      </c>
      <c r="V1270" s="133"/>
    </row>
    <row r="1271" spans="1:22" s="56" customFormat="1">
      <c r="A1271" s="58"/>
      <c r="B1271" s="36"/>
      <c r="C1271" s="58"/>
      <c r="D1271" s="57"/>
      <c r="E1271" s="57"/>
      <c r="F1271" s="41"/>
      <c r="G1271" s="41"/>
      <c r="H1271" s="41"/>
      <c r="I1271" s="57"/>
      <c r="J1271" s="36"/>
      <c r="K1271" s="57"/>
      <c r="L1271" s="57"/>
      <c r="M1271" s="57"/>
      <c r="N1271" s="42"/>
      <c r="O1271" s="57"/>
      <c r="P1271" s="43"/>
      <c r="Q1271" s="41"/>
      <c r="R1271" s="43"/>
      <c r="S1271" s="36"/>
      <c r="T1271" s="16">
        <f t="shared" si="38"/>
        <v>0</v>
      </c>
      <c r="U1271" s="16">
        <f t="shared" si="39"/>
        <v>0</v>
      </c>
      <c r="V1271" s="133"/>
    </row>
    <row r="1272" spans="1:22" s="56" customFormat="1">
      <c r="A1272" s="58"/>
      <c r="B1272" s="36"/>
      <c r="C1272" s="58"/>
      <c r="D1272" s="57"/>
      <c r="E1272" s="57"/>
      <c r="F1272" s="41"/>
      <c r="G1272" s="41"/>
      <c r="H1272" s="41"/>
      <c r="I1272" s="57"/>
      <c r="J1272" s="36"/>
      <c r="K1272" s="57"/>
      <c r="L1272" s="57"/>
      <c r="M1272" s="57"/>
      <c r="N1272" s="42"/>
      <c r="O1272" s="57"/>
      <c r="P1272" s="43"/>
      <c r="Q1272" s="41"/>
      <c r="R1272" s="43"/>
      <c r="S1272" s="36"/>
      <c r="T1272" s="16">
        <f t="shared" si="38"/>
        <v>0</v>
      </c>
      <c r="U1272" s="16">
        <f t="shared" si="39"/>
        <v>0</v>
      </c>
      <c r="V1272" s="133"/>
    </row>
    <row r="1273" spans="1:22" s="56" customFormat="1">
      <c r="A1273" s="58"/>
      <c r="B1273" s="36"/>
      <c r="C1273" s="58"/>
      <c r="D1273" s="57"/>
      <c r="E1273" s="57"/>
      <c r="F1273" s="41"/>
      <c r="G1273" s="41"/>
      <c r="H1273" s="41"/>
      <c r="I1273" s="57"/>
      <c r="J1273" s="36"/>
      <c r="K1273" s="57"/>
      <c r="L1273" s="57"/>
      <c r="M1273" s="57"/>
      <c r="N1273" s="42"/>
      <c r="O1273" s="57"/>
      <c r="P1273" s="43"/>
      <c r="Q1273" s="41"/>
      <c r="R1273" s="43"/>
      <c r="S1273" s="36"/>
      <c r="T1273" s="16">
        <f t="shared" si="38"/>
        <v>0</v>
      </c>
      <c r="U1273" s="16">
        <f t="shared" si="39"/>
        <v>0</v>
      </c>
      <c r="V1273" s="133"/>
    </row>
    <row r="1274" spans="1:22" s="56" customFormat="1">
      <c r="A1274" s="58"/>
      <c r="B1274" s="36"/>
      <c r="C1274" s="58"/>
      <c r="D1274" s="57"/>
      <c r="E1274" s="57"/>
      <c r="F1274" s="41"/>
      <c r="G1274" s="41"/>
      <c r="H1274" s="41"/>
      <c r="I1274" s="57"/>
      <c r="J1274" s="36"/>
      <c r="K1274" s="57"/>
      <c r="L1274" s="57"/>
      <c r="M1274" s="57"/>
      <c r="N1274" s="42"/>
      <c r="O1274" s="57"/>
      <c r="P1274" s="43"/>
      <c r="Q1274" s="41"/>
      <c r="R1274" s="43"/>
      <c r="S1274" s="36"/>
      <c r="T1274" s="16">
        <f t="shared" si="38"/>
        <v>0</v>
      </c>
      <c r="U1274" s="16">
        <f t="shared" si="39"/>
        <v>0</v>
      </c>
      <c r="V1274" s="133"/>
    </row>
    <row r="1275" spans="1:22" s="56" customFormat="1">
      <c r="A1275" s="58"/>
      <c r="B1275" s="36"/>
      <c r="C1275" s="58"/>
      <c r="D1275" s="57"/>
      <c r="E1275" s="57"/>
      <c r="F1275" s="41"/>
      <c r="G1275" s="41"/>
      <c r="H1275" s="41"/>
      <c r="I1275" s="57"/>
      <c r="J1275" s="36"/>
      <c r="K1275" s="57"/>
      <c r="L1275" s="57"/>
      <c r="M1275" s="57"/>
      <c r="N1275" s="42"/>
      <c r="O1275" s="57"/>
      <c r="P1275" s="43"/>
      <c r="Q1275" s="41"/>
      <c r="R1275" s="43"/>
      <c r="S1275" s="36"/>
      <c r="T1275" s="16">
        <f t="shared" si="38"/>
        <v>0</v>
      </c>
      <c r="U1275" s="16">
        <f t="shared" si="39"/>
        <v>0</v>
      </c>
      <c r="V1275" s="133"/>
    </row>
    <row r="1276" spans="1:22" s="56" customFormat="1">
      <c r="A1276" s="58"/>
      <c r="B1276" s="36"/>
      <c r="C1276" s="58"/>
      <c r="D1276" s="57"/>
      <c r="E1276" s="57"/>
      <c r="F1276" s="41"/>
      <c r="G1276" s="41"/>
      <c r="H1276" s="41"/>
      <c r="I1276" s="57"/>
      <c r="J1276" s="36"/>
      <c r="K1276" s="57"/>
      <c r="L1276" s="57"/>
      <c r="M1276" s="57"/>
      <c r="N1276" s="42"/>
      <c r="O1276" s="57"/>
      <c r="P1276" s="43"/>
      <c r="Q1276" s="41"/>
      <c r="R1276" s="43"/>
      <c r="S1276" s="36"/>
      <c r="T1276" s="16">
        <f t="shared" si="38"/>
        <v>0</v>
      </c>
      <c r="U1276" s="16">
        <f t="shared" si="39"/>
        <v>0</v>
      </c>
      <c r="V1276" s="133"/>
    </row>
    <row r="1277" spans="1:22" s="56" customFormat="1">
      <c r="A1277" s="58"/>
      <c r="B1277" s="36"/>
      <c r="C1277" s="58"/>
      <c r="D1277" s="57"/>
      <c r="E1277" s="57"/>
      <c r="F1277" s="41"/>
      <c r="G1277" s="41"/>
      <c r="H1277" s="41"/>
      <c r="I1277" s="57"/>
      <c r="J1277" s="36"/>
      <c r="K1277" s="57"/>
      <c r="L1277" s="57"/>
      <c r="M1277" s="57"/>
      <c r="N1277" s="42"/>
      <c r="O1277" s="57"/>
      <c r="P1277" s="43"/>
      <c r="Q1277" s="41"/>
      <c r="R1277" s="43"/>
      <c r="S1277" s="36"/>
      <c r="T1277" s="16">
        <f t="shared" si="38"/>
        <v>0</v>
      </c>
      <c r="U1277" s="16">
        <f t="shared" si="39"/>
        <v>0</v>
      </c>
      <c r="V1277" s="133"/>
    </row>
    <row r="1278" spans="1:22" s="56" customFormat="1">
      <c r="A1278" s="58"/>
      <c r="B1278" s="36"/>
      <c r="C1278" s="58"/>
      <c r="D1278" s="57"/>
      <c r="E1278" s="57"/>
      <c r="F1278" s="41"/>
      <c r="G1278" s="41"/>
      <c r="H1278" s="41"/>
      <c r="I1278" s="57"/>
      <c r="J1278" s="36"/>
      <c r="K1278" s="57"/>
      <c r="L1278" s="57"/>
      <c r="M1278" s="57"/>
      <c r="N1278" s="42"/>
      <c r="O1278" s="57"/>
      <c r="P1278" s="43"/>
      <c r="Q1278" s="41"/>
      <c r="R1278" s="43"/>
      <c r="S1278" s="36"/>
      <c r="T1278" s="16">
        <f t="shared" si="38"/>
        <v>0</v>
      </c>
      <c r="U1278" s="16">
        <f t="shared" si="39"/>
        <v>0</v>
      </c>
      <c r="V1278" s="133"/>
    </row>
    <row r="1279" spans="1:22" s="56" customFormat="1">
      <c r="A1279" s="58"/>
      <c r="B1279" s="36"/>
      <c r="C1279" s="58"/>
      <c r="D1279" s="57"/>
      <c r="E1279" s="57"/>
      <c r="F1279" s="41"/>
      <c r="G1279" s="41"/>
      <c r="H1279" s="41"/>
      <c r="I1279" s="57"/>
      <c r="J1279" s="36"/>
      <c r="K1279" s="57"/>
      <c r="L1279" s="57"/>
      <c r="M1279" s="57"/>
      <c r="N1279" s="42"/>
      <c r="O1279" s="57"/>
      <c r="P1279" s="43"/>
      <c r="Q1279" s="41"/>
      <c r="R1279" s="43"/>
      <c r="S1279" s="36"/>
      <c r="T1279" s="16">
        <f t="shared" si="38"/>
        <v>0</v>
      </c>
      <c r="U1279" s="16">
        <f t="shared" si="39"/>
        <v>0</v>
      </c>
      <c r="V1279" s="133"/>
    </row>
    <row r="1280" spans="1:22" s="56" customFormat="1">
      <c r="A1280" s="58"/>
      <c r="B1280" s="36"/>
      <c r="C1280" s="58"/>
      <c r="D1280" s="57"/>
      <c r="E1280" s="57"/>
      <c r="F1280" s="41"/>
      <c r="G1280" s="41"/>
      <c r="H1280" s="41"/>
      <c r="I1280" s="57"/>
      <c r="J1280" s="36"/>
      <c r="K1280" s="57"/>
      <c r="L1280" s="57"/>
      <c r="M1280" s="57"/>
      <c r="N1280" s="42"/>
      <c r="O1280" s="57"/>
      <c r="P1280" s="43"/>
      <c r="Q1280" s="41"/>
      <c r="R1280" s="43"/>
      <c r="S1280" s="36"/>
      <c r="T1280" s="16">
        <f t="shared" si="38"/>
        <v>0</v>
      </c>
      <c r="U1280" s="16">
        <f t="shared" si="39"/>
        <v>0</v>
      </c>
      <c r="V1280" s="133"/>
    </row>
    <row r="1281" spans="1:22" s="56" customFormat="1">
      <c r="A1281" s="58"/>
      <c r="B1281" s="36"/>
      <c r="C1281" s="58"/>
      <c r="D1281" s="57"/>
      <c r="E1281" s="57"/>
      <c r="F1281" s="41"/>
      <c r="G1281" s="41"/>
      <c r="H1281" s="41"/>
      <c r="I1281" s="57"/>
      <c r="J1281" s="36"/>
      <c r="K1281" s="57"/>
      <c r="L1281" s="57"/>
      <c r="M1281" s="57"/>
      <c r="N1281" s="42"/>
      <c r="O1281" s="57"/>
      <c r="P1281" s="43"/>
      <c r="Q1281" s="41"/>
      <c r="R1281" s="43"/>
      <c r="S1281" s="36"/>
      <c r="T1281" s="16">
        <f t="shared" si="38"/>
        <v>0</v>
      </c>
      <c r="U1281" s="16">
        <f t="shared" si="39"/>
        <v>0</v>
      </c>
      <c r="V1281" s="133"/>
    </row>
    <row r="1282" spans="1:22" s="56" customFormat="1">
      <c r="A1282" s="58"/>
      <c r="B1282" s="36"/>
      <c r="C1282" s="58"/>
      <c r="D1282" s="57"/>
      <c r="E1282" s="57"/>
      <c r="F1282" s="41"/>
      <c r="G1282" s="41"/>
      <c r="H1282" s="41"/>
      <c r="I1282" s="57"/>
      <c r="J1282" s="36"/>
      <c r="K1282" s="57"/>
      <c r="L1282" s="57"/>
      <c r="M1282" s="57"/>
      <c r="N1282" s="42"/>
      <c r="O1282" s="57"/>
      <c r="P1282" s="43"/>
      <c r="Q1282" s="41"/>
      <c r="R1282" s="43"/>
      <c r="S1282" s="36"/>
      <c r="T1282" s="16">
        <f t="shared" si="38"/>
        <v>0</v>
      </c>
      <c r="U1282" s="16">
        <f t="shared" si="39"/>
        <v>0</v>
      </c>
      <c r="V1282" s="133"/>
    </row>
    <row r="1283" spans="1:22" s="56" customFormat="1">
      <c r="A1283" s="58"/>
      <c r="B1283" s="36"/>
      <c r="C1283" s="58"/>
      <c r="D1283" s="57"/>
      <c r="E1283" s="57"/>
      <c r="F1283" s="41"/>
      <c r="G1283" s="41"/>
      <c r="H1283" s="41"/>
      <c r="I1283" s="57"/>
      <c r="J1283" s="36"/>
      <c r="K1283" s="57"/>
      <c r="L1283" s="57"/>
      <c r="M1283" s="57"/>
      <c r="N1283" s="42"/>
      <c r="O1283" s="57"/>
      <c r="P1283" s="43"/>
      <c r="Q1283" s="41"/>
      <c r="R1283" s="43"/>
      <c r="S1283" s="36"/>
      <c r="T1283" s="16">
        <f t="shared" si="38"/>
        <v>0</v>
      </c>
      <c r="U1283" s="16">
        <f t="shared" si="39"/>
        <v>0</v>
      </c>
      <c r="V1283" s="133"/>
    </row>
    <row r="1284" spans="1:22" s="56" customFormat="1">
      <c r="A1284" s="58"/>
      <c r="B1284" s="36"/>
      <c r="C1284" s="58"/>
      <c r="D1284" s="57"/>
      <c r="E1284" s="57"/>
      <c r="F1284" s="41"/>
      <c r="G1284" s="41"/>
      <c r="H1284" s="41"/>
      <c r="I1284" s="57"/>
      <c r="J1284" s="36"/>
      <c r="K1284" s="57"/>
      <c r="L1284" s="57"/>
      <c r="M1284" s="57"/>
      <c r="N1284" s="42"/>
      <c r="O1284" s="57"/>
      <c r="P1284" s="43"/>
      <c r="Q1284" s="41"/>
      <c r="R1284" s="43"/>
      <c r="S1284" s="36"/>
      <c r="T1284" s="16">
        <f t="shared" si="38"/>
        <v>0</v>
      </c>
      <c r="U1284" s="16">
        <f t="shared" si="39"/>
        <v>0</v>
      </c>
      <c r="V1284" s="133"/>
    </row>
    <row r="1285" spans="1:22" s="56" customFormat="1">
      <c r="A1285" s="58"/>
      <c r="B1285" s="36"/>
      <c r="C1285" s="58"/>
      <c r="D1285" s="57"/>
      <c r="E1285" s="57"/>
      <c r="F1285" s="41"/>
      <c r="G1285" s="41"/>
      <c r="H1285" s="41"/>
      <c r="I1285" s="57"/>
      <c r="J1285" s="36"/>
      <c r="K1285" s="57"/>
      <c r="L1285" s="57"/>
      <c r="M1285" s="57"/>
      <c r="N1285" s="42"/>
      <c r="O1285" s="57"/>
      <c r="P1285" s="43"/>
      <c r="Q1285" s="41"/>
      <c r="R1285" s="43"/>
      <c r="S1285" s="36"/>
      <c r="T1285" s="16">
        <f t="shared" ref="T1285:T1348" si="40">IF(OR($J1285="Accepted",ISBLANK($J1285)),IF(AND($G1285="Legacy Data",$Q1285="Legacy Data"),1,IF(OR($G1285="Legacy Data",$Q1285="Legacy Data"),1,0)),IF(OR($N1285="Agree with original translator",ISBLANK($N1285)),IF(AND($G1285="Source Text Data",$Q1285="Legacy Data"),1,IF(AND($G1285="Legacy Data",$Q1285="Legacy Data"),1,IF($Q1285="Legacy Data",1,0))),IF(AND($G1285="Legacy Data",$Q1285="Legacy Data"),1,IF(OR($Q1285="Legacy Data",ISBLANK($Q1285)),IF($G1285&lt;&gt;"Legacy Data",IF(AND($G1285="Source Text Data",$Q1285="Legacy Data"),1,0),1),0))))</f>
        <v>0</v>
      </c>
      <c r="U1285" s="16">
        <f t="shared" ref="U1285:U1348" si="41">IF(OR($J1285="Accepted",ISBLANK($J1285)),IF(AND($G1285="Source Text Data",$Q1285="Source Text Data"),1,IF(OR($G1285="Source Text Data",$Q1285="Source Text Data"),1,0)),IF(OR($N1285="Agree with original translator",ISBLANK($N1285)),IF(AND($G1285="Legacy Data",$Q1285="Source Text Data"),1,IF(AND($G1285="Source Text Data",$Q1285="Source Text Data"),1,IF($Q1285="Source Text Data",1,0))),IF(AND($G1285="Source Text Data",$Q1285="Source Text Data"),1,IF(OR($Q1285="Source Text Data",ISBLANK($Q1285)),IF($G1285&lt;&gt;"Source Text Data",IF(AND($G1285="Legacy Data",$Q1285="Source Text Data"),1,0),1),0))))</f>
        <v>0</v>
      </c>
      <c r="V1285" s="133"/>
    </row>
    <row r="1286" spans="1:22" s="56" customFormat="1">
      <c r="A1286" s="58"/>
      <c r="B1286" s="36"/>
      <c r="C1286" s="58"/>
      <c r="D1286" s="57"/>
      <c r="E1286" s="57"/>
      <c r="F1286" s="41"/>
      <c r="G1286" s="41"/>
      <c r="H1286" s="41"/>
      <c r="I1286" s="57"/>
      <c r="J1286" s="36"/>
      <c r="K1286" s="57"/>
      <c r="L1286" s="57"/>
      <c r="M1286" s="57"/>
      <c r="N1286" s="42"/>
      <c r="O1286" s="57"/>
      <c r="P1286" s="43"/>
      <c r="Q1286" s="41"/>
      <c r="R1286" s="43"/>
      <c r="S1286" s="36"/>
      <c r="T1286" s="16">
        <f t="shared" si="40"/>
        <v>0</v>
      </c>
      <c r="U1286" s="16">
        <f t="shared" si="41"/>
        <v>0</v>
      </c>
      <c r="V1286" s="133"/>
    </row>
    <row r="1287" spans="1:22" s="56" customFormat="1">
      <c r="A1287" s="58"/>
      <c r="B1287" s="36"/>
      <c r="C1287" s="58"/>
      <c r="D1287" s="57"/>
      <c r="E1287" s="57"/>
      <c r="F1287" s="41"/>
      <c r="G1287" s="41"/>
      <c r="H1287" s="41"/>
      <c r="I1287" s="57"/>
      <c r="J1287" s="36"/>
      <c r="K1287" s="57"/>
      <c r="L1287" s="57"/>
      <c r="M1287" s="57"/>
      <c r="N1287" s="42"/>
      <c r="O1287" s="57"/>
      <c r="P1287" s="43"/>
      <c r="Q1287" s="41"/>
      <c r="R1287" s="43"/>
      <c r="S1287" s="36"/>
      <c r="T1287" s="16">
        <f t="shared" si="40"/>
        <v>0</v>
      </c>
      <c r="U1287" s="16">
        <f t="shared" si="41"/>
        <v>0</v>
      </c>
      <c r="V1287" s="133"/>
    </row>
    <row r="1288" spans="1:22" s="56" customFormat="1">
      <c r="A1288" s="58"/>
      <c r="B1288" s="36"/>
      <c r="C1288" s="58"/>
      <c r="D1288" s="57"/>
      <c r="E1288" s="57"/>
      <c r="F1288" s="41"/>
      <c r="G1288" s="41"/>
      <c r="H1288" s="41"/>
      <c r="I1288" s="57"/>
      <c r="J1288" s="36"/>
      <c r="K1288" s="57"/>
      <c r="L1288" s="57"/>
      <c r="M1288" s="57"/>
      <c r="N1288" s="42"/>
      <c r="O1288" s="57"/>
      <c r="P1288" s="43"/>
      <c r="Q1288" s="41"/>
      <c r="R1288" s="43"/>
      <c r="S1288" s="36"/>
      <c r="T1288" s="16">
        <f t="shared" si="40"/>
        <v>0</v>
      </c>
      <c r="U1288" s="16">
        <f t="shared" si="41"/>
        <v>0</v>
      </c>
      <c r="V1288" s="133"/>
    </row>
    <row r="1289" spans="1:22" s="56" customFormat="1">
      <c r="A1289" s="58"/>
      <c r="B1289" s="36"/>
      <c r="C1289" s="58"/>
      <c r="D1289" s="57"/>
      <c r="E1289" s="57"/>
      <c r="F1289" s="41"/>
      <c r="G1289" s="41"/>
      <c r="H1289" s="41"/>
      <c r="I1289" s="57"/>
      <c r="J1289" s="36"/>
      <c r="K1289" s="57"/>
      <c r="L1289" s="57"/>
      <c r="M1289" s="57"/>
      <c r="N1289" s="42"/>
      <c r="O1289" s="57"/>
      <c r="P1289" s="43"/>
      <c r="Q1289" s="41"/>
      <c r="R1289" s="43"/>
      <c r="S1289" s="36"/>
      <c r="T1289" s="16">
        <f t="shared" si="40"/>
        <v>0</v>
      </c>
      <c r="U1289" s="16">
        <f t="shared" si="41"/>
        <v>0</v>
      </c>
      <c r="V1289" s="133"/>
    </row>
    <row r="1290" spans="1:22" s="56" customFormat="1">
      <c r="A1290" s="58"/>
      <c r="B1290" s="36"/>
      <c r="C1290" s="58"/>
      <c r="D1290" s="57"/>
      <c r="E1290" s="57"/>
      <c r="F1290" s="41"/>
      <c r="G1290" s="41"/>
      <c r="H1290" s="41"/>
      <c r="I1290" s="57"/>
      <c r="J1290" s="36"/>
      <c r="K1290" s="57"/>
      <c r="L1290" s="57"/>
      <c r="M1290" s="57"/>
      <c r="N1290" s="42"/>
      <c r="O1290" s="57"/>
      <c r="P1290" s="43"/>
      <c r="Q1290" s="41"/>
      <c r="R1290" s="43"/>
      <c r="S1290" s="36"/>
      <c r="T1290" s="16">
        <f t="shared" si="40"/>
        <v>0</v>
      </c>
      <c r="U1290" s="16">
        <f t="shared" si="41"/>
        <v>0</v>
      </c>
      <c r="V1290" s="133"/>
    </row>
    <row r="1291" spans="1:22" s="56" customFormat="1">
      <c r="A1291" s="58"/>
      <c r="B1291" s="36"/>
      <c r="C1291" s="58"/>
      <c r="D1291" s="57"/>
      <c r="E1291" s="57"/>
      <c r="F1291" s="41"/>
      <c r="G1291" s="41"/>
      <c r="H1291" s="41"/>
      <c r="I1291" s="57"/>
      <c r="J1291" s="36"/>
      <c r="K1291" s="57"/>
      <c r="L1291" s="57"/>
      <c r="M1291" s="57"/>
      <c r="N1291" s="42"/>
      <c r="O1291" s="57"/>
      <c r="P1291" s="43"/>
      <c r="Q1291" s="41"/>
      <c r="R1291" s="43"/>
      <c r="S1291" s="36"/>
      <c r="T1291" s="16">
        <f t="shared" si="40"/>
        <v>0</v>
      </c>
      <c r="U1291" s="16">
        <f t="shared" si="41"/>
        <v>0</v>
      </c>
      <c r="V1291" s="133"/>
    </row>
    <row r="1292" spans="1:22" s="56" customFormat="1">
      <c r="A1292" s="58"/>
      <c r="B1292" s="36"/>
      <c r="C1292" s="58"/>
      <c r="D1292" s="57"/>
      <c r="E1292" s="57"/>
      <c r="F1292" s="41"/>
      <c r="G1292" s="41"/>
      <c r="H1292" s="41"/>
      <c r="I1292" s="57"/>
      <c r="J1292" s="36"/>
      <c r="K1292" s="57"/>
      <c r="L1292" s="57"/>
      <c r="M1292" s="57"/>
      <c r="N1292" s="42"/>
      <c r="O1292" s="57"/>
      <c r="P1292" s="43"/>
      <c r="Q1292" s="41"/>
      <c r="R1292" s="43"/>
      <c r="S1292" s="36"/>
      <c r="T1292" s="16">
        <f t="shared" si="40"/>
        <v>0</v>
      </c>
      <c r="U1292" s="16">
        <f t="shared" si="41"/>
        <v>0</v>
      </c>
      <c r="V1292" s="133"/>
    </row>
    <row r="1293" spans="1:22" s="56" customFormat="1">
      <c r="A1293" s="58"/>
      <c r="B1293" s="36"/>
      <c r="C1293" s="58"/>
      <c r="D1293" s="57"/>
      <c r="E1293" s="57"/>
      <c r="F1293" s="41"/>
      <c r="G1293" s="41"/>
      <c r="H1293" s="41"/>
      <c r="I1293" s="57"/>
      <c r="J1293" s="36"/>
      <c r="K1293" s="57"/>
      <c r="L1293" s="57"/>
      <c r="M1293" s="57"/>
      <c r="N1293" s="42"/>
      <c r="O1293" s="57"/>
      <c r="P1293" s="43"/>
      <c r="Q1293" s="41"/>
      <c r="R1293" s="43"/>
      <c r="S1293" s="36"/>
      <c r="T1293" s="16">
        <f t="shared" si="40"/>
        <v>0</v>
      </c>
      <c r="U1293" s="16">
        <f t="shared" si="41"/>
        <v>0</v>
      </c>
      <c r="V1293" s="133"/>
    </row>
    <row r="1294" spans="1:22" s="56" customFormat="1">
      <c r="A1294" s="58"/>
      <c r="B1294" s="36"/>
      <c r="C1294" s="58"/>
      <c r="D1294" s="57"/>
      <c r="E1294" s="57"/>
      <c r="F1294" s="41"/>
      <c r="G1294" s="41"/>
      <c r="H1294" s="41"/>
      <c r="I1294" s="57"/>
      <c r="J1294" s="36"/>
      <c r="K1294" s="57"/>
      <c r="L1294" s="57"/>
      <c r="M1294" s="57"/>
      <c r="N1294" s="42"/>
      <c r="O1294" s="57"/>
      <c r="P1294" s="43"/>
      <c r="Q1294" s="41"/>
      <c r="R1294" s="43"/>
      <c r="S1294" s="36"/>
      <c r="T1294" s="16">
        <f t="shared" si="40"/>
        <v>0</v>
      </c>
      <c r="U1294" s="16">
        <f t="shared" si="41"/>
        <v>0</v>
      </c>
      <c r="V1294" s="133"/>
    </row>
    <row r="1295" spans="1:22" s="56" customFormat="1">
      <c r="A1295" s="58"/>
      <c r="B1295" s="36"/>
      <c r="C1295" s="58"/>
      <c r="D1295" s="57"/>
      <c r="E1295" s="57"/>
      <c r="F1295" s="41"/>
      <c r="G1295" s="41"/>
      <c r="H1295" s="41"/>
      <c r="I1295" s="57"/>
      <c r="J1295" s="36"/>
      <c r="K1295" s="57"/>
      <c r="L1295" s="57"/>
      <c r="M1295" s="57"/>
      <c r="N1295" s="42"/>
      <c r="O1295" s="57"/>
      <c r="P1295" s="43"/>
      <c r="Q1295" s="41"/>
      <c r="R1295" s="43"/>
      <c r="S1295" s="36"/>
      <c r="T1295" s="16">
        <f t="shared" si="40"/>
        <v>0</v>
      </c>
      <c r="U1295" s="16">
        <f t="shared" si="41"/>
        <v>0</v>
      </c>
      <c r="V1295" s="133"/>
    </row>
    <row r="1296" spans="1:22" s="56" customFormat="1">
      <c r="A1296" s="58"/>
      <c r="B1296" s="36"/>
      <c r="C1296" s="58"/>
      <c r="D1296" s="57"/>
      <c r="E1296" s="57"/>
      <c r="F1296" s="41"/>
      <c r="G1296" s="41"/>
      <c r="H1296" s="41"/>
      <c r="I1296" s="57"/>
      <c r="J1296" s="36"/>
      <c r="K1296" s="57"/>
      <c r="L1296" s="57"/>
      <c r="M1296" s="57"/>
      <c r="N1296" s="42"/>
      <c r="O1296" s="57"/>
      <c r="P1296" s="43"/>
      <c r="Q1296" s="41"/>
      <c r="R1296" s="43"/>
      <c r="S1296" s="36"/>
      <c r="T1296" s="16">
        <f t="shared" si="40"/>
        <v>0</v>
      </c>
      <c r="U1296" s="16">
        <f t="shared" si="41"/>
        <v>0</v>
      </c>
      <c r="V1296" s="133"/>
    </row>
    <row r="1297" spans="1:22" s="56" customFormat="1">
      <c r="A1297" s="58"/>
      <c r="B1297" s="36"/>
      <c r="C1297" s="58"/>
      <c r="D1297" s="57"/>
      <c r="E1297" s="57"/>
      <c r="F1297" s="41"/>
      <c r="G1297" s="41"/>
      <c r="H1297" s="41"/>
      <c r="I1297" s="57"/>
      <c r="J1297" s="36"/>
      <c r="K1297" s="57"/>
      <c r="L1297" s="57"/>
      <c r="M1297" s="57"/>
      <c r="N1297" s="42"/>
      <c r="O1297" s="57"/>
      <c r="P1297" s="43"/>
      <c r="Q1297" s="41"/>
      <c r="R1297" s="43"/>
      <c r="S1297" s="36"/>
      <c r="T1297" s="16">
        <f t="shared" si="40"/>
        <v>0</v>
      </c>
      <c r="U1297" s="16">
        <f t="shared" si="41"/>
        <v>0</v>
      </c>
      <c r="V1297" s="133"/>
    </row>
    <row r="1298" spans="1:22" s="56" customFormat="1">
      <c r="A1298" s="58"/>
      <c r="B1298" s="36"/>
      <c r="C1298" s="58"/>
      <c r="D1298" s="57"/>
      <c r="E1298" s="57"/>
      <c r="F1298" s="41"/>
      <c r="G1298" s="41"/>
      <c r="H1298" s="41"/>
      <c r="I1298" s="57"/>
      <c r="J1298" s="36"/>
      <c r="K1298" s="57"/>
      <c r="L1298" s="57"/>
      <c r="M1298" s="57"/>
      <c r="N1298" s="42"/>
      <c r="O1298" s="57"/>
      <c r="P1298" s="43"/>
      <c r="Q1298" s="41"/>
      <c r="R1298" s="43"/>
      <c r="S1298" s="36"/>
      <c r="T1298" s="16">
        <f t="shared" si="40"/>
        <v>0</v>
      </c>
      <c r="U1298" s="16">
        <f t="shared" si="41"/>
        <v>0</v>
      </c>
      <c r="V1298" s="133"/>
    </row>
    <row r="1299" spans="1:22" s="56" customFormat="1">
      <c r="A1299" s="58"/>
      <c r="B1299" s="36"/>
      <c r="C1299" s="58"/>
      <c r="D1299" s="57"/>
      <c r="E1299" s="57"/>
      <c r="F1299" s="41"/>
      <c r="G1299" s="41"/>
      <c r="H1299" s="41"/>
      <c r="I1299" s="57"/>
      <c r="J1299" s="36"/>
      <c r="K1299" s="57"/>
      <c r="L1299" s="57"/>
      <c r="M1299" s="57"/>
      <c r="N1299" s="42"/>
      <c r="O1299" s="57"/>
      <c r="P1299" s="43"/>
      <c r="Q1299" s="41"/>
      <c r="R1299" s="43"/>
      <c r="S1299" s="36"/>
      <c r="T1299" s="16">
        <f t="shared" si="40"/>
        <v>0</v>
      </c>
      <c r="U1299" s="16">
        <f t="shared" si="41"/>
        <v>0</v>
      </c>
      <c r="V1299" s="133"/>
    </row>
    <row r="1300" spans="1:22" s="56" customFormat="1">
      <c r="A1300" s="58"/>
      <c r="B1300" s="36"/>
      <c r="C1300" s="58"/>
      <c r="D1300" s="57"/>
      <c r="E1300" s="57"/>
      <c r="F1300" s="41"/>
      <c r="G1300" s="41"/>
      <c r="H1300" s="41"/>
      <c r="I1300" s="57"/>
      <c r="J1300" s="36"/>
      <c r="K1300" s="57"/>
      <c r="L1300" s="57"/>
      <c r="M1300" s="57"/>
      <c r="N1300" s="42"/>
      <c r="O1300" s="57"/>
      <c r="P1300" s="43"/>
      <c r="Q1300" s="41"/>
      <c r="R1300" s="43"/>
      <c r="S1300" s="36"/>
      <c r="T1300" s="16">
        <f t="shared" si="40"/>
        <v>0</v>
      </c>
      <c r="U1300" s="16">
        <f t="shared" si="41"/>
        <v>0</v>
      </c>
      <c r="V1300" s="133"/>
    </row>
    <row r="1301" spans="1:22" s="56" customFormat="1">
      <c r="A1301" s="58"/>
      <c r="B1301" s="36"/>
      <c r="C1301" s="58"/>
      <c r="D1301" s="57"/>
      <c r="E1301" s="57"/>
      <c r="F1301" s="41"/>
      <c r="G1301" s="41"/>
      <c r="H1301" s="41"/>
      <c r="I1301" s="57"/>
      <c r="J1301" s="36"/>
      <c r="K1301" s="57"/>
      <c r="L1301" s="57"/>
      <c r="M1301" s="57"/>
      <c r="N1301" s="42"/>
      <c r="O1301" s="57"/>
      <c r="P1301" s="43"/>
      <c r="Q1301" s="41"/>
      <c r="R1301" s="43"/>
      <c r="S1301" s="36"/>
      <c r="T1301" s="16">
        <f t="shared" si="40"/>
        <v>0</v>
      </c>
      <c r="U1301" s="16">
        <f t="shared" si="41"/>
        <v>0</v>
      </c>
      <c r="V1301" s="133"/>
    </row>
    <row r="1302" spans="1:22" s="56" customFormat="1">
      <c r="A1302" s="58"/>
      <c r="B1302" s="36"/>
      <c r="C1302" s="58"/>
      <c r="D1302" s="57"/>
      <c r="E1302" s="57"/>
      <c r="F1302" s="41"/>
      <c r="G1302" s="41"/>
      <c r="H1302" s="41"/>
      <c r="I1302" s="57"/>
      <c r="J1302" s="36"/>
      <c r="K1302" s="57"/>
      <c r="L1302" s="57"/>
      <c r="M1302" s="57"/>
      <c r="N1302" s="42"/>
      <c r="O1302" s="57"/>
      <c r="P1302" s="43"/>
      <c r="Q1302" s="41"/>
      <c r="R1302" s="43"/>
      <c r="S1302" s="36"/>
      <c r="T1302" s="16">
        <f t="shared" si="40"/>
        <v>0</v>
      </c>
      <c r="U1302" s="16">
        <f t="shared" si="41"/>
        <v>0</v>
      </c>
      <c r="V1302" s="133"/>
    </row>
    <row r="1303" spans="1:22" s="56" customFormat="1">
      <c r="A1303" s="58"/>
      <c r="B1303" s="36"/>
      <c r="C1303" s="58"/>
      <c r="D1303" s="57"/>
      <c r="E1303" s="57"/>
      <c r="F1303" s="41"/>
      <c r="G1303" s="41"/>
      <c r="H1303" s="41"/>
      <c r="I1303" s="57"/>
      <c r="J1303" s="36"/>
      <c r="K1303" s="57"/>
      <c r="L1303" s="57"/>
      <c r="M1303" s="57"/>
      <c r="N1303" s="42"/>
      <c r="O1303" s="57"/>
      <c r="P1303" s="43"/>
      <c r="Q1303" s="41"/>
      <c r="R1303" s="43"/>
      <c r="S1303" s="36"/>
      <c r="T1303" s="16">
        <f t="shared" si="40"/>
        <v>0</v>
      </c>
      <c r="U1303" s="16">
        <f t="shared" si="41"/>
        <v>0</v>
      </c>
      <c r="V1303" s="133"/>
    </row>
    <row r="1304" spans="1:22" s="56" customFormat="1">
      <c r="A1304" s="58"/>
      <c r="B1304" s="36"/>
      <c r="C1304" s="58"/>
      <c r="D1304" s="57"/>
      <c r="E1304" s="57"/>
      <c r="F1304" s="41"/>
      <c r="G1304" s="41"/>
      <c r="H1304" s="41"/>
      <c r="I1304" s="57"/>
      <c r="J1304" s="36"/>
      <c r="K1304" s="57"/>
      <c r="L1304" s="57"/>
      <c r="M1304" s="57"/>
      <c r="N1304" s="42"/>
      <c r="O1304" s="57"/>
      <c r="P1304" s="43"/>
      <c r="Q1304" s="41"/>
      <c r="R1304" s="43"/>
      <c r="S1304" s="36"/>
      <c r="T1304" s="16">
        <f t="shared" si="40"/>
        <v>0</v>
      </c>
      <c r="U1304" s="16">
        <f t="shared" si="41"/>
        <v>0</v>
      </c>
      <c r="V1304" s="133"/>
    </row>
    <row r="1305" spans="1:22" s="56" customFormat="1">
      <c r="A1305" s="58"/>
      <c r="B1305" s="36"/>
      <c r="C1305" s="58"/>
      <c r="D1305" s="57"/>
      <c r="E1305" s="57"/>
      <c r="F1305" s="41"/>
      <c r="G1305" s="41"/>
      <c r="H1305" s="41"/>
      <c r="I1305" s="57"/>
      <c r="J1305" s="36"/>
      <c r="K1305" s="57"/>
      <c r="L1305" s="57"/>
      <c r="M1305" s="57"/>
      <c r="N1305" s="42"/>
      <c r="O1305" s="57"/>
      <c r="P1305" s="43"/>
      <c r="Q1305" s="41"/>
      <c r="R1305" s="43"/>
      <c r="S1305" s="36"/>
      <c r="T1305" s="16">
        <f t="shared" si="40"/>
        <v>0</v>
      </c>
      <c r="U1305" s="16">
        <f t="shared" si="41"/>
        <v>0</v>
      </c>
      <c r="V1305" s="133"/>
    </row>
    <row r="1306" spans="1:22" s="56" customFormat="1">
      <c r="A1306" s="58"/>
      <c r="B1306" s="36"/>
      <c r="C1306" s="58"/>
      <c r="D1306" s="57"/>
      <c r="E1306" s="57"/>
      <c r="F1306" s="41"/>
      <c r="G1306" s="41"/>
      <c r="H1306" s="41"/>
      <c r="I1306" s="57"/>
      <c r="J1306" s="36"/>
      <c r="K1306" s="57"/>
      <c r="L1306" s="57"/>
      <c r="M1306" s="57"/>
      <c r="N1306" s="42"/>
      <c r="O1306" s="57"/>
      <c r="P1306" s="43"/>
      <c r="Q1306" s="41"/>
      <c r="R1306" s="43"/>
      <c r="S1306" s="36"/>
      <c r="T1306" s="16">
        <f t="shared" si="40"/>
        <v>0</v>
      </c>
      <c r="U1306" s="16">
        <f t="shared" si="41"/>
        <v>0</v>
      </c>
      <c r="V1306" s="133"/>
    </row>
    <row r="1307" spans="1:22" s="56" customFormat="1">
      <c r="A1307" s="58"/>
      <c r="B1307" s="36"/>
      <c r="C1307" s="58"/>
      <c r="D1307" s="57"/>
      <c r="E1307" s="57"/>
      <c r="F1307" s="41"/>
      <c r="G1307" s="41"/>
      <c r="H1307" s="41"/>
      <c r="I1307" s="57"/>
      <c r="J1307" s="36"/>
      <c r="K1307" s="57"/>
      <c r="L1307" s="57"/>
      <c r="M1307" s="57"/>
      <c r="N1307" s="42"/>
      <c r="O1307" s="57"/>
      <c r="P1307" s="43"/>
      <c r="Q1307" s="41"/>
      <c r="R1307" s="43"/>
      <c r="S1307" s="36"/>
      <c r="T1307" s="16">
        <f t="shared" si="40"/>
        <v>0</v>
      </c>
      <c r="U1307" s="16">
        <f t="shared" si="41"/>
        <v>0</v>
      </c>
      <c r="V1307" s="133"/>
    </row>
    <row r="1308" spans="1:22" s="56" customFormat="1">
      <c r="A1308" s="58"/>
      <c r="B1308" s="36"/>
      <c r="C1308" s="58"/>
      <c r="D1308" s="57"/>
      <c r="E1308" s="57"/>
      <c r="F1308" s="41"/>
      <c r="G1308" s="41"/>
      <c r="H1308" s="41"/>
      <c r="I1308" s="57"/>
      <c r="J1308" s="36"/>
      <c r="K1308" s="57"/>
      <c r="L1308" s="57"/>
      <c r="M1308" s="57"/>
      <c r="N1308" s="42"/>
      <c r="O1308" s="57"/>
      <c r="P1308" s="43"/>
      <c r="Q1308" s="41"/>
      <c r="R1308" s="43"/>
      <c r="S1308" s="36"/>
      <c r="T1308" s="16">
        <f t="shared" si="40"/>
        <v>0</v>
      </c>
      <c r="U1308" s="16">
        <f t="shared" si="41"/>
        <v>0</v>
      </c>
      <c r="V1308" s="133"/>
    </row>
    <row r="1309" spans="1:22" s="56" customFormat="1">
      <c r="A1309" s="58"/>
      <c r="B1309" s="36"/>
      <c r="C1309" s="58"/>
      <c r="D1309" s="57"/>
      <c r="E1309" s="57"/>
      <c r="F1309" s="41"/>
      <c r="G1309" s="41"/>
      <c r="H1309" s="41"/>
      <c r="I1309" s="57"/>
      <c r="J1309" s="36"/>
      <c r="K1309" s="57"/>
      <c r="L1309" s="57"/>
      <c r="M1309" s="57"/>
      <c r="N1309" s="42"/>
      <c r="O1309" s="57"/>
      <c r="P1309" s="43"/>
      <c r="Q1309" s="41"/>
      <c r="R1309" s="43"/>
      <c r="S1309" s="36"/>
      <c r="T1309" s="16">
        <f t="shared" si="40"/>
        <v>0</v>
      </c>
      <c r="U1309" s="16">
        <f t="shared" si="41"/>
        <v>0</v>
      </c>
      <c r="V1309" s="133"/>
    </row>
    <row r="1310" spans="1:22" s="56" customFormat="1">
      <c r="A1310" s="58"/>
      <c r="B1310" s="36"/>
      <c r="C1310" s="58"/>
      <c r="D1310" s="57"/>
      <c r="E1310" s="57"/>
      <c r="F1310" s="41"/>
      <c r="G1310" s="41"/>
      <c r="H1310" s="41"/>
      <c r="I1310" s="57"/>
      <c r="J1310" s="36"/>
      <c r="K1310" s="57"/>
      <c r="L1310" s="57"/>
      <c r="M1310" s="57"/>
      <c r="N1310" s="42"/>
      <c r="O1310" s="57"/>
      <c r="P1310" s="43"/>
      <c r="Q1310" s="41"/>
      <c r="R1310" s="43"/>
      <c r="S1310" s="36"/>
      <c r="T1310" s="16">
        <f t="shared" si="40"/>
        <v>0</v>
      </c>
      <c r="U1310" s="16">
        <f t="shared" si="41"/>
        <v>0</v>
      </c>
      <c r="V1310" s="133"/>
    </row>
    <row r="1311" spans="1:22" s="56" customFormat="1">
      <c r="A1311" s="58"/>
      <c r="B1311" s="36"/>
      <c r="C1311" s="58"/>
      <c r="D1311" s="57"/>
      <c r="E1311" s="57"/>
      <c r="F1311" s="41"/>
      <c r="G1311" s="41"/>
      <c r="H1311" s="41"/>
      <c r="I1311" s="57"/>
      <c r="J1311" s="36"/>
      <c r="K1311" s="57"/>
      <c r="L1311" s="57"/>
      <c r="M1311" s="57"/>
      <c r="N1311" s="42"/>
      <c r="O1311" s="57"/>
      <c r="P1311" s="43"/>
      <c r="Q1311" s="41"/>
      <c r="R1311" s="43"/>
      <c r="S1311" s="36"/>
      <c r="T1311" s="16">
        <f t="shared" si="40"/>
        <v>0</v>
      </c>
      <c r="U1311" s="16">
        <f t="shared" si="41"/>
        <v>0</v>
      </c>
      <c r="V1311" s="133"/>
    </row>
    <row r="1312" spans="1:22" s="56" customFormat="1">
      <c r="A1312" s="58"/>
      <c r="B1312" s="36"/>
      <c r="C1312" s="58"/>
      <c r="D1312" s="57"/>
      <c r="E1312" s="57"/>
      <c r="F1312" s="41"/>
      <c r="G1312" s="41"/>
      <c r="H1312" s="41"/>
      <c r="I1312" s="57"/>
      <c r="J1312" s="36"/>
      <c r="K1312" s="57"/>
      <c r="L1312" s="57"/>
      <c r="M1312" s="57"/>
      <c r="N1312" s="42"/>
      <c r="O1312" s="57"/>
      <c r="P1312" s="43"/>
      <c r="Q1312" s="41"/>
      <c r="R1312" s="43"/>
      <c r="S1312" s="36"/>
      <c r="T1312" s="16">
        <f t="shared" si="40"/>
        <v>0</v>
      </c>
      <c r="U1312" s="16">
        <f t="shared" si="41"/>
        <v>0</v>
      </c>
      <c r="V1312" s="133"/>
    </row>
    <row r="1313" spans="1:22" s="56" customFormat="1">
      <c r="A1313" s="58"/>
      <c r="B1313" s="36"/>
      <c r="C1313" s="58"/>
      <c r="D1313" s="57"/>
      <c r="E1313" s="57"/>
      <c r="F1313" s="41"/>
      <c r="G1313" s="41"/>
      <c r="H1313" s="41"/>
      <c r="I1313" s="57"/>
      <c r="J1313" s="36"/>
      <c r="K1313" s="57"/>
      <c r="L1313" s="57"/>
      <c r="M1313" s="57"/>
      <c r="N1313" s="42"/>
      <c r="O1313" s="57"/>
      <c r="P1313" s="43"/>
      <c r="Q1313" s="41"/>
      <c r="R1313" s="43"/>
      <c r="S1313" s="36"/>
      <c r="T1313" s="16">
        <f t="shared" si="40"/>
        <v>0</v>
      </c>
      <c r="U1313" s="16">
        <f t="shared" si="41"/>
        <v>0</v>
      </c>
      <c r="V1313" s="133"/>
    </row>
    <row r="1314" spans="1:22" s="56" customFormat="1">
      <c r="A1314" s="58"/>
      <c r="B1314" s="36"/>
      <c r="C1314" s="58"/>
      <c r="D1314" s="57"/>
      <c r="E1314" s="57"/>
      <c r="F1314" s="41"/>
      <c r="G1314" s="41"/>
      <c r="H1314" s="41"/>
      <c r="I1314" s="57"/>
      <c r="J1314" s="36"/>
      <c r="K1314" s="57"/>
      <c r="L1314" s="57"/>
      <c r="M1314" s="57"/>
      <c r="N1314" s="42"/>
      <c r="O1314" s="57"/>
      <c r="P1314" s="43"/>
      <c r="Q1314" s="41"/>
      <c r="R1314" s="43"/>
      <c r="S1314" s="36"/>
      <c r="T1314" s="16">
        <f t="shared" si="40"/>
        <v>0</v>
      </c>
      <c r="U1314" s="16">
        <f t="shared" si="41"/>
        <v>0</v>
      </c>
      <c r="V1314" s="133"/>
    </row>
    <row r="1315" spans="1:22" s="56" customFormat="1">
      <c r="A1315" s="58"/>
      <c r="B1315" s="36"/>
      <c r="C1315" s="58"/>
      <c r="D1315" s="57"/>
      <c r="E1315" s="57"/>
      <c r="F1315" s="41"/>
      <c r="G1315" s="41"/>
      <c r="H1315" s="41"/>
      <c r="I1315" s="57"/>
      <c r="J1315" s="36"/>
      <c r="K1315" s="57"/>
      <c r="L1315" s="57"/>
      <c r="M1315" s="57"/>
      <c r="N1315" s="42"/>
      <c r="O1315" s="57"/>
      <c r="P1315" s="43"/>
      <c r="Q1315" s="41"/>
      <c r="R1315" s="43"/>
      <c r="S1315" s="36"/>
      <c r="T1315" s="16">
        <f t="shared" si="40"/>
        <v>0</v>
      </c>
      <c r="U1315" s="16">
        <f t="shared" si="41"/>
        <v>0</v>
      </c>
      <c r="V1315" s="133"/>
    </row>
    <row r="1316" spans="1:22" s="56" customFormat="1">
      <c r="A1316" s="58"/>
      <c r="B1316" s="36"/>
      <c r="C1316" s="58"/>
      <c r="D1316" s="57"/>
      <c r="E1316" s="57"/>
      <c r="F1316" s="41"/>
      <c r="G1316" s="41"/>
      <c r="H1316" s="41"/>
      <c r="I1316" s="57"/>
      <c r="J1316" s="36"/>
      <c r="K1316" s="57"/>
      <c r="L1316" s="57"/>
      <c r="M1316" s="57"/>
      <c r="N1316" s="42"/>
      <c r="O1316" s="57"/>
      <c r="P1316" s="43"/>
      <c r="Q1316" s="41"/>
      <c r="R1316" s="43"/>
      <c r="S1316" s="36"/>
      <c r="T1316" s="16">
        <f t="shared" si="40"/>
        <v>0</v>
      </c>
      <c r="U1316" s="16">
        <f t="shared" si="41"/>
        <v>0</v>
      </c>
      <c r="V1316" s="133"/>
    </row>
    <row r="1317" spans="1:22" s="56" customFormat="1">
      <c r="A1317" s="58"/>
      <c r="B1317" s="36"/>
      <c r="C1317" s="58"/>
      <c r="D1317" s="57"/>
      <c r="E1317" s="57"/>
      <c r="F1317" s="41"/>
      <c r="G1317" s="41"/>
      <c r="H1317" s="41"/>
      <c r="I1317" s="57"/>
      <c r="J1317" s="36"/>
      <c r="K1317" s="57"/>
      <c r="L1317" s="57"/>
      <c r="M1317" s="57"/>
      <c r="N1317" s="42"/>
      <c r="O1317" s="57"/>
      <c r="P1317" s="43"/>
      <c r="Q1317" s="41"/>
      <c r="R1317" s="43"/>
      <c r="S1317" s="36"/>
      <c r="T1317" s="16">
        <f t="shared" si="40"/>
        <v>0</v>
      </c>
      <c r="U1317" s="16">
        <f t="shared" si="41"/>
        <v>0</v>
      </c>
      <c r="V1317" s="133"/>
    </row>
    <row r="1318" spans="1:22" s="56" customFormat="1">
      <c r="A1318" s="58"/>
      <c r="B1318" s="36"/>
      <c r="C1318" s="58"/>
      <c r="D1318" s="57"/>
      <c r="E1318" s="57"/>
      <c r="F1318" s="41"/>
      <c r="G1318" s="41"/>
      <c r="H1318" s="41"/>
      <c r="I1318" s="57"/>
      <c r="J1318" s="36"/>
      <c r="K1318" s="57"/>
      <c r="L1318" s="57"/>
      <c r="M1318" s="57"/>
      <c r="N1318" s="42"/>
      <c r="O1318" s="57"/>
      <c r="P1318" s="43"/>
      <c r="Q1318" s="41"/>
      <c r="R1318" s="43"/>
      <c r="S1318" s="36"/>
      <c r="T1318" s="16">
        <f t="shared" si="40"/>
        <v>0</v>
      </c>
      <c r="U1318" s="16">
        <f t="shared" si="41"/>
        <v>0</v>
      </c>
      <c r="V1318" s="133"/>
    </row>
    <row r="1319" spans="1:22" s="56" customFormat="1">
      <c r="A1319" s="58"/>
      <c r="B1319" s="36"/>
      <c r="C1319" s="58"/>
      <c r="D1319" s="57"/>
      <c r="E1319" s="57"/>
      <c r="F1319" s="41"/>
      <c r="G1319" s="41"/>
      <c r="H1319" s="41"/>
      <c r="I1319" s="57"/>
      <c r="J1319" s="36"/>
      <c r="K1319" s="57"/>
      <c r="L1319" s="57"/>
      <c r="M1319" s="57"/>
      <c r="N1319" s="42"/>
      <c r="O1319" s="57"/>
      <c r="P1319" s="43"/>
      <c r="Q1319" s="41"/>
      <c r="R1319" s="43"/>
      <c r="S1319" s="36"/>
      <c r="T1319" s="16">
        <f t="shared" si="40"/>
        <v>0</v>
      </c>
      <c r="U1319" s="16">
        <f t="shared" si="41"/>
        <v>0</v>
      </c>
      <c r="V1319" s="133"/>
    </row>
    <row r="1320" spans="1:22" s="56" customFormat="1">
      <c r="A1320" s="58"/>
      <c r="B1320" s="36"/>
      <c r="C1320" s="58"/>
      <c r="D1320" s="57"/>
      <c r="E1320" s="57"/>
      <c r="F1320" s="41"/>
      <c r="G1320" s="41"/>
      <c r="H1320" s="41"/>
      <c r="I1320" s="57"/>
      <c r="J1320" s="36"/>
      <c r="K1320" s="57"/>
      <c r="L1320" s="57"/>
      <c r="M1320" s="57"/>
      <c r="N1320" s="42"/>
      <c r="O1320" s="57"/>
      <c r="P1320" s="43"/>
      <c r="Q1320" s="41"/>
      <c r="R1320" s="43"/>
      <c r="S1320" s="36"/>
      <c r="T1320" s="16">
        <f t="shared" si="40"/>
        <v>0</v>
      </c>
      <c r="U1320" s="16">
        <f t="shared" si="41"/>
        <v>0</v>
      </c>
      <c r="V1320" s="133"/>
    </row>
    <row r="1321" spans="1:22" s="56" customFormat="1">
      <c r="A1321" s="58"/>
      <c r="B1321" s="36"/>
      <c r="C1321" s="58"/>
      <c r="D1321" s="57"/>
      <c r="E1321" s="57"/>
      <c r="F1321" s="41"/>
      <c r="G1321" s="41"/>
      <c r="H1321" s="41"/>
      <c r="I1321" s="57"/>
      <c r="J1321" s="36"/>
      <c r="K1321" s="57"/>
      <c r="L1321" s="57"/>
      <c r="M1321" s="57"/>
      <c r="N1321" s="42"/>
      <c r="O1321" s="57"/>
      <c r="P1321" s="43"/>
      <c r="Q1321" s="41"/>
      <c r="R1321" s="43"/>
      <c r="S1321" s="36"/>
      <c r="T1321" s="16">
        <f t="shared" si="40"/>
        <v>0</v>
      </c>
      <c r="U1321" s="16">
        <f t="shared" si="41"/>
        <v>0</v>
      </c>
      <c r="V1321" s="133"/>
    </row>
    <row r="1322" spans="1:22" s="56" customFormat="1">
      <c r="A1322" s="58"/>
      <c r="B1322" s="36"/>
      <c r="C1322" s="58"/>
      <c r="D1322" s="57"/>
      <c r="E1322" s="57"/>
      <c r="F1322" s="41"/>
      <c r="G1322" s="41"/>
      <c r="H1322" s="41"/>
      <c r="I1322" s="57"/>
      <c r="J1322" s="36"/>
      <c r="K1322" s="57"/>
      <c r="L1322" s="57"/>
      <c r="M1322" s="57"/>
      <c r="N1322" s="42"/>
      <c r="O1322" s="57"/>
      <c r="P1322" s="43"/>
      <c r="Q1322" s="41"/>
      <c r="R1322" s="43"/>
      <c r="S1322" s="36"/>
      <c r="T1322" s="16">
        <f t="shared" si="40"/>
        <v>0</v>
      </c>
      <c r="U1322" s="16">
        <f t="shared" si="41"/>
        <v>0</v>
      </c>
      <c r="V1322" s="133"/>
    </row>
    <row r="1323" spans="1:22" s="56" customFormat="1">
      <c r="A1323" s="58"/>
      <c r="B1323" s="36"/>
      <c r="C1323" s="58"/>
      <c r="D1323" s="57"/>
      <c r="E1323" s="57"/>
      <c r="F1323" s="41"/>
      <c r="G1323" s="41"/>
      <c r="H1323" s="41"/>
      <c r="I1323" s="57"/>
      <c r="J1323" s="36"/>
      <c r="K1323" s="57"/>
      <c r="L1323" s="57"/>
      <c r="M1323" s="57"/>
      <c r="N1323" s="42"/>
      <c r="O1323" s="57"/>
      <c r="P1323" s="43"/>
      <c r="Q1323" s="41"/>
      <c r="R1323" s="43"/>
      <c r="S1323" s="36"/>
      <c r="T1323" s="16">
        <f t="shared" si="40"/>
        <v>0</v>
      </c>
      <c r="U1323" s="16">
        <f t="shared" si="41"/>
        <v>0</v>
      </c>
      <c r="V1323" s="133"/>
    </row>
    <row r="1324" spans="1:22" s="56" customFormat="1">
      <c r="A1324" s="58"/>
      <c r="B1324" s="36"/>
      <c r="C1324" s="58"/>
      <c r="D1324" s="57"/>
      <c r="E1324" s="57"/>
      <c r="F1324" s="41"/>
      <c r="G1324" s="41"/>
      <c r="H1324" s="41"/>
      <c r="I1324" s="57"/>
      <c r="J1324" s="36"/>
      <c r="K1324" s="57"/>
      <c r="L1324" s="57"/>
      <c r="M1324" s="57"/>
      <c r="N1324" s="42"/>
      <c r="O1324" s="57"/>
      <c r="P1324" s="43"/>
      <c r="Q1324" s="41"/>
      <c r="R1324" s="43"/>
      <c r="S1324" s="36"/>
      <c r="T1324" s="16">
        <f t="shared" si="40"/>
        <v>0</v>
      </c>
      <c r="U1324" s="16">
        <f t="shared" si="41"/>
        <v>0</v>
      </c>
      <c r="V1324" s="133"/>
    </row>
    <row r="1325" spans="1:22" s="56" customFormat="1">
      <c r="A1325" s="58"/>
      <c r="B1325" s="36"/>
      <c r="C1325" s="58"/>
      <c r="D1325" s="57"/>
      <c r="E1325" s="57"/>
      <c r="F1325" s="41"/>
      <c r="G1325" s="41"/>
      <c r="H1325" s="41"/>
      <c r="I1325" s="57"/>
      <c r="J1325" s="36"/>
      <c r="K1325" s="57"/>
      <c r="L1325" s="57"/>
      <c r="M1325" s="57"/>
      <c r="N1325" s="42"/>
      <c r="O1325" s="57"/>
      <c r="P1325" s="43"/>
      <c r="Q1325" s="41"/>
      <c r="R1325" s="43"/>
      <c r="S1325" s="36"/>
      <c r="T1325" s="16">
        <f t="shared" si="40"/>
        <v>0</v>
      </c>
      <c r="U1325" s="16">
        <f t="shared" si="41"/>
        <v>0</v>
      </c>
      <c r="V1325" s="133"/>
    </row>
    <row r="1326" spans="1:22" s="56" customFormat="1">
      <c r="A1326" s="58"/>
      <c r="B1326" s="36"/>
      <c r="C1326" s="58"/>
      <c r="D1326" s="57"/>
      <c r="E1326" s="57"/>
      <c r="F1326" s="41"/>
      <c r="G1326" s="41"/>
      <c r="H1326" s="41"/>
      <c r="I1326" s="57"/>
      <c r="J1326" s="36"/>
      <c r="K1326" s="57"/>
      <c r="L1326" s="57"/>
      <c r="M1326" s="57"/>
      <c r="N1326" s="42"/>
      <c r="O1326" s="57"/>
      <c r="P1326" s="43"/>
      <c r="Q1326" s="41"/>
      <c r="R1326" s="43"/>
      <c r="S1326" s="36"/>
      <c r="T1326" s="16">
        <f t="shared" si="40"/>
        <v>0</v>
      </c>
      <c r="U1326" s="16">
        <f t="shared" si="41"/>
        <v>0</v>
      </c>
      <c r="V1326" s="133"/>
    </row>
    <row r="1327" spans="1:22" s="56" customFormat="1">
      <c r="A1327" s="58"/>
      <c r="B1327" s="36"/>
      <c r="C1327" s="58"/>
      <c r="D1327" s="57"/>
      <c r="E1327" s="57"/>
      <c r="F1327" s="41"/>
      <c r="G1327" s="41"/>
      <c r="H1327" s="41"/>
      <c r="I1327" s="57"/>
      <c r="J1327" s="36"/>
      <c r="K1327" s="57"/>
      <c r="L1327" s="57"/>
      <c r="M1327" s="57"/>
      <c r="N1327" s="42"/>
      <c r="O1327" s="57"/>
      <c r="P1327" s="43"/>
      <c r="Q1327" s="41"/>
      <c r="R1327" s="43"/>
      <c r="S1327" s="36"/>
      <c r="T1327" s="16">
        <f t="shared" si="40"/>
        <v>0</v>
      </c>
      <c r="U1327" s="16">
        <f t="shared" si="41"/>
        <v>0</v>
      </c>
      <c r="V1327" s="133"/>
    </row>
    <row r="1328" spans="1:22" s="56" customFormat="1">
      <c r="A1328" s="58"/>
      <c r="B1328" s="36"/>
      <c r="C1328" s="58"/>
      <c r="D1328" s="57"/>
      <c r="E1328" s="57"/>
      <c r="F1328" s="41"/>
      <c r="G1328" s="41"/>
      <c r="H1328" s="41"/>
      <c r="I1328" s="57"/>
      <c r="J1328" s="36"/>
      <c r="K1328" s="57"/>
      <c r="L1328" s="57"/>
      <c r="M1328" s="57"/>
      <c r="N1328" s="42"/>
      <c r="O1328" s="57"/>
      <c r="P1328" s="43"/>
      <c r="Q1328" s="41"/>
      <c r="R1328" s="43"/>
      <c r="S1328" s="36"/>
      <c r="T1328" s="16">
        <f t="shared" si="40"/>
        <v>0</v>
      </c>
      <c r="U1328" s="16">
        <f t="shared" si="41"/>
        <v>0</v>
      </c>
      <c r="V1328" s="133"/>
    </row>
    <row r="1329" spans="1:22" s="56" customFormat="1">
      <c r="A1329" s="58"/>
      <c r="B1329" s="36"/>
      <c r="C1329" s="58"/>
      <c r="D1329" s="57"/>
      <c r="E1329" s="57"/>
      <c r="F1329" s="41"/>
      <c r="G1329" s="41"/>
      <c r="H1329" s="41"/>
      <c r="I1329" s="57"/>
      <c r="J1329" s="36"/>
      <c r="K1329" s="57"/>
      <c r="L1329" s="57"/>
      <c r="M1329" s="57"/>
      <c r="N1329" s="42"/>
      <c r="O1329" s="57"/>
      <c r="P1329" s="43"/>
      <c r="Q1329" s="41"/>
      <c r="R1329" s="43"/>
      <c r="S1329" s="36"/>
      <c r="T1329" s="16">
        <f t="shared" si="40"/>
        <v>0</v>
      </c>
      <c r="U1329" s="16">
        <f t="shared" si="41"/>
        <v>0</v>
      </c>
      <c r="V1329" s="133"/>
    </row>
    <row r="1330" spans="1:22" s="56" customFormat="1">
      <c r="A1330" s="58"/>
      <c r="B1330" s="36"/>
      <c r="C1330" s="58"/>
      <c r="D1330" s="57"/>
      <c r="E1330" s="57"/>
      <c r="F1330" s="41"/>
      <c r="G1330" s="41"/>
      <c r="H1330" s="41"/>
      <c r="I1330" s="57"/>
      <c r="J1330" s="36"/>
      <c r="K1330" s="57"/>
      <c r="L1330" s="57"/>
      <c r="M1330" s="57"/>
      <c r="N1330" s="42"/>
      <c r="O1330" s="57"/>
      <c r="P1330" s="43"/>
      <c r="Q1330" s="41"/>
      <c r="R1330" s="43"/>
      <c r="S1330" s="36"/>
      <c r="T1330" s="16">
        <f t="shared" si="40"/>
        <v>0</v>
      </c>
      <c r="U1330" s="16">
        <f t="shared" si="41"/>
        <v>0</v>
      </c>
      <c r="V1330" s="133"/>
    </row>
    <row r="1331" spans="1:22" s="56" customFormat="1">
      <c r="A1331" s="58"/>
      <c r="B1331" s="36"/>
      <c r="C1331" s="58"/>
      <c r="D1331" s="57"/>
      <c r="E1331" s="57"/>
      <c r="F1331" s="41"/>
      <c r="G1331" s="41"/>
      <c r="H1331" s="41"/>
      <c r="I1331" s="57"/>
      <c r="J1331" s="36"/>
      <c r="K1331" s="57"/>
      <c r="L1331" s="57"/>
      <c r="M1331" s="57"/>
      <c r="N1331" s="42"/>
      <c r="O1331" s="57"/>
      <c r="P1331" s="43"/>
      <c r="Q1331" s="41"/>
      <c r="R1331" s="43"/>
      <c r="S1331" s="36"/>
      <c r="T1331" s="16">
        <f t="shared" si="40"/>
        <v>0</v>
      </c>
      <c r="U1331" s="16">
        <f t="shared" si="41"/>
        <v>0</v>
      </c>
      <c r="V1331" s="133"/>
    </row>
    <row r="1332" spans="1:22" s="56" customFormat="1">
      <c r="A1332" s="58"/>
      <c r="B1332" s="36"/>
      <c r="C1332" s="58"/>
      <c r="D1332" s="57"/>
      <c r="E1332" s="57"/>
      <c r="F1332" s="41"/>
      <c r="G1332" s="41"/>
      <c r="H1332" s="41"/>
      <c r="I1332" s="57"/>
      <c r="J1332" s="36"/>
      <c r="K1332" s="57"/>
      <c r="L1332" s="57"/>
      <c r="M1332" s="57"/>
      <c r="N1332" s="42"/>
      <c r="O1332" s="57"/>
      <c r="P1332" s="43"/>
      <c r="Q1332" s="41"/>
      <c r="R1332" s="43"/>
      <c r="S1332" s="36"/>
      <c r="T1332" s="16">
        <f t="shared" si="40"/>
        <v>0</v>
      </c>
      <c r="U1332" s="16">
        <f t="shared" si="41"/>
        <v>0</v>
      </c>
      <c r="V1332" s="133"/>
    </row>
    <row r="1333" spans="1:22" s="56" customFormat="1">
      <c r="A1333" s="58"/>
      <c r="B1333" s="36"/>
      <c r="C1333" s="58"/>
      <c r="D1333" s="57"/>
      <c r="E1333" s="57"/>
      <c r="F1333" s="41"/>
      <c r="G1333" s="41"/>
      <c r="H1333" s="41"/>
      <c r="I1333" s="57"/>
      <c r="J1333" s="36"/>
      <c r="K1333" s="57"/>
      <c r="L1333" s="57"/>
      <c r="M1333" s="57"/>
      <c r="N1333" s="42"/>
      <c r="O1333" s="57"/>
      <c r="P1333" s="43"/>
      <c r="Q1333" s="41"/>
      <c r="R1333" s="43"/>
      <c r="S1333" s="36"/>
      <c r="T1333" s="16">
        <f t="shared" si="40"/>
        <v>0</v>
      </c>
      <c r="U1333" s="16">
        <f t="shared" si="41"/>
        <v>0</v>
      </c>
      <c r="V1333" s="133"/>
    </row>
    <row r="1334" spans="1:22" s="56" customFormat="1">
      <c r="A1334" s="58"/>
      <c r="B1334" s="36"/>
      <c r="C1334" s="58"/>
      <c r="D1334" s="57"/>
      <c r="E1334" s="57"/>
      <c r="F1334" s="41"/>
      <c r="G1334" s="41"/>
      <c r="H1334" s="41"/>
      <c r="I1334" s="57"/>
      <c r="J1334" s="36"/>
      <c r="K1334" s="57"/>
      <c r="L1334" s="57"/>
      <c r="M1334" s="57"/>
      <c r="N1334" s="42"/>
      <c r="O1334" s="57"/>
      <c r="P1334" s="43"/>
      <c r="Q1334" s="41"/>
      <c r="R1334" s="43"/>
      <c r="S1334" s="36"/>
      <c r="T1334" s="16">
        <f t="shared" si="40"/>
        <v>0</v>
      </c>
      <c r="U1334" s="16">
        <f t="shared" si="41"/>
        <v>0</v>
      </c>
      <c r="V1334" s="133"/>
    </row>
    <row r="1335" spans="1:22" s="56" customFormat="1">
      <c r="A1335" s="58"/>
      <c r="B1335" s="36"/>
      <c r="C1335" s="58"/>
      <c r="D1335" s="57"/>
      <c r="E1335" s="57"/>
      <c r="F1335" s="41"/>
      <c r="G1335" s="41"/>
      <c r="H1335" s="41"/>
      <c r="I1335" s="57"/>
      <c r="J1335" s="36"/>
      <c r="K1335" s="57"/>
      <c r="L1335" s="57"/>
      <c r="M1335" s="57"/>
      <c r="N1335" s="42"/>
      <c r="O1335" s="57"/>
      <c r="P1335" s="43"/>
      <c r="Q1335" s="41"/>
      <c r="R1335" s="43"/>
      <c r="S1335" s="36"/>
      <c r="T1335" s="16">
        <f t="shared" si="40"/>
        <v>0</v>
      </c>
      <c r="U1335" s="16">
        <f t="shared" si="41"/>
        <v>0</v>
      </c>
      <c r="V1335" s="133"/>
    </row>
    <row r="1336" spans="1:22" s="56" customFormat="1">
      <c r="A1336" s="58"/>
      <c r="B1336" s="36"/>
      <c r="C1336" s="58"/>
      <c r="D1336" s="57"/>
      <c r="E1336" s="57"/>
      <c r="F1336" s="41"/>
      <c r="G1336" s="41"/>
      <c r="H1336" s="41"/>
      <c r="I1336" s="57"/>
      <c r="J1336" s="36"/>
      <c r="K1336" s="57"/>
      <c r="L1336" s="57"/>
      <c r="M1336" s="57"/>
      <c r="N1336" s="42"/>
      <c r="O1336" s="57"/>
      <c r="P1336" s="43"/>
      <c r="Q1336" s="41"/>
      <c r="R1336" s="43"/>
      <c r="S1336" s="36"/>
      <c r="T1336" s="16">
        <f t="shared" si="40"/>
        <v>0</v>
      </c>
      <c r="U1336" s="16">
        <f t="shared" si="41"/>
        <v>0</v>
      </c>
      <c r="V1336" s="133"/>
    </row>
    <row r="1337" spans="1:22" s="56" customFormat="1">
      <c r="A1337" s="58"/>
      <c r="B1337" s="36"/>
      <c r="C1337" s="58"/>
      <c r="D1337" s="57"/>
      <c r="E1337" s="57"/>
      <c r="F1337" s="41"/>
      <c r="G1337" s="41"/>
      <c r="H1337" s="41"/>
      <c r="I1337" s="57"/>
      <c r="J1337" s="36"/>
      <c r="K1337" s="57"/>
      <c r="L1337" s="57"/>
      <c r="M1337" s="57"/>
      <c r="N1337" s="42"/>
      <c r="O1337" s="57"/>
      <c r="P1337" s="43"/>
      <c r="Q1337" s="41"/>
      <c r="R1337" s="43"/>
      <c r="S1337" s="36"/>
      <c r="T1337" s="16">
        <f t="shared" si="40"/>
        <v>0</v>
      </c>
      <c r="U1337" s="16">
        <f t="shared" si="41"/>
        <v>0</v>
      </c>
      <c r="V1337" s="133"/>
    </row>
    <row r="1338" spans="1:22" s="56" customFormat="1">
      <c r="A1338" s="58"/>
      <c r="B1338" s="36"/>
      <c r="C1338" s="58"/>
      <c r="D1338" s="57"/>
      <c r="E1338" s="57"/>
      <c r="F1338" s="41"/>
      <c r="G1338" s="41"/>
      <c r="H1338" s="41"/>
      <c r="I1338" s="57"/>
      <c r="J1338" s="36"/>
      <c r="K1338" s="57"/>
      <c r="L1338" s="57"/>
      <c r="M1338" s="57"/>
      <c r="N1338" s="42"/>
      <c r="O1338" s="57"/>
      <c r="P1338" s="43"/>
      <c r="Q1338" s="41"/>
      <c r="R1338" s="43"/>
      <c r="S1338" s="36"/>
      <c r="T1338" s="16">
        <f t="shared" si="40"/>
        <v>0</v>
      </c>
      <c r="U1338" s="16">
        <f t="shared" si="41"/>
        <v>0</v>
      </c>
      <c r="V1338" s="133"/>
    </row>
    <row r="1339" spans="1:22" s="56" customFormat="1">
      <c r="A1339" s="58"/>
      <c r="B1339" s="36"/>
      <c r="C1339" s="58"/>
      <c r="D1339" s="57"/>
      <c r="E1339" s="57"/>
      <c r="F1339" s="41"/>
      <c r="G1339" s="41"/>
      <c r="H1339" s="41"/>
      <c r="I1339" s="57"/>
      <c r="J1339" s="36"/>
      <c r="K1339" s="57"/>
      <c r="L1339" s="57"/>
      <c r="M1339" s="57"/>
      <c r="N1339" s="42"/>
      <c r="O1339" s="57"/>
      <c r="P1339" s="43"/>
      <c r="Q1339" s="41"/>
      <c r="R1339" s="43"/>
      <c r="S1339" s="36"/>
      <c r="T1339" s="16">
        <f t="shared" si="40"/>
        <v>0</v>
      </c>
      <c r="U1339" s="16">
        <f t="shared" si="41"/>
        <v>0</v>
      </c>
      <c r="V1339" s="133"/>
    </row>
    <row r="1340" spans="1:22" s="56" customFormat="1">
      <c r="A1340" s="58"/>
      <c r="B1340" s="36"/>
      <c r="C1340" s="58"/>
      <c r="D1340" s="57"/>
      <c r="E1340" s="57"/>
      <c r="F1340" s="41"/>
      <c r="G1340" s="41"/>
      <c r="H1340" s="41"/>
      <c r="I1340" s="57"/>
      <c r="J1340" s="36"/>
      <c r="K1340" s="57"/>
      <c r="L1340" s="57"/>
      <c r="M1340" s="57"/>
      <c r="N1340" s="42"/>
      <c r="O1340" s="57"/>
      <c r="P1340" s="43"/>
      <c r="Q1340" s="41"/>
      <c r="R1340" s="43"/>
      <c r="S1340" s="36"/>
      <c r="T1340" s="16">
        <f t="shared" si="40"/>
        <v>0</v>
      </c>
      <c r="U1340" s="16">
        <f t="shared" si="41"/>
        <v>0</v>
      </c>
      <c r="V1340" s="133"/>
    </row>
    <row r="1341" spans="1:22" s="56" customFormat="1">
      <c r="A1341" s="58"/>
      <c r="B1341" s="36"/>
      <c r="C1341" s="58"/>
      <c r="D1341" s="57"/>
      <c r="E1341" s="57"/>
      <c r="F1341" s="41"/>
      <c r="G1341" s="41"/>
      <c r="H1341" s="41"/>
      <c r="I1341" s="57"/>
      <c r="J1341" s="36"/>
      <c r="K1341" s="57"/>
      <c r="L1341" s="57"/>
      <c r="M1341" s="57"/>
      <c r="N1341" s="42"/>
      <c r="O1341" s="57"/>
      <c r="P1341" s="43"/>
      <c r="Q1341" s="41"/>
      <c r="R1341" s="43"/>
      <c r="S1341" s="36"/>
      <c r="T1341" s="16">
        <f t="shared" si="40"/>
        <v>0</v>
      </c>
      <c r="U1341" s="16">
        <f t="shared" si="41"/>
        <v>0</v>
      </c>
      <c r="V1341" s="133"/>
    </row>
    <row r="1342" spans="1:22" s="56" customFormat="1">
      <c r="A1342" s="58"/>
      <c r="B1342" s="36"/>
      <c r="C1342" s="58"/>
      <c r="D1342" s="57"/>
      <c r="E1342" s="57"/>
      <c r="F1342" s="41"/>
      <c r="G1342" s="41"/>
      <c r="H1342" s="41"/>
      <c r="I1342" s="57"/>
      <c r="J1342" s="36"/>
      <c r="K1342" s="57"/>
      <c r="L1342" s="57"/>
      <c r="M1342" s="57"/>
      <c r="N1342" s="42"/>
      <c r="O1342" s="57"/>
      <c r="P1342" s="43"/>
      <c r="Q1342" s="41"/>
      <c r="R1342" s="43"/>
      <c r="S1342" s="36"/>
      <c r="T1342" s="16">
        <f t="shared" si="40"/>
        <v>0</v>
      </c>
      <c r="U1342" s="16">
        <f t="shared" si="41"/>
        <v>0</v>
      </c>
      <c r="V1342" s="133"/>
    </row>
    <row r="1343" spans="1:22" s="56" customFormat="1">
      <c r="A1343" s="58"/>
      <c r="B1343" s="36"/>
      <c r="C1343" s="58"/>
      <c r="D1343" s="57"/>
      <c r="E1343" s="57"/>
      <c r="F1343" s="41"/>
      <c r="G1343" s="41"/>
      <c r="H1343" s="41"/>
      <c r="I1343" s="57"/>
      <c r="J1343" s="36"/>
      <c r="K1343" s="57"/>
      <c r="L1343" s="57"/>
      <c r="M1343" s="57"/>
      <c r="N1343" s="42"/>
      <c r="O1343" s="57"/>
      <c r="P1343" s="43"/>
      <c r="Q1343" s="41"/>
      <c r="R1343" s="43"/>
      <c r="S1343" s="36"/>
      <c r="T1343" s="16">
        <f t="shared" si="40"/>
        <v>0</v>
      </c>
      <c r="U1343" s="16">
        <f t="shared" si="41"/>
        <v>0</v>
      </c>
      <c r="V1343" s="133"/>
    </row>
    <row r="1344" spans="1:22" s="56" customFormat="1">
      <c r="A1344" s="58"/>
      <c r="B1344" s="36"/>
      <c r="C1344" s="58"/>
      <c r="D1344" s="57"/>
      <c r="E1344" s="57"/>
      <c r="F1344" s="41"/>
      <c r="G1344" s="41"/>
      <c r="H1344" s="41"/>
      <c r="I1344" s="57"/>
      <c r="J1344" s="36"/>
      <c r="K1344" s="57"/>
      <c r="L1344" s="57"/>
      <c r="M1344" s="57"/>
      <c r="N1344" s="42"/>
      <c r="O1344" s="57"/>
      <c r="P1344" s="43"/>
      <c r="Q1344" s="41"/>
      <c r="R1344" s="43"/>
      <c r="S1344" s="36"/>
      <c r="T1344" s="16">
        <f t="shared" si="40"/>
        <v>0</v>
      </c>
      <c r="U1344" s="16">
        <f t="shared" si="41"/>
        <v>0</v>
      </c>
      <c r="V1344" s="133"/>
    </row>
    <row r="1345" spans="1:22" s="56" customFormat="1">
      <c r="A1345" s="58"/>
      <c r="B1345" s="36"/>
      <c r="C1345" s="58"/>
      <c r="D1345" s="57"/>
      <c r="E1345" s="57"/>
      <c r="F1345" s="41"/>
      <c r="G1345" s="41"/>
      <c r="H1345" s="41"/>
      <c r="I1345" s="57"/>
      <c r="J1345" s="36"/>
      <c r="K1345" s="57"/>
      <c r="L1345" s="57"/>
      <c r="M1345" s="57"/>
      <c r="N1345" s="42"/>
      <c r="O1345" s="57"/>
      <c r="P1345" s="43"/>
      <c r="Q1345" s="41"/>
      <c r="R1345" s="43"/>
      <c r="S1345" s="36"/>
      <c r="T1345" s="16">
        <f t="shared" si="40"/>
        <v>0</v>
      </c>
      <c r="U1345" s="16">
        <f t="shared" si="41"/>
        <v>0</v>
      </c>
      <c r="V1345" s="133"/>
    </row>
    <row r="1346" spans="1:22" s="56" customFormat="1">
      <c r="A1346" s="58"/>
      <c r="B1346" s="36"/>
      <c r="C1346" s="58"/>
      <c r="D1346" s="57"/>
      <c r="E1346" s="57"/>
      <c r="F1346" s="41"/>
      <c r="G1346" s="41"/>
      <c r="H1346" s="41"/>
      <c r="I1346" s="57"/>
      <c r="J1346" s="36"/>
      <c r="K1346" s="57"/>
      <c r="L1346" s="57"/>
      <c r="M1346" s="57"/>
      <c r="N1346" s="42"/>
      <c r="O1346" s="57"/>
      <c r="P1346" s="43"/>
      <c r="Q1346" s="41"/>
      <c r="R1346" s="43"/>
      <c r="S1346" s="36"/>
      <c r="T1346" s="16">
        <f t="shared" si="40"/>
        <v>0</v>
      </c>
      <c r="U1346" s="16">
        <f t="shared" si="41"/>
        <v>0</v>
      </c>
      <c r="V1346" s="133"/>
    </row>
    <row r="1347" spans="1:22" s="56" customFormat="1">
      <c r="A1347" s="58"/>
      <c r="B1347" s="36"/>
      <c r="C1347" s="58"/>
      <c r="D1347" s="57"/>
      <c r="E1347" s="57"/>
      <c r="F1347" s="41"/>
      <c r="G1347" s="41"/>
      <c r="H1347" s="41"/>
      <c r="I1347" s="57"/>
      <c r="J1347" s="36"/>
      <c r="K1347" s="57"/>
      <c r="L1347" s="57"/>
      <c r="M1347" s="57"/>
      <c r="N1347" s="42"/>
      <c r="O1347" s="57"/>
      <c r="P1347" s="43"/>
      <c r="Q1347" s="41"/>
      <c r="R1347" s="43"/>
      <c r="S1347" s="36"/>
      <c r="T1347" s="16">
        <f t="shared" si="40"/>
        <v>0</v>
      </c>
      <c r="U1347" s="16">
        <f t="shared" si="41"/>
        <v>0</v>
      </c>
      <c r="V1347" s="133"/>
    </row>
    <row r="1348" spans="1:22" s="56" customFormat="1">
      <c r="A1348" s="58"/>
      <c r="B1348" s="36"/>
      <c r="C1348" s="58"/>
      <c r="D1348" s="57"/>
      <c r="E1348" s="57"/>
      <c r="F1348" s="41"/>
      <c r="G1348" s="41"/>
      <c r="H1348" s="41"/>
      <c r="I1348" s="57"/>
      <c r="J1348" s="36"/>
      <c r="K1348" s="57"/>
      <c r="L1348" s="57"/>
      <c r="M1348" s="57"/>
      <c r="N1348" s="42"/>
      <c r="O1348" s="57"/>
      <c r="P1348" s="43"/>
      <c r="Q1348" s="41"/>
      <c r="R1348" s="43"/>
      <c r="S1348" s="36"/>
      <c r="T1348" s="16">
        <f t="shared" si="40"/>
        <v>0</v>
      </c>
      <c r="U1348" s="16">
        <f t="shared" si="41"/>
        <v>0</v>
      </c>
      <c r="V1348" s="133"/>
    </row>
    <row r="1349" spans="1:22" s="56" customFormat="1">
      <c r="A1349" s="58"/>
      <c r="B1349" s="36"/>
      <c r="C1349" s="58"/>
      <c r="D1349" s="57"/>
      <c r="E1349" s="57"/>
      <c r="F1349" s="41"/>
      <c r="G1349" s="41"/>
      <c r="H1349" s="41"/>
      <c r="I1349" s="57"/>
      <c r="J1349" s="36"/>
      <c r="K1349" s="57"/>
      <c r="L1349" s="57"/>
      <c r="M1349" s="57"/>
      <c r="N1349" s="42"/>
      <c r="O1349" s="57"/>
      <c r="P1349" s="43"/>
      <c r="Q1349" s="41"/>
      <c r="R1349" s="43"/>
      <c r="S1349" s="36"/>
      <c r="T1349" s="16">
        <f t="shared" ref="T1349:T1412" si="42">IF(OR($J1349="Accepted",ISBLANK($J1349)),IF(AND($G1349="Legacy Data",$Q1349="Legacy Data"),1,IF(OR($G1349="Legacy Data",$Q1349="Legacy Data"),1,0)),IF(OR($N1349="Agree with original translator",ISBLANK($N1349)),IF(AND($G1349="Source Text Data",$Q1349="Legacy Data"),1,IF(AND($G1349="Legacy Data",$Q1349="Legacy Data"),1,IF($Q1349="Legacy Data",1,0))),IF(AND($G1349="Legacy Data",$Q1349="Legacy Data"),1,IF(OR($Q1349="Legacy Data",ISBLANK($Q1349)),IF($G1349&lt;&gt;"Legacy Data",IF(AND($G1349="Source Text Data",$Q1349="Legacy Data"),1,0),1),0))))</f>
        <v>0</v>
      </c>
      <c r="U1349" s="16">
        <f t="shared" ref="U1349:U1412" si="43">IF(OR($J1349="Accepted",ISBLANK($J1349)),IF(AND($G1349="Source Text Data",$Q1349="Source Text Data"),1,IF(OR($G1349="Source Text Data",$Q1349="Source Text Data"),1,0)),IF(OR($N1349="Agree with original translator",ISBLANK($N1349)),IF(AND($G1349="Legacy Data",$Q1349="Source Text Data"),1,IF(AND($G1349="Source Text Data",$Q1349="Source Text Data"),1,IF($Q1349="Source Text Data",1,0))),IF(AND($G1349="Source Text Data",$Q1349="Source Text Data"),1,IF(OR($Q1349="Source Text Data",ISBLANK($Q1349)),IF($G1349&lt;&gt;"Source Text Data",IF(AND($G1349="Legacy Data",$Q1349="Source Text Data"),1,0),1),0))))</f>
        <v>0</v>
      </c>
      <c r="V1349" s="133"/>
    </row>
    <row r="1350" spans="1:22" s="56" customFormat="1">
      <c r="A1350" s="58"/>
      <c r="B1350" s="36"/>
      <c r="C1350" s="58"/>
      <c r="D1350" s="57"/>
      <c r="E1350" s="57"/>
      <c r="F1350" s="41"/>
      <c r="G1350" s="41"/>
      <c r="H1350" s="41"/>
      <c r="I1350" s="57"/>
      <c r="J1350" s="36"/>
      <c r="K1350" s="57"/>
      <c r="L1350" s="57"/>
      <c r="M1350" s="57"/>
      <c r="N1350" s="42"/>
      <c r="O1350" s="57"/>
      <c r="P1350" s="43"/>
      <c r="Q1350" s="41"/>
      <c r="R1350" s="43"/>
      <c r="S1350" s="36"/>
      <c r="T1350" s="16">
        <f t="shared" si="42"/>
        <v>0</v>
      </c>
      <c r="U1350" s="16">
        <f t="shared" si="43"/>
        <v>0</v>
      </c>
      <c r="V1350" s="133"/>
    </row>
    <row r="1351" spans="1:22" s="56" customFormat="1">
      <c r="A1351" s="58"/>
      <c r="B1351" s="36"/>
      <c r="C1351" s="58"/>
      <c r="D1351" s="57"/>
      <c r="E1351" s="57"/>
      <c r="F1351" s="41"/>
      <c r="G1351" s="41"/>
      <c r="H1351" s="41"/>
      <c r="I1351" s="57"/>
      <c r="J1351" s="36"/>
      <c r="K1351" s="57"/>
      <c r="L1351" s="57"/>
      <c r="M1351" s="57"/>
      <c r="N1351" s="42"/>
      <c r="O1351" s="57"/>
      <c r="P1351" s="43"/>
      <c r="Q1351" s="41"/>
      <c r="R1351" s="43"/>
      <c r="S1351" s="36"/>
      <c r="T1351" s="16">
        <f t="shared" si="42"/>
        <v>0</v>
      </c>
      <c r="U1351" s="16">
        <f t="shared" si="43"/>
        <v>0</v>
      </c>
      <c r="V1351" s="133"/>
    </row>
    <row r="1352" spans="1:22" s="56" customFormat="1">
      <c r="A1352" s="58"/>
      <c r="B1352" s="36"/>
      <c r="C1352" s="58"/>
      <c r="D1352" s="57"/>
      <c r="E1352" s="57"/>
      <c r="F1352" s="41"/>
      <c r="G1352" s="41"/>
      <c r="H1352" s="41"/>
      <c r="I1352" s="57"/>
      <c r="J1352" s="36"/>
      <c r="K1352" s="57"/>
      <c r="L1352" s="57"/>
      <c r="M1352" s="57"/>
      <c r="N1352" s="42"/>
      <c r="O1352" s="57"/>
      <c r="P1352" s="43"/>
      <c r="Q1352" s="41"/>
      <c r="R1352" s="43"/>
      <c r="S1352" s="36"/>
      <c r="T1352" s="16">
        <f t="shared" si="42"/>
        <v>0</v>
      </c>
      <c r="U1352" s="16">
        <f t="shared" si="43"/>
        <v>0</v>
      </c>
      <c r="V1352" s="133"/>
    </row>
    <row r="1353" spans="1:22" s="56" customFormat="1">
      <c r="A1353" s="58"/>
      <c r="B1353" s="36"/>
      <c r="C1353" s="58"/>
      <c r="D1353" s="57"/>
      <c r="E1353" s="57"/>
      <c r="F1353" s="41"/>
      <c r="G1353" s="41"/>
      <c r="H1353" s="41"/>
      <c r="I1353" s="57"/>
      <c r="J1353" s="36"/>
      <c r="K1353" s="57"/>
      <c r="L1353" s="57"/>
      <c r="M1353" s="57"/>
      <c r="N1353" s="42"/>
      <c r="O1353" s="57"/>
      <c r="P1353" s="43"/>
      <c r="Q1353" s="41"/>
      <c r="R1353" s="43"/>
      <c r="S1353" s="36"/>
      <c r="T1353" s="16">
        <f t="shared" si="42"/>
        <v>0</v>
      </c>
      <c r="U1353" s="16">
        <f t="shared" si="43"/>
        <v>0</v>
      </c>
      <c r="V1353" s="133"/>
    </row>
    <row r="1354" spans="1:22" s="56" customFormat="1">
      <c r="A1354" s="58"/>
      <c r="B1354" s="36"/>
      <c r="C1354" s="58"/>
      <c r="D1354" s="57"/>
      <c r="E1354" s="57"/>
      <c r="F1354" s="41"/>
      <c r="G1354" s="41"/>
      <c r="H1354" s="41"/>
      <c r="I1354" s="57"/>
      <c r="J1354" s="36"/>
      <c r="K1354" s="57"/>
      <c r="L1354" s="57"/>
      <c r="M1354" s="57"/>
      <c r="N1354" s="42"/>
      <c r="O1354" s="57"/>
      <c r="P1354" s="43"/>
      <c r="Q1354" s="41"/>
      <c r="R1354" s="43"/>
      <c r="S1354" s="36"/>
      <c r="T1354" s="16">
        <f t="shared" si="42"/>
        <v>0</v>
      </c>
      <c r="U1354" s="16">
        <f t="shared" si="43"/>
        <v>0</v>
      </c>
      <c r="V1354" s="133"/>
    </row>
    <row r="1355" spans="1:22" s="56" customFormat="1">
      <c r="A1355" s="58"/>
      <c r="B1355" s="36"/>
      <c r="C1355" s="58"/>
      <c r="D1355" s="57"/>
      <c r="E1355" s="57"/>
      <c r="F1355" s="41"/>
      <c r="G1355" s="41"/>
      <c r="H1355" s="41"/>
      <c r="I1355" s="57"/>
      <c r="J1355" s="36"/>
      <c r="K1355" s="57"/>
      <c r="L1355" s="57"/>
      <c r="M1355" s="57"/>
      <c r="N1355" s="42"/>
      <c r="O1355" s="57"/>
      <c r="P1355" s="43"/>
      <c r="Q1355" s="41"/>
      <c r="R1355" s="43"/>
      <c r="S1355" s="36"/>
      <c r="T1355" s="16">
        <f t="shared" si="42"/>
        <v>0</v>
      </c>
      <c r="U1355" s="16">
        <f t="shared" si="43"/>
        <v>0</v>
      </c>
      <c r="V1355" s="133"/>
    </row>
    <row r="1356" spans="1:22" s="56" customFormat="1">
      <c r="A1356" s="58"/>
      <c r="B1356" s="36"/>
      <c r="C1356" s="58"/>
      <c r="D1356" s="57"/>
      <c r="E1356" s="57"/>
      <c r="F1356" s="41"/>
      <c r="G1356" s="41"/>
      <c r="H1356" s="41"/>
      <c r="I1356" s="57"/>
      <c r="J1356" s="36"/>
      <c r="K1356" s="57"/>
      <c r="L1356" s="57"/>
      <c r="M1356" s="57"/>
      <c r="N1356" s="42"/>
      <c r="O1356" s="57"/>
      <c r="P1356" s="43"/>
      <c r="Q1356" s="41"/>
      <c r="R1356" s="43"/>
      <c r="S1356" s="36"/>
      <c r="T1356" s="16">
        <f t="shared" si="42"/>
        <v>0</v>
      </c>
      <c r="U1356" s="16">
        <f t="shared" si="43"/>
        <v>0</v>
      </c>
      <c r="V1356" s="133"/>
    </row>
    <row r="1357" spans="1:22" s="56" customFormat="1">
      <c r="A1357" s="58"/>
      <c r="B1357" s="36"/>
      <c r="C1357" s="58"/>
      <c r="D1357" s="57"/>
      <c r="E1357" s="57"/>
      <c r="F1357" s="41"/>
      <c r="G1357" s="41"/>
      <c r="H1357" s="41"/>
      <c r="I1357" s="57"/>
      <c r="J1357" s="36"/>
      <c r="K1357" s="57"/>
      <c r="L1357" s="57"/>
      <c r="M1357" s="57"/>
      <c r="N1357" s="42"/>
      <c r="O1357" s="57"/>
      <c r="P1357" s="43"/>
      <c r="Q1357" s="41"/>
      <c r="R1357" s="43"/>
      <c r="S1357" s="36"/>
      <c r="T1357" s="16">
        <f t="shared" si="42"/>
        <v>0</v>
      </c>
      <c r="U1357" s="16">
        <f t="shared" si="43"/>
        <v>0</v>
      </c>
      <c r="V1357" s="133"/>
    </row>
    <row r="1358" spans="1:22" s="56" customFormat="1">
      <c r="A1358" s="58"/>
      <c r="B1358" s="36"/>
      <c r="C1358" s="58"/>
      <c r="D1358" s="57"/>
      <c r="E1358" s="57"/>
      <c r="F1358" s="41"/>
      <c r="G1358" s="41"/>
      <c r="H1358" s="41"/>
      <c r="I1358" s="57"/>
      <c r="J1358" s="36"/>
      <c r="K1358" s="57"/>
      <c r="L1358" s="57"/>
      <c r="M1358" s="57"/>
      <c r="N1358" s="42"/>
      <c r="O1358" s="57"/>
      <c r="P1358" s="43"/>
      <c r="Q1358" s="41"/>
      <c r="R1358" s="43"/>
      <c r="S1358" s="36"/>
      <c r="T1358" s="16">
        <f t="shared" si="42"/>
        <v>0</v>
      </c>
      <c r="U1358" s="16">
        <f t="shared" si="43"/>
        <v>0</v>
      </c>
      <c r="V1358" s="133"/>
    </row>
    <row r="1359" spans="1:22" s="56" customFormat="1">
      <c r="A1359" s="58"/>
      <c r="B1359" s="36"/>
      <c r="C1359" s="58"/>
      <c r="D1359" s="57"/>
      <c r="E1359" s="57"/>
      <c r="F1359" s="41"/>
      <c r="G1359" s="41"/>
      <c r="H1359" s="41"/>
      <c r="I1359" s="57"/>
      <c r="J1359" s="36"/>
      <c r="K1359" s="57"/>
      <c r="L1359" s="57"/>
      <c r="M1359" s="57"/>
      <c r="N1359" s="42"/>
      <c r="O1359" s="57"/>
      <c r="P1359" s="43"/>
      <c r="Q1359" s="41"/>
      <c r="R1359" s="43"/>
      <c r="S1359" s="36"/>
      <c r="T1359" s="16">
        <f t="shared" si="42"/>
        <v>0</v>
      </c>
      <c r="U1359" s="16">
        <f t="shared" si="43"/>
        <v>0</v>
      </c>
      <c r="V1359" s="133"/>
    </row>
    <row r="1360" spans="1:22" s="56" customFormat="1">
      <c r="A1360" s="58"/>
      <c r="B1360" s="36"/>
      <c r="C1360" s="58"/>
      <c r="D1360" s="57"/>
      <c r="E1360" s="57"/>
      <c r="F1360" s="41"/>
      <c r="G1360" s="41"/>
      <c r="H1360" s="41"/>
      <c r="I1360" s="57"/>
      <c r="J1360" s="36"/>
      <c r="K1360" s="57"/>
      <c r="L1360" s="57"/>
      <c r="M1360" s="57"/>
      <c r="N1360" s="42"/>
      <c r="O1360" s="57"/>
      <c r="P1360" s="43"/>
      <c r="Q1360" s="41"/>
      <c r="R1360" s="43"/>
      <c r="S1360" s="36"/>
      <c r="T1360" s="16">
        <f t="shared" si="42"/>
        <v>0</v>
      </c>
      <c r="U1360" s="16">
        <f t="shared" si="43"/>
        <v>0</v>
      </c>
      <c r="V1360" s="133"/>
    </row>
    <row r="1361" spans="1:22" s="56" customFormat="1">
      <c r="A1361" s="58"/>
      <c r="B1361" s="36"/>
      <c r="C1361" s="58"/>
      <c r="D1361" s="57"/>
      <c r="E1361" s="57"/>
      <c r="F1361" s="41"/>
      <c r="G1361" s="41"/>
      <c r="H1361" s="41"/>
      <c r="I1361" s="57"/>
      <c r="J1361" s="36"/>
      <c r="K1361" s="57"/>
      <c r="L1361" s="57"/>
      <c r="M1361" s="57"/>
      <c r="N1361" s="42"/>
      <c r="O1361" s="57"/>
      <c r="P1361" s="43"/>
      <c r="Q1361" s="41"/>
      <c r="R1361" s="43"/>
      <c r="S1361" s="36"/>
      <c r="T1361" s="16">
        <f t="shared" si="42"/>
        <v>0</v>
      </c>
      <c r="U1361" s="16">
        <f t="shared" si="43"/>
        <v>0</v>
      </c>
      <c r="V1361" s="133"/>
    </row>
    <row r="1362" spans="1:22" s="56" customFormat="1">
      <c r="A1362" s="58"/>
      <c r="B1362" s="36"/>
      <c r="C1362" s="58"/>
      <c r="D1362" s="57"/>
      <c r="E1362" s="57"/>
      <c r="F1362" s="41"/>
      <c r="G1362" s="41"/>
      <c r="H1362" s="41"/>
      <c r="I1362" s="57"/>
      <c r="J1362" s="36"/>
      <c r="K1362" s="57"/>
      <c r="L1362" s="57"/>
      <c r="M1362" s="57"/>
      <c r="N1362" s="42"/>
      <c r="O1362" s="57"/>
      <c r="P1362" s="43"/>
      <c r="Q1362" s="41"/>
      <c r="R1362" s="43"/>
      <c r="S1362" s="36"/>
      <c r="T1362" s="16">
        <f t="shared" si="42"/>
        <v>0</v>
      </c>
      <c r="U1362" s="16">
        <f t="shared" si="43"/>
        <v>0</v>
      </c>
      <c r="V1362" s="133"/>
    </row>
    <row r="1363" spans="1:22" s="56" customFormat="1">
      <c r="A1363" s="58"/>
      <c r="B1363" s="36"/>
      <c r="C1363" s="58"/>
      <c r="D1363" s="57"/>
      <c r="E1363" s="57"/>
      <c r="F1363" s="41"/>
      <c r="G1363" s="41"/>
      <c r="H1363" s="41"/>
      <c r="I1363" s="57"/>
      <c r="J1363" s="36"/>
      <c r="K1363" s="57"/>
      <c r="L1363" s="57"/>
      <c r="M1363" s="57"/>
      <c r="N1363" s="42"/>
      <c r="O1363" s="57"/>
      <c r="P1363" s="43"/>
      <c r="Q1363" s="41"/>
      <c r="R1363" s="43"/>
      <c r="S1363" s="36"/>
      <c r="T1363" s="16">
        <f t="shared" si="42"/>
        <v>0</v>
      </c>
      <c r="U1363" s="16">
        <f t="shared" si="43"/>
        <v>0</v>
      </c>
      <c r="V1363" s="133"/>
    </row>
    <row r="1364" spans="1:22" s="56" customFormat="1">
      <c r="A1364" s="58"/>
      <c r="B1364" s="36"/>
      <c r="C1364" s="58"/>
      <c r="D1364" s="57"/>
      <c r="E1364" s="57"/>
      <c r="F1364" s="41"/>
      <c r="G1364" s="41"/>
      <c r="H1364" s="41"/>
      <c r="I1364" s="57"/>
      <c r="J1364" s="36"/>
      <c r="K1364" s="57"/>
      <c r="L1364" s="57"/>
      <c r="M1364" s="57"/>
      <c r="N1364" s="42"/>
      <c r="O1364" s="57"/>
      <c r="P1364" s="43"/>
      <c r="Q1364" s="41"/>
      <c r="R1364" s="43"/>
      <c r="S1364" s="36"/>
      <c r="T1364" s="16">
        <f t="shared" si="42"/>
        <v>0</v>
      </c>
      <c r="U1364" s="16">
        <f t="shared" si="43"/>
        <v>0</v>
      </c>
      <c r="V1364" s="133"/>
    </row>
    <row r="1365" spans="1:22" s="56" customFormat="1">
      <c r="A1365" s="58"/>
      <c r="B1365" s="36"/>
      <c r="C1365" s="58"/>
      <c r="D1365" s="57"/>
      <c r="E1365" s="57"/>
      <c r="F1365" s="41"/>
      <c r="G1365" s="41"/>
      <c r="H1365" s="41"/>
      <c r="I1365" s="57"/>
      <c r="J1365" s="36"/>
      <c r="K1365" s="57"/>
      <c r="L1365" s="57"/>
      <c r="M1365" s="57"/>
      <c r="N1365" s="42"/>
      <c r="O1365" s="57"/>
      <c r="P1365" s="43"/>
      <c r="Q1365" s="41"/>
      <c r="R1365" s="43"/>
      <c r="S1365" s="36"/>
      <c r="T1365" s="16">
        <f t="shared" si="42"/>
        <v>0</v>
      </c>
      <c r="U1365" s="16">
        <f t="shared" si="43"/>
        <v>0</v>
      </c>
      <c r="V1365" s="133"/>
    </row>
    <row r="1366" spans="1:22" s="56" customFormat="1">
      <c r="A1366" s="58"/>
      <c r="B1366" s="36"/>
      <c r="C1366" s="58"/>
      <c r="D1366" s="57"/>
      <c r="E1366" s="57"/>
      <c r="F1366" s="41"/>
      <c r="G1366" s="41"/>
      <c r="H1366" s="41"/>
      <c r="I1366" s="57"/>
      <c r="J1366" s="36"/>
      <c r="K1366" s="57"/>
      <c r="L1366" s="57"/>
      <c r="M1366" s="57"/>
      <c r="N1366" s="42"/>
      <c r="O1366" s="57"/>
      <c r="P1366" s="43"/>
      <c r="Q1366" s="41"/>
      <c r="R1366" s="43"/>
      <c r="S1366" s="36"/>
      <c r="T1366" s="16">
        <f t="shared" si="42"/>
        <v>0</v>
      </c>
      <c r="U1366" s="16">
        <f t="shared" si="43"/>
        <v>0</v>
      </c>
      <c r="V1366" s="133"/>
    </row>
    <row r="1367" spans="1:22" s="56" customFormat="1">
      <c r="A1367" s="58"/>
      <c r="B1367" s="36"/>
      <c r="C1367" s="58"/>
      <c r="D1367" s="57"/>
      <c r="E1367" s="57"/>
      <c r="F1367" s="41"/>
      <c r="G1367" s="41"/>
      <c r="H1367" s="41"/>
      <c r="I1367" s="57"/>
      <c r="J1367" s="36"/>
      <c r="K1367" s="57"/>
      <c r="L1367" s="57"/>
      <c r="M1367" s="57"/>
      <c r="N1367" s="42"/>
      <c r="O1367" s="57"/>
      <c r="P1367" s="43"/>
      <c r="Q1367" s="41"/>
      <c r="R1367" s="43"/>
      <c r="S1367" s="36"/>
      <c r="T1367" s="16">
        <f t="shared" si="42"/>
        <v>0</v>
      </c>
      <c r="U1367" s="16">
        <f t="shared" si="43"/>
        <v>0</v>
      </c>
      <c r="V1367" s="133"/>
    </row>
    <row r="1368" spans="1:22" s="56" customFormat="1">
      <c r="A1368" s="58"/>
      <c r="B1368" s="36"/>
      <c r="C1368" s="58"/>
      <c r="D1368" s="57"/>
      <c r="E1368" s="57"/>
      <c r="F1368" s="41"/>
      <c r="G1368" s="41"/>
      <c r="H1368" s="41"/>
      <c r="I1368" s="57"/>
      <c r="J1368" s="36"/>
      <c r="K1368" s="57"/>
      <c r="L1368" s="57"/>
      <c r="M1368" s="57"/>
      <c r="N1368" s="42"/>
      <c r="O1368" s="57"/>
      <c r="P1368" s="43"/>
      <c r="Q1368" s="41"/>
      <c r="R1368" s="43"/>
      <c r="S1368" s="36"/>
      <c r="T1368" s="16">
        <f t="shared" si="42"/>
        <v>0</v>
      </c>
      <c r="U1368" s="16">
        <f t="shared" si="43"/>
        <v>0</v>
      </c>
      <c r="V1368" s="133"/>
    </row>
    <row r="1369" spans="1:22" s="56" customFormat="1">
      <c r="A1369" s="58"/>
      <c r="B1369" s="36"/>
      <c r="C1369" s="58"/>
      <c r="D1369" s="57"/>
      <c r="E1369" s="57"/>
      <c r="F1369" s="41"/>
      <c r="G1369" s="41"/>
      <c r="H1369" s="41"/>
      <c r="I1369" s="57"/>
      <c r="J1369" s="36"/>
      <c r="K1369" s="57"/>
      <c r="L1369" s="57"/>
      <c r="M1369" s="57"/>
      <c r="N1369" s="42"/>
      <c r="O1369" s="57"/>
      <c r="P1369" s="43"/>
      <c r="Q1369" s="41"/>
      <c r="R1369" s="43"/>
      <c r="S1369" s="36"/>
      <c r="T1369" s="16">
        <f t="shared" si="42"/>
        <v>0</v>
      </c>
      <c r="U1369" s="16">
        <f t="shared" si="43"/>
        <v>0</v>
      </c>
      <c r="V1369" s="133"/>
    </row>
    <row r="1370" spans="1:22" s="56" customFormat="1">
      <c r="A1370" s="58"/>
      <c r="B1370" s="36"/>
      <c r="C1370" s="58"/>
      <c r="D1370" s="57"/>
      <c r="E1370" s="57"/>
      <c r="F1370" s="41"/>
      <c r="G1370" s="41"/>
      <c r="H1370" s="41"/>
      <c r="I1370" s="57"/>
      <c r="J1370" s="36"/>
      <c r="K1370" s="57"/>
      <c r="L1370" s="57"/>
      <c r="M1370" s="57"/>
      <c r="N1370" s="42"/>
      <c r="O1370" s="57"/>
      <c r="P1370" s="43"/>
      <c r="Q1370" s="41"/>
      <c r="R1370" s="43"/>
      <c r="S1370" s="36"/>
      <c r="T1370" s="16">
        <f t="shared" si="42"/>
        <v>0</v>
      </c>
      <c r="U1370" s="16">
        <f t="shared" si="43"/>
        <v>0</v>
      </c>
      <c r="V1370" s="133"/>
    </row>
    <row r="1371" spans="1:22" s="56" customFormat="1">
      <c r="A1371" s="58"/>
      <c r="B1371" s="36"/>
      <c r="C1371" s="58"/>
      <c r="D1371" s="57"/>
      <c r="E1371" s="57"/>
      <c r="F1371" s="41"/>
      <c r="G1371" s="41"/>
      <c r="H1371" s="41"/>
      <c r="I1371" s="57"/>
      <c r="J1371" s="36"/>
      <c r="K1371" s="57"/>
      <c r="L1371" s="57"/>
      <c r="M1371" s="57"/>
      <c r="N1371" s="42"/>
      <c r="O1371" s="57"/>
      <c r="P1371" s="43"/>
      <c r="Q1371" s="41"/>
      <c r="R1371" s="43"/>
      <c r="S1371" s="36"/>
      <c r="T1371" s="16">
        <f t="shared" si="42"/>
        <v>0</v>
      </c>
      <c r="U1371" s="16">
        <f t="shared" si="43"/>
        <v>0</v>
      </c>
      <c r="V1371" s="133"/>
    </row>
    <row r="1372" spans="1:22" s="56" customFormat="1">
      <c r="A1372" s="58"/>
      <c r="B1372" s="36"/>
      <c r="C1372" s="58"/>
      <c r="D1372" s="57"/>
      <c r="E1372" s="57"/>
      <c r="F1372" s="41"/>
      <c r="G1372" s="41"/>
      <c r="H1372" s="41"/>
      <c r="I1372" s="57"/>
      <c r="J1372" s="36"/>
      <c r="K1372" s="57"/>
      <c r="L1372" s="57"/>
      <c r="M1372" s="57"/>
      <c r="N1372" s="42"/>
      <c r="O1372" s="57"/>
      <c r="P1372" s="43"/>
      <c r="Q1372" s="41"/>
      <c r="R1372" s="43"/>
      <c r="S1372" s="36"/>
      <c r="T1372" s="16">
        <f t="shared" si="42"/>
        <v>0</v>
      </c>
      <c r="U1372" s="16">
        <f t="shared" si="43"/>
        <v>0</v>
      </c>
      <c r="V1372" s="133"/>
    </row>
    <row r="1373" spans="1:22" s="56" customFormat="1">
      <c r="A1373" s="58"/>
      <c r="B1373" s="36"/>
      <c r="C1373" s="58"/>
      <c r="D1373" s="57"/>
      <c r="E1373" s="57"/>
      <c r="F1373" s="41"/>
      <c r="G1373" s="41"/>
      <c r="H1373" s="41"/>
      <c r="I1373" s="57"/>
      <c r="J1373" s="36"/>
      <c r="K1373" s="57"/>
      <c r="L1373" s="57"/>
      <c r="M1373" s="57"/>
      <c r="N1373" s="42"/>
      <c r="O1373" s="57"/>
      <c r="P1373" s="43"/>
      <c r="Q1373" s="41"/>
      <c r="R1373" s="43"/>
      <c r="S1373" s="36"/>
      <c r="T1373" s="16">
        <f t="shared" si="42"/>
        <v>0</v>
      </c>
      <c r="U1373" s="16">
        <f t="shared" si="43"/>
        <v>0</v>
      </c>
      <c r="V1373" s="133"/>
    </row>
    <row r="1374" spans="1:22" s="56" customFormat="1">
      <c r="A1374" s="58"/>
      <c r="B1374" s="36"/>
      <c r="C1374" s="58"/>
      <c r="D1374" s="57"/>
      <c r="E1374" s="57"/>
      <c r="F1374" s="41"/>
      <c r="G1374" s="41"/>
      <c r="H1374" s="41"/>
      <c r="I1374" s="57"/>
      <c r="J1374" s="36"/>
      <c r="K1374" s="57"/>
      <c r="L1374" s="57"/>
      <c r="M1374" s="57"/>
      <c r="N1374" s="42"/>
      <c r="O1374" s="57"/>
      <c r="P1374" s="43"/>
      <c r="Q1374" s="41"/>
      <c r="R1374" s="43"/>
      <c r="S1374" s="36"/>
      <c r="T1374" s="16">
        <f t="shared" si="42"/>
        <v>0</v>
      </c>
      <c r="U1374" s="16">
        <f t="shared" si="43"/>
        <v>0</v>
      </c>
      <c r="V1374" s="133"/>
    </row>
    <row r="1375" spans="1:22" s="56" customFormat="1">
      <c r="A1375" s="58"/>
      <c r="B1375" s="36"/>
      <c r="C1375" s="58"/>
      <c r="D1375" s="57"/>
      <c r="E1375" s="57"/>
      <c r="F1375" s="41"/>
      <c r="G1375" s="41"/>
      <c r="H1375" s="41"/>
      <c r="I1375" s="57"/>
      <c r="J1375" s="36"/>
      <c r="K1375" s="57"/>
      <c r="L1375" s="57"/>
      <c r="M1375" s="57"/>
      <c r="N1375" s="42"/>
      <c r="O1375" s="57"/>
      <c r="P1375" s="43"/>
      <c r="Q1375" s="41"/>
      <c r="R1375" s="43"/>
      <c r="S1375" s="36"/>
      <c r="T1375" s="16">
        <f t="shared" si="42"/>
        <v>0</v>
      </c>
      <c r="U1375" s="16">
        <f t="shared" si="43"/>
        <v>0</v>
      </c>
      <c r="V1375" s="133"/>
    </row>
    <row r="1376" spans="1:22" s="56" customFormat="1">
      <c r="A1376" s="58"/>
      <c r="B1376" s="36"/>
      <c r="C1376" s="58"/>
      <c r="D1376" s="57"/>
      <c r="E1376" s="57"/>
      <c r="F1376" s="41"/>
      <c r="G1376" s="41"/>
      <c r="H1376" s="41"/>
      <c r="I1376" s="57"/>
      <c r="J1376" s="36"/>
      <c r="K1376" s="57"/>
      <c r="L1376" s="57"/>
      <c r="M1376" s="57"/>
      <c r="N1376" s="42"/>
      <c r="O1376" s="57"/>
      <c r="P1376" s="43"/>
      <c r="Q1376" s="41"/>
      <c r="R1376" s="43"/>
      <c r="S1376" s="36"/>
      <c r="T1376" s="16">
        <f t="shared" si="42"/>
        <v>0</v>
      </c>
      <c r="U1376" s="16">
        <f t="shared" si="43"/>
        <v>0</v>
      </c>
      <c r="V1376" s="133"/>
    </row>
    <row r="1377" spans="1:22" s="56" customFormat="1">
      <c r="A1377" s="58"/>
      <c r="B1377" s="36"/>
      <c r="C1377" s="58"/>
      <c r="D1377" s="57"/>
      <c r="E1377" s="57"/>
      <c r="F1377" s="41"/>
      <c r="G1377" s="41"/>
      <c r="H1377" s="41"/>
      <c r="I1377" s="57"/>
      <c r="J1377" s="36"/>
      <c r="K1377" s="57"/>
      <c r="L1377" s="57"/>
      <c r="M1377" s="57"/>
      <c r="N1377" s="42"/>
      <c r="O1377" s="57"/>
      <c r="P1377" s="43"/>
      <c r="Q1377" s="41"/>
      <c r="R1377" s="43"/>
      <c r="S1377" s="36"/>
      <c r="T1377" s="16">
        <f t="shared" si="42"/>
        <v>0</v>
      </c>
      <c r="U1377" s="16">
        <f t="shared" si="43"/>
        <v>0</v>
      </c>
      <c r="V1377" s="133"/>
    </row>
    <row r="1378" spans="1:22" s="56" customFormat="1">
      <c r="A1378" s="58"/>
      <c r="B1378" s="36"/>
      <c r="C1378" s="58"/>
      <c r="D1378" s="57"/>
      <c r="E1378" s="57"/>
      <c r="F1378" s="41"/>
      <c r="G1378" s="41"/>
      <c r="H1378" s="41"/>
      <c r="I1378" s="57"/>
      <c r="J1378" s="36"/>
      <c r="K1378" s="57"/>
      <c r="L1378" s="57"/>
      <c r="M1378" s="57"/>
      <c r="N1378" s="42"/>
      <c r="O1378" s="57"/>
      <c r="P1378" s="43"/>
      <c r="Q1378" s="41"/>
      <c r="R1378" s="43"/>
      <c r="S1378" s="36"/>
      <c r="T1378" s="16">
        <f t="shared" si="42"/>
        <v>0</v>
      </c>
      <c r="U1378" s="16">
        <f t="shared" si="43"/>
        <v>0</v>
      </c>
      <c r="V1378" s="133"/>
    </row>
    <row r="1379" spans="1:22" s="56" customFormat="1">
      <c r="A1379" s="58"/>
      <c r="B1379" s="36"/>
      <c r="C1379" s="58"/>
      <c r="D1379" s="57"/>
      <c r="E1379" s="57"/>
      <c r="F1379" s="41"/>
      <c r="G1379" s="41"/>
      <c r="H1379" s="41"/>
      <c r="I1379" s="57"/>
      <c r="J1379" s="36"/>
      <c r="K1379" s="57"/>
      <c r="L1379" s="57"/>
      <c r="M1379" s="57"/>
      <c r="N1379" s="42"/>
      <c r="O1379" s="57"/>
      <c r="P1379" s="43"/>
      <c r="Q1379" s="41"/>
      <c r="R1379" s="43"/>
      <c r="S1379" s="36"/>
      <c r="T1379" s="16">
        <f t="shared" si="42"/>
        <v>0</v>
      </c>
      <c r="U1379" s="16">
        <f t="shared" si="43"/>
        <v>0</v>
      </c>
      <c r="V1379" s="133"/>
    </row>
    <row r="1380" spans="1:22" s="56" customFormat="1">
      <c r="A1380" s="58"/>
      <c r="B1380" s="36"/>
      <c r="C1380" s="58"/>
      <c r="D1380" s="57"/>
      <c r="E1380" s="57"/>
      <c r="F1380" s="41"/>
      <c r="G1380" s="41"/>
      <c r="H1380" s="41"/>
      <c r="I1380" s="57"/>
      <c r="J1380" s="36"/>
      <c r="K1380" s="57"/>
      <c r="L1380" s="57"/>
      <c r="M1380" s="57"/>
      <c r="N1380" s="42"/>
      <c r="O1380" s="57"/>
      <c r="P1380" s="43"/>
      <c r="Q1380" s="41"/>
      <c r="R1380" s="43"/>
      <c r="S1380" s="36"/>
      <c r="T1380" s="16">
        <f t="shared" si="42"/>
        <v>0</v>
      </c>
      <c r="U1380" s="16">
        <f t="shared" si="43"/>
        <v>0</v>
      </c>
      <c r="V1380" s="133"/>
    </row>
    <row r="1381" spans="1:22" s="56" customFormat="1">
      <c r="A1381" s="58"/>
      <c r="B1381" s="36"/>
      <c r="C1381" s="58"/>
      <c r="D1381" s="57"/>
      <c r="E1381" s="57"/>
      <c r="F1381" s="41"/>
      <c r="G1381" s="41"/>
      <c r="H1381" s="41"/>
      <c r="I1381" s="57"/>
      <c r="J1381" s="36"/>
      <c r="K1381" s="57"/>
      <c r="L1381" s="57"/>
      <c r="M1381" s="57"/>
      <c r="N1381" s="42"/>
      <c r="O1381" s="57"/>
      <c r="P1381" s="43"/>
      <c r="Q1381" s="41"/>
      <c r="R1381" s="43"/>
      <c r="S1381" s="36"/>
      <c r="T1381" s="16">
        <f t="shared" si="42"/>
        <v>0</v>
      </c>
      <c r="U1381" s="16">
        <f t="shared" si="43"/>
        <v>0</v>
      </c>
      <c r="V1381" s="133"/>
    </row>
    <row r="1382" spans="1:22" s="56" customFormat="1">
      <c r="A1382" s="58"/>
      <c r="B1382" s="36"/>
      <c r="C1382" s="58"/>
      <c r="D1382" s="57"/>
      <c r="E1382" s="57"/>
      <c r="F1382" s="41"/>
      <c r="G1382" s="41"/>
      <c r="H1382" s="41"/>
      <c r="I1382" s="57"/>
      <c r="J1382" s="36"/>
      <c r="K1382" s="57"/>
      <c r="L1382" s="57"/>
      <c r="M1382" s="57"/>
      <c r="N1382" s="42"/>
      <c r="O1382" s="57"/>
      <c r="P1382" s="43"/>
      <c r="Q1382" s="41"/>
      <c r="R1382" s="43"/>
      <c r="S1382" s="36"/>
      <c r="T1382" s="16">
        <f t="shared" si="42"/>
        <v>0</v>
      </c>
      <c r="U1382" s="16">
        <f t="shared" si="43"/>
        <v>0</v>
      </c>
      <c r="V1382" s="133"/>
    </row>
    <row r="1383" spans="1:22" s="56" customFormat="1">
      <c r="A1383" s="58"/>
      <c r="B1383" s="36"/>
      <c r="C1383" s="58"/>
      <c r="D1383" s="57"/>
      <c r="E1383" s="57"/>
      <c r="F1383" s="41"/>
      <c r="G1383" s="41"/>
      <c r="H1383" s="41"/>
      <c r="I1383" s="57"/>
      <c r="J1383" s="36"/>
      <c r="K1383" s="57"/>
      <c r="L1383" s="57"/>
      <c r="M1383" s="57"/>
      <c r="N1383" s="42"/>
      <c r="O1383" s="57"/>
      <c r="P1383" s="43"/>
      <c r="Q1383" s="41"/>
      <c r="R1383" s="43"/>
      <c r="S1383" s="36"/>
      <c r="T1383" s="16">
        <f t="shared" si="42"/>
        <v>0</v>
      </c>
      <c r="U1383" s="16">
        <f t="shared" si="43"/>
        <v>0</v>
      </c>
      <c r="V1383" s="133"/>
    </row>
    <row r="1384" spans="1:22" s="56" customFormat="1">
      <c r="A1384" s="58"/>
      <c r="B1384" s="36"/>
      <c r="C1384" s="58"/>
      <c r="D1384" s="57"/>
      <c r="E1384" s="57"/>
      <c r="F1384" s="41"/>
      <c r="G1384" s="41"/>
      <c r="H1384" s="41"/>
      <c r="I1384" s="57"/>
      <c r="J1384" s="36"/>
      <c r="K1384" s="57"/>
      <c r="L1384" s="57"/>
      <c r="M1384" s="57"/>
      <c r="N1384" s="42"/>
      <c r="O1384" s="57"/>
      <c r="P1384" s="43"/>
      <c r="Q1384" s="41"/>
      <c r="R1384" s="43"/>
      <c r="S1384" s="36"/>
      <c r="T1384" s="16">
        <f t="shared" si="42"/>
        <v>0</v>
      </c>
      <c r="U1384" s="16">
        <f t="shared" si="43"/>
        <v>0</v>
      </c>
      <c r="V1384" s="133"/>
    </row>
    <row r="1385" spans="1:22" s="56" customFormat="1">
      <c r="A1385" s="58"/>
      <c r="B1385" s="36"/>
      <c r="C1385" s="58"/>
      <c r="D1385" s="57"/>
      <c r="E1385" s="57"/>
      <c r="F1385" s="41"/>
      <c r="G1385" s="41"/>
      <c r="H1385" s="41"/>
      <c r="I1385" s="57"/>
      <c r="J1385" s="36"/>
      <c r="K1385" s="57"/>
      <c r="L1385" s="57"/>
      <c r="M1385" s="57"/>
      <c r="N1385" s="42"/>
      <c r="O1385" s="57"/>
      <c r="P1385" s="43"/>
      <c r="Q1385" s="41"/>
      <c r="R1385" s="43"/>
      <c r="S1385" s="36"/>
      <c r="T1385" s="16">
        <f t="shared" si="42"/>
        <v>0</v>
      </c>
      <c r="U1385" s="16">
        <f t="shared" si="43"/>
        <v>0</v>
      </c>
      <c r="V1385" s="133"/>
    </row>
    <row r="1386" spans="1:22" s="56" customFormat="1">
      <c r="A1386" s="58"/>
      <c r="B1386" s="36"/>
      <c r="C1386" s="58"/>
      <c r="D1386" s="57"/>
      <c r="E1386" s="57"/>
      <c r="F1386" s="41"/>
      <c r="G1386" s="41"/>
      <c r="H1386" s="41"/>
      <c r="I1386" s="57"/>
      <c r="J1386" s="36"/>
      <c r="K1386" s="57"/>
      <c r="L1386" s="57"/>
      <c r="M1386" s="57"/>
      <c r="N1386" s="42"/>
      <c r="O1386" s="57"/>
      <c r="P1386" s="43"/>
      <c r="Q1386" s="41"/>
      <c r="R1386" s="43"/>
      <c r="S1386" s="36"/>
      <c r="T1386" s="16">
        <f t="shared" si="42"/>
        <v>0</v>
      </c>
      <c r="U1386" s="16">
        <f t="shared" si="43"/>
        <v>0</v>
      </c>
      <c r="V1386" s="133"/>
    </row>
    <row r="1387" spans="1:22" s="56" customFormat="1">
      <c r="A1387" s="58"/>
      <c r="B1387" s="36"/>
      <c r="C1387" s="58"/>
      <c r="D1387" s="57"/>
      <c r="E1387" s="57"/>
      <c r="F1387" s="41"/>
      <c r="G1387" s="41"/>
      <c r="H1387" s="41"/>
      <c r="I1387" s="57"/>
      <c r="J1387" s="36"/>
      <c r="K1387" s="57"/>
      <c r="L1387" s="57"/>
      <c r="M1387" s="57"/>
      <c r="N1387" s="42"/>
      <c r="O1387" s="57"/>
      <c r="P1387" s="43"/>
      <c r="Q1387" s="41"/>
      <c r="R1387" s="43"/>
      <c r="S1387" s="36"/>
      <c r="T1387" s="16">
        <f t="shared" si="42"/>
        <v>0</v>
      </c>
      <c r="U1387" s="16">
        <f t="shared" si="43"/>
        <v>0</v>
      </c>
      <c r="V1387" s="133"/>
    </row>
    <row r="1388" spans="1:22" s="56" customFormat="1">
      <c r="A1388" s="58"/>
      <c r="B1388" s="36"/>
      <c r="C1388" s="58"/>
      <c r="D1388" s="57"/>
      <c r="E1388" s="57"/>
      <c r="F1388" s="41"/>
      <c r="G1388" s="41"/>
      <c r="H1388" s="41"/>
      <c r="I1388" s="57"/>
      <c r="J1388" s="36"/>
      <c r="K1388" s="57"/>
      <c r="L1388" s="57"/>
      <c r="M1388" s="57"/>
      <c r="N1388" s="42"/>
      <c r="O1388" s="57"/>
      <c r="P1388" s="43"/>
      <c r="Q1388" s="41"/>
      <c r="R1388" s="43"/>
      <c r="S1388" s="36"/>
      <c r="T1388" s="16">
        <f t="shared" si="42"/>
        <v>0</v>
      </c>
      <c r="U1388" s="16">
        <f t="shared" si="43"/>
        <v>0</v>
      </c>
      <c r="V1388" s="133"/>
    </row>
    <row r="1389" spans="1:22" s="56" customFormat="1">
      <c r="A1389" s="58"/>
      <c r="B1389" s="36"/>
      <c r="C1389" s="58"/>
      <c r="D1389" s="57"/>
      <c r="E1389" s="57"/>
      <c r="F1389" s="41"/>
      <c r="G1389" s="41"/>
      <c r="H1389" s="41"/>
      <c r="I1389" s="57"/>
      <c r="J1389" s="36"/>
      <c r="K1389" s="57"/>
      <c r="L1389" s="57"/>
      <c r="M1389" s="57"/>
      <c r="N1389" s="42"/>
      <c r="O1389" s="57"/>
      <c r="P1389" s="43"/>
      <c r="Q1389" s="41"/>
      <c r="R1389" s="43"/>
      <c r="S1389" s="36"/>
      <c r="T1389" s="16">
        <f t="shared" si="42"/>
        <v>0</v>
      </c>
      <c r="U1389" s="16">
        <f t="shared" si="43"/>
        <v>0</v>
      </c>
      <c r="V1389" s="133"/>
    </row>
    <row r="1390" spans="1:22" s="56" customFormat="1">
      <c r="A1390" s="58"/>
      <c r="B1390" s="36"/>
      <c r="C1390" s="58"/>
      <c r="D1390" s="57"/>
      <c r="E1390" s="57"/>
      <c r="F1390" s="41"/>
      <c r="G1390" s="41"/>
      <c r="H1390" s="41"/>
      <c r="I1390" s="57"/>
      <c r="J1390" s="36"/>
      <c r="K1390" s="57"/>
      <c r="L1390" s="57"/>
      <c r="M1390" s="57"/>
      <c r="N1390" s="42"/>
      <c r="O1390" s="57"/>
      <c r="P1390" s="43"/>
      <c r="Q1390" s="41"/>
      <c r="R1390" s="43"/>
      <c r="S1390" s="36"/>
      <c r="T1390" s="16">
        <f t="shared" si="42"/>
        <v>0</v>
      </c>
      <c r="U1390" s="16">
        <f t="shared" si="43"/>
        <v>0</v>
      </c>
      <c r="V1390" s="133"/>
    </row>
    <row r="1391" spans="1:22" s="56" customFormat="1">
      <c r="A1391" s="58"/>
      <c r="B1391" s="36"/>
      <c r="C1391" s="58"/>
      <c r="D1391" s="57"/>
      <c r="E1391" s="57"/>
      <c r="F1391" s="41"/>
      <c r="G1391" s="41"/>
      <c r="H1391" s="41"/>
      <c r="I1391" s="57"/>
      <c r="J1391" s="36"/>
      <c r="K1391" s="57"/>
      <c r="L1391" s="57"/>
      <c r="M1391" s="57"/>
      <c r="N1391" s="42"/>
      <c r="O1391" s="57"/>
      <c r="P1391" s="43"/>
      <c r="Q1391" s="41"/>
      <c r="R1391" s="43"/>
      <c r="S1391" s="36"/>
      <c r="T1391" s="16">
        <f t="shared" si="42"/>
        <v>0</v>
      </c>
      <c r="U1391" s="16">
        <f t="shared" si="43"/>
        <v>0</v>
      </c>
      <c r="V1391" s="133"/>
    </row>
    <row r="1392" spans="1:22" s="56" customFormat="1">
      <c r="A1392" s="58"/>
      <c r="B1392" s="36"/>
      <c r="C1392" s="58"/>
      <c r="D1392" s="57"/>
      <c r="E1392" s="57"/>
      <c r="F1392" s="41"/>
      <c r="G1392" s="41"/>
      <c r="H1392" s="41"/>
      <c r="I1392" s="57"/>
      <c r="J1392" s="36"/>
      <c r="K1392" s="57"/>
      <c r="L1392" s="57"/>
      <c r="M1392" s="57"/>
      <c r="N1392" s="42"/>
      <c r="O1392" s="57"/>
      <c r="P1392" s="43"/>
      <c r="Q1392" s="41"/>
      <c r="R1392" s="43"/>
      <c r="S1392" s="36"/>
      <c r="T1392" s="16">
        <f t="shared" si="42"/>
        <v>0</v>
      </c>
      <c r="U1392" s="16">
        <f t="shared" si="43"/>
        <v>0</v>
      </c>
      <c r="V1392" s="133"/>
    </row>
    <row r="1393" spans="1:22" s="56" customFormat="1">
      <c r="A1393" s="58"/>
      <c r="B1393" s="36"/>
      <c r="C1393" s="58"/>
      <c r="D1393" s="57"/>
      <c r="E1393" s="57"/>
      <c r="F1393" s="41"/>
      <c r="G1393" s="41"/>
      <c r="H1393" s="41"/>
      <c r="I1393" s="57"/>
      <c r="J1393" s="36"/>
      <c r="K1393" s="57"/>
      <c r="L1393" s="57"/>
      <c r="M1393" s="57"/>
      <c r="N1393" s="42"/>
      <c r="O1393" s="57"/>
      <c r="P1393" s="43"/>
      <c r="Q1393" s="41"/>
      <c r="R1393" s="43"/>
      <c r="S1393" s="36"/>
      <c r="T1393" s="16">
        <f t="shared" si="42"/>
        <v>0</v>
      </c>
      <c r="U1393" s="16">
        <f t="shared" si="43"/>
        <v>0</v>
      </c>
      <c r="V1393" s="133"/>
    </row>
    <row r="1394" spans="1:22" s="56" customFormat="1">
      <c r="A1394" s="58"/>
      <c r="B1394" s="36"/>
      <c r="C1394" s="58"/>
      <c r="D1394" s="57"/>
      <c r="E1394" s="57"/>
      <c r="F1394" s="41"/>
      <c r="G1394" s="41"/>
      <c r="H1394" s="41"/>
      <c r="I1394" s="57"/>
      <c r="J1394" s="36"/>
      <c r="K1394" s="57"/>
      <c r="L1394" s="57"/>
      <c r="M1394" s="57"/>
      <c r="N1394" s="42"/>
      <c r="O1394" s="57"/>
      <c r="P1394" s="43"/>
      <c r="Q1394" s="41"/>
      <c r="R1394" s="43"/>
      <c r="S1394" s="36"/>
      <c r="T1394" s="16">
        <f t="shared" si="42"/>
        <v>0</v>
      </c>
      <c r="U1394" s="16">
        <f t="shared" si="43"/>
        <v>0</v>
      </c>
      <c r="V1394" s="133"/>
    </row>
    <row r="1395" spans="1:22" s="56" customFormat="1">
      <c r="A1395" s="58"/>
      <c r="B1395" s="36"/>
      <c r="C1395" s="58"/>
      <c r="D1395" s="57"/>
      <c r="E1395" s="57"/>
      <c r="F1395" s="41"/>
      <c r="G1395" s="41"/>
      <c r="H1395" s="41"/>
      <c r="I1395" s="57"/>
      <c r="J1395" s="36"/>
      <c r="K1395" s="57"/>
      <c r="L1395" s="57"/>
      <c r="M1395" s="57"/>
      <c r="N1395" s="42"/>
      <c r="O1395" s="57"/>
      <c r="P1395" s="43"/>
      <c r="Q1395" s="41"/>
      <c r="R1395" s="43"/>
      <c r="S1395" s="36"/>
      <c r="T1395" s="16">
        <f t="shared" si="42"/>
        <v>0</v>
      </c>
      <c r="U1395" s="16">
        <f t="shared" si="43"/>
        <v>0</v>
      </c>
      <c r="V1395" s="133"/>
    </row>
    <row r="1396" spans="1:22" s="56" customFormat="1">
      <c r="A1396" s="58"/>
      <c r="B1396" s="36"/>
      <c r="C1396" s="58"/>
      <c r="D1396" s="57"/>
      <c r="E1396" s="57"/>
      <c r="F1396" s="41"/>
      <c r="G1396" s="41"/>
      <c r="H1396" s="41"/>
      <c r="I1396" s="57"/>
      <c r="J1396" s="36"/>
      <c r="K1396" s="57"/>
      <c r="L1396" s="57"/>
      <c r="M1396" s="57"/>
      <c r="N1396" s="42"/>
      <c r="O1396" s="57"/>
      <c r="P1396" s="43"/>
      <c r="Q1396" s="41"/>
      <c r="R1396" s="43"/>
      <c r="S1396" s="36"/>
      <c r="T1396" s="16">
        <f t="shared" si="42"/>
        <v>0</v>
      </c>
      <c r="U1396" s="16">
        <f t="shared" si="43"/>
        <v>0</v>
      </c>
      <c r="V1396" s="133"/>
    </row>
    <row r="1397" spans="1:22" s="56" customFormat="1">
      <c r="A1397" s="58"/>
      <c r="B1397" s="36"/>
      <c r="C1397" s="58"/>
      <c r="D1397" s="57"/>
      <c r="E1397" s="57"/>
      <c r="F1397" s="41"/>
      <c r="G1397" s="41"/>
      <c r="H1397" s="41"/>
      <c r="I1397" s="57"/>
      <c r="J1397" s="36"/>
      <c r="K1397" s="57"/>
      <c r="L1397" s="57"/>
      <c r="M1397" s="57"/>
      <c r="N1397" s="42"/>
      <c r="O1397" s="57"/>
      <c r="P1397" s="43"/>
      <c r="Q1397" s="41"/>
      <c r="R1397" s="43"/>
      <c r="S1397" s="36"/>
      <c r="T1397" s="16">
        <f t="shared" si="42"/>
        <v>0</v>
      </c>
      <c r="U1397" s="16">
        <f t="shared" si="43"/>
        <v>0</v>
      </c>
      <c r="V1397" s="133"/>
    </row>
    <row r="1398" spans="1:22" s="56" customFormat="1">
      <c r="A1398" s="58"/>
      <c r="B1398" s="36"/>
      <c r="C1398" s="58"/>
      <c r="D1398" s="57"/>
      <c r="E1398" s="57"/>
      <c r="F1398" s="41"/>
      <c r="G1398" s="41"/>
      <c r="H1398" s="41"/>
      <c r="I1398" s="57"/>
      <c r="J1398" s="36"/>
      <c r="K1398" s="57"/>
      <c r="L1398" s="57"/>
      <c r="M1398" s="57"/>
      <c r="N1398" s="42"/>
      <c r="O1398" s="57"/>
      <c r="P1398" s="43"/>
      <c r="Q1398" s="41"/>
      <c r="R1398" s="43"/>
      <c r="S1398" s="36"/>
      <c r="T1398" s="16">
        <f t="shared" si="42"/>
        <v>0</v>
      </c>
      <c r="U1398" s="16">
        <f t="shared" si="43"/>
        <v>0</v>
      </c>
      <c r="V1398" s="133"/>
    </row>
    <row r="1399" spans="1:22" s="56" customFormat="1">
      <c r="A1399" s="58"/>
      <c r="B1399" s="36"/>
      <c r="C1399" s="58"/>
      <c r="D1399" s="57"/>
      <c r="E1399" s="57"/>
      <c r="F1399" s="41"/>
      <c r="G1399" s="41"/>
      <c r="H1399" s="41"/>
      <c r="I1399" s="57"/>
      <c r="J1399" s="36"/>
      <c r="K1399" s="57"/>
      <c r="L1399" s="57"/>
      <c r="M1399" s="57"/>
      <c r="N1399" s="42"/>
      <c r="O1399" s="57"/>
      <c r="P1399" s="43"/>
      <c r="Q1399" s="41"/>
      <c r="R1399" s="43"/>
      <c r="S1399" s="36"/>
      <c r="T1399" s="16">
        <f t="shared" si="42"/>
        <v>0</v>
      </c>
      <c r="U1399" s="16">
        <f t="shared" si="43"/>
        <v>0</v>
      </c>
      <c r="V1399" s="133"/>
    </row>
    <row r="1400" spans="1:22" s="56" customFormat="1">
      <c r="A1400" s="58"/>
      <c r="B1400" s="36"/>
      <c r="C1400" s="58"/>
      <c r="D1400" s="57"/>
      <c r="E1400" s="57"/>
      <c r="F1400" s="41"/>
      <c r="G1400" s="41"/>
      <c r="H1400" s="41"/>
      <c r="I1400" s="57"/>
      <c r="J1400" s="36"/>
      <c r="K1400" s="57"/>
      <c r="L1400" s="57"/>
      <c r="M1400" s="57"/>
      <c r="N1400" s="42"/>
      <c r="O1400" s="57"/>
      <c r="P1400" s="43"/>
      <c r="Q1400" s="41"/>
      <c r="R1400" s="43"/>
      <c r="S1400" s="36"/>
      <c r="T1400" s="16">
        <f t="shared" si="42"/>
        <v>0</v>
      </c>
      <c r="U1400" s="16">
        <f t="shared" si="43"/>
        <v>0</v>
      </c>
      <c r="V1400" s="133"/>
    </row>
    <row r="1401" spans="1:22" s="56" customFormat="1">
      <c r="A1401" s="58"/>
      <c r="B1401" s="36"/>
      <c r="C1401" s="58"/>
      <c r="D1401" s="57"/>
      <c r="E1401" s="57"/>
      <c r="F1401" s="41"/>
      <c r="G1401" s="41"/>
      <c r="H1401" s="41"/>
      <c r="I1401" s="57"/>
      <c r="J1401" s="36"/>
      <c r="K1401" s="57"/>
      <c r="L1401" s="57"/>
      <c r="M1401" s="57"/>
      <c r="N1401" s="42"/>
      <c r="O1401" s="57"/>
      <c r="P1401" s="43"/>
      <c r="Q1401" s="41"/>
      <c r="R1401" s="43"/>
      <c r="S1401" s="36"/>
      <c r="T1401" s="16">
        <f t="shared" si="42"/>
        <v>0</v>
      </c>
      <c r="U1401" s="16">
        <f t="shared" si="43"/>
        <v>0</v>
      </c>
      <c r="V1401" s="133"/>
    </row>
    <row r="1402" spans="1:22" s="56" customFormat="1">
      <c r="A1402" s="58"/>
      <c r="B1402" s="36"/>
      <c r="C1402" s="58"/>
      <c r="D1402" s="57"/>
      <c r="E1402" s="57"/>
      <c r="F1402" s="41"/>
      <c r="G1402" s="41"/>
      <c r="H1402" s="41"/>
      <c r="I1402" s="57"/>
      <c r="J1402" s="36"/>
      <c r="K1402" s="57"/>
      <c r="L1402" s="57"/>
      <c r="M1402" s="57"/>
      <c r="N1402" s="42"/>
      <c r="O1402" s="57"/>
      <c r="P1402" s="43"/>
      <c r="Q1402" s="41"/>
      <c r="R1402" s="43"/>
      <c r="S1402" s="36"/>
      <c r="T1402" s="16">
        <f t="shared" si="42"/>
        <v>0</v>
      </c>
      <c r="U1402" s="16">
        <f t="shared" si="43"/>
        <v>0</v>
      </c>
      <c r="V1402" s="133"/>
    </row>
    <row r="1403" spans="1:22" s="56" customFormat="1">
      <c r="A1403" s="58"/>
      <c r="B1403" s="36"/>
      <c r="C1403" s="58"/>
      <c r="D1403" s="57"/>
      <c r="E1403" s="57"/>
      <c r="F1403" s="41"/>
      <c r="G1403" s="41"/>
      <c r="H1403" s="41"/>
      <c r="I1403" s="57"/>
      <c r="J1403" s="36"/>
      <c r="K1403" s="57"/>
      <c r="L1403" s="57"/>
      <c r="M1403" s="57"/>
      <c r="N1403" s="42"/>
      <c r="O1403" s="57"/>
      <c r="P1403" s="43"/>
      <c r="Q1403" s="41"/>
      <c r="R1403" s="43"/>
      <c r="S1403" s="36"/>
      <c r="T1403" s="16">
        <f t="shared" si="42"/>
        <v>0</v>
      </c>
      <c r="U1403" s="16">
        <f t="shared" si="43"/>
        <v>0</v>
      </c>
      <c r="V1403" s="133"/>
    </row>
    <row r="1404" spans="1:22" s="56" customFormat="1">
      <c r="A1404" s="58"/>
      <c r="B1404" s="36"/>
      <c r="C1404" s="58"/>
      <c r="D1404" s="57"/>
      <c r="E1404" s="57"/>
      <c r="F1404" s="41"/>
      <c r="G1404" s="41"/>
      <c r="H1404" s="41"/>
      <c r="I1404" s="57"/>
      <c r="J1404" s="36"/>
      <c r="K1404" s="57"/>
      <c r="L1404" s="57"/>
      <c r="M1404" s="57"/>
      <c r="N1404" s="42"/>
      <c r="O1404" s="57"/>
      <c r="P1404" s="43"/>
      <c r="Q1404" s="41"/>
      <c r="R1404" s="43"/>
      <c r="S1404" s="36"/>
      <c r="T1404" s="16">
        <f t="shared" si="42"/>
        <v>0</v>
      </c>
      <c r="U1404" s="16">
        <f t="shared" si="43"/>
        <v>0</v>
      </c>
      <c r="V1404" s="133"/>
    </row>
    <row r="1405" spans="1:22" s="56" customFormat="1">
      <c r="A1405" s="58"/>
      <c r="B1405" s="36"/>
      <c r="C1405" s="58"/>
      <c r="D1405" s="57"/>
      <c r="E1405" s="57"/>
      <c r="F1405" s="41"/>
      <c r="G1405" s="41"/>
      <c r="H1405" s="41"/>
      <c r="I1405" s="57"/>
      <c r="J1405" s="36"/>
      <c r="K1405" s="57"/>
      <c r="L1405" s="57"/>
      <c r="M1405" s="57"/>
      <c r="N1405" s="42"/>
      <c r="O1405" s="57"/>
      <c r="P1405" s="43"/>
      <c r="Q1405" s="41"/>
      <c r="R1405" s="43"/>
      <c r="S1405" s="36"/>
      <c r="T1405" s="16">
        <f t="shared" si="42"/>
        <v>0</v>
      </c>
      <c r="U1405" s="16">
        <f t="shared" si="43"/>
        <v>0</v>
      </c>
      <c r="V1405" s="133"/>
    </row>
    <row r="1406" spans="1:22" s="56" customFormat="1">
      <c r="A1406" s="58"/>
      <c r="B1406" s="36"/>
      <c r="C1406" s="58"/>
      <c r="D1406" s="57"/>
      <c r="E1406" s="57"/>
      <c r="F1406" s="41"/>
      <c r="G1406" s="41"/>
      <c r="H1406" s="41"/>
      <c r="I1406" s="57"/>
      <c r="J1406" s="36"/>
      <c r="K1406" s="57"/>
      <c r="L1406" s="57"/>
      <c r="M1406" s="57"/>
      <c r="N1406" s="42"/>
      <c r="O1406" s="57"/>
      <c r="P1406" s="43"/>
      <c r="Q1406" s="41"/>
      <c r="R1406" s="43"/>
      <c r="S1406" s="36"/>
      <c r="T1406" s="16">
        <f t="shared" si="42"/>
        <v>0</v>
      </c>
      <c r="U1406" s="16">
        <f t="shared" si="43"/>
        <v>0</v>
      </c>
      <c r="V1406" s="133"/>
    </row>
    <row r="1407" spans="1:22" s="56" customFormat="1">
      <c r="A1407" s="58"/>
      <c r="B1407" s="36"/>
      <c r="C1407" s="58"/>
      <c r="D1407" s="57"/>
      <c r="E1407" s="57"/>
      <c r="F1407" s="41"/>
      <c r="G1407" s="41"/>
      <c r="H1407" s="41"/>
      <c r="I1407" s="57"/>
      <c r="J1407" s="36"/>
      <c r="K1407" s="57"/>
      <c r="L1407" s="57"/>
      <c r="M1407" s="57"/>
      <c r="N1407" s="42"/>
      <c r="O1407" s="57"/>
      <c r="P1407" s="43"/>
      <c r="Q1407" s="41"/>
      <c r="R1407" s="43"/>
      <c r="S1407" s="36"/>
      <c r="T1407" s="16">
        <f t="shared" si="42"/>
        <v>0</v>
      </c>
      <c r="U1407" s="16">
        <f t="shared" si="43"/>
        <v>0</v>
      </c>
      <c r="V1407" s="133"/>
    </row>
    <row r="1408" spans="1:22" s="56" customFormat="1">
      <c r="A1408" s="58"/>
      <c r="B1408" s="36"/>
      <c r="C1408" s="58"/>
      <c r="D1408" s="57"/>
      <c r="E1408" s="57"/>
      <c r="F1408" s="41"/>
      <c r="G1408" s="41"/>
      <c r="H1408" s="41"/>
      <c r="I1408" s="57"/>
      <c r="J1408" s="36"/>
      <c r="K1408" s="57"/>
      <c r="L1408" s="57"/>
      <c r="M1408" s="57"/>
      <c r="N1408" s="42"/>
      <c r="O1408" s="57"/>
      <c r="P1408" s="43"/>
      <c r="Q1408" s="41"/>
      <c r="R1408" s="43"/>
      <c r="S1408" s="36"/>
      <c r="T1408" s="16">
        <f t="shared" si="42"/>
        <v>0</v>
      </c>
      <c r="U1408" s="16">
        <f t="shared" si="43"/>
        <v>0</v>
      </c>
      <c r="V1408" s="133"/>
    </row>
    <row r="1409" spans="1:22" s="56" customFormat="1">
      <c r="A1409" s="58"/>
      <c r="B1409" s="36"/>
      <c r="C1409" s="58"/>
      <c r="D1409" s="57"/>
      <c r="E1409" s="57"/>
      <c r="F1409" s="41"/>
      <c r="G1409" s="41"/>
      <c r="H1409" s="41"/>
      <c r="I1409" s="57"/>
      <c r="J1409" s="36"/>
      <c r="K1409" s="57"/>
      <c r="L1409" s="57"/>
      <c r="M1409" s="57"/>
      <c r="N1409" s="42"/>
      <c r="O1409" s="57"/>
      <c r="P1409" s="43"/>
      <c r="Q1409" s="41"/>
      <c r="R1409" s="43"/>
      <c r="S1409" s="36"/>
      <c r="T1409" s="16">
        <f t="shared" si="42"/>
        <v>0</v>
      </c>
      <c r="U1409" s="16">
        <f t="shared" si="43"/>
        <v>0</v>
      </c>
      <c r="V1409" s="133"/>
    </row>
    <row r="1410" spans="1:22" s="56" customFormat="1">
      <c r="A1410" s="58"/>
      <c r="B1410" s="36"/>
      <c r="C1410" s="58"/>
      <c r="D1410" s="57"/>
      <c r="E1410" s="57"/>
      <c r="F1410" s="41"/>
      <c r="G1410" s="41"/>
      <c r="H1410" s="41"/>
      <c r="I1410" s="57"/>
      <c r="J1410" s="36"/>
      <c r="K1410" s="57"/>
      <c r="L1410" s="57"/>
      <c r="M1410" s="57"/>
      <c r="N1410" s="42"/>
      <c r="O1410" s="57"/>
      <c r="P1410" s="43"/>
      <c r="Q1410" s="41"/>
      <c r="R1410" s="43"/>
      <c r="S1410" s="36"/>
      <c r="T1410" s="16">
        <f t="shared" si="42"/>
        <v>0</v>
      </c>
      <c r="U1410" s="16">
        <f t="shared" si="43"/>
        <v>0</v>
      </c>
      <c r="V1410" s="133"/>
    </row>
    <row r="1411" spans="1:22" s="56" customFormat="1">
      <c r="A1411" s="58"/>
      <c r="B1411" s="36"/>
      <c r="C1411" s="58"/>
      <c r="D1411" s="57"/>
      <c r="E1411" s="57"/>
      <c r="F1411" s="41"/>
      <c r="G1411" s="41"/>
      <c r="H1411" s="41"/>
      <c r="I1411" s="57"/>
      <c r="J1411" s="36"/>
      <c r="K1411" s="57"/>
      <c r="L1411" s="57"/>
      <c r="M1411" s="57"/>
      <c r="N1411" s="42"/>
      <c r="O1411" s="57"/>
      <c r="P1411" s="43"/>
      <c r="Q1411" s="41"/>
      <c r="R1411" s="43"/>
      <c r="S1411" s="36"/>
      <c r="T1411" s="16">
        <f t="shared" si="42"/>
        <v>0</v>
      </c>
      <c r="U1411" s="16">
        <f t="shared" si="43"/>
        <v>0</v>
      </c>
      <c r="V1411" s="133"/>
    </row>
    <row r="1412" spans="1:22" s="56" customFormat="1">
      <c r="A1412" s="58"/>
      <c r="B1412" s="36"/>
      <c r="C1412" s="58"/>
      <c r="D1412" s="57"/>
      <c r="E1412" s="57"/>
      <c r="F1412" s="41"/>
      <c r="G1412" s="41"/>
      <c r="H1412" s="41"/>
      <c r="I1412" s="57"/>
      <c r="J1412" s="36"/>
      <c r="K1412" s="57"/>
      <c r="L1412" s="57"/>
      <c r="M1412" s="57"/>
      <c r="N1412" s="42"/>
      <c r="O1412" s="57"/>
      <c r="P1412" s="43"/>
      <c r="Q1412" s="41"/>
      <c r="R1412" s="43"/>
      <c r="S1412" s="36"/>
      <c r="T1412" s="16">
        <f t="shared" si="42"/>
        <v>0</v>
      </c>
      <c r="U1412" s="16">
        <f t="shared" si="43"/>
        <v>0</v>
      </c>
      <c r="V1412" s="133"/>
    </row>
    <row r="1413" spans="1:22" s="56" customFormat="1">
      <c r="A1413" s="58"/>
      <c r="B1413" s="36"/>
      <c r="C1413" s="58"/>
      <c r="D1413" s="57"/>
      <c r="E1413" s="57"/>
      <c r="F1413" s="41"/>
      <c r="G1413" s="41"/>
      <c r="H1413" s="41"/>
      <c r="I1413" s="57"/>
      <c r="J1413" s="36"/>
      <c r="K1413" s="57"/>
      <c r="L1413" s="57"/>
      <c r="M1413" s="57"/>
      <c r="N1413" s="42"/>
      <c r="O1413" s="57"/>
      <c r="P1413" s="43"/>
      <c r="Q1413" s="41"/>
      <c r="R1413" s="43"/>
      <c r="S1413" s="36"/>
      <c r="T1413" s="16">
        <f t="shared" ref="T1413:T1476" si="44">IF(OR($J1413="Accepted",ISBLANK($J1413)),IF(AND($G1413="Legacy Data",$Q1413="Legacy Data"),1,IF(OR($G1413="Legacy Data",$Q1413="Legacy Data"),1,0)),IF(OR($N1413="Agree with original translator",ISBLANK($N1413)),IF(AND($G1413="Source Text Data",$Q1413="Legacy Data"),1,IF(AND($G1413="Legacy Data",$Q1413="Legacy Data"),1,IF($Q1413="Legacy Data",1,0))),IF(AND($G1413="Legacy Data",$Q1413="Legacy Data"),1,IF(OR($Q1413="Legacy Data",ISBLANK($Q1413)),IF($G1413&lt;&gt;"Legacy Data",IF(AND($G1413="Source Text Data",$Q1413="Legacy Data"),1,0),1),0))))</f>
        <v>0</v>
      </c>
      <c r="U1413" s="16">
        <f t="shared" ref="U1413:U1476" si="45">IF(OR($J1413="Accepted",ISBLANK($J1413)),IF(AND($G1413="Source Text Data",$Q1413="Source Text Data"),1,IF(OR($G1413="Source Text Data",$Q1413="Source Text Data"),1,0)),IF(OR($N1413="Agree with original translator",ISBLANK($N1413)),IF(AND($G1413="Legacy Data",$Q1413="Source Text Data"),1,IF(AND($G1413="Source Text Data",$Q1413="Source Text Data"),1,IF($Q1413="Source Text Data",1,0))),IF(AND($G1413="Source Text Data",$Q1413="Source Text Data"),1,IF(OR($Q1413="Source Text Data",ISBLANK($Q1413)),IF($G1413&lt;&gt;"Source Text Data",IF(AND($G1413="Legacy Data",$Q1413="Source Text Data"),1,0),1),0))))</f>
        <v>0</v>
      </c>
      <c r="V1413" s="133"/>
    </row>
    <row r="1414" spans="1:22" s="56" customFormat="1">
      <c r="A1414" s="58"/>
      <c r="B1414" s="36"/>
      <c r="C1414" s="58"/>
      <c r="D1414" s="57"/>
      <c r="E1414" s="57"/>
      <c r="F1414" s="41"/>
      <c r="G1414" s="41"/>
      <c r="H1414" s="41"/>
      <c r="I1414" s="57"/>
      <c r="J1414" s="36"/>
      <c r="K1414" s="57"/>
      <c r="L1414" s="57"/>
      <c r="M1414" s="57"/>
      <c r="N1414" s="42"/>
      <c r="O1414" s="57"/>
      <c r="P1414" s="43"/>
      <c r="Q1414" s="41"/>
      <c r="R1414" s="43"/>
      <c r="S1414" s="36"/>
      <c r="T1414" s="16">
        <f t="shared" si="44"/>
        <v>0</v>
      </c>
      <c r="U1414" s="16">
        <f t="shared" si="45"/>
        <v>0</v>
      </c>
      <c r="V1414" s="133"/>
    </row>
    <row r="1415" spans="1:22" s="56" customFormat="1">
      <c r="A1415" s="58"/>
      <c r="B1415" s="36"/>
      <c r="C1415" s="58"/>
      <c r="D1415" s="57"/>
      <c r="E1415" s="57"/>
      <c r="F1415" s="41"/>
      <c r="G1415" s="41"/>
      <c r="H1415" s="41"/>
      <c r="I1415" s="57"/>
      <c r="J1415" s="36"/>
      <c r="K1415" s="57"/>
      <c r="L1415" s="57"/>
      <c r="M1415" s="57"/>
      <c r="N1415" s="42"/>
      <c r="O1415" s="57"/>
      <c r="P1415" s="43"/>
      <c r="Q1415" s="41"/>
      <c r="R1415" s="43"/>
      <c r="S1415" s="36"/>
      <c r="T1415" s="16">
        <f t="shared" si="44"/>
        <v>0</v>
      </c>
      <c r="U1415" s="16">
        <f t="shared" si="45"/>
        <v>0</v>
      </c>
      <c r="V1415" s="133"/>
    </row>
    <row r="1416" spans="1:22" s="56" customFormat="1">
      <c r="A1416" s="58"/>
      <c r="B1416" s="36"/>
      <c r="C1416" s="58"/>
      <c r="D1416" s="57"/>
      <c r="E1416" s="57"/>
      <c r="F1416" s="41"/>
      <c r="G1416" s="41"/>
      <c r="H1416" s="41"/>
      <c r="I1416" s="57"/>
      <c r="J1416" s="36"/>
      <c r="K1416" s="57"/>
      <c r="L1416" s="57"/>
      <c r="M1416" s="57"/>
      <c r="N1416" s="42"/>
      <c r="O1416" s="57"/>
      <c r="P1416" s="43"/>
      <c r="Q1416" s="41"/>
      <c r="R1416" s="43"/>
      <c r="S1416" s="36"/>
      <c r="T1416" s="16">
        <f t="shared" si="44"/>
        <v>0</v>
      </c>
      <c r="U1416" s="16">
        <f t="shared" si="45"/>
        <v>0</v>
      </c>
      <c r="V1416" s="133"/>
    </row>
    <row r="1417" spans="1:22" s="56" customFormat="1">
      <c r="A1417" s="58"/>
      <c r="B1417" s="36"/>
      <c r="C1417" s="58"/>
      <c r="D1417" s="57"/>
      <c r="E1417" s="57"/>
      <c r="F1417" s="41"/>
      <c r="G1417" s="41"/>
      <c r="H1417" s="41"/>
      <c r="I1417" s="57"/>
      <c r="J1417" s="36"/>
      <c r="K1417" s="57"/>
      <c r="L1417" s="57"/>
      <c r="M1417" s="57"/>
      <c r="N1417" s="42"/>
      <c r="O1417" s="57"/>
      <c r="P1417" s="43"/>
      <c r="Q1417" s="41"/>
      <c r="R1417" s="43"/>
      <c r="S1417" s="36"/>
      <c r="T1417" s="16">
        <f t="shared" si="44"/>
        <v>0</v>
      </c>
      <c r="U1417" s="16">
        <f t="shared" si="45"/>
        <v>0</v>
      </c>
      <c r="V1417" s="133"/>
    </row>
    <row r="1418" spans="1:22" s="56" customFormat="1">
      <c r="A1418" s="58"/>
      <c r="B1418" s="36"/>
      <c r="C1418" s="58"/>
      <c r="D1418" s="57"/>
      <c r="E1418" s="57"/>
      <c r="F1418" s="41"/>
      <c r="G1418" s="41"/>
      <c r="H1418" s="41"/>
      <c r="I1418" s="57"/>
      <c r="J1418" s="36"/>
      <c r="K1418" s="57"/>
      <c r="L1418" s="57"/>
      <c r="M1418" s="57"/>
      <c r="N1418" s="42"/>
      <c r="O1418" s="57"/>
      <c r="P1418" s="43"/>
      <c r="Q1418" s="41"/>
      <c r="R1418" s="43"/>
      <c r="S1418" s="36"/>
      <c r="T1418" s="16">
        <f t="shared" si="44"/>
        <v>0</v>
      </c>
      <c r="U1418" s="16">
        <f t="shared" si="45"/>
        <v>0</v>
      </c>
      <c r="V1418" s="133"/>
    </row>
    <row r="1419" spans="1:22" s="56" customFormat="1">
      <c r="A1419" s="58"/>
      <c r="B1419" s="36"/>
      <c r="C1419" s="58"/>
      <c r="D1419" s="57"/>
      <c r="E1419" s="57"/>
      <c r="F1419" s="41"/>
      <c r="G1419" s="41"/>
      <c r="H1419" s="41"/>
      <c r="I1419" s="57"/>
      <c r="J1419" s="36"/>
      <c r="K1419" s="57"/>
      <c r="L1419" s="57"/>
      <c r="M1419" s="57"/>
      <c r="N1419" s="42"/>
      <c r="O1419" s="57"/>
      <c r="P1419" s="43"/>
      <c r="Q1419" s="41"/>
      <c r="R1419" s="43"/>
      <c r="S1419" s="36"/>
      <c r="T1419" s="16">
        <f t="shared" si="44"/>
        <v>0</v>
      </c>
      <c r="U1419" s="16">
        <f t="shared" si="45"/>
        <v>0</v>
      </c>
      <c r="V1419" s="133"/>
    </row>
    <row r="1420" spans="1:22" s="56" customFormat="1">
      <c r="A1420" s="58"/>
      <c r="B1420" s="36"/>
      <c r="C1420" s="58"/>
      <c r="D1420" s="57"/>
      <c r="E1420" s="57"/>
      <c r="F1420" s="41"/>
      <c r="G1420" s="41"/>
      <c r="H1420" s="41"/>
      <c r="I1420" s="57"/>
      <c r="J1420" s="36"/>
      <c r="K1420" s="57"/>
      <c r="L1420" s="57"/>
      <c r="M1420" s="57"/>
      <c r="N1420" s="42"/>
      <c r="O1420" s="57"/>
      <c r="P1420" s="43"/>
      <c r="Q1420" s="41"/>
      <c r="R1420" s="43"/>
      <c r="S1420" s="36"/>
      <c r="T1420" s="16">
        <f t="shared" si="44"/>
        <v>0</v>
      </c>
      <c r="U1420" s="16">
        <f t="shared" si="45"/>
        <v>0</v>
      </c>
      <c r="V1420" s="133"/>
    </row>
    <row r="1421" spans="1:22" s="56" customFormat="1">
      <c r="A1421" s="58"/>
      <c r="B1421" s="36"/>
      <c r="C1421" s="58"/>
      <c r="D1421" s="57"/>
      <c r="E1421" s="57"/>
      <c r="F1421" s="41"/>
      <c r="G1421" s="41"/>
      <c r="H1421" s="41"/>
      <c r="I1421" s="57"/>
      <c r="J1421" s="36"/>
      <c r="K1421" s="57"/>
      <c r="L1421" s="57"/>
      <c r="M1421" s="57"/>
      <c r="N1421" s="42"/>
      <c r="O1421" s="57"/>
      <c r="P1421" s="43"/>
      <c r="Q1421" s="41"/>
      <c r="R1421" s="43"/>
      <c r="S1421" s="36"/>
      <c r="T1421" s="16">
        <f t="shared" si="44"/>
        <v>0</v>
      </c>
      <c r="U1421" s="16">
        <f t="shared" si="45"/>
        <v>0</v>
      </c>
      <c r="V1421" s="133"/>
    </row>
    <row r="1422" spans="1:22" s="56" customFormat="1">
      <c r="A1422" s="58"/>
      <c r="B1422" s="36"/>
      <c r="C1422" s="58"/>
      <c r="D1422" s="57"/>
      <c r="E1422" s="57"/>
      <c r="F1422" s="41"/>
      <c r="G1422" s="41"/>
      <c r="H1422" s="41"/>
      <c r="I1422" s="57"/>
      <c r="J1422" s="36"/>
      <c r="K1422" s="57"/>
      <c r="L1422" s="57"/>
      <c r="M1422" s="57"/>
      <c r="N1422" s="42"/>
      <c r="O1422" s="57"/>
      <c r="P1422" s="43"/>
      <c r="Q1422" s="41"/>
      <c r="R1422" s="43"/>
      <c r="S1422" s="36"/>
      <c r="T1422" s="16">
        <f t="shared" si="44"/>
        <v>0</v>
      </c>
      <c r="U1422" s="16">
        <f t="shared" si="45"/>
        <v>0</v>
      </c>
      <c r="V1422" s="133"/>
    </row>
    <row r="1423" spans="1:22" s="56" customFormat="1">
      <c r="A1423" s="58"/>
      <c r="B1423" s="36"/>
      <c r="C1423" s="58"/>
      <c r="D1423" s="57"/>
      <c r="E1423" s="57"/>
      <c r="F1423" s="41"/>
      <c r="G1423" s="41"/>
      <c r="H1423" s="41"/>
      <c r="I1423" s="57"/>
      <c r="J1423" s="36"/>
      <c r="K1423" s="57"/>
      <c r="L1423" s="57"/>
      <c r="M1423" s="57"/>
      <c r="N1423" s="42"/>
      <c r="O1423" s="57"/>
      <c r="P1423" s="43"/>
      <c r="Q1423" s="41"/>
      <c r="R1423" s="43"/>
      <c r="S1423" s="36"/>
      <c r="T1423" s="16">
        <f t="shared" si="44"/>
        <v>0</v>
      </c>
      <c r="U1423" s="16">
        <f t="shared" si="45"/>
        <v>0</v>
      </c>
      <c r="V1423" s="133"/>
    </row>
    <row r="1424" spans="1:22" s="56" customFormat="1">
      <c r="A1424" s="58"/>
      <c r="B1424" s="36"/>
      <c r="C1424" s="58"/>
      <c r="D1424" s="57"/>
      <c r="E1424" s="57"/>
      <c r="F1424" s="41"/>
      <c r="G1424" s="41"/>
      <c r="H1424" s="41"/>
      <c r="I1424" s="57"/>
      <c r="J1424" s="36"/>
      <c r="K1424" s="57"/>
      <c r="L1424" s="57"/>
      <c r="M1424" s="57"/>
      <c r="N1424" s="42"/>
      <c r="O1424" s="57"/>
      <c r="P1424" s="43"/>
      <c r="Q1424" s="41"/>
      <c r="R1424" s="43"/>
      <c r="S1424" s="36"/>
      <c r="T1424" s="16">
        <f t="shared" si="44"/>
        <v>0</v>
      </c>
      <c r="U1424" s="16">
        <f t="shared" si="45"/>
        <v>0</v>
      </c>
      <c r="V1424" s="133"/>
    </row>
    <row r="1425" spans="1:22" s="56" customFormat="1">
      <c r="A1425" s="58"/>
      <c r="B1425" s="36"/>
      <c r="C1425" s="58"/>
      <c r="D1425" s="57"/>
      <c r="E1425" s="57"/>
      <c r="F1425" s="41"/>
      <c r="G1425" s="41"/>
      <c r="H1425" s="41"/>
      <c r="I1425" s="57"/>
      <c r="J1425" s="36"/>
      <c r="K1425" s="57"/>
      <c r="L1425" s="57"/>
      <c r="M1425" s="57"/>
      <c r="N1425" s="42"/>
      <c r="O1425" s="57"/>
      <c r="P1425" s="43"/>
      <c r="Q1425" s="41"/>
      <c r="R1425" s="43"/>
      <c r="S1425" s="36"/>
      <c r="T1425" s="16">
        <f t="shared" si="44"/>
        <v>0</v>
      </c>
      <c r="U1425" s="16">
        <f t="shared" si="45"/>
        <v>0</v>
      </c>
      <c r="V1425" s="133"/>
    </row>
    <row r="1426" spans="1:22" s="56" customFormat="1">
      <c r="A1426" s="58"/>
      <c r="B1426" s="36"/>
      <c r="C1426" s="58"/>
      <c r="D1426" s="57"/>
      <c r="E1426" s="57"/>
      <c r="F1426" s="41"/>
      <c r="G1426" s="41"/>
      <c r="H1426" s="41"/>
      <c r="I1426" s="57"/>
      <c r="J1426" s="36"/>
      <c r="K1426" s="57"/>
      <c r="L1426" s="57"/>
      <c r="M1426" s="57"/>
      <c r="N1426" s="42"/>
      <c r="O1426" s="57"/>
      <c r="P1426" s="43"/>
      <c r="Q1426" s="41"/>
      <c r="R1426" s="43"/>
      <c r="S1426" s="36"/>
      <c r="T1426" s="16">
        <f t="shared" si="44"/>
        <v>0</v>
      </c>
      <c r="U1426" s="16">
        <f t="shared" si="45"/>
        <v>0</v>
      </c>
      <c r="V1426" s="133"/>
    </row>
    <row r="1427" spans="1:22" s="56" customFormat="1">
      <c r="A1427" s="58"/>
      <c r="B1427" s="36"/>
      <c r="C1427" s="58"/>
      <c r="D1427" s="57"/>
      <c r="E1427" s="57"/>
      <c r="F1427" s="41"/>
      <c r="G1427" s="41"/>
      <c r="H1427" s="41"/>
      <c r="I1427" s="57"/>
      <c r="J1427" s="36"/>
      <c r="K1427" s="57"/>
      <c r="L1427" s="57"/>
      <c r="M1427" s="57"/>
      <c r="N1427" s="42"/>
      <c r="O1427" s="57"/>
      <c r="P1427" s="43"/>
      <c r="Q1427" s="41"/>
      <c r="R1427" s="43"/>
      <c r="S1427" s="36"/>
      <c r="T1427" s="16">
        <f t="shared" si="44"/>
        <v>0</v>
      </c>
      <c r="U1427" s="16">
        <f t="shared" si="45"/>
        <v>0</v>
      </c>
      <c r="V1427" s="133"/>
    </row>
    <row r="1428" spans="1:22" s="56" customFormat="1">
      <c r="A1428" s="58"/>
      <c r="B1428" s="36"/>
      <c r="C1428" s="58"/>
      <c r="D1428" s="57"/>
      <c r="E1428" s="57"/>
      <c r="F1428" s="41"/>
      <c r="G1428" s="41"/>
      <c r="H1428" s="41"/>
      <c r="I1428" s="57"/>
      <c r="J1428" s="36"/>
      <c r="K1428" s="57"/>
      <c r="L1428" s="57"/>
      <c r="M1428" s="57"/>
      <c r="N1428" s="42"/>
      <c r="O1428" s="57"/>
      <c r="P1428" s="43"/>
      <c r="Q1428" s="41"/>
      <c r="R1428" s="43"/>
      <c r="S1428" s="36"/>
      <c r="T1428" s="16">
        <f t="shared" si="44"/>
        <v>0</v>
      </c>
      <c r="U1428" s="16">
        <f t="shared" si="45"/>
        <v>0</v>
      </c>
      <c r="V1428" s="133"/>
    </row>
    <row r="1429" spans="1:22" s="56" customFormat="1">
      <c r="A1429" s="58"/>
      <c r="B1429" s="36"/>
      <c r="C1429" s="58"/>
      <c r="D1429" s="57"/>
      <c r="E1429" s="57"/>
      <c r="F1429" s="41"/>
      <c r="G1429" s="41"/>
      <c r="H1429" s="41"/>
      <c r="I1429" s="57"/>
      <c r="J1429" s="36"/>
      <c r="K1429" s="57"/>
      <c r="L1429" s="57"/>
      <c r="M1429" s="57"/>
      <c r="N1429" s="42"/>
      <c r="O1429" s="57"/>
      <c r="P1429" s="43"/>
      <c r="Q1429" s="41"/>
      <c r="R1429" s="43"/>
      <c r="S1429" s="36"/>
      <c r="T1429" s="16">
        <f t="shared" si="44"/>
        <v>0</v>
      </c>
      <c r="U1429" s="16">
        <f t="shared" si="45"/>
        <v>0</v>
      </c>
      <c r="V1429" s="133"/>
    </row>
    <row r="1430" spans="1:22" s="56" customFormat="1">
      <c r="A1430" s="58"/>
      <c r="B1430" s="36"/>
      <c r="C1430" s="58"/>
      <c r="D1430" s="57"/>
      <c r="E1430" s="57"/>
      <c r="F1430" s="41"/>
      <c r="G1430" s="41"/>
      <c r="H1430" s="41"/>
      <c r="I1430" s="57"/>
      <c r="J1430" s="36"/>
      <c r="K1430" s="57"/>
      <c r="L1430" s="57"/>
      <c r="M1430" s="57"/>
      <c r="N1430" s="42"/>
      <c r="O1430" s="57"/>
      <c r="P1430" s="43"/>
      <c r="Q1430" s="41"/>
      <c r="R1430" s="43"/>
      <c r="S1430" s="36"/>
      <c r="T1430" s="16">
        <f t="shared" si="44"/>
        <v>0</v>
      </c>
      <c r="U1430" s="16">
        <f t="shared" si="45"/>
        <v>0</v>
      </c>
      <c r="V1430" s="133"/>
    </row>
    <row r="1431" spans="1:22" s="56" customFormat="1">
      <c r="A1431" s="58"/>
      <c r="B1431" s="36"/>
      <c r="C1431" s="58"/>
      <c r="D1431" s="57"/>
      <c r="E1431" s="57"/>
      <c r="F1431" s="41"/>
      <c r="G1431" s="41"/>
      <c r="H1431" s="41"/>
      <c r="I1431" s="57"/>
      <c r="J1431" s="36"/>
      <c r="K1431" s="57"/>
      <c r="L1431" s="57"/>
      <c r="M1431" s="57"/>
      <c r="N1431" s="42"/>
      <c r="O1431" s="57"/>
      <c r="P1431" s="43"/>
      <c r="Q1431" s="41"/>
      <c r="R1431" s="43"/>
      <c r="S1431" s="36"/>
      <c r="T1431" s="16">
        <f t="shared" si="44"/>
        <v>0</v>
      </c>
      <c r="U1431" s="16">
        <f t="shared" si="45"/>
        <v>0</v>
      </c>
      <c r="V1431" s="133"/>
    </row>
    <row r="1432" spans="1:22" s="56" customFormat="1">
      <c r="A1432" s="58"/>
      <c r="B1432" s="36"/>
      <c r="C1432" s="58"/>
      <c r="D1432" s="57"/>
      <c r="E1432" s="57"/>
      <c r="F1432" s="41"/>
      <c r="G1432" s="41"/>
      <c r="H1432" s="41"/>
      <c r="I1432" s="57"/>
      <c r="J1432" s="36"/>
      <c r="K1432" s="57"/>
      <c r="L1432" s="57"/>
      <c r="M1432" s="57"/>
      <c r="N1432" s="42"/>
      <c r="O1432" s="57"/>
      <c r="P1432" s="43"/>
      <c r="Q1432" s="41"/>
      <c r="R1432" s="43"/>
      <c r="S1432" s="36"/>
      <c r="T1432" s="16">
        <f t="shared" si="44"/>
        <v>0</v>
      </c>
      <c r="U1432" s="16">
        <f t="shared" si="45"/>
        <v>0</v>
      </c>
      <c r="V1432" s="133"/>
    </row>
    <row r="1433" spans="1:22" s="56" customFormat="1">
      <c r="A1433" s="58"/>
      <c r="B1433" s="36"/>
      <c r="C1433" s="58"/>
      <c r="D1433" s="57"/>
      <c r="E1433" s="57"/>
      <c r="F1433" s="41"/>
      <c r="G1433" s="41"/>
      <c r="H1433" s="41"/>
      <c r="I1433" s="57"/>
      <c r="J1433" s="36"/>
      <c r="K1433" s="57"/>
      <c r="L1433" s="57"/>
      <c r="M1433" s="57"/>
      <c r="N1433" s="42"/>
      <c r="O1433" s="57"/>
      <c r="P1433" s="43"/>
      <c r="Q1433" s="41"/>
      <c r="R1433" s="43"/>
      <c r="S1433" s="36"/>
      <c r="T1433" s="16">
        <f t="shared" si="44"/>
        <v>0</v>
      </c>
      <c r="U1433" s="16">
        <f t="shared" si="45"/>
        <v>0</v>
      </c>
      <c r="V1433" s="133"/>
    </row>
    <row r="1434" spans="1:22" s="56" customFormat="1">
      <c r="A1434" s="58"/>
      <c r="B1434" s="36"/>
      <c r="C1434" s="58"/>
      <c r="D1434" s="57"/>
      <c r="E1434" s="57"/>
      <c r="F1434" s="41"/>
      <c r="G1434" s="41"/>
      <c r="H1434" s="41"/>
      <c r="I1434" s="57"/>
      <c r="J1434" s="36"/>
      <c r="K1434" s="57"/>
      <c r="L1434" s="57"/>
      <c r="M1434" s="57"/>
      <c r="N1434" s="42"/>
      <c r="O1434" s="57"/>
      <c r="P1434" s="43"/>
      <c r="Q1434" s="41"/>
      <c r="R1434" s="43"/>
      <c r="S1434" s="36"/>
      <c r="T1434" s="16">
        <f t="shared" si="44"/>
        <v>0</v>
      </c>
      <c r="U1434" s="16">
        <f t="shared" si="45"/>
        <v>0</v>
      </c>
      <c r="V1434" s="133"/>
    </row>
    <row r="1435" spans="1:22" s="56" customFormat="1">
      <c r="A1435" s="58"/>
      <c r="B1435" s="36"/>
      <c r="C1435" s="58"/>
      <c r="D1435" s="57"/>
      <c r="E1435" s="57"/>
      <c r="F1435" s="41"/>
      <c r="G1435" s="41"/>
      <c r="H1435" s="41"/>
      <c r="I1435" s="57"/>
      <c r="J1435" s="36"/>
      <c r="K1435" s="57"/>
      <c r="L1435" s="57"/>
      <c r="M1435" s="57"/>
      <c r="N1435" s="42"/>
      <c r="O1435" s="57"/>
      <c r="P1435" s="43"/>
      <c r="Q1435" s="41"/>
      <c r="R1435" s="43"/>
      <c r="S1435" s="36"/>
      <c r="T1435" s="16">
        <f t="shared" si="44"/>
        <v>0</v>
      </c>
      <c r="U1435" s="16">
        <f t="shared" si="45"/>
        <v>0</v>
      </c>
      <c r="V1435" s="133"/>
    </row>
    <row r="1436" spans="1:22" s="56" customFormat="1">
      <c r="A1436" s="58"/>
      <c r="B1436" s="36"/>
      <c r="C1436" s="58"/>
      <c r="D1436" s="57"/>
      <c r="E1436" s="57"/>
      <c r="F1436" s="41"/>
      <c r="G1436" s="41"/>
      <c r="H1436" s="41"/>
      <c r="I1436" s="57"/>
      <c r="J1436" s="36"/>
      <c r="K1436" s="57"/>
      <c r="L1436" s="57"/>
      <c r="M1436" s="57"/>
      <c r="N1436" s="42"/>
      <c r="O1436" s="57"/>
      <c r="P1436" s="43"/>
      <c r="Q1436" s="41"/>
      <c r="R1436" s="43"/>
      <c r="S1436" s="36"/>
      <c r="T1436" s="16">
        <f t="shared" si="44"/>
        <v>0</v>
      </c>
      <c r="U1436" s="16">
        <f t="shared" si="45"/>
        <v>0</v>
      </c>
      <c r="V1436" s="133"/>
    </row>
    <row r="1437" spans="1:22" s="56" customFormat="1">
      <c r="A1437" s="58"/>
      <c r="B1437" s="36"/>
      <c r="C1437" s="58"/>
      <c r="D1437" s="57"/>
      <c r="E1437" s="57"/>
      <c r="F1437" s="41"/>
      <c r="G1437" s="41"/>
      <c r="H1437" s="41"/>
      <c r="I1437" s="57"/>
      <c r="J1437" s="36"/>
      <c r="K1437" s="57"/>
      <c r="L1437" s="57"/>
      <c r="M1437" s="57"/>
      <c r="N1437" s="42"/>
      <c r="O1437" s="57"/>
      <c r="P1437" s="43"/>
      <c r="Q1437" s="41"/>
      <c r="R1437" s="43"/>
      <c r="S1437" s="36"/>
      <c r="T1437" s="16">
        <f t="shared" si="44"/>
        <v>0</v>
      </c>
      <c r="U1437" s="16">
        <f t="shared" si="45"/>
        <v>0</v>
      </c>
      <c r="V1437" s="133"/>
    </row>
    <row r="1438" spans="1:22" s="56" customFormat="1">
      <c r="A1438" s="58"/>
      <c r="B1438" s="36"/>
      <c r="C1438" s="58"/>
      <c r="D1438" s="57"/>
      <c r="E1438" s="57"/>
      <c r="F1438" s="41"/>
      <c r="G1438" s="41"/>
      <c r="H1438" s="41"/>
      <c r="I1438" s="57"/>
      <c r="J1438" s="36"/>
      <c r="K1438" s="57"/>
      <c r="L1438" s="57"/>
      <c r="M1438" s="57"/>
      <c r="N1438" s="42"/>
      <c r="O1438" s="57"/>
      <c r="P1438" s="43"/>
      <c r="Q1438" s="41"/>
      <c r="R1438" s="43"/>
      <c r="S1438" s="36"/>
      <c r="T1438" s="16">
        <f t="shared" si="44"/>
        <v>0</v>
      </c>
      <c r="U1438" s="16">
        <f t="shared" si="45"/>
        <v>0</v>
      </c>
      <c r="V1438" s="133"/>
    </row>
    <row r="1439" spans="1:22" s="56" customFormat="1">
      <c r="A1439" s="58"/>
      <c r="B1439" s="36"/>
      <c r="C1439" s="58"/>
      <c r="D1439" s="57"/>
      <c r="E1439" s="57"/>
      <c r="F1439" s="41"/>
      <c r="G1439" s="41"/>
      <c r="H1439" s="41"/>
      <c r="I1439" s="57"/>
      <c r="J1439" s="36"/>
      <c r="K1439" s="57"/>
      <c r="L1439" s="57"/>
      <c r="M1439" s="57"/>
      <c r="N1439" s="42"/>
      <c r="O1439" s="57"/>
      <c r="P1439" s="43"/>
      <c r="Q1439" s="41"/>
      <c r="R1439" s="43"/>
      <c r="S1439" s="36"/>
      <c r="T1439" s="16">
        <f t="shared" si="44"/>
        <v>0</v>
      </c>
      <c r="U1439" s="16">
        <f t="shared" si="45"/>
        <v>0</v>
      </c>
      <c r="V1439" s="133"/>
    </row>
    <row r="1440" spans="1:22" s="56" customFormat="1">
      <c r="A1440" s="58"/>
      <c r="B1440" s="36"/>
      <c r="C1440" s="58"/>
      <c r="D1440" s="57"/>
      <c r="E1440" s="57"/>
      <c r="F1440" s="41"/>
      <c r="G1440" s="41"/>
      <c r="H1440" s="41"/>
      <c r="I1440" s="57"/>
      <c r="J1440" s="36"/>
      <c r="K1440" s="57"/>
      <c r="L1440" s="57"/>
      <c r="M1440" s="57"/>
      <c r="N1440" s="42"/>
      <c r="O1440" s="57"/>
      <c r="P1440" s="43"/>
      <c r="Q1440" s="41"/>
      <c r="R1440" s="43"/>
      <c r="S1440" s="36"/>
      <c r="T1440" s="16">
        <f t="shared" si="44"/>
        <v>0</v>
      </c>
      <c r="U1440" s="16">
        <f t="shared" si="45"/>
        <v>0</v>
      </c>
      <c r="V1440" s="133"/>
    </row>
    <row r="1441" spans="1:22" s="56" customFormat="1">
      <c r="A1441" s="58"/>
      <c r="B1441" s="36"/>
      <c r="C1441" s="58"/>
      <c r="D1441" s="57"/>
      <c r="E1441" s="57"/>
      <c r="F1441" s="41"/>
      <c r="G1441" s="41"/>
      <c r="H1441" s="41"/>
      <c r="I1441" s="57"/>
      <c r="J1441" s="36"/>
      <c r="K1441" s="57"/>
      <c r="L1441" s="57"/>
      <c r="M1441" s="57"/>
      <c r="N1441" s="42"/>
      <c r="O1441" s="57"/>
      <c r="P1441" s="43"/>
      <c r="Q1441" s="41"/>
      <c r="R1441" s="43"/>
      <c r="S1441" s="36"/>
      <c r="T1441" s="16">
        <f t="shared" si="44"/>
        <v>0</v>
      </c>
      <c r="U1441" s="16">
        <f t="shared" si="45"/>
        <v>0</v>
      </c>
      <c r="V1441" s="133"/>
    </row>
    <row r="1442" spans="1:22" s="56" customFormat="1">
      <c r="A1442" s="58"/>
      <c r="B1442" s="36"/>
      <c r="C1442" s="58"/>
      <c r="D1442" s="57"/>
      <c r="E1442" s="57"/>
      <c r="F1442" s="41"/>
      <c r="G1442" s="41"/>
      <c r="H1442" s="41"/>
      <c r="I1442" s="57"/>
      <c r="J1442" s="36"/>
      <c r="K1442" s="57"/>
      <c r="L1442" s="57"/>
      <c r="M1442" s="57"/>
      <c r="N1442" s="42"/>
      <c r="O1442" s="57"/>
      <c r="P1442" s="43"/>
      <c r="Q1442" s="41"/>
      <c r="R1442" s="43"/>
      <c r="S1442" s="36"/>
      <c r="T1442" s="16">
        <f t="shared" si="44"/>
        <v>0</v>
      </c>
      <c r="U1442" s="16">
        <f t="shared" si="45"/>
        <v>0</v>
      </c>
      <c r="V1442" s="133"/>
    </row>
    <row r="1443" spans="1:22" s="56" customFormat="1">
      <c r="A1443" s="58"/>
      <c r="B1443" s="36"/>
      <c r="C1443" s="58"/>
      <c r="D1443" s="57"/>
      <c r="E1443" s="57"/>
      <c r="F1443" s="41"/>
      <c r="G1443" s="41"/>
      <c r="H1443" s="41"/>
      <c r="I1443" s="57"/>
      <c r="J1443" s="36"/>
      <c r="K1443" s="57"/>
      <c r="L1443" s="57"/>
      <c r="M1443" s="57"/>
      <c r="N1443" s="42"/>
      <c r="O1443" s="57"/>
      <c r="P1443" s="43"/>
      <c r="Q1443" s="41"/>
      <c r="R1443" s="43"/>
      <c r="S1443" s="36"/>
      <c r="T1443" s="16">
        <f t="shared" si="44"/>
        <v>0</v>
      </c>
      <c r="U1443" s="16">
        <f t="shared" si="45"/>
        <v>0</v>
      </c>
      <c r="V1443" s="133"/>
    </row>
    <row r="1444" spans="1:22" s="56" customFormat="1">
      <c r="A1444" s="58"/>
      <c r="B1444" s="36"/>
      <c r="C1444" s="58"/>
      <c r="D1444" s="57"/>
      <c r="E1444" s="57"/>
      <c r="F1444" s="41"/>
      <c r="G1444" s="41"/>
      <c r="H1444" s="41"/>
      <c r="I1444" s="57"/>
      <c r="J1444" s="36"/>
      <c r="K1444" s="57"/>
      <c r="L1444" s="57"/>
      <c r="M1444" s="57"/>
      <c r="N1444" s="42"/>
      <c r="O1444" s="57"/>
      <c r="P1444" s="43"/>
      <c r="Q1444" s="41"/>
      <c r="R1444" s="43"/>
      <c r="S1444" s="36"/>
      <c r="T1444" s="16">
        <f t="shared" si="44"/>
        <v>0</v>
      </c>
      <c r="U1444" s="16">
        <f t="shared" si="45"/>
        <v>0</v>
      </c>
      <c r="V1444" s="133"/>
    </row>
    <row r="1445" spans="1:22" s="56" customFormat="1">
      <c r="A1445" s="58"/>
      <c r="B1445" s="36"/>
      <c r="C1445" s="58"/>
      <c r="D1445" s="57"/>
      <c r="E1445" s="57"/>
      <c r="F1445" s="41"/>
      <c r="G1445" s="41"/>
      <c r="H1445" s="41"/>
      <c r="I1445" s="57"/>
      <c r="J1445" s="36"/>
      <c r="K1445" s="57"/>
      <c r="L1445" s="57"/>
      <c r="M1445" s="57"/>
      <c r="N1445" s="42"/>
      <c r="O1445" s="57"/>
      <c r="P1445" s="43"/>
      <c r="Q1445" s="41"/>
      <c r="R1445" s="43"/>
      <c r="S1445" s="36"/>
      <c r="T1445" s="16">
        <f t="shared" si="44"/>
        <v>0</v>
      </c>
      <c r="U1445" s="16">
        <f t="shared" si="45"/>
        <v>0</v>
      </c>
      <c r="V1445" s="133"/>
    </row>
    <row r="1446" spans="1:22" s="56" customFormat="1">
      <c r="A1446" s="58"/>
      <c r="B1446" s="36"/>
      <c r="C1446" s="58"/>
      <c r="D1446" s="57"/>
      <c r="E1446" s="57"/>
      <c r="F1446" s="41"/>
      <c r="G1446" s="41"/>
      <c r="H1446" s="41"/>
      <c r="I1446" s="57"/>
      <c r="J1446" s="36"/>
      <c r="K1446" s="57"/>
      <c r="L1446" s="57"/>
      <c r="M1446" s="57"/>
      <c r="N1446" s="42"/>
      <c r="O1446" s="57"/>
      <c r="P1446" s="43"/>
      <c r="Q1446" s="41"/>
      <c r="R1446" s="43"/>
      <c r="S1446" s="36"/>
      <c r="T1446" s="16">
        <f t="shared" si="44"/>
        <v>0</v>
      </c>
      <c r="U1446" s="16">
        <f t="shared" si="45"/>
        <v>0</v>
      </c>
      <c r="V1446" s="133"/>
    </row>
    <row r="1447" spans="1:22" s="56" customFormat="1">
      <c r="A1447" s="58"/>
      <c r="B1447" s="36"/>
      <c r="C1447" s="58"/>
      <c r="D1447" s="57"/>
      <c r="E1447" s="57"/>
      <c r="F1447" s="41"/>
      <c r="G1447" s="41"/>
      <c r="H1447" s="41"/>
      <c r="I1447" s="57"/>
      <c r="J1447" s="36"/>
      <c r="K1447" s="57"/>
      <c r="L1447" s="57"/>
      <c r="M1447" s="57"/>
      <c r="N1447" s="42"/>
      <c r="O1447" s="57"/>
      <c r="P1447" s="43"/>
      <c r="Q1447" s="41"/>
      <c r="R1447" s="43"/>
      <c r="S1447" s="36"/>
      <c r="T1447" s="16">
        <f t="shared" si="44"/>
        <v>0</v>
      </c>
      <c r="U1447" s="16">
        <f t="shared" si="45"/>
        <v>0</v>
      </c>
      <c r="V1447" s="133"/>
    </row>
    <row r="1448" spans="1:22" s="56" customFormat="1">
      <c r="A1448" s="58"/>
      <c r="B1448" s="36"/>
      <c r="C1448" s="58"/>
      <c r="D1448" s="57"/>
      <c r="E1448" s="57"/>
      <c r="F1448" s="41"/>
      <c r="G1448" s="41"/>
      <c r="H1448" s="41"/>
      <c r="I1448" s="57"/>
      <c r="J1448" s="36"/>
      <c r="K1448" s="57"/>
      <c r="L1448" s="57"/>
      <c r="M1448" s="57"/>
      <c r="N1448" s="42"/>
      <c r="O1448" s="57"/>
      <c r="P1448" s="43"/>
      <c r="Q1448" s="41"/>
      <c r="R1448" s="43"/>
      <c r="S1448" s="36"/>
      <c r="T1448" s="16">
        <f t="shared" si="44"/>
        <v>0</v>
      </c>
      <c r="U1448" s="16">
        <f t="shared" si="45"/>
        <v>0</v>
      </c>
      <c r="V1448" s="133"/>
    </row>
    <row r="1449" spans="1:22" s="56" customFormat="1">
      <c r="A1449" s="58"/>
      <c r="B1449" s="36"/>
      <c r="C1449" s="58"/>
      <c r="D1449" s="57"/>
      <c r="E1449" s="57"/>
      <c r="F1449" s="41"/>
      <c r="G1449" s="41"/>
      <c r="H1449" s="41"/>
      <c r="I1449" s="57"/>
      <c r="J1449" s="36"/>
      <c r="K1449" s="57"/>
      <c r="L1449" s="57"/>
      <c r="M1449" s="57"/>
      <c r="N1449" s="42"/>
      <c r="O1449" s="57"/>
      <c r="P1449" s="43"/>
      <c r="Q1449" s="41"/>
      <c r="R1449" s="43"/>
      <c r="S1449" s="36"/>
      <c r="T1449" s="16">
        <f t="shared" si="44"/>
        <v>0</v>
      </c>
      <c r="U1449" s="16">
        <f t="shared" si="45"/>
        <v>0</v>
      </c>
      <c r="V1449" s="133"/>
    </row>
    <row r="1450" spans="1:22" s="56" customFormat="1">
      <c r="A1450" s="58"/>
      <c r="B1450" s="36"/>
      <c r="C1450" s="58"/>
      <c r="D1450" s="57"/>
      <c r="E1450" s="57"/>
      <c r="F1450" s="41"/>
      <c r="G1450" s="41"/>
      <c r="H1450" s="41"/>
      <c r="I1450" s="57"/>
      <c r="J1450" s="36"/>
      <c r="K1450" s="57"/>
      <c r="L1450" s="57"/>
      <c r="M1450" s="57"/>
      <c r="N1450" s="42"/>
      <c r="O1450" s="57"/>
      <c r="P1450" s="43"/>
      <c r="Q1450" s="41"/>
      <c r="R1450" s="43"/>
      <c r="S1450" s="36"/>
      <c r="T1450" s="16">
        <f t="shared" si="44"/>
        <v>0</v>
      </c>
      <c r="U1450" s="16">
        <f t="shared" si="45"/>
        <v>0</v>
      </c>
      <c r="V1450" s="133"/>
    </row>
    <row r="1451" spans="1:22" s="56" customFormat="1">
      <c r="A1451" s="58"/>
      <c r="B1451" s="36"/>
      <c r="C1451" s="58"/>
      <c r="D1451" s="57"/>
      <c r="E1451" s="57"/>
      <c r="F1451" s="41"/>
      <c r="G1451" s="41"/>
      <c r="H1451" s="41"/>
      <c r="I1451" s="57"/>
      <c r="J1451" s="36"/>
      <c r="K1451" s="57"/>
      <c r="L1451" s="57"/>
      <c r="M1451" s="57"/>
      <c r="N1451" s="42"/>
      <c r="O1451" s="57"/>
      <c r="P1451" s="43"/>
      <c r="Q1451" s="41"/>
      <c r="R1451" s="43"/>
      <c r="S1451" s="36"/>
      <c r="T1451" s="16">
        <f t="shared" si="44"/>
        <v>0</v>
      </c>
      <c r="U1451" s="16">
        <f t="shared" si="45"/>
        <v>0</v>
      </c>
      <c r="V1451" s="133"/>
    </row>
    <row r="1452" spans="1:22" s="56" customFormat="1">
      <c r="A1452" s="58"/>
      <c r="B1452" s="36"/>
      <c r="C1452" s="58"/>
      <c r="D1452" s="57"/>
      <c r="E1452" s="57"/>
      <c r="F1452" s="41"/>
      <c r="G1452" s="41"/>
      <c r="H1452" s="41"/>
      <c r="I1452" s="57"/>
      <c r="J1452" s="36"/>
      <c r="K1452" s="57"/>
      <c r="L1452" s="57"/>
      <c r="M1452" s="57"/>
      <c r="N1452" s="42"/>
      <c r="O1452" s="57"/>
      <c r="P1452" s="43"/>
      <c r="Q1452" s="41"/>
      <c r="R1452" s="43"/>
      <c r="S1452" s="36"/>
      <c r="T1452" s="16">
        <f t="shared" si="44"/>
        <v>0</v>
      </c>
      <c r="U1452" s="16">
        <f t="shared" si="45"/>
        <v>0</v>
      </c>
      <c r="V1452" s="133"/>
    </row>
    <row r="1453" spans="1:22" s="56" customFormat="1">
      <c r="A1453" s="58"/>
      <c r="B1453" s="36"/>
      <c r="C1453" s="58"/>
      <c r="D1453" s="57"/>
      <c r="E1453" s="57"/>
      <c r="F1453" s="41"/>
      <c r="G1453" s="41"/>
      <c r="H1453" s="41"/>
      <c r="I1453" s="57"/>
      <c r="J1453" s="36"/>
      <c r="K1453" s="57"/>
      <c r="L1453" s="57"/>
      <c r="M1453" s="57"/>
      <c r="N1453" s="42"/>
      <c r="O1453" s="57"/>
      <c r="P1453" s="43"/>
      <c r="Q1453" s="41"/>
      <c r="R1453" s="43"/>
      <c r="S1453" s="36"/>
      <c r="T1453" s="16">
        <f t="shared" si="44"/>
        <v>0</v>
      </c>
      <c r="U1453" s="16">
        <f t="shared" si="45"/>
        <v>0</v>
      </c>
      <c r="V1453" s="133"/>
    </row>
    <row r="1454" spans="1:22" s="56" customFormat="1">
      <c r="A1454" s="58"/>
      <c r="B1454" s="36"/>
      <c r="C1454" s="58"/>
      <c r="D1454" s="57"/>
      <c r="E1454" s="57"/>
      <c r="F1454" s="41"/>
      <c r="G1454" s="41"/>
      <c r="H1454" s="41"/>
      <c r="I1454" s="57"/>
      <c r="J1454" s="36"/>
      <c r="K1454" s="57"/>
      <c r="L1454" s="57"/>
      <c r="M1454" s="57"/>
      <c r="N1454" s="42"/>
      <c r="O1454" s="57"/>
      <c r="P1454" s="43"/>
      <c r="Q1454" s="41"/>
      <c r="R1454" s="43"/>
      <c r="S1454" s="36"/>
      <c r="T1454" s="16">
        <f t="shared" si="44"/>
        <v>0</v>
      </c>
      <c r="U1454" s="16">
        <f t="shared" si="45"/>
        <v>0</v>
      </c>
      <c r="V1454" s="133"/>
    </row>
    <row r="1455" spans="1:22" s="56" customFormat="1">
      <c r="A1455" s="58"/>
      <c r="B1455" s="36"/>
      <c r="C1455" s="58"/>
      <c r="D1455" s="57"/>
      <c r="E1455" s="57"/>
      <c r="F1455" s="41"/>
      <c r="G1455" s="41"/>
      <c r="H1455" s="41"/>
      <c r="I1455" s="57"/>
      <c r="J1455" s="36"/>
      <c r="K1455" s="57"/>
      <c r="L1455" s="57"/>
      <c r="M1455" s="57"/>
      <c r="N1455" s="42"/>
      <c r="O1455" s="57"/>
      <c r="P1455" s="43"/>
      <c r="Q1455" s="41"/>
      <c r="R1455" s="43"/>
      <c r="S1455" s="36"/>
      <c r="T1455" s="16">
        <f t="shared" si="44"/>
        <v>0</v>
      </c>
      <c r="U1455" s="16">
        <f t="shared" si="45"/>
        <v>0</v>
      </c>
      <c r="V1455" s="133"/>
    </row>
    <row r="1456" spans="1:22" s="56" customFormat="1">
      <c r="A1456" s="58"/>
      <c r="B1456" s="36"/>
      <c r="C1456" s="58"/>
      <c r="D1456" s="57"/>
      <c r="E1456" s="57"/>
      <c r="F1456" s="41"/>
      <c r="G1456" s="41"/>
      <c r="H1456" s="41"/>
      <c r="I1456" s="57"/>
      <c r="J1456" s="36"/>
      <c r="K1456" s="57"/>
      <c r="L1456" s="57"/>
      <c r="M1456" s="57"/>
      <c r="N1456" s="42"/>
      <c r="O1456" s="57"/>
      <c r="P1456" s="43"/>
      <c r="Q1456" s="41"/>
      <c r="R1456" s="43"/>
      <c r="S1456" s="36"/>
      <c r="T1456" s="16">
        <f t="shared" si="44"/>
        <v>0</v>
      </c>
      <c r="U1456" s="16">
        <f t="shared" si="45"/>
        <v>0</v>
      </c>
      <c r="V1456" s="133"/>
    </row>
    <row r="1457" spans="1:22" s="56" customFormat="1">
      <c r="A1457" s="58"/>
      <c r="B1457" s="36"/>
      <c r="C1457" s="58"/>
      <c r="D1457" s="57"/>
      <c r="E1457" s="57"/>
      <c r="F1457" s="41"/>
      <c r="G1457" s="41"/>
      <c r="H1457" s="41"/>
      <c r="I1457" s="57"/>
      <c r="J1457" s="36"/>
      <c r="K1457" s="57"/>
      <c r="L1457" s="57"/>
      <c r="M1457" s="57"/>
      <c r="N1457" s="42"/>
      <c r="O1457" s="57"/>
      <c r="P1457" s="43"/>
      <c r="Q1457" s="41"/>
      <c r="R1457" s="43"/>
      <c r="S1457" s="36"/>
      <c r="T1457" s="16">
        <f t="shared" si="44"/>
        <v>0</v>
      </c>
      <c r="U1457" s="16">
        <f t="shared" si="45"/>
        <v>0</v>
      </c>
      <c r="V1457" s="133"/>
    </row>
    <row r="1458" spans="1:22" s="56" customFormat="1">
      <c r="A1458" s="58"/>
      <c r="B1458" s="36"/>
      <c r="C1458" s="58"/>
      <c r="D1458" s="57"/>
      <c r="E1458" s="57"/>
      <c r="F1458" s="41"/>
      <c r="G1458" s="41"/>
      <c r="H1458" s="41"/>
      <c r="I1458" s="57"/>
      <c r="J1458" s="36"/>
      <c r="K1458" s="57"/>
      <c r="L1458" s="57"/>
      <c r="M1458" s="57"/>
      <c r="N1458" s="42"/>
      <c r="O1458" s="57"/>
      <c r="P1458" s="43"/>
      <c r="Q1458" s="41"/>
      <c r="R1458" s="43"/>
      <c r="S1458" s="36"/>
      <c r="T1458" s="16">
        <f t="shared" si="44"/>
        <v>0</v>
      </c>
      <c r="U1458" s="16">
        <f t="shared" si="45"/>
        <v>0</v>
      </c>
      <c r="V1458" s="133"/>
    </row>
    <row r="1459" spans="1:22" s="56" customFormat="1">
      <c r="A1459" s="58"/>
      <c r="B1459" s="36"/>
      <c r="C1459" s="58"/>
      <c r="D1459" s="57"/>
      <c r="E1459" s="57"/>
      <c r="F1459" s="41"/>
      <c r="G1459" s="41"/>
      <c r="H1459" s="41"/>
      <c r="I1459" s="57"/>
      <c r="J1459" s="36"/>
      <c r="K1459" s="57"/>
      <c r="L1459" s="57"/>
      <c r="M1459" s="57"/>
      <c r="N1459" s="42"/>
      <c r="O1459" s="57"/>
      <c r="P1459" s="43"/>
      <c r="Q1459" s="41"/>
      <c r="R1459" s="43"/>
      <c r="S1459" s="36"/>
      <c r="T1459" s="16">
        <f t="shared" si="44"/>
        <v>0</v>
      </c>
      <c r="U1459" s="16">
        <f t="shared" si="45"/>
        <v>0</v>
      </c>
      <c r="V1459" s="133"/>
    </row>
    <row r="1460" spans="1:22" s="56" customFormat="1">
      <c r="A1460" s="58"/>
      <c r="B1460" s="36"/>
      <c r="C1460" s="58"/>
      <c r="D1460" s="57"/>
      <c r="E1460" s="57"/>
      <c r="F1460" s="41"/>
      <c r="G1460" s="41"/>
      <c r="H1460" s="41"/>
      <c r="I1460" s="57"/>
      <c r="J1460" s="36"/>
      <c r="K1460" s="57"/>
      <c r="L1460" s="57"/>
      <c r="M1460" s="57"/>
      <c r="N1460" s="42"/>
      <c r="O1460" s="57"/>
      <c r="P1460" s="43"/>
      <c r="Q1460" s="41"/>
      <c r="R1460" s="43"/>
      <c r="S1460" s="36"/>
      <c r="T1460" s="16">
        <f t="shared" si="44"/>
        <v>0</v>
      </c>
      <c r="U1460" s="16">
        <f t="shared" si="45"/>
        <v>0</v>
      </c>
      <c r="V1460" s="133"/>
    </row>
    <row r="1461" spans="1:22" s="56" customFormat="1">
      <c r="A1461" s="58"/>
      <c r="B1461" s="36"/>
      <c r="C1461" s="58"/>
      <c r="D1461" s="57"/>
      <c r="E1461" s="57"/>
      <c r="F1461" s="41"/>
      <c r="G1461" s="41"/>
      <c r="H1461" s="41"/>
      <c r="I1461" s="57"/>
      <c r="J1461" s="36"/>
      <c r="K1461" s="57"/>
      <c r="L1461" s="57"/>
      <c r="M1461" s="57"/>
      <c r="N1461" s="42"/>
      <c r="O1461" s="57"/>
      <c r="P1461" s="43"/>
      <c r="Q1461" s="41"/>
      <c r="R1461" s="43"/>
      <c r="S1461" s="36"/>
      <c r="T1461" s="16">
        <f t="shared" si="44"/>
        <v>0</v>
      </c>
      <c r="U1461" s="16">
        <f t="shared" si="45"/>
        <v>0</v>
      </c>
      <c r="V1461" s="133"/>
    </row>
    <row r="1462" spans="1:22" s="56" customFormat="1">
      <c r="A1462" s="58"/>
      <c r="B1462" s="36"/>
      <c r="C1462" s="58"/>
      <c r="D1462" s="57"/>
      <c r="E1462" s="57"/>
      <c r="F1462" s="41"/>
      <c r="G1462" s="41"/>
      <c r="H1462" s="41"/>
      <c r="I1462" s="57"/>
      <c r="J1462" s="36"/>
      <c r="K1462" s="57"/>
      <c r="L1462" s="57"/>
      <c r="M1462" s="57"/>
      <c r="N1462" s="42"/>
      <c r="O1462" s="57"/>
      <c r="P1462" s="43"/>
      <c r="Q1462" s="41"/>
      <c r="R1462" s="43"/>
      <c r="S1462" s="36"/>
      <c r="T1462" s="16">
        <f t="shared" si="44"/>
        <v>0</v>
      </c>
      <c r="U1462" s="16">
        <f t="shared" si="45"/>
        <v>0</v>
      </c>
      <c r="V1462" s="133"/>
    </row>
    <row r="1463" spans="1:22" s="56" customFormat="1">
      <c r="A1463" s="58"/>
      <c r="B1463" s="36"/>
      <c r="C1463" s="58"/>
      <c r="D1463" s="57"/>
      <c r="E1463" s="57"/>
      <c r="F1463" s="41"/>
      <c r="G1463" s="41"/>
      <c r="H1463" s="41"/>
      <c r="I1463" s="57"/>
      <c r="J1463" s="36"/>
      <c r="K1463" s="57"/>
      <c r="L1463" s="57"/>
      <c r="M1463" s="57"/>
      <c r="N1463" s="42"/>
      <c r="O1463" s="57"/>
      <c r="P1463" s="43"/>
      <c r="Q1463" s="41"/>
      <c r="R1463" s="43"/>
      <c r="S1463" s="36"/>
      <c r="T1463" s="16">
        <f t="shared" si="44"/>
        <v>0</v>
      </c>
      <c r="U1463" s="16">
        <f t="shared" si="45"/>
        <v>0</v>
      </c>
      <c r="V1463" s="133"/>
    </row>
    <row r="1464" spans="1:22" s="56" customFormat="1">
      <c r="A1464" s="58"/>
      <c r="B1464" s="36"/>
      <c r="C1464" s="58"/>
      <c r="D1464" s="57"/>
      <c r="E1464" s="57"/>
      <c r="F1464" s="41"/>
      <c r="G1464" s="41"/>
      <c r="H1464" s="41"/>
      <c r="I1464" s="57"/>
      <c r="J1464" s="36"/>
      <c r="K1464" s="57"/>
      <c r="L1464" s="57"/>
      <c r="M1464" s="57"/>
      <c r="N1464" s="42"/>
      <c r="O1464" s="57"/>
      <c r="P1464" s="43"/>
      <c r="Q1464" s="41"/>
      <c r="R1464" s="43"/>
      <c r="S1464" s="36"/>
      <c r="T1464" s="16">
        <f t="shared" si="44"/>
        <v>0</v>
      </c>
      <c r="U1464" s="16">
        <f t="shared" si="45"/>
        <v>0</v>
      </c>
      <c r="V1464" s="133"/>
    </row>
    <row r="1465" spans="1:22" s="56" customFormat="1">
      <c r="A1465" s="58"/>
      <c r="B1465" s="36"/>
      <c r="C1465" s="58"/>
      <c r="D1465" s="57"/>
      <c r="E1465" s="57"/>
      <c r="F1465" s="41"/>
      <c r="G1465" s="41"/>
      <c r="H1465" s="41"/>
      <c r="I1465" s="57"/>
      <c r="J1465" s="36"/>
      <c r="K1465" s="57"/>
      <c r="L1465" s="57"/>
      <c r="M1465" s="57"/>
      <c r="N1465" s="42"/>
      <c r="O1465" s="57"/>
      <c r="P1465" s="43"/>
      <c r="Q1465" s="41"/>
      <c r="R1465" s="43"/>
      <c r="S1465" s="36"/>
      <c r="T1465" s="16">
        <f t="shared" si="44"/>
        <v>0</v>
      </c>
      <c r="U1465" s="16">
        <f t="shared" si="45"/>
        <v>0</v>
      </c>
      <c r="V1465" s="133"/>
    </row>
    <row r="1466" spans="1:22" s="56" customFormat="1">
      <c r="A1466" s="58"/>
      <c r="B1466" s="36"/>
      <c r="C1466" s="58"/>
      <c r="D1466" s="57"/>
      <c r="E1466" s="57"/>
      <c r="F1466" s="41"/>
      <c r="G1466" s="41"/>
      <c r="H1466" s="41"/>
      <c r="I1466" s="57"/>
      <c r="J1466" s="36"/>
      <c r="K1466" s="57"/>
      <c r="L1466" s="57"/>
      <c r="M1466" s="57"/>
      <c r="N1466" s="42"/>
      <c r="O1466" s="57"/>
      <c r="P1466" s="43"/>
      <c r="Q1466" s="41"/>
      <c r="R1466" s="43"/>
      <c r="S1466" s="36"/>
      <c r="T1466" s="16">
        <f t="shared" si="44"/>
        <v>0</v>
      </c>
      <c r="U1466" s="16">
        <f t="shared" si="45"/>
        <v>0</v>
      </c>
      <c r="V1466" s="133"/>
    </row>
    <row r="1467" spans="1:22" s="56" customFormat="1">
      <c r="A1467" s="58"/>
      <c r="B1467" s="36"/>
      <c r="C1467" s="58"/>
      <c r="D1467" s="57"/>
      <c r="E1467" s="57"/>
      <c r="F1467" s="41"/>
      <c r="G1467" s="41"/>
      <c r="H1467" s="41"/>
      <c r="I1467" s="57"/>
      <c r="J1467" s="36"/>
      <c r="K1467" s="57"/>
      <c r="L1467" s="57"/>
      <c r="M1467" s="57"/>
      <c r="N1467" s="42"/>
      <c r="O1467" s="57"/>
      <c r="P1467" s="43"/>
      <c r="Q1467" s="41"/>
      <c r="R1467" s="43"/>
      <c r="S1467" s="36"/>
      <c r="T1467" s="16">
        <f t="shared" si="44"/>
        <v>0</v>
      </c>
      <c r="U1467" s="16">
        <f t="shared" si="45"/>
        <v>0</v>
      </c>
      <c r="V1467" s="133"/>
    </row>
    <row r="1468" spans="1:22" s="56" customFormat="1">
      <c r="A1468" s="58"/>
      <c r="B1468" s="36"/>
      <c r="C1468" s="58"/>
      <c r="D1468" s="57"/>
      <c r="E1468" s="57"/>
      <c r="F1468" s="41"/>
      <c r="G1468" s="41"/>
      <c r="H1468" s="41"/>
      <c r="I1468" s="57"/>
      <c r="J1468" s="36"/>
      <c r="K1468" s="57"/>
      <c r="L1468" s="57"/>
      <c r="M1468" s="57"/>
      <c r="N1468" s="42"/>
      <c r="O1468" s="57"/>
      <c r="P1468" s="43"/>
      <c r="Q1468" s="41"/>
      <c r="R1468" s="43"/>
      <c r="S1468" s="36"/>
      <c r="T1468" s="16">
        <f t="shared" si="44"/>
        <v>0</v>
      </c>
      <c r="U1468" s="16">
        <f t="shared" si="45"/>
        <v>0</v>
      </c>
      <c r="V1468" s="133"/>
    </row>
    <row r="1469" spans="1:22" s="56" customFormat="1">
      <c r="A1469" s="58"/>
      <c r="B1469" s="36"/>
      <c r="C1469" s="58"/>
      <c r="D1469" s="57"/>
      <c r="E1469" s="57"/>
      <c r="F1469" s="41"/>
      <c r="G1469" s="41"/>
      <c r="H1469" s="41"/>
      <c r="I1469" s="57"/>
      <c r="J1469" s="36"/>
      <c r="K1469" s="57"/>
      <c r="L1469" s="57"/>
      <c r="M1469" s="57"/>
      <c r="N1469" s="42"/>
      <c r="O1469" s="57"/>
      <c r="P1469" s="43"/>
      <c r="Q1469" s="41"/>
      <c r="R1469" s="43"/>
      <c r="S1469" s="36"/>
      <c r="T1469" s="16">
        <f t="shared" si="44"/>
        <v>0</v>
      </c>
      <c r="U1469" s="16">
        <f t="shared" si="45"/>
        <v>0</v>
      </c>
      <c r="V1469" s="133"/>
    </row>
    <row r="1470" spans="1:22" s="56" customFormat="1">
      <c r="A1470" s="58"/>
      <c r="B1470" s="36"/>
      <c r="C1470" s="58"/>
      <c r="D1470" s="57"/>
      <c r="E1470" s="57"/>
      <c r="F1470" s="41"/>
      <c r="G1470" s="41"/>
      <c r="H1470" s="41"/>
      <c r="I1470" s="57"/>
      <c r="J1470" s="36"/>
      <c r="K1470" s="57"/>
      <c r="L1470" s="57"/>
      <c r="M1470" s="57"/>
      <c r="N1470" s="42"/>
      <c r="O1470" s="57"/>
      <c r="P1470" s="43"/>
      <c r="Q1470" s="41"/>
      <c r="R1470" s="43"/>
      <c r="S1470" s="36"/>
      <c r="T1470" s="16">
        <f t="shared" si="44"/>
        <v>0</v>
      </c>
      <c r="U1470" s="16">
        <f t="shared" si="45"/>
        <v>0</v>
      </c>
      <c r="V1470" s="133"/>
    </row>
    <row r="1471" spans="1:22" s="56" customFormat="1">
      <c r="A1471" s="58"/>
      <c r="B1471" s="36"/>
      <c r="C1471" s="58"/>
      <c r="D1471" s="57"/>
      <c r="E1471" s="57"/>
      <c r="F1471" s="41"/>
      <c r="G1471" s="41"/>
      <c r="H1471" s="41"/>
      <c r="I1471" s="57"/>
      <c r="J1471" s="36"/>
      <c r="K1471" s="57"/>
      <c r="L1471" s="57"/>
      <c r="M1471" s="57"/>
      <c r="N1471" s="42"/>
      <c r="O1471" s="57"/>
      <c r="P1471" s="43"/>
      <c r="Q1471" s="41"/>
      <c r="R1471" s="43"/>
      <c r="S1471" s="36"/>
      <c r="T1471" s="16">
        <f t="shared" si="44"/>
        <v>0</v>
      </c>
      <c r="U1471" s="16">
        <f t="shared" si="45"/>
        <v>0</v>
      </c>
      <c r="V1471" s="133"/>
    </row>
    <row r="1472" spans="1:22" s="56" customFormat="1">
      <c r="A1472" s="58"/>
      <c r="B1472" s="36"/>
      <c r="C1472" s="58"/>
      <c r="D1472" s="57"/>
      <c r="E1472" s="57"/>
      <c r="F1472" s="41"/>
      <c r="G1472" s="41"/>
      <c r="H1472" s="41"/>
      <c r="I1472" s="57"/>
      <c r="J1472" s="36"/>
      <c r="K1472" s="57"/>
      <c r="L1472" s="57"/>
      <c r="M1472" s="57"/>
      <c r="N1472" s="42"/>
      <c r="O1472" s="57"/>
      <c r="P1472" s="43"/>
      <c r="Q1472" s="41"/>
      <c r="R1472" s="43"/>
      <c r="S1472" s="36"/>
      <c r="T1472" s="16">
        <f t="shared" si="44"/>
        <v>0</v>
      </c>
      <c r="U1472" s="16">
        <f t="shared" si="45"/>
        <v>0</v>
      </c>
      <c r="V1472" s="133"/>
    </row>
    <row r="1473" spans="1:22" s="56" customFormat="1">
      <c r="A1473" s="58"/>
      <c r="B1473" s="36"/>
      <c r="C1473" s="58"/>
      <c r="D1473" s="57"/>
      <c r="E1473" s="57"/>
      <c r="F1473" s="41"/>
      <c r="G1473" s="41"/>
      <c r="H1473" s="41"/>
      <c r="I1473" s="57"/>
      <c r="J1473" s="36"/>
      <c r="K1473" s="57"/>
      <c r="L1473" s="57"/>
      <c r="M1473" s="57"/>
      <c r="N1473" s="42"/>
      <c r="O1473" s="57"/>
      <c r="P1473" s="43"/>
      <c r="Q1473" s="41"/>
      <c r="R1473" s="43"/>
      <c r="S1473" s="36"/>
      <c r="T1473" s="16">
        <f t="shared" si="44"/>
        <v>0</v>
      </c>
      <c r="U1473" s="16">
        <f t="shared" si="45"/>
        <v>0</v>
      </c>
      <c r="V1473" s="133"/>
    </row>
    <row r="1474" spans="1:22" s="56" customFormat="1">
      <c r="A1474" s="58"/>
      <c r="B1474" s="36"/>
      <c r="C1474" s="58"/>
      <c r="D1474" s="57"/>
      <c r="E1474" s="57"/>
      <c r="F1474" s="41"/>
      <c r="G1474" s="41"/>
      <c r="H1474" s="41"/>
      <c r="I1474" s="57"/>
      <c r="J1474" s="36"/>
      <c r="K1474" s="57"/>
      <c r="L1474" s="57"/>
      <c r="M1474" s="57"/>
      <c r="N1474" s="42"/>
      <c r="O1474" s="57"/>
      <c r="P1474" s="43"/>
      <c r="Q1474" s="41"/>
      <c r="R1474" s="43"/>
      <c r="S1474" s="36"/>
      <c r="T1474" s="16">
        <f t="shared" si="44"/>
        <v>0</v>
      </c>
      <c r="U1474" s="16">
        <f t="shared" si="45"/>
        <v>0</v>
      </c>
      <c r="V1474" s="133"/>
    </row>
    <row r="1475" spans="1:22" s="56" customFormat="1">
      <c r="A1475" s="58"/>
      <c r="B1475" s="36"/>
      <c r="C1475" s="58"/>
      <c r="D1475" s="57"/>
      <c r="E1475" s="57"/>
      <c r="F1475" s="41"/>
      <c r="G1475" s="41"/>
      <c r="H1475" s="41"/>
      <c r="I1475" s="57"/>
      <c r="J1475" s="36"/>
      <c r="K1475" s="57"/>
      <c r="L1475" s="57"/>
      <c r="M1475" s="57"/>
      <c r="N1475" s="42"/>
      <c r="O1475" s="57"/>
      <c r="P1475" s="43"/>
      <c r="Q1475" s="41"/>
      <c r="R1475" s="43"/>
      <c r="S1475" s="36"/>
      <c r="T1475" s="16">
        <f t="shared" si="44"/>
        <v>0</v>
      </c>
      <c r="U1475" s="16">
        <f t="shared" si="45"/>
        <v>0</v>
      </c>
      <c r="V1475" s="133"/>
    </row>
    <row r="1476" spans="1:22" s="56" customFormat="1">
      <c r="A1476" s="58"/>
      <c r="B1476" s="36"/>
      <c r="C1476" s="58"/>
      <c r="D1476" s="57"/>
      <c r="E1476" s="57"/>
      <c r="F1476" s="41"/>
      <c r="G1476" s="41"/>
      <c r="H1476" s="41"/>
      <c r="I1476" s="57"/>
      <c r="J1476" s="36"/>
      <c r="K1476" s="57"/>
      <c r="L1476" s="57"/>
      <c r="M1476" s="57"/>
      <c r="N1476" s="42"/>
      <c r="O1476" s="57"/>
      <c r="P1476" s="43"/>
      <c r="Q1476" s="41"/>
      <c r="R1476" s="43"/>
      <c r="S1476" s="36"/>
      <c r="T1476" s="16">
        <f t="shared" si="44"/>
        <v>0</v>
      </c>
      <c r="U1476" s="16">
        <f t="shared" si="45"/>
        <v>0</v>
      </c>
      <c r="V1476" s="133"/>
    </row>
    <row r="1477" spans="1:22" s="56" customFormat="1">
      <c r="A1477" s="58"/>
      <c r="B1477" s="36"/>
      <c r="C1477" s="58"/>
      <c r="D1477" s="57"/>
      <c r="E1477" s="57"/>
      <c r="F1477" s="41"/>
      <c r="G1477" s="41"/>
      <c r="H1477" s="41"/>
      <c r="I1477" s="57"/>
      <c r="J1477" s="36"/>
      <c r="K1477" s="57"/>
      <c r="L1477" s="57"/>
      <c r="M1477" s="57"/>
      <c r="N1477" s="42"/>
      <c r="O1477" s="57"/>
      <c r="P1477" s="43"/>
      <c r="Q1477" s="41"/>
      <c r="R1477" s="43"/>
      <c r="S1477" s="36"/>
      <c r="T1477" s="16">
        <f t="shared" ref="T1477:T1540" si="46">IF(OR($J1477="Accepted",ISBLANK($J1477)),IF(AND($G1477="Legacy Data",$Q1477="Legacy Data"),1,IF(OR($G1477="Legacy Data",$Q1477="Legacy Data"),1,0)),IF(OR($N1477="Agree with original translator",ISBLANK($N1477)),IF(AND($G1477="Source Text Data",$Q1477="Legacy Data"),1,IF(AND($G1477="Legacy Data",$Q1477="Legacy Data"),1,IF($Q1477="Legacy Data",1,0))),IF(AND($G1477="Legacy Data",$Q1477="Legacy Data"),1,IF(OR($Q1477="Legacy Data",ISBLANK($Q1477)),IF($G1477&lt;&gt;"Legacy Data",IF(AND($G1477="Source Text Data",$Q1477="Legacy Data"),1,0),1),0))))</f>
        <v>0</v>
      </c>
      <c r="U1477" s="16">
        <f t="shared" ref="U1477:U1540" si="47">IF(OR($J1477="Accepted",ISBLANK($J1477)),IF(AND($G1477="Source Text Data",$Q1477="Source Text Data"),1,IF(OR($G1477="Source Text Data",$Q1477="Source Text Data"),1,0)),IF(OR($N1477="Agree with original translator",ISBLANK($N1477)),IF(AND($G1477="Legacy Data",$Q1477="Source Text Data"),1,IF(AND($G1477="Source Text Data",$Q1477="Source Text Data"),1,IF($Q1477="Source Text Data",1,0))),IF(AND($G1477="Source Text Data",$Q1477="Source Text Data"),1,IF(OR($Q1477="Source Text Data",ISBLANK($Q1477)),IF($G1477&lt;&gt;"Source Text Data",IF(AND($G1477="Legacy Data",$Q1477="Source Text Data"),1,0),1),0))))</f>
        <v>0</v>
      </c>
      <c r="V1477" s="133"/>
    </row>
    <row r="1478" spans="1:22" s="56" customFormat="1">
      <c r="A1478" s="58"/>
      <c r="B1478" s="36"/>
      <c r="C1478" s="58"/>
      <c r="D1478" s="57"/>
      <c r="E1478" s="57"/>
      <c r="F1478" s="41"/>
      <c r="G1478" s="41"/>
      <c r="H1478" s="41"/>
      <c r="I1478" s="57"/>
      <c r="J1478" s="36"/>
      <c r="K1478" s="57"/>
      <c r="L1478" s="57"/>
      <c r="M1478" s="57"/>
      <c r="N1478" s="42"/>
      <c r="O1478" s="57"/>
      <c r="P1478" s="43"/>
      <c r="Q1478" s="41"/>
      <c r="R1478" s="43"/>
      <c r="S1478" s="36"/>
      <c r="T1478" s="16">
        <f t="shared" si="46"/>
        <v>0</v>
      </c>
      <c r="U1478" s="16">
        <f t="shared" si="47"/>
        <v>0</v>
      </c>
      <c r="V1478" s="133"/>
    </row>
    <row r="1479" spans="1:22" s="56" customFormat="1">
      <c r="A1479" s="58"/>
      <c r="B1479" s="36"/>
      <c r="C1479" s="58"/>
      <c r="D1479" s="57"/>
      <c r="E1479" s="57"/>
      <c r="F1479" s="41"/>
      <c r="G1479" s="41"/>
      <c r="H1479" s="41"/>
      <c r="I1479" s="57"/>
      <c r="J1479" s="36"/>
      <c r="K1479" s="57"/>
      <c r="L1479" s="57"/>
      <c r="M1479" s="57"/>
      <c r="N1479" s="42"/>
      <c r="O1479" s="57"/>
      <c r="P1479" s="43"/>
      <c r="Q1479" s="41"/>
      <c r="R1479" s="43"/>
      <c r="S1479" s="36"/>
      <c r="T1479" s="16">
        <f t="shared" si="46"/>
        <v>0</v>
      </c>
      <c r="U1479" s="16">
        <f t="shared" si="47"/>
        <v>0</v>
      </c>
      <c r="V1479" s="133"/>
    </row>
    <row r="1480" spans="1:22" s="56" customFormat="1">
      <c r="A1480" s="58"/>
      <c r="B1480" s="36"/>
      <c r="C1480" s="58"/>
      <c r="D1480" s="57"/>
      <c r="E1480" s="57"/>
      <c r="F1480" s="41"/>
      <c r="G1480" s="41"/>
      <c r="H1480" s="41"/>
      <c r="I1480" s="57"/>
      <c r="J1480" s="36"/>
      <c r="K1480" s="57"/>
      <c r="L1480" s="57"/>
      <c r="M1480" s="57"/>
      <c r="N1480" s="42"/>
      <c r="O1480" s="57"/>
      <c r="P1480" s="43"/>
      <c r="Q1480" s="41"/>
      <c r="R1480" s="43"/>
      <c r="S1480" s="36"/>
      <c r="T1480" s="16">
        <f t="shared" si="46"/>
        <v>0</v>
      </c>
      <c r="U1480" s="16">
        <f t="shared" si="47"/>
        <v>0</v>
      </c>
      <c r="V1480" s="133"/>
    </row>
    <row r="1481" spans="1:22" s="56" customFormat="1">
      <c r="A1481" s="58"/>
      <c r="B1481" s="36"/>
      <c r="C1481" s="58"/>
      <c r="D1481" s="57"/>
      <c r="E1481" s="57"/>
      <c r="F1481" s="41"/>
      <c r="G1481" s="41"/>
      <c r="H1481" s="41"/>
      <c r="I1481" s="57"/>
      <c r="J1481" s="36"/>
      <c r="K1481" s="57"/>
      <c r="L1481" s="57"/>
      <c r="M1481" s="57"/>
      <c r="N1481" s="42"/>
      <c r="O1481" s="57"/>
      <c r="P1481" s="43"/>
      <c r="Q1481" s="41"/>
      <c r="R1481" s="43"/>
      <c r="S1481" s="36"/>
      <c r="T1481" s="16">
        <f t="shared" si="46"/>
        <v>0</v>
      </c>
      <c r="U1481" s="16">
        <f t="shared" si="47"/>
        <v>0</v>
      </c>
      <c r="V1481" s="133"/>
    </row>
    <row r="1482" spans="1:22" s="56" customFormat="1">
      <c r="A1482" s="58"/>
      <c r="B1482" s="36"/>
      <c r="C1482" s="58"/>
      <c r="D1482" s="57"/>
      <c r="E1482" s="57"/>
      <c r="F1482" s="41"/>
      <c r="G1482" s="41"/>
      <c r="H1482" s="41"/>
      <c r="I1482" s="57"/>
      <c r="J1482" s="36"/>
      <c r="K1482" s="57"/>
      <c r="L1482" s="57"/>
      <c r="M1482" s="57"/>
      <c r="N1482" s="42"/>
      <c r="O1482" s="57"/>
      <c r="P1482" s="43"/>
      <c r="Q1482" s="41"/>
      <c r="R1482" s="43"/>
      <c r="S1482" s="36"/>
      <c r="T1482" s="16">
        <f t="shared" si="46"/>
        <v>0</v>
      </c>
      <c r="U1482" s="16">
        <f t="shared" si="47"/>
        <v>0</v>
      </c>
      <c r="V1482" s="133"/>
    </row>
    <row r="1483" spans="1:22" s="56" customFormat="1">
      <c r="A1483" s="58"/>
      <c r="B1483" s="36"/>
      <c r="C1483" s="58"/>
      <c r="D1483" s="57"/>
      <c r="E1483" s="57"/>
      <c r="F1483" s="41"/>
      <c r="G1483" s="41"/>
      <c r="H1483" s="41"/>
      <c r="I1483" s="57"/>
      <c r="J1483" s="36"/>
      <c r="K1483" s="57"/>
      <c r="L1483" s="57"/>
      <c r="M1483" s="57"/>
      <c r="N1483" s="42"/>
      <c r="O1483" s="57"/>
      <c r="P1483" s="43"/>
      <c r="Q1483" s="41"/>
      <c r="R1483" s="43"/>
      <c r="S1483" s="36"/>
      <c r="T1483" s="16">
        <f t="shared" si="46"/>
        <v>0</v>
      </c>
      <c r="U1483" s="16">
        <f t="shared" si="47"/>
        <v>0</v>
      </c>
      <c r="V1483" s="133"/>
    </row>
    <row r="1484" spans="1:22" s="56" customFormat="1">
      <c r="A1484" s="58"/>
      <c r="B1484" s="36"/>
      <c r="C1484" s="58"/>
      <c r="D1484" s="57"/>
      <c r="E1484" s="57"/>
      <c r="F1484" s="41"/>
      <c r="G1484" s="41"/>
      <c r="H1484" s="41"/>
      <c r="I1484" s="57"/>
      <c r="J1484" s="36"/>
      <c r="K1484" s="57"/>
      <c r="L1484" s="57"/>
      <c r="M1484" s="57"/>
      <c r="N1484" s="42"/>
      <c r="O1484" s="57"/>
      <c r="P1484" s="43"/>
      <c r="Q1484" s="41"/>
      <c r="R1484" s="43"/>
      <c r="S1484" s="36"/>
      <c r="T1484" s="16">
        <f t="shared" si="46"/>
        <v>0</v>
      </c>
      <c r="U1484" s="16">
        <f t="shared" si="47"/>
        <v>0</v>
      </c>
      <c r="V1484" s="133"/>
    </row>
    <row r="1485" spans="1:22" s="56" customFormat="1">
      <c r="A1485" s="58"/>
      <c r="B1485" s="36"/>
      <c r="C1485" s="58"/>
      <c r="D1485" s="57"/>
      <c r="E1485" s="57"/>
      <c r="F1485" s="41"/>
      <c r="G1485" s="41"/>
      <c r="H1485" s="41"/>
      <c r="I1485" s="57"/>
      <c r="J1485" s="36"/>
      <c r="K1485" s="57"/>
      <c r="L1485" s="57"/>
      <c r="M1485" s="57"/>
      <c r="N1485" s="42"/>
      <c r="O1485" s="57"/>
      <c r="P1485" s="43"/>
      <c r="Q1485" s="41"/>
      <c r="R1485" s="43"/>
      <c r="S1485" s="36"/>
      <c r="T1485" s="16">
        <f t="shared" si="46"/>
        <v>0</v>
      </c>
      <c r="U1485" s="16">
        <f t="shared" si="47"/>
        <v>0</v>
      </c>
      <c r="V1485" s="133"/>
    </row>
    <row r="1486" spans="1:22" s="56" customFormat="1">
      <c r="A1486" s="58"/>
      <c r="B1486" s="36"/>
      <c r="C1486" s="58"/>
      <c r="D1486" s="57"/>
      <c r="E1486" s="57"/>
      <c r="F1486" s="41"/>
      <c r="G1486" s="41"/>
      <c r="H1486" s="41"/>
      <c r="I1486" s="57"/>
      <c r="J1486" s="36"/>
      <c r="K1486" s="57"/>
      <c r="L1486" s="57"/>
      <c r="M1486" s="57"/>
      <c r="N1486" s="42"/>
      <c r="O1486" s="57"/>
      <c r="P1486" s="43"/>
      <c r="Q1486" s="41"/>
      <c r="R1486" s="43"/>
      <c r="S1486" s="36"/>
      <c r="T1486" s="16">
        <f t="shared" si="46"/>
        <v>0</v>
      </c>
      <c r="U1486" s="16">
        <f t="shared" si="47"/>
        <v>0</v>
      </c>
      <c r="V1486" s="133"/>
    </row>
    <row r="1487" spans="1:22" s="56" customFormat="1">
      <c r="A1487" s="58"/>
      <c r="B1487" s="36"/>
      <c r="C1487" s="58"/>
      <c r="D1487" s="57"/>
      <c r="E1487" s="57"/>
      <c r="F1487" s="41"/>
      <c r="G1487" s="41"/>
      <c r="H1487" s="41"/>
      <c r="I1487" s="57"/>
      <c r="J1487" s="36"/>
      <c r="K1487" s="57"/>
      <c r="L1487" s="57"/>
      <c r="M1487" s="57"/>
      <c r="N1487" s="42"/>
      <c r="O1487" s="57"/>
      <c r="P1487" s="43"/>
      <c r="Q1487" s="41"/>
      <c r="R1487" s="43"/>
      <c r="S1487" s="36"/>
      <c r="T1487" s="16">
        <f t="shared" si="46"/>
        <v>0</v>
      </c>
      <c r="U1487" s="16">
        <f t="shared" si="47"/>
        <v>0</v>
      </c>
      <c r="V1487" s="133"/>
    </row>
    <row r="1488" spans="1:22" s="56" customFormat="1">
      <c r="A1488" s="58"/>
      <c r="B1488" s="36"/>
      <c r="C1488" s="58"/>
      <c r="D1488" s="57"/>
      <c r="E1488" s="57"/>
      <c r="F1488" s="41"/>
      <c r="G1488" s="41"/>
      <c r="H1488" s="41"/>
      <c r="I1488" s="57"/>
      <c r="J1488" s="36"/>
      <c r="K1488" s="57"/>
      <c r="L1488" s="57"/>
      <c r="M1488" s="57"/>
      <c r="N1488" s="42"/>
      <c r="O1488" s="57"/>
      <c r="P1488" s="43"/>
      <c r="Q1488" s="41"/>
      <c r="R1488" s="43"/>
      <c r="S1488" s="36"/>
      <c r="T1488" s="16">
        <f t="shared" si="46"/>
        <v>0</v>
      </c>
      <c r="U1488" s="16">
        <f t="shared" si="47"/>
        <v>0</v>
      </c>
      <c r="V1488" s="133"/>
    </row>
    <row r="1489" spans="1:22" s="56" customFormat="1">
      <c r="A1489" s="58"/>
      <c r="B1489" s="36"/>
      <c r="C1489" s="58"/>
      <c r="D1489" s="57"/>
      <c r="E1489" s="57"/>
      <c r="F1489" s="41"/>
      <c r="G1489" s="41"/>
      <c r="H1489" s="41"/>
      <c r="I1489" s="57"/>
      <c r="J1489" s="36"/>
      <c r="K1489" s="57"/>
      <c r="L1489" s="57"/>
      <c r="M1489" s="57"/>
      <c r="N1489" s="42"/>
      <c r="O1489" s="57"/>
      <c r="P1489" s="43"/>
      <c r="Q1489" s="41"/>
      <c r="R1489" s="43"/>
      <c r="S1489" s="36"/>
      <c r="T1489" s="16">
        <f t="shared" si="46"/>
        <v>0</v>
      </c>
      <c r="U1489" s="16">
        <f t="shared" si="47"/>
        <v>0</v>
      </c>
      <c r="V1489" s="133"/>
    </row>
    <row r="1490" spans="1:22" s="56" customFormat="1">
      <c r="A1490" s="58"/>
      <c r="B1490" s="36"/>
      <c r="C1490" s="58"/>
      <c r="D1490" s="57"/>
      <c r="E1490" s="57"/>
      <c r="F1490" s="41"/>
      <c r="G1490" s="41"/>
      <c r="H1490" s="41"/>
      <c r="I1490" s="57"/>
      <c r="J1490" s="36"/>
      <c r="K1490" s="57"/>
      <c r="L1490" s="57"/>
      <c r="M1490" s="57"/>
      <c r="N1490" s="42"/>
      <c r="O1490" s="57"/>
      <c r="P1490" s="43"/>
      <c r="Q1490" s="41"/>
      <c r="R1490" s="43"/>
      <c r="S1490" s="36"/>
      <c r="T1490" s="16">
        <f t="shared" si="46"/>
        <v>0</v>
      </c>
      <c r="U1490" s="16">
        <f t="shared" si="47"/>
        <v>0</v>
      </c>
      <c r="V1490" s="133"/>
    </row>
    <row r="1491" spans="1:22" s="56" customFormat="1">
      <c r="A1491" s="58"/>
      <c r="B1491" s="36"/>
      <c r="C1491" s="58"/>
      <c r="D1491" s="57"/>
      <c r="E1491" s="57"/>
      <c r="F1491" s="41"/>
      <c r="G1491" s="41"/>
      <c r="H1491" s="41"/>
      <c r="I1491" s="57"/>
      <c r="J1491" s="36"/>
      <c r="K1491" s="57"/>
      <c r="L1491" s="57"/>
      <c r="M1491" s="57"/>
      <c r="N1491" s="42"/>
      <c r="O1491" s="57"/>
      <c r="P1491" s="43"/>
      <c r="Q1491" s="41"/>
      <c r="R1491" s="43"/>
      <c r="S1491" s="36"/>
      <c r="T1491" s="16">
        <f t="shared" si="46"/>
        <v>0</v>
      </c>
      <c r="U1491" s="16">
        <f t="shared" si="47"/>
        <v>0</v>
      </c>
      <c r="V1491" s="133"/>
    </row>
    <row r="1492" spans="1:22" s="56" customFormat="1">
      <c r="A1492" s="58"/>
      <c r="B1492" s="36"/>
      <c r="C1492" s="58"/>
      <c r="D1492" s="57"/>
      <c r="E1492" s="57"/>
      <c r="F1492" s="41"/>
      <c r="G1492" s="41"/>
      <c r="H1492" s="41"/>
      <c r="I1492" s="57"/>
      <c r="J1492" s="36"/>
      <c r="K1492" s="57"/>
      <c r="L1492" s="57"/>
      <c r="M1492" s="57"/>
      <c r="N1492" s="42"/>
      <c r="O1492" s="57"/>
      <c r="P1492" s="43"/>
      <c r="Q1492" s="41"/>
      <c r="R1492" s="43"/>
      <c r="S1492" s="36"/>
      <c r="T1492" s="16">
        <f t="shared" si="46"/>
        <v>0</v>
      </c>
      <c r="U1492" s="16">
        <f t="shared" si="47"/>
        <v>0</v>
      </c>
      <c r="V1492" s="133"/>
    </row>
    <row r="1493" spans="1:22" s="56" customFormat="1">
      <c r="A1493" s="58"/>
      <c r="B1493" s="36"/>
      <c r="C1493" s="58"/>
      <c r="D1493" s="57"/>
      <c r="E1493" s="57"/>
      <c r="F1493" s="41"/>
      <c r="G1493" s="41"/>
      <c r="H1493" s="41"/>
      <c r="I1493" s="57"/>
      <c r="J1493" s="36"/>
      <c r="K1493" s="57"/>
      <c r="L1493" s="57"/>
      <c r="M1493" s="57"/>
      <c r="N1493" s="42"/>
      <c r="O1493" s="57"/>
      <c r="P1493" s="43"/>
      <c r="Q1493" s="41"/>
      <c r="R1493" s="43"/>
      <c r="S1493" s="36"/>
      <c r="T1493" s="16">
        <f t="shared" si="46"/>
        <v>0</v>
      </c>
      <c r="U1493" s="16">
        <f t="shared" si="47"/>
        <v>0</v>
      </c>
      <c r="V1493" s="133"/>
    </row>
    <row r="1494" spans="1:22" s="56" customFormat="1">
      <c r="A1494" s="58"/>
      <c r="B1494" s="36"/>
      <c r="C1494" s="58"/>
      <c r="D1494" s="57"/>
      <c r="E1494" s="57"/>
      <c r="F1494" s="41"/>
      <c r="G1494" s="41"/>
      <c r="H1494" s="41"/>
      <c r="I1494" s="57"/>
      <c r="J1494" s="36"/>
      <c r="K1494" s="57"/>
      <c r="L1494" s="57"/>
      <c r="M1494" s="57"/>
      <c r="N1494" s="42"/>
      <c r="O1494" s="57"/>
      <c r="P1494" s="43"/>
      <c r="Q1494" s="41"/>
      <c r="R1494" s="43"/>
      <c r="S1494" s="36"/>
      <c r="T1494" s="16">
        <f t="shared" si="46"/>
        <v>0</v>
      </c>
      <c r="U1494" s="16">
        <f t="shared" si="47"/>
        <v>0</v>
      </c>
      <c r="V1494" s="133"/>
    </row>
    <row r="1495" spans="1:22" s="56" customFormat="1">
      <c r="A1495" s="58"/>
      <c r="B1495" s="36"/>
      <c r="C1495" s="58"/>
      <c r="D1495" s="57"/>
      <c r="E1495" s="57"/>
      <c r="F1495" s="41"/>
      <c r="G1495" s="41"/>
      <c r="H1495" s="41"/>
      <c r="I1495" s="57"/>
      <c r="J1495" s="36"/>
      <c r="K1495" s="57"/>
      <c r="L1495" s="57"/>
      <c r="M1495" s="57"/>
      <c r="N1495" s="42"/>
      <c r="O1495" s="57"/>
      <c r="P1495" s="43"/>
      <c r="Q1495" s="41"/>
      <c r="R1495" s="43"/>
      <c r="S1495" s="36"/>
      <c r="T1495" s="16">
        <f t="shared" si="46"/>
        <v>0</v>
      </c>
      <c r="U1495" s="16">
        <f t="shared" si="47"/>
        <v>0</v>
      </c>
      <c r="V1495" s="133"/>
    </row>
    <row r="1496" spans="1:22" s="56" customFormat="1">
      <c r="A1496" s="58"/>
      <c r="B1496" s="36"/>
      <c r="C1496" s="58"/>
      <c r="D1496" s="57"/>
      <c r="E1496" s="57"/>
      <c r="F1496" s="41"/>
      <c r="G1496" s="41"/>
      <c r="H1496" s="41"/>
      <c r="I1496" s="57"/>
      <c r="J1496" s="36"/>
      <c r="K1496" s="57"/>
      <c r="L1496" s="57"/>
      <c r="M1496" s="57"/>
      <c r="N1496" s="42"/>
      <c r="O1496" s="57"/>
      <c r="P1496" s="43"/>
      <c r="Q1496" s="41"/>
      <c r="R1496" s="43"/>
      <c r="S1496" s="36"/>
      <c r="T1496" s="16">
        <f t="shared" si="46"/>
        <v>0</v>
      </c>
      <c r="U1496" s="16">
        <f t="shared" si="47"/>
        <v>0</v>
      </c>
      <c r="V1496" s="133"/>
    </row>
    <row r="1497" spans="1:22" s="56" customFormat="1">
      <c r="A1497" s="58"/>
      <c r="B1497" s="36"/>
      <c r="C1497" s="58"/>
      <c r="D1497" s="57"/>
      <c r="E1497" s="57"/>
      <c r="F1497" s="41"/>
      <c r="G1497" s="41"/>
      <c r="H1497" s="41"/>
      <c r="I1497" s="57"/>
      <c r="J1497" s="36"/>
      <c r="K1497" s="57"/>
      <c r="L1497" s="57"/>
      <c r="M1497" s="57"/>
      <c r="N1497" s="42"/>
      <c r="O1497" s="57"/>
      <c r="P1497" s="43"/>
      <c r="Q1497" s="41"/>
      <c r="R1497" s="43"/>
      <c r="S1497" s="36"/>
      <c r="T1497" s="16">
        <f t="shared" si="46"/>
        <v>0</v>
      </c>
      <c r="U1497" s="16">
        <f t="shared" si="47"/>
        <v>0</v>
      </c>
      <c r="V1497" s="133"/>
    </row>
    <row r="1498" spans="1:22" s="56" customFormat="1">
      <c r="A1498" s="58"/>
      <c r="B1498" s="36"/>
      <c r="C1498" s="58"/>
      <c r="D1498" s="57"/>
      <c r="E1498" s="57"/>
      <c r="F1498" s="41"/>
      <c r="G1498" s="41"/>
      <c r="H1498" s="41"/>
      <c r="I1498" s="57"/>
      <c r="J1498" s="36"/>
      <c r="K1498" s="57"/>
      <c r="L1498" s="57"/>
      <c r="M1498" s="57"/>
      <c r="N1498" s="42"/>
      <c r="O1498" s="57"/>
      <c r="P1498" s="43"/>
      <c r="Q1498" s="41"/>
      <c r="R1498" s="43"/>
      <c r="S1498" s="36"/>
      <c r="T1498" s="16">
        <f t="shared" si="46"/>
        <v>0</v>
      </c>
      <c r="U1498" s="16">
        <f t="shared" si="47"/>
        <v>0</v>
      </c>
      <c r="V1498" s="133"/>
    </row>
    <row r="1499" spans="1:22" s="56" customFormat="1">
      <c r="A1499" s="58"/>
      <c r="B1499" s="36"/>
      <c r="C1499" s="58"/>
      <c r="D1499" s="57"/>
      <c r="E1499" s="57"/>
      <c r="F1499" s="41"/>
      <c r="G1499" s="41"/>
      <c r="H1499" s="41"/>
      <c r="I1499" s="57"/>
      <c r="J1499" s="36"/>
      <c r="K1499" s="57"/>
      <c r="L1499" s="57"/>
      <c r="M1499" s="57"/>
      <c r="N1499" s="42"/>
      <c r="O1499" s="57"/>
      <c r="P1499" s="43"/>
      <c r="Q1499" s="41"/>
      <c r="R1499" s="43"/>
      <c r="S1499" s="36"/>
      <c r="T1499" s="16">
        <f t="shared" si="46"/>
        <v>0</v>
      </c>
      <c r="U1499" s="16">
        <f t="shared" si="47"/>
        <v>0</v>
      </c>
      <c r="V1499" s="133"/>
    </row>
    <row r="1500" spans="1:22" s="56" customFormat="1">
      <c r="A1500" s="58"/>
      <c r="B1500" s="36"/>
      <c r="C1500" s="58"/>
      <c r="D1500" s="57"/>
      <c r="E1500" s="57"/>
      <c r="F1500" s="41"/>
      <c r="G1500" s="41"/>
      <c r="H1500" s="41"/>
      <c r="I1500" s="57"/>
      <c r="J1500" s="36"/>
      <c r="K1500" s="57"/>
      <c r="L1500" s="57"/>
      <c r="M1500" s="57"/>
      <c r="N1500" s="42"/>
      <c r="O1500" s="57"/>
      <c r="P1500" s="43"/>
      <c r="Q1500" s="41"/>
      <c r="R1500" s="43"/>
      <c r="S1500" s="36"/>
      <c r="T1500" s="16">
        <f t="shared" si="46"/>
        <v>0</v>
      </c>
      <c r="U1500" s="16">
        <f t="shared" si="47"/>
        <v>0</v>
      </c>
      <c r="V1500" s="133"/>
    </row>
    <row r="1501" spans="1:22" s="56" customFormat="1">
      <c r="A1501" s="58"/>
      <c r="B1501" s="36"/>
      <c r="C1501" s="58"/>
      <c r="D1501" s="57"/>
      <c r="E1501" s="57"/>
      <c r="F1501" s="41"/>
      <c r="G1501" s="41"/>
      <c r="H1501" s="41"/>
      <c r="I1501" s="57"/>
      <c r="J1501" s="36"/>
      <c r="K1501" s="57"/>
      <c r="L1501" s="57"/>
      <c r="M1501" s="57"/>
      <c r="N1501" s="42"/>
      <c r="O1501" s="57"/>
      <c r="P1501" s="43"/>
      <c r="Q1501" s="41"/>
      <c r="R1501" s="43"/>
      <c r="S1501" s="36"/>
      <c r="T1501" s="16">
        <f t="shared" si="46"/>
        <v>0</v>
      </c>
      <c r="U1501" s="16">
        <f t="shared" si="47"/>
        <v>0</v>
      </c>
      <c r="V1501" s="133"/>
    </row>
    <row r="1502" spans="1:22" s="56" customFormat="1">
      <c r="A1502" s="58"/>
      <c r="B1502" s="36"/>
      <c r="C1502" s="58"/>
      <c r="D1502" s="57"/>
      <c r="E1502" s="57"/>
      <c r="F1502" s="41"/>
      <c r="G1502" s="41"/>
      <c r="H1502" s="41"/>
      <c r="I1502" s="57"/>
      <c r="J1502" s="36"/>
      <c r="K1502" s="57"/>
      <c r="L1502" s="57"/>
      <c r="M1502" s="57"/>
      <c r="N1502" s="42"/>
      <c r="O1502" s="57"/>
      <c r="P1502" s="43"/>
      <c r="Q1502" s="41"/>
      <c r="R1502" s="43"/>
      <c r="S1502" s="36"/>
      <c r="T1502" s="16">
        <f t="shared" si="46"/>
        <v>0</v>
      </c>
      <c r="U1502" s="16">
        <f t="shared" si="47"/>
        <v>0</v>
      </c>
      <c r="V1502" s="133"/>
    </row>
    <row r="1503" spans="1:22" s="56" customFormat="1">
      <c r="A1503" s="58"/>
      <c r="B1503" s="36"/>
      <c r="C1503" s="58"/>
      <c r="D1503" s="57"/>
      <c r="E1503" s="57"/>
      <c r="F1503" s="41"/>
      <c r="G1503" s="41"/>
      <c r="H1503" s="41"/>
      <c r="I1503" s="57"/>
      <c r="J1503" s="36"/>
      <c r="K1503" s="57"/>
      <c r="L1503" s="57"/>
      <c r="M1503" s="57"/>
      <c r="N1503" s="42"/>
      <c r="O1503" s="57"/>
      <c r="P1503" s="43"/>
      <c r="Q1503" s="41"/>
      <c r="R1503" s="43"/>
      <c r="S1503" s="36"/>
      <c r="T1503" s="16">
        <f t="shared" si="46"/>
        <v>0</v>
      </c>
      <c r="U1503" s="16">
        <f t="shared" si="47"/>
        <v>0</v>
      </c>
      <c r="V1503" s="133"/>
    </row>
    <row r="1504" spans="1:22" s="56" customFormat="1">
      <c r="A1504" s="58"/>
      <c r="B1504" s="36"/>
      <c r="C1504" s="58"/>
      <c r="D1504" s="57"/>
      <c r="E1504" s="57"/>
      <c r="F1504" s="41"/>
      <c r="G1504" s="41"/>
      <c r="H1504" s="41"/>
      <c r="I1504" s="57"/>
      <c r="J1504" s="36"/>
      <c r="K1504" s="57"/>
      <c r="L1504" s="57"/>
      <c r="M1504" s="57"/>
      <c r="N1504" s="42"/>
      <c r="O1504" s="57"/>
      <c r="P1504" s="43"/>
      <c r="Q1504" s="41"/>
      <c r="R1504" s="43"/>
      <c r="S1504" s="36"/>
      <c r="T1504" s="16">
        <f t="shared" si="46"/>
        <v>0</v>
      </c>
      <c r="U1504" s="16">
        <f t="shared" si="47"/>
        <v>0</v>
      </c>
      <c r="V1504" s="133"/>
    </row>
    <row r="1505" spans="1:22" s="56" customFormat="1">
      <c r="A1505" s="58"/>
      <c r="B1505" s="36"/>
      <c r="C1505" s="58"/>
      <c r="D1505" s="57"/>
      <c r="E1505" s="57"/>
      <c r="F1505" s="41"/>
      <c r="G1505" s="41"/>
      <c r="H1505" s="41"/>
      <c r="I1505" s="57"/>
      <c r="J1505" s="36"/>
      <c r="K1505" s="57"/>
      <c r="L1505" s="57"/>
      <c r="M1505" s="57"/>
      <c r="N1505" s="42"/>
      <c r="O1505" s="57"/>
      <c r="P1505" s="43"/>
      <c r="Q1505" s="41"/>
      <c r="R1505" s="43"/>
      <c r="S1505" s="36"/>
      <c r="T1505" s="16">
        <f t="shared" si="46"/>
        <v>0</v>
      </c>
      <c r="U1505" s="16">
        <f t="shared" si="47"/>
        <v>0</v>
      </c>
      <c r="V1505" s="133"/>
    </row>
    <row r="1506" spans="1:22" s="56" customFormat="1">
      <c r="A1506" s="58"/>
      <c r="B1506" s="36"/>
      <c r="C1506" s="58"/>
      <c r="D1506" s="57"/>
      <c r="E1506" s="57"/>
      <c r="F1506" s="41"/>
      <c r="G1506" s="41"/>
      <c r="H1506" s="41"/>
      <c r="I1506" s="57"/>
      <c r="J1506" s="36"/>
      <c r="K1506" s="57"/>
      <c r="L1506" s="57"/>
      <c r="M1506" s="57"/>
      <c r="N1506" s="42"/>
      <c r="O1506" s="57"/>
      <c r="P1506" s="43"/>
      <c r="Q1506" s="41"/>
      <c r="R1506" s="43"/>
      <c r="S1506" s="36"/>
      <c r="T1506" s="16">
        <f t="shared" si="46"/>
        <v>0</v>
      </c>
      <c r="U1506" s="16">
        <f t="shared" si="47"/>
        <v>0</v>
      </c>
      <c r="V1506" s="133"/>
    </row>
    <row r="1507" spans="1:22" s="56" customFormat="1">
      <c r="A1507" s="58"/>
      <c r="B1507" s="36"/>
      <c r="C1507" s="58"/>
      <c r="D1507" s="57"/>
      <c r="E1507" s="57"/>
      <c r="F1507" s="41"/>
      <c r="G1507" s="41"/>
      <c r="H1507" s="41"/>
      <c r="I1507" s="57"/>
      <c r="J1507" s="36"/>
      <c r="K1507" s="57"/>
      <c r="L1507" s="57"/>
      <c r="M1507" s="57"/>
      <c r="N1507" s="42"/>
      <c r="O1507" s="57"/>
      <c r="P1507" s="43"/>
      <c r="Q1507" s="41"/>
      <c r="R1507" s="43"/>
      <c r="S1507" s="36"/>
      <c r="T1507" s="16">
        <f t="shared" si="46"/>
        <v>0</v>
      </c>
      <c r="U1507" s="16">
        <f t="shared" si="47"/>
        <v>0</v>
      </c>
      <c r="V1507" s="133"/>
    </row>
    <row r="1508" spans="1:22" s="56" customFormat="1">
      <c r="A1508" s="58"/>
      <c r="B1508" s="36"/>
      <c r="C1508" s="58"/>
      <c r="D1508" s="57"/>
      <c r="E1508" s="57"/>
      <c r="F1508" s="41"/>
      <c r="G1508" s="41"/>
      <c r="H1508" s="41"/>
      <c r="I1508" s="57"/>
      <c r="J1508" s="36"/>
      <c r="K1508" s="57"/>
      <c r="L1508" s="57"/>
      <c r="M1508" s="57"/>
      <c r="N1508" s="42"/>
      <c r="O1508" s="57"/>
      <c r="P1508" s="43"/>
      <c r="Q1508" s="41"/>
      <c r="R1508" s="43"/>
      <c r="S1508" s="36"/>
      <c r="T1508" s="16">
        <f t="shared" si="46"/>
        <v>0</v>
      </c>
      <c r="U1508" s="16">
        <f t="shared" si="47"/>
        <v>0</v>
      </c>
      <c r="V1508" s="133"/>
    </row>
    <row r="1509" spans="1:22" s="56" customFormat="1">
      <c r="A1509" s="58"/>
      <c r="B1509" s="36"/>
      <c r="C1509" s="58"/>
      <c r="D1509" s="57"/>
      <c r="E1509" s="57"/>
      <c r="F1509" s="41"/>
      <c r="G1509" s="41"/>
      <c r="H1509" s="41"/>
      <c r="I1509" s="57"/>
      <c r="J1509" s="36"/>
      <c r="K1509" s="57"/>
      <c r="L1509" s="57"/>
      <c r="M1509" s="57"/>
      <c r="N1509" s="42"/>
      <c r="O1509" s="57"/>
      <c r="P1509" s="43"/>
      <c r="Q1509" s="41"/>
      <c r="R1509" s="43"/>
      <c r="S1509" s="36"/>
      <c r="T1509" s="16">
        <f t="shared" si="46"/>
        <v>0</v>
      </c>
      <c r="U1509" s="16">
        <f t="shared" si="47"/>
        <v>0</v>
      </c>
      <c r="V1509" s="133"/>
    </row>
    <row r="1510" spans="1:22" s="56" customFormat="1">
      <c r="A1510" s="58"/>
      <c r="B1510" s="36"/>
      <c r="C1510" s="58"/>
      <c r="D1510" s="57"/>
      <c r="E1510" s="57"/>
      <c r="F1510" s="41"/>
      <c r="G1510" s="41"/>
      <c r="H1510" s="41"/>
      <c r="I1510" s="57"/>
      <c r="J1510" s="36"/>
      <c r="K1510" s="57"/>
      <c r="L1510" s="57"/>
      <c r="M1510" s="57"/>
      <c r="N1510" s="42"/>
      <c r="O1510" s="57"/>
      <c r="P1510" s="43"/>
      <c r="Q1510" s="41"/>
      <c r="R1510" s="43"/>
      <c r="S1510" s="36"/>
      <c r="T1510" s="16">
        <f t="shared" si="46"/>
        <v>0</v>
      </c>
      <c r="U1510" s="16">
        <f t="shared" si="47"/>
        <v>0</v>
      </c>
      <c r="V1510" s="133"/>
    </row>
    <row r="1511" spans="1:22" s="56" customFormat="1">
      <c r="A1511" s="58"/>
      <c r="B1511" s="36"/>
      <c r="C1511" s="58"/>
      <c r="D1511" s="57"/>
      <c r="E1511" s="57"/>
      <c r="F1511" s="41"/>
      <c r="G1511" s="41"/>
      <c r="H1511" s="41"/>
      <c r="I1511" s="57"/>
      <c r="J1511" s="36"/>
      <c r="K1511" s="57"/>
      <c r="L1511" s="57"/>
      <c r="M1511" s="57"/>
      <c r="N1511" s="42"/>
      <c r="O1511" s="57"/>
      <c r="P1511" s="43"/>
      <c r="Q1511" s="41"/>
      <c r="R1511" s="43"/>
      <c r="S1511" s="36"/>
      <c r="T1511" s="16">
        <f t="shared" si="46"/>
        <v>0</v>
      </c>
      <c r="U1511" s="16">
        <f t="shared" si="47"/>
        <v>0</v>
      </c>
      <c r="V1511" s="133"/>
    </row>
    <row r="1512" spans="1:22" s="56" customFormat="1">
      <c r="A1512" s="58"/>
      <c r="B1512" s="36"/>
      <c r="C1512" s="58"/>
      <c r="D1512" s="57"/>
      <c r="E1512" s="57"/>
      <c r="F1512" s="41"/>
      <c r="G1512" s="41"/>
      <c r="H1512" s="41"/>
      <c r="I1512" s="57"/>
      <c r="J1512" s="36"/>
      <c r="K1512" s="57"/>
      <c r="L1512" s="57"/>
      <c r="M1512" s="57"/>
      <c r="N1512" s="42"/>
      <c r="O1512" s="57"/>
      <c r="P1512" s="43"/>
      <c r="Q1512" s="41"/>
      <c r="R1512" s="43"/>
      <c r="S1512" s="36"/>
      <c r="T1512" s="16">
        <f t="shared" si="46"/>
        <v>0</v>
      </c>
      <c r="U1512" s="16">
        <f t="shared" si="47"/>
        <v>0</v>
      </c>
      <c r="V1512" s="133"/>
    </row>
    <row r="1513" spans="1:22" s="56" customFormat="1">
      <c r="A1513" s="58"/>
      <c r="B1513" s="36"/>
      <c r="C1513" s="58"/>
      <c r="D1513" s="57"/>
      <c r="E1513" s="57"/>
      <c r="F1513" s="41"/>
      <c r="G1513" s="41"/>
      <c r="H1513" s="41"/>
      <c r="I1513" s="57"/>
      <c r="J1513" s="36"/>
      <c r="K1513" s="57"/>
      <c r="L1513" s="57"/>
      <c r="M1513" s="57"/>
      <c r="N1513" s="42"/>
      <c r="O1513" s="57"/>
      <c r="P1513" s="43"/>
      <c r="Q1513" s="41"/>
      <c r="R1513" s="43"/>
      <c r="S1513" s="36"/>
      <c r="T1513" s="16">
        <f t="shared" si="46"/>
        <v>0</v>
      </c>
      <c r="U1513" s="16">
        <f t="shared" si="47"/>
        <v>0</v>
      </c>
      <c r="V1513" s="133"/>
    </row>
    <row r="1514" spans="1:22" s="56" customFormat="1">
      <c r="A1514" s="58"/>
      <c r="B1514" s="36"/>
      <c r="C1514" s="58"/>
      <c r="D1514" s="57"/>
      <c r="E1514" s="57"/>
      <c r="F1514" s="41"/>
      <c r="G1514" s="41"/>
      <c r="H1514" s="41"/>
      <c r="I1514" s="57"/>
      <c r="J1514" s="36"/>
      <c r="K1514" s="57"/>
      <c r="L1514" s="57"/>
      <c r="M1514" s="57"/>
      <c r="N1514" s="42"/>
      <c r="O1514" s="57"/>
      <c r="P1514" s="43"/>
      <c r="Q1514" s="41"/>
      <c r="R1514" s="43"/>
      <c r="S1514" s="36"/>
      <c r="T1514" s="16">
        <f t="shared" si="46"/>
        <v>0</v>
      </c>
      <c r="U1514" s="16">
        <f t="shared" si="47"/>
        <v>0</v>
      </c>
      <c r="V1514" s="133"/>
    </row>
    <row r="1515" spans="1:22" s="56" customFormat="1">
      <c r="A1515" s="58"/>
      <c r="B1515" s="36"/>
      <c r="C1515" s="58"/>
      <c r="D1515" s="57"/>
      <c r="E1515" s="57"/>
      <c r="F1515" s="41"/>
      <c r="G1515" s="41"/>
      <c r="H1515" s="41"/>
      <c r="I1515" s="57"/>
      <c r="J1515" s="36"/>
      <c r="K1515" s="57"/>
      <c r="L1515" s="57"/>
      <c r="M1515" s="57"/>
      <c r="N1515" s="42"/>
      <c r="O1515" s="57"/>
      <c r="P1515" s="43"/>
      <c r="Q1515" s="41"/>
      <c r="R1515" s="43"/>
      <c r="S1515" s="36"/>
      <c r="T1515" s="16">
        <f t="shared" si="46"/>
        <v>0</v>
      </c>
      <c r="U1515" s="16">
        <f t="shared" si="47"/>
        <v>0</v>
      </c>
      <c r="V1515" s="133"/>
    </row>
    <row r="1516" spans="1:22" s="56" customFormat="1">
      <c r="A1516" s="58"/>
      <c r="B1516" s="36"/>
      <c r="C1516" s="58"/>
      <c r="D1516" s="57"/>
      <c r="E1516" s="57"/>
      <c r="F1516" s="41"/>
      <c r="G1516" s="41"/>
      <c r="H1516" s="41"/>
      <c r="I1516" s="57"/>
      <c r="J1516" s="36"/>
      <c r="K1516" s="57"/>
      <c r="L1516" s="57"/>
      <c r="M1516" s="57"/>
      <c r="N1516" s="42"/>
      <c r="O1516" s="57"/>
      <c r="P1516" s="43"/>
      <c r="Q1516" s="41"/>
      <c r="R1516" s="43"/>
      <c r="S1516" s="36"/>
      <c r="T1516" s="16">
        <f t="shared" si="46"/>
        <v>0</v>
      </c>
      <c r="U1516" s="16">
        <f t="shared" si="47"/>
        <v>0</v>
      </c>
      <c r="V1516" s="133"/>
    </row>
    <row r="1517" spans="1:22" s="56" customFormat="1">
      <c r="A1517" s="58"/>
      <c r="B1517" s="36"/>
      <c r="C1517" s="58"/>
      <c r="D1517" s="57"/>
      <c r="E1517" s="57"/>
      <c r="F1517" s="41"/>
      <c r="G1517" s="41"/>
      <c r="H1517" s="41"/>
      <c r="I1517" s="57"/>
      <c r="J1517" s="36"/>
      <c r="K1517" s="57"/>
      <c r="L1517" s="57"/>
      <c r="M1517" s="57"/>
      <c r="N1517" s="42"/>
      <c r="O1517" s="57"/>
      <c r="P1517" s="43"/>
      <c r="Q1517" s="41"/>
      <c r="R1517" s="43"/>
      <c r="S1517" s="36"/>
      <c r="T1517" s="16">
        <f t="shared" si="46"/>
        <v>0</v>
      </c>
      <c r="U1517" s="16">
        <f t="shared" si="47"/>
        <v>0</v>
      </c>
      <c r="V1517" s="133"/>
    </row>
    <row r="1518" spans="1:22" s="56" customFormat="1">
      <c r="A1518" s="58"/>
      <c r="B1518" s="36"/>
      <c r="C1518" s="58"/>
      <c r="D1518" s="57"/>
      <c r="E1518" s="57"/>
      <c r="F1518" s="41"/>
      <c r="G1518" s="41"/>
      <c r="H1518" s="41"/>
      <c r="I1518" s="57"/>
      <c r="J1518" s="36"/>
      <c r="K1518" s="57"/>
      <c r="L1518" s="57"/>
      <c r="M1518" s="57"/>
      <c r="N1518" s="42"/>
      <c r="O1518" s="57"/>
      <c r="P1518" s="43"/>
      <c r="Q1518" s="41"/>
      <c r="R1518" s="43"/>
      <c r="S1518" s="36"/>
      <c r="T1518" s="16">
        <f t="shared" si="46"/>
        <v>0</v>
      </c>
      <c r="U1518" s="16">
        <f t="shared" si="47"/>
        <v>0</v>
      </c>
      <c r="V1518" s="133"/>
    </row>
    <row r="1519" spans="1:22" s="56" customFormat="1">
      <c r="A1519" s="58"/>
      <c r="B1519" s="36"/>
      <c r="C1519" s="58"/>
      <c r="D1519" s="57"/>
      <c r="E1519" s="57"/>
      <c r="F1519" s="41"/>
      <c r="G1519" s="41"/>
      <c r="H1519" s="41"/>
      <c r="I1519" s="57"/>
      <c r="J1519" s="36"/>
      <c r="K1519" s="57"/>
      <c r="L1519" s="57"/>
      <c r="M1519" s="57"/>
      <c r="N1519" s="42"/>
      <c r="O1519" s="57"/>
      <c r="P1519" s="43"/>
      <c r="Q1519" s="41"/>
      <c r="R1519" s="43"/>
      <c r="S1519" s="36"/>
      <c r="T1519" s="16">
        <f t="shared" si="46"/>
        <v>0</v>
      </c>
      <c r="U1519" s="16">
        <f t="shared" si="47"/>
        <v>0</v>
      </c>
      <c r="V1519" s="133"/>
    </row>
    <row r="1520" spans="1:22" s="56" customFormat="1">
      <c r="A1520" s="58"/>
      <c r="B1520" s="36"/>
      <c r="C1520" s="58"/>
      <c r="D1520" s="57"/>
      <c r="E1520" s="57"/>
      <c r="F1520" s="41"/>
      <c r="G1520" s="41"/>
      <c r="H1520" s="41"/>
      <c r="I1520" s="57"/>
      <c r="J1520" s="36"/>
      <c r="K1520" s="57"/>
      <c r="L1520" s="57"/>
      <c r="M1520" s="57"/>
      <c r="N1520" s="42"/>
      <c r="O1520" s="57"/>
      <c r="P1520" s="43"/>
      <c r="Q1520" s="41"/>
      <c r="R1520" s="43"/>
      <c r="S1520" s="36"/>
      <c r="T1520" s="16">
        <f t="shared" si="46"/>
        <v>0</v>
      </c>
      <c r="U1520" s="16">
        <f t="shared" si="47"/>
        <v>0</v>
      </c>
      <c r="V1520" s="133"/>
    </row>
    <row r="1521" spans="1:22" s="56" customFormat="1">
      <c r="A1521" s="58"/>
      <c r="B1521" s="36"/>
      <c r="C1521" s="58"/>
      <c r="D1521" s="57"/>
      <c r="E1521" s="57"/>
      <c r="F1521" s="41"/>
      <c r="G1521" s="41"/>
      <c r="H1521" s="41"/>
      <c r="I1521" s="57"/>
      <c r="J1521" s="36"/>
      <c r="K1521" s="57"/>
      <c r="L1521" s="57"/>
      <c r="M1521" s="57"/>
      <c r="N1521" s="42"/>
      <c r="O1521" s="57"/>
      <c r="P1521" s="43"/>
      <c r="Q1521" s="41"/>
      <c r="R1521" s="43"/>
      <c r="S1521" s="36"/>
      <c r="T1521" s="16">
        <f t="shared" si="46"/>
        <v>0</v>
      </c>
      <c r="U1521" s="16">
        <f t="shared" si="47"/>
        <v>0</v>
      </c>
      <c r="V1521" s="133"/>
    </row>
    <row r="1522" spans="1:22" s="56" customFormat="1">
      <c r="A1522" s="58"/>
      <c r="B1522" s="36"/>
      <c r="C1522" s="58"/>
      <c r="D1522" s="57"/>
      <c r="E1522" s="57"/>
      <c r="F1522" s="41"/>
      <c r="G1522" s="41"/>
      <c r="H1522" s="41"/>
      <c r="I1522" s="57"/>
      <c r="J1522" s="36"/>
      <c r="K1522" s="57"/>
      <c r="L1522" s="57"/>
      <c r="M1522" s="57"/>
      <c r="N1522" s="42"/>
      <c r="O1522" s="57"/>
      <c r="P1522" s="43"/>
      <c r="Q1522" s="41"/>
      <c r="R1522" s="43"/>
      <c r="S1522" s="36"/>
      <c r="T1522" s="16">
        <f t="shared" si="46"/>
        <v>0</v>
      </c>
      <c r="U1522" s="16">
        <f t="shared" si="47"/>
        <v>0</v>
      </c>
      <c r="V1522" s="133"/>
    </row>
    <row r="1523" spans="1:22" s="56" customFormat="1">
      <c r="A1523" s="58"/>
      <c r="B1523" s="36"/>
      <c r="C1523" s="58"/>
      <c r="D1523" s="57"/>
      <c r="E1523" s="57"/>
      <c r="F1523" s="41"/>
      <c r="G1523" s="41"/>
      <c r="H1523" s="41"/>
      <c r="I1523" s="57"/>
      <c r="J1523" s="36"/>
      <c r="K1523" s="57"/>
      <c r="L1523" s="57"/>
      <c r="M1523" s="57"/>
      <c r="N1523" s="42"/>
      <c r="O1523" s="57"/>
      <c r="P1523" s="43"/>
      <c r="Q1523" s="41"/>
      <c r="R1523" s="43"/>
      <c r="S1523" s="36"/>
      <c r="T1523" s="16">
        <f t="shared" si="46"/>
        <v>0</v>
      </c>
      <c r="U1523" s="16">
        <f t="shared" si="47"/>
        <v>0</v>
      </c>
      <c r="V1523" s="133"/>
    </row>
    <row r="1524" spans="1:22" s="56" customFormat="1">
      <c r="A1524" s="58"/>
      <c r="B1524" s="36"/>
      <c r="C1524" s="58"/>
      <c r="D1524" s="57"/>
      <c r="E1524" s="57"/>
      <c r="F1524" s="41"/>
      <c r="G1524" s="41"/>
      <c r="H1524" s="41"/>
      <c r="I1524" s="57"/>
      <c r="J1524" s="36"/>
      <c r="K1524" s="57"/>
      <c r="L1524" s="57"/>
      <c r="M1524" s="57"/>
      <c r="N1524" s="42"/>
      <c r="O1524" s="57"/>
      <c r="P1524" s="43"/>
      <c r="Q1524" s="41"/>
      <c r="R1524" s="43"/>
      <c r="S1524" s="36"/>
      <c r="T1524" s="16">
        <f t="shared" si="46"/>
        <v>0</v>
      </c>
      <c r="U1524" s="16">
        <f t="shared" si="47"/>
        <v>0</v>
      </c>
      <c r="V1524" s="133"/>
    </row>
    <row r="1525" spans="1:22" s="56" customFormat="1">
      <c r="A1525" s="58"/>
      <c r="B1525" s="36"/>
      <c r="C1525" s="58"/>
      <c r="D1525" s="57"/>
      <c r="E1525" s="57"/>
      <c r="F1525" s="41"/>
      <c r="G1525" s="41"/>
      <c r="H1525" s="41"/>
      <c r="I1525" s="57"/>
      <c r="J1525" s="36"/>
      <c r="K1525" s="57"/>
      <c r="L1525" s="57"/>
      <c r="M1525" s="57"/>
      <c r="N1525" s="42"/>
      <c r="O1525" s="57"/>
      <c r="P1525" s="43"/>
      <c r="Q1525" s="41"/>
      <c r="R1525" s="43"/>
      <c r="S1525" s="36"/>
      <c r="T1525" s="16">
        <f t="shared" si="46"/>
        <v>0</v>
      </c>
      <c r="U1525" s="16">
        <f t="shared" si="47"/>
        <v>0</v>
      </c>
      <c r="V1525" s="133"/>
    </row>
    <row r="1526" spans="1:22" s="56" customFormat="1">
      <c r="A1526" s="58"/>
      <c r="B1526" s="36"/>
      <c r="C1526" s="58"/>
      <c r="D1526" s="57"/>
      <c r="E1526" s="57"/>
      <c r="F1526" s="41"/>
      <c r="G1526" s="41"/>
      <c r="H1526" s="41"/>
      <c r="I1526" s="57"/>
      <c r="J1526" s="36"/>
      <c r="K1526" s="57"/>
      <c r="L1526" s="57"/>
      <c r="M1526" s="57"/>
      <c r="N1526" s="42"/>
      <c r="O1526" s="57"/>
      <c r="P1526" s="43"/>
      <c r="Q1526" s="41"/>
      <c r="R1526" s="43"/>
      <c r="S1526" s="36"/>
      <c r="T1526" s="16">
        <f t="shared" si="46"/>
        <v>0</v>
      </c>
      <c r="U1526" s="16">
        <f t="shared" si="47"/>
        <v>0</v>
      </c>
      <c r="V1526" s="133"/>
    </row>
    <row r="1527" spans="1:22" s="56" customFormat="1">
      <c r="A1527" s="58"/>
      <c r="B1527" s="36"/>
      <c r="C1527" s="58"/>
      <c r="D1527" s="57"/>
      <c r="E1527" s="57"/>
      <c r="F1527" s="41"/>
      <c r="G1527" s="41"/>
      <c r="H1527" s="41"/>
      <c r="I1527" s="57"/>
      <c r="J1527" s="36"/>
      <c r="K1527" s="57"/>
      <c r="L1527" s="57"/>
      <c r="M1527" s="57"/>
      <c r="N1527" s="42"/>
      <c r="O1527" s="57"/>
      <c r="P1527" s="43"/>
      <c r="Q1527" s="41"/>
      <c r="R1527" s="43"/>
      <c r="S1527" s="36"/>
      <c r="T1527" s="16">
        <f t="shared" si="46"/>
        <v>0</v>
      </c>
      <c r="U1527" s="16">
        <f t="shared" si="47"/>
        <v>0</v>
      </c>
      <c r="V1527" s="133"/>
    </row>
    <row r="1528" spans="1:22" s="56" customFormat="1">
      <c r="A1528" s="58"/>
      <c r="B1528" s="36"/>
      <c r="C1528" s="58"/>
      <c r="D1528" s="57"/>
      <c r="E1528" s="57"/>
      <c r="F1528" s="41"/>
      <c r="G1528" s="41"/>
      <c r="H1528" s="41"/>
      <c r="I1528" s="57"/>
      <c r="J1528" s="36"/>
      <c r="K1528" s="57"/>
      <c r="L1528" s="57"/>
      <c r="M1528" s="57"/>
      <c r="N1528" s="42"/>
      <c r="O1528" s="57"/>
      <c r="P1528" s="43"/>
      <c r="Q1528" s="41"/>
      <c r="R1528" s="43"/>
      <c r="S1528" s="36"/>
      <c r="T1528" s="16">
        <f t="shared" si="46"/>
        <v>0</v>
      </c>
      <c r="U1528" s="16">
        <f t="shared" si="47"/>
        <v>0</v>
      </c>
      <c r="V1528" s="133"/>
    </row>
    <row r="1529" spans="1:22" s="56" customFormat="1">
      <c r="A1529" s="58"/>
      <c r="B1529" s="36"/>
      <c r="C1529" s="58"/>
      <c r="D1529" s="57"/>
      <c r="E1529" s="57"/>
      <c r="F1529" s="41"/>
      <c r="G1529" s="41"/>
      <c r="H1529" s="41"/>
      <c r="I1529" s="57"/>
      <c r="J1529" s="36"/>
      <c r="K1529" s="57"/>
      <c r="L1529" s="57"/>
      <c r="M1529" s="57"/>
      <c r="N1529" s="42"/>
      <c r="O1529" s="57"/>
      <c r="P1529" s="43"/>
      <c r="Q1529" s="41"/>
      <c r="R1529" s="43"/>
      <c r="S1529" s="36"/>
      <c r="T1529" s="16">
        <f t="shared" si="46"/>
        <v>0</v>
      </c>
      <c r="U1529" s="16">
        <f t="shared" si="47"/>
        <v>0</v>
      </c>
      <c r="V1529" s="133"/>
    </row>
    <row r="1530" spans="1:22" s="56" customFormat="1">
      <c r="A1530" s="58"/>
      <c r="B1530" s="36"/>
      <c r="C1530" s="58"/>
      <c r="D1530" s="57"/>
      <c r="E1530" s="57"/>
      <c r="F1530" s="41"/>
      <c r="G1530" s="41"/>
      <c r="H1530" s="41"/>
      <c r="I1530" s="57"/>
      <c r="J1530" s="36"/>
      <c r="K1530" s="57"/>
      <c r="L1530" s="57"/>
      <c r="M1530" s="57"/>
      <c r="N1530" s="42"/>
      <c r="O1530" s="57"/>
      <c r="P1530" s="43"/>
      <c r="Q1530" s="41"/>
      <c r="R1530" s="43"/>
      <c r="S1530" s="36"/>
      <c r="T1530" s="16">
        <f t="shared" si="46"/>
        <v>0</v>
      </c>
      <c r="U1530" s="16">
        <f t="shared" si="47"/>
        <v>0</v>
      </c>
      <c r="V1530" s="133"/>
    </row>
    <row r="1531" spans="1:22" s="56" customFormat="1">
      <c r="A1531" s="58"/>
      <c r="B1531" s="36"/>
      <c r="C1531" s="58"/>
      <c r="D1531" s="57"/>
      <c r="E1531" s="57"/>
      <c r="F1531" s="41"/>
      <c r="G1531" s="41"/>
      <c r="H1531" s="41"/>
      <c r="I1531" s="57"/>
      <c r="J1531" s="36"/>
      <c r="K1531" s="57"/>
      <c r="L1531" s="57"/>
      <c r="M1531" s="57"/>
      <c r="N1531" s="42"/>
      <c r="O1531" s="57"/>
      <c r="P1531" s="43"/>
      <c r="Q1531" s="41"/>
      <c r="R1531" s="43"/>
      <c r="S1531" s="36"/>
      <c r="T1531" s="16">
        <f t="shared" si="46"/>
        <v>0</v>
      </c>
      <c r="U1531" s="16">
        <f t="shared" si="47"/>
        <v>0</v>
      </c>
      <c r="V1531" s="133"/>
    </row>
    <row r="1532" spans="1:22" s="56" customFormat="1">
      <c r="A1532" s="58"/>
      <c r="B1532" s="36"/>
      <c r="C1532" s="58"/>
      <c r="D1532" s="57"/>
      <c r="E1532" s="57"/>
      <c r="F1532" s="41"/>
      <c r="G1532" s="41"/>
      <c r="H1532" s="41"/>
      <c r="I1532" s="57"/>
      <c r="J1532" s="36"/>
      <c r="K1532" s="57"/>
      <c r="L1532" s="57"/>
      <c r="M1532" s="57"/>
      <c r="N1532" s="42"/>
      <c r="O1532" s="57"/>
      <c r="P1532" s="43"/>
      <c r="Q1532" s="41"/>
      <c r="R1532" s="43"/>
      <c r="S1532" s="36"/>
      <c r="T1532" s="16">
        <f t="shared" si="46"/>
        <v>0</v>
      </c>
      <c r="U1532" s="16">
        <f t="shared" si="47"/>
        <v>0</v>
      </c>
      <c r="V1532" s="133"/>
    </row>
    <row r="1533" spans="1:22" s="56" customFormat="1">
      <c r="A1533" s="58"/>
      <c r="B1533" s="36"/>
      <c r="C1533" s="58"/>
      <c r="D1533" s="57"/>
      <c r="E1533" s="57"/>
      <c r="F1533" s="41"/>
      <c r="G1533" s="41"/>
      <c r="H1533" s="41"/>
      <c r="I1533" s="57"/>
      <c r="J1533" s="36"/>
      <c r="K1533" s="57"/>
      <c r="L1533" s="57"/>
      <c r="M1533" s="57"/>
      <c r="N1533" s="42"/>
      <c r="O1533" s="57"/>
      <c r="P1533" s="43"/>
      <c r="Q1533" s="41"/>
      <c r="R1533" s="43"/>
      <c r="S1533" s="36"/>
      <c r="T1533" s="16">
        <f t="shared" si="46"/>
        <v>0</v>
      </c>
      <c r="U1533" s="16">
        <f t="shared" si="47"/>
        <v>0</v>
      </c>
      <c r="V1533" s="133"/>
    </row>
    <row r="1534" spans="1:22" s="56" customFormat="1">
      <c r="A1534" s="58"/>
      <c r="B1534" s="36"/>
      <c r="C1534" s="58"/>
      <c r="D1534" s="57"/>
      <c r="E1534" s="57"/>
      <c r="F1534" s="41"/>
      <c r="G1534" s="41"/>
      <c r="H1534" s="41"/>
      <c r="I1534" s="57"/>
      <c r="J1534" s="36"/>
      <c r="K1534" s="57"/>
      <c r="L1534" s="57"/>
      <c r="M1534" s="57"/>
      <c r="N1534" s="42"/>
      <c r="O1534" s="57"/>
      <c r="P1534" s="43"/>
      <c r="Q1534" s="41"/>
      <c r="R1534" s="43"/>
      <c r="S1534" s="36"/>
      <c r="T1534" s="16">
        <f t="shared" si="46"/>
        <v>0</v>
      </c>
      <c r="U1534" s="16">
        <f t="shared" si="47"/>
        <v>0</v>
      </c>
      <c r="V1534" s="133"/>
    </row>
    <row r="1535" spans="1:22" s="56" customFormat="1">
      <c r="A1535" s="58"/>
      <c r="B1535" s="36"/>
      <c r="C1535" s="58"/>
      <c r="D1535" s="57"/>
      <c r="E1535" s="57"/>
      <c r="F1535" s="41"/>
      <c r="G1535" s="41"/>
      <c r="H1535" s="41"/>
      <c r="I1535" s="57"/>
      <c r="J1535" s="36"/>
      <c r="K1535" s="57"/>
      <c r="L1535" s="57"/>
      <c r="M1535" s="57"/>
      <c r="N1535" s="42"/>
      <c r="O1535" s="57"/>
      <c r="P1535" s="43"/>
      <c r="Q1535" s="41"/>
      <c r="R1535" s="43"/>
      <c r="S1535" s="36"/>
      <c r="T1535" s="16">
        <f t="shared" si="46"/>
        <v>0</v>
      </c>
      <c r="U1535" s="16">
        <f t="shared" si="47"/>
        <v>0</v>
      </c>
      <c r="V1535" s="133"/>
    </row>
    <row r="1536" spans="1:22" s="56" customFormat="1">
      <c r="A1536" s="58"/>
      <c r="B1536" s="36"/>
      <c r="C1536" s="58"/>
      <c r="D1536" s="57"/>
      <c r="E1536" s="57"/>
      <c r="F1536" s="41"/>
      <c r="G1536" s="41"/>
      <c r="H1536" s="41"/>
      <c r="I1536" s="57"/>
      <c r="J1536" s="36"/>
      <c r="K1536" s="57"/>
      <c r="L1536" s="57"/>
      <c r="M1536" s="57"/>
      <c r="N1536" s="42"/>
      <c r="O1536" s="57"/>
      <c r="P1536" s="43"/>
      <c r="Q1536" s="41"/>
      <c r="R1536" s="43"/>
      <c r="S1536" s="36"/>
      <c r="T1536" s="16">
        <f t="shared" si="46"/>
        <v>0</v>
      </c>
      <c r="U1536" s="16">
        <f t="shared" si="47"/>
        <v>0</v>
      </c>
      <c r="V1536" s="133"/>
    </row>
    <row r="1537" spans="1:22" s="56" customFormat="1">
      <c r="A1537" s="58"/>
      <c r="B1537" s="36"/>
      <c r="C1537" s="58"/>
      <c r="D1537" s="57"/>
      <c r="E1537" s="57"/>
      <c r="F1537" s="41"/>
      <c r="G1537" s="41"/>
      <c r="H1537" s="41"/>
      <c r="I1537" s="57"/>
      <c r="J1537" s="36"/>
      <c r="K1537" s="57"/>
      <c r="L1537" s="57"/>
      <c r="M1537" s="57"/>
      <c r="N1537" s="42"/>
      <c r="O1537" s="57"/>
      <c r="P1537" s="43"/>
      <c r="Q1537" s="41"/>
      <c r="R1537" s="43"/>
      <c r="S1537" s="36"/>
      <c r="T1537" s="16">
        <f t="shared" si="46"/>
        <v>0</v>
      </c>
      <c r="U1537" s="16">
        <f t="shared" si="47"/>
        <v>0</v>
      </c>
      <c r="V1537" s="133"/>
    </row>
    <row r="1538" spans="1:22" s="56" customFormat="1">
      <c r="A1538" s="58"/>
      <c r="B1538" s="36"/>
      <c r="C1538" s="58"/>
      <c r="D1538" s="57"/>
      <c r="E1538" s="57"/>
      <c r="F1538" s="41"/>
      <c r="G1538" s="41"/>
      <c r="H1538" s="41"/>
      <c r="I1538" s="57"/>
      <c r="J1538" s="36"/>
      <c r="K1538" s="57"/>
      <c r="L1538" s="57"/>
      <c r="M1538" s="57"/>
      <c r="N1538" s="42"/>
      <c r="O1538" s="57"/>
      <c r="P1538" s="43"/>
      <c r="Q1538" s="41"/>
      <c r="R1538" s="43"/>
      <c r="S1538" s="36"/>
      <c r="T1538" s="16">
        <f t="shared" si="46"/>
        <v>0</v>
      </c>
      <c r="U1538" s="16">
        <f t="shared" si="47"/>
        <v>0</v>
      </c>
      <c r="V1538" s="133"/>
    </row>
    <row r="1539" spans="1:22" s="56" customFormat="1">
      <c r="A1539" s="58"/>
      <c r="B1539" s="36"/>
      <c r="C1539" s="58"/>
      <c r="D1539" s="57"/>
      <c r="E1539" s="57"/>
      <c r="F1539" s="41"/>
      <c r="G1539" s="41"/>
      <c r="H1539" s="41"/>
      <c r="I1539" s="57"/>
      <c r="J1539" s="36"/>
      <c r="K1539" s="57"/>
      <c r="L1539" s="57"/>
      <c r="M1539" s="57"/>
      <c r="N1539" s="42"/>
      <c r="O1539" s="57"/>
      <c r="P1539" s="43"/>
      <c r="Q1539" s="41"/>
      <c r="R1539" s="43"/>
      <c r="S1539" s="36"/>
      <c r="T1539" s="16">
        <f t="shared" si="46"/>
        <v>0</v>
      </c>
      <c r="U1539" s="16">
        <f t="shared" si="47"/>
        <v>0</v>
      </c>
      <c r="V1539" s="133"/>
    </row>
    <row r="1540" spans="1:22" s="56" customFormat="1">
      <c r="A1540" s="58"/>
      <c r="B1540" s="36"/>
      <c r="C1540" s="58"/>
      <c r="D1540" s="57"/>
      <c r="E1540" s="57"/>
      <c r="F1540" s="41"/>
      <c r="G1540" s="41"/>
      <c r="H1540" s="41"/>
      <c r="I1540" s="57"/>
      <c r="J1540" s="36"/>
      <c r="K1540" s="57"/>
      <c r="L1540" s="57"/>
      <c r="M1540" s="57"/>
      <c r="N1540" s="42"/>
      <c r="O1540" s="57"/>
      <c r="P1540" s="43"/>
      <c r="Q1540" s="41"/>
      <c r="R1540" s="43"/>
      <c r="S1540" s="36"/>
      <c r="T1540" s="16">
        <f t="shared" si="46"/>
        <v>0</v>
      </c>
      <c r="U1540" s="16">
        <f t="shared" si="47"/>
        <v>0</v>
      </c>
      <c r="V1540" s="133"/>
    </row>
    <row r="1541" spans="1:22" s="56" customFormat="1">
      <c r="A1541" s="58"/>
      <c r="B1541" s="36"/>
      <c r="C1541" s="58"/>
      <c r="D1541" s="57"/>
      <c r="E1541" s="57"/>
      <c r="F1541" s="41"/>
      <c r="G1541" s="41"/>
      <c r="H1541" s="41"/>
      <c r="I1541" s="57"/>
      <c r="J1541" s="36"/>
      <c r="K1541" s="57"/>
      <c r="L1541" s="57"/>
      <c r="M1541" s="57"/>
      <c r="N1541" s="42"/>
      <c r="O1541" s="57"/>
      <c r="P1541" s="43"/>
      <c r="Q1541" s="41"/>
      <c r="R1541" s="43"/>
      <c r="S1541" s="36"/>
      <c r="T1541" s="16">
        <f t="shared" ref="T1541:T1604" si="48">IF(OR($J1541="Accepted",ISBLANK($J1541)),IF(AND($G1541="Legacy Data",$Q1541="Legacy Data"),1,IF(OR($G1541="Legacy Data",$Q1541="Legacy Data"),1,0)),IF(OR($N1541="Agree with original translator",ISBLANK($N1541)),IF(AND($G1541="Source Text Data",$Q1541="Legacy Data"),1,IF(AND($G1541="Legacy Data",$Q1541="Legacy Data"),1,IF($Q1541="Legacy Data",1,0))),IF(AND($G1541="Legacy Data",$Q1541="Legacy Data"),1,IF(OR($Q1541="Legacy Data",ISBLANK($Q1541)),IF($G1541&lt;&gt;"Legacy Data",IF(AND($G1541="Source Text Data",$Q1541="Legacy Data"),1,0),1),0))))</f>
        <v>0</v>
      </c>
      <c r="U1541" s="16">
        <f t="shared" ref="U1541:U1604" si="49">IF(OR($J1541="Accepted",ISBLANK($J1541)),IF(AND($G1541="Source Text Data",$Q1541="Source Text Data"),1,IF(OR($G1541="Source Text Data",$Q1541="Source Text Data"),1,0)),IF(OR($N1541="Agree with original translator",ISBLANK($N1541)),IF(AND($G1541="Legacy Data",$Q1541="Source Text Data"),1,IF(AND($G1541="Source Text Data",$Q1541="Source Text Data"),1,IF($Q1541="Source Text Data",1,0))),IF(AND($G1541="Source Text Data",$Q1541="Source Text Data"),1,IF(OR($Q1541="Source Text Data",ISBLANK($Q1541)),IF($G1541&lt;&gt;"Source Text Data",IF(AND($G1541="Legacy Data",$Q1541="Source Text Data"),1,0),1),0))))</f>
        <v>0</v>
      </c>
      <c r="V1541" s="133"/>
    </row>
    <row r="1542" spans="1:22" s="56" customFormat="1">
      <c r="A1542" s="58"/>
      <c r="B1542" s="36"/>
      <c r="C1542" s="58"/>
      <c r="D1542" s="57"/>
      <c r="E1542" s="57"/>
      <c r="F1542" s="41"/>
      <c r="G1542" s="41"/>
      <c r="H1542" s="41"/>
      <c r="I1542" s="57"/>
      <c r="J1542" s="36"/>
      <c r="K1542" s="57"/>
      <c r="L1542" s="57"/>
      <c r="M1542" s="57"/>
      <c r="N1542" s="42"/>
      <c r="O1542" s="57"/>
      <c r="P1542" s="43"/>
      <c r="Q1542" s="41"/>
      <c r="R1542" s="43"/>
      <c r="S1542" s="36"/>
      <c r="T1542" s="16">
        <f t="shared" si="48"/>
        <v>0</v>
      </c>
      <c r="U1542" s="16">
        <f t="shared" si="49"/>
        <v>0</v>
      </c>
      <c r="V1542" s="133"/>
    </row>
    <row r="1543" spans="1:22" s="56" customFormat="1">
      <c r="A1543" s="58"/>
      <c r="B1543" s="36"/>
      <c r="C1543" s="58"/>
      <c r="D1543" s="57"/>
      <c r="E1543" s="57"/>
      <c r="F1543" s="41"/>
      <c r="G1543" s="41"/>
      <c r="H1543" s="41"/>
      <c r="I1543" s="57"/>
      <c r="J1543" s="36"/>
      <c r="K1543" s="57"/>
      <c r="L1543" s="57"/>
      <c r="M1543" s="57"/>
      <c r="N1543" s="42"/>
      <c r="O1543" s="57"/>
      <c r="P1543" s="43"/>
      <c r="Q1543" s="41"/>
      <c r="R1543" s="43"/>
      <c r="S1543" s="36"/>
      <c r="T1543" s="16">
        <f t="shared" si="48"/>
        <v>0</v>
      </c>
      <c r="U1543" s="16">
        <f t="shared" si="49"/>
        <v>0</v>
      </c>
      <c r="V1543" s="133"/>
    </row>
    <row r="1544" spans="1:22" s="56" customFormat="1">
      <c r="A1544" s="58"/>
      <c r="B1544" s="36"/>
      <c r="C1544" s="58"/>
      <c r="D1544" s="57"/>
      <c r="E1544" s="57"/>
      <c r="F1544" s="41"/>
      <c r="G1544" s="41"/>
      <c r="H1544" s="41"/>
      <c r="I1544" s="57"/>
      <c r="J1544" s="36"/>
      <c r="K1544" s="57"/>
      <c r="L1544" s="57"/>
      <c r="M1544" s="57"/>
      <c r="N1544" s="42"/>
      <c r="O1544" s="57"/>
      <c r="P1544" s="43"/>
      <c r="Q1544" s="41"/>
      <c r="R1544" s="43"/>
      <c r="S1544" s="36"/>
      <c r="T1544" s="16">
        <f t="shared" si="48"/>
        <v>0</v>
      </c>
      <c r="U1544" s="16">
        <f t="shared" si="49"/>
        <v>0</v>
      </c>
      <c r="V1544" s="133"/>
    </row>
    <row r="1545" spans="1:22" s="56" customFormat="1">
      <c r="A1545" s="58"/>
      <c r="B1545" s="36"/>
      <c r="C1545" s="58"/>
      <c r="D1545" s="57"/>
      <c r="E1545" s="57"/>
      <c r="F1545" s="41"/>
      <c r="G1545" s="41"/>
      <c r="H1545" s="41"/>
      <c r="I1545" s="57"/>
      <c r="J1545" s="36"/>
      <c r="K1545" s="57"/>
      <c r="L1545" s="57"/>
      <c r="M1545" s="57"/>
      <c r="N1545" s="42"/>
      <c r="O1545" s="57"/>
      <c r="P1545" s="43"/>
      <c r="Q1545" s="41"/>
      <c r="R1545" s="43"/>
      <c r="S1545" s="36"/>
      <c r="T1545" s="16">
        <f t="shared" si="48"/>
        <v>0</v>
      </c>
      <c r="U1545" s="16">
        <f t="shared" si="49"/>
        <v>0</v>
      </c>
      <c r="V1545" s="133"/>
    </row>
    <row r="1546" spans="1:22" s="56" customFormat="1">
      <c r="A1546" s="58"/>
      <c r="B1546" s="36"/>
      <c r="C1546" s="58"/>
      <c r="D1546" s="57"/>
      <c r="E1546" s="57"/>
      <c r="F1546" s="41"/>
      <c r="G1546" s="41"/>
      <c r="H1546" s="41"/>
      <c r="I1546" s="57"/>
      <c r="J1546" s="36"/>
      <c r="K1546" s="57"/>
      <c r="L1546" s="57"/>
      <c r="M1546" s="57"/>
      <c r="N1546" s="42"/>
      <c r="O1546" s="57"/>
      <c r="P1546" s="43"/>
      <c r="Q1546" s="41"/>
      <c r="R1546" s="43"/>
      <c r="S1546" s="36"/>
      <c r="T1546" s="16">
        <f t="shared" si="48"/>
        <v>0</v>
      </c>
      <c r="U1546" s="16">
        <f t="shared" si="49"/>
        <v>0</v>
      </c>
      <c r="V1546" s="133"/>
    </row>
    <row r="1547" spans="1:22" s="56" customFormat="1">
      <c r="A1547" s="58"/>
      <c r="B1547" s="36"/>
      <c r="C1547" s="58"/>
      <c r="D1547" s="57"/>
      <c r="E1547" s="57"/>
      <c r="F1547" s="41"/>
      <c r="G1547" s="41"/>
      <c r="H1547" s="41"/>
      <c r="I1547" s="57"/>
      <c r="J1547" s="36"/>
      <c r="K1547" s="57"/>
      <c r="L1547" s="57"/>
      <c r="M1547" s="57"/>
      <c r="N1547" s="42"/>
      <c r="O1547" s="57"/>
      <c r="P1547" s="43"/>
      <c r="Q1547" s="41"/>
      <c r="R1547" s="43"/>
      <c r="S1547" s="36"/>
      <c r="T1547" s="16">
        <f t="shared" si="48"/>
        <v>0</v>
      </c>
      <c r="U1547" s="16">
        <f t="shared" si="49"/>
        <v>0</v>
      </c>
      <c r="V1547" s="133"/>
    </row>
    <row r="1548" spans="1:22" s="56" customFormat="1">
      <c r="A1548" s="58"/>
      <c r="B1548" s="36"/>
      <c r="C1548" s="58"/>
      <c r="D1548" s="57"/>
      <c r="E1548" s="57"/>
      <c r="F1548" s="41"/>
      <c r="G1548" s="41"/>
      <c r="H1548" s="41"/>
      <c r="I1548" s="57"/>
      <c r="J1548" s="36"/>
      <c r="K1548" s="57"/>
      <c r="L1548" s="57"/>
      <c r="M1548" s="57"/>
      <c r="N1548" s="42"/>
      <c r="O1548" s="57"/>
      <c r="P1548" s="43"/>
      <c r="Q1548" s="41"/>
      <c r="R1548" s="43"/>
      <c r="S1548" s="36"/>
      <c r="T1548" s="16">
        <f t="shared" si="48"/>
        <v>0</v>
      </c>
      <c r="U1548" s="16">
        <f t="shared" si="49"/>
        <v>0</v>
      </c>
      <c r="V1548" s="133"/>
    </row>
    <row r="1549" spans="1:22" s="56" customFormat="1">
      <c r="A1549" s="58"/>
      <c r="B1549" s="36"/>
      <c r="C1549" s="58"/>
      <c r="D1549" s="57"/>
      <c r="E1549" s="57"/>
      <c r="F1549" s="41"/>
      <c r="G1549" s="41"/>
      <c r="H1549" s="41"/>
      <c r="I1549" s="57"/>
      <c r="J1549" s="36"/>
      <c r="K1549" s="57"/>
      <c r="L1549" s="57"/>
      <c r="M1549" s="57"/>
      <c r="N1549" s="42"/>
      <c r="O1549" s="57"/>
      <c r="P1549" s="43"/>
      <c r="Q1549" s="41"/>
      <c r="R1549" s="43"/>
      <c r="S1549" s="36"/>
      <c r="T1549" s="16">
        <f t="shared" si="48"/>
        <v>0</v>
      </c>
      <c r="U1549" s="16">
        <f t="shared" si="49"/>
        <v>0</v>
      </c>
      <c r="V1549" s="133"/>
    </row>
    <row r="1550" spans="1:22" s="56" customFormat="1">
      <c r="A1550" s="58"/>
      <c r="B1550" s="36"/>
      <c r="C1550" s="58"/>
      <c r="D1550" s="57"/>
      <c r="E1550" s="57"/>
      <c r="F1550" s="41"/>
      <c r="G1550" s="41"/>
      <c r="H1550" s="41"/>
      <c r="I1550" s="57"/>
      <c r="J1550" s="36"/>
      <c r="K1550" s="57"/>
      <c r="L1550" s="57"/>
      <c r="M1550" s="57"/>
      <c r="N1550" s="42"/>
      <c r="O1550" s="57"/>
      <c r="P1550" s="43"/>
      <c r="Q1550" s="41"/>
      <c r="R1550" s="43"/>
      <c r="S1550" s="36"/>
      <c r="T1550" s="16">
        <f t="shared" si="48"/>
        <v>0</v>
      </c>
      <c r="U1550" s="16">
        <f t="shared" si="49"/>
        <v>0</v>
      </c>
      <c r="V1550" s="133"/>
    </row>
    <row r="1551" spans="1:22" s="56" customFormat="1">
      <c r="A1551" s="58"/>
      <c r="B1551" s="36"/>
      <c r="C1551" s="58"/>
      <c r="D1551" s="57"/>
      <c r="E1551" s="57"/>
      <c r="F1551" s="41"/>
      <c r="G1551" s="41"/>
      <c r="H1551" s="41"/>
      <c r="I1551" s="57"/>
      <c r="J1551" s="36"/>
      <c r="K1551" s="57"/>
      <c r="L1551" s="57"/>
      <c r="M1551" s="57"/>
      <c r="N1551" s="42"/>
      <c r="O1551" s="57"/>
      <c r="P1551" s="43"/>
      <c r="Q1551" s="41"/>
      <c r="R1551" s="43"/>
      <c r="S1551" s="36"/>
      <c r="T1551" s="16">
        <f t="shared" si="48"/>
        <v>0</v>
      </c>
      <c r="U1551" s="16">
        <f t="shared" si="49"/>
        <v>0</v>
      </c>
      <c r="V1551" s="133"/>
    </row>
    <row r="1552" spans="1:22" s="56" customFormat="1">
      <c r="A1552" s="58"/>
      <c r="B1552" s="36"/>
      <c r="C1552" s="58"/>
      <c r="D1552" s="57"/>
      <c r="E1552" s="57"/>
      <c r="F1552" s="41"/>
      <c r="G1552" s="41"/>
      <c r="H1552" s="41"/>
      <c r="I1552" s="57"/>
      <c r="J1552" s="36"/>
      <c r="K1552" s="57"/>
      <c r="L1552" s="57"/>
      <c r="M1552" s="57"/>
      <c r="N1552" s="42"/>
      <c r="O1552" s="57"/>
      <c r="P1552" s="43"/>
      <c r="Q1552" s="41"/>
      <c r="R1552" s="43"/>
      <c r="S1552" s="36"/>
      <c r="T1552" s="16">
        <f t="shared" si="48"/>
        <v>0</v>
      </c>
      <c r="U1552" s="16">
        <f t="shared" si="49"/>
        <v>0</v>
      </c>
      <c r="V1552" s="133"/>
    </row>
    <row r="1553" spans="1:22" s="56" customFormat="1">
      <c r="A1553" s="58"/>
      <c r="B1553" s="36"/>
      <c r="C1553" s="58"/>
      <c r="D1553" s="57"/>
      <c r="E1553" s="57"/>
      <c r="F1553" s="41"/>
      <c r="G1553" s="41"/>
      <c r="H1553" s="41"/>
      <c r="I1553" s="57"/>
      <c r="J1553" s="36"/>
      <c r="K1553" s="57"/>
      <c r="L1553" s="57"/>
      <c r="M1553" s="57"/>
      <c r="N1553" s="42"/>
      <c r="O1553" s="57"/>
      <c r="P1553" s="43"/>
      <c r="Q1553" s="41"/>
      <c r="R1553" s="43"/>
      <c r="S1553" s="36"/>
      <c r="T1553" s="16">
        <f t="shared" si="48"/>
        <v>0</v>
      </c>
      <c r="U1553" s="16">
        <f t="shared" si="49"/>
        <v>0</v>
      </c>
      <c r="V1553" s="133"/>
    </row>
    <row r="1554" spans="1:22" s="56" customFormat="1">
      <c r="A1554" s="58"/>
      <c r="B1554" s="36"/>
      <c r="C1554" s="58"/>
      <c r="D1554" s="57"/>
      <c r="E1554" s="57"/>
      <c r="F1554" s="41"/>
      <c r="G1554" s="41"/>
      <c r="H1554" s="41"/>
      <c r="I1554" s="57"/>
      <c r="J1554" s="36"/>
      <c r="K1554" s="57"/>
      <c r="L1554" s="57"/>
      <c r="M1554" s="57"/>
      <c r="N1554" s="42"/>
      <c r="O1554" s="57"/>
      <c r="P1554" s="43"/>
      <c r="Q1554" s="41"/>
      <c r="R1554" s="43"/>
      <c r="S1554" s="36"/>
      <c r="T1554" s="16">
        <f t="shared" si="48"/>
        <v>0</v>
      </c>
      <c r="U1554" s="16">
        <f t="shared" si="49"/>
        <v>0</v>
      </c>
      <c r="V1554" s="133"/>
    </row>
    <row r="1555" spans="1:22" s="56" customFormat="1">
      <c r="A1555" s="58"/>
      <c r="B1555" s="36"/>
      <c r="C1555" s="58"/>
      <c r="D1555" s="57"/>
      <c r="E1555" s="57"/>
      <c r="F1555" s="41"/>
      <c r="G1555" s="41"/>
      <c r="H1555" s="41"/>
      <c r="I1555" s="57"/>
      <c r="J1555" s="36"/>
      <c r="K1555" s="57"/>
      <c r="L1555" s="57"/>
      <c r="M1555" s="57"/>
      <c r="N1555" s="42"/>
      <c r="O1555" s="57"/>
      <c r="P1555" s="43"/>
      <c r="Q1555" s="41"/>
      <c r="R1555" s="43"/>
      <c r="S1555" s="36"/>
      <c r="T1555" s="16">
        <f t="shared" si="48"/>
        <v>0</v>
      </c>
      <c r="U1555" s="16">
        <f t="shared" si="49"/>
        <v>0</v>
      </c>
      <c r="V1555" s="133"/>
    </row>
    <row r="1556" spans="1:22" s="56" customFormat="1">
      <c r="A1556" s="58"/>
      <c r="B1556" s="36"/>
      <c r="C1556" s="58"/>
      <c r="D1556" s="57"/>
      <c r="E1556" s="57"/>
      <c r="F1556" s="41"/>
      <c r="G1556" s="41"/>
      <c r="H1556" s="41"/>
      <c r="I1556" s="57"/>
      <c r="J1556" s="36"/>
      <c r="K1556" s="57"/>
      <c r="L1556" s="57"/>
      <c r="M1556" s="57"/>
      <c r="N1556" s="42"/>
      <c r="O1556" s="57"/>
      <c r="P1556" s="43"/>
      <c r="Q1556" s="41"/>
      <c r="R1556" s="43"/>
      <c r="S1556" s="36"/>
      <c r="T1556" s="16">
        <f t="shared" si="48"/>
        <v>0</v>
      </c>
      <c r="U1556" s="16">
        <f t="shared" si="49"/>
        <v>0</v>
      </c>
      <c r="V1556" s="133"/>
    </row>
    <row r="1557" spans="1:22" s="56" customFormat="1">
      <c r="A1557" s="58"/>
      <c r="B1557" s="36"/>
      <c r="C1557" s="58"/>
      <c r="D1557" s="57"/>
      <c r="E1557" s="57"/>
      <c r="F1557" s="41"/>
      <c r="G1557" s="41"/>
      <c r="H1557" s="41"/>
      <c r="I1557" s="57"/>
      <c r="J1557" s="36"/>
      <c r="K1557" s="57"/>
      <c r="L1557" s="57"/>
      <c r="M1557" s="57"/>
      <c r="N1557" s="42"/>
      <c r="O1557" s="57"/>
      <c r="P1557" s="43"/>
      <c r="Q1557" s="41"/>
      <c r="R1557" s="43"/>
      <c r="S1557" s="36"/>
      <c r="T1557" s="16">
        <f t="shared" si="48"/>
        <v>0</v>
      </c>
      <c r="U1557" s="16">
        <f t="shared" si="49"/>
        <v>0</v>
      </c>
      <c r="V1557" s="133"/>
    </row>
    <row r="1558" spans="1:22" s="56" customFormat="1">
      <c r="A1558" s="58"/>
      <c r="B1558" s="36"/>
      <c r="C1558" s="58"/>
      <c r="D1558" s="57"/>
      <c r="E1558" s="57"/>
      <c r="F1558" s="41"/>
      <c r="G1558" s="41"/>
      <c r="H1558" s="41"/>
      <c r="I1558" s="57"/>
      <c r="J1558" s="36"/>
      <c r="K1558" s="57"/>
      <c r="L1558" s="57"/>
      <c r="M1558" s="57"/>
      <c r="N1558" s="42"/>
      <c r="O1558" s="57"/>
      <c r="P1558" s="43"/>
      <c r="Q1558" s="41"/>
      <c r="R1558" s="43"/>
      <c r="S1558" s="36"/>
      <c r="T1558" s="16">
        <f t="shared" si="48"/>
        <v>0</v>
      </c>
      <c r="U1558" s="16">
        <f t="shared" si="49"/>
        <v>0</v>
      </c>
      <c r="V1558" s="133"/>
    </row>
    <row r="1559" spans="1:22" s="56" customFormat="1">
      <c r="A1559" s="58"/>
      <c r="B1559" s="36"/>
      <c r="C1559" s="58"/>
      <c r="D1559" s="57"/>
      <c r="E1559" s="57"/>
      <c r="F1559" s="41"/>
      <c r="G1559" s="41"/>
      <c r="H1559" s="41"/>
      <c r="I1559" s="57"/>
      <c r="J1559" s="36"/>
      <c r="K1559" s="57"/>
      <c r="L1559" s="57"/>
      <c r="M1559" s="57"/>
      <c r="N1559" s="42"/>
      <c r="O1559" s="57"/>
      <c r="P1559" s="43"/>
      <c r="Q1559" s="41"/>
      <c r="R1559" s="43"/>
      <c r="S1559" s="36"/>
      <c r="T1559" s="16">
        <f t="shared" si="48"/>
        <v>0</v>
      </c>
      <c r="U1559" s="16">
        <f t="shared" si="49"/>
        <v>0</v>
      </c>
      <c r="V1559" s="133"/>
    </row>
    <row r="1560" spans="1:22" s="56" customFormat="1">
      <c r="A1560" s="58"/>
      <c r="B1560" s="36"/>
      <c r="C1560" s="58"/>
      <c r="D1560" s="57"/>
      <c r="E1560" s="57"/>
      <c r="F1560" s="41"/>
      <c r="G1560" s="41"/>
      <c r="H1560" s="41"/>
      <c r="I1560" s="57"/>
      <c r="J1560" s="36"/>
      <c r="K1560" s="57"/>
      <c r="L1560" s="57"/>
      <c r="M1560" s="57"/>
      <c r="N1560" s="42"/>
      <c r="O1560" s="57"/>
      <c r="P1560" s="43"/>
      <c r="Q1560" s="41"/>
      <c r="R1560" s="43"/>
      <c r="S1560" s="36"/>
      <c r="T1560" s="16">
        <f t="shared" si="48"/>
        <v>0</v>
      </c>
      <c r="U1560" s="16">
        <f t="shared" si="49"/>
        <v>0</v>
      </c>
      <c r="V1560" s="133"/>
    </row>
    <row r="1561" spans="1:22" s="56" customFormat="1">
      <c r="A1561" s="58"/>
      <c r="B1561" s="36"/>
      <c r="C1561" s="58"/>
      <c r="D1561" s="57"/>
      <c r="E1561" s="57"/>
      <c r="F1561" s="41"/>
      <c r="G1561" s="41"/>
      <c r="H1561" s="41"/>
      <c r="I1561" s="57"/>
      <c r="J1561" s="36"/>
      <c r="K1561" s="57"/>
      <c r="L1561" s="57"/>
      <c r="M1561" s="57"/>
      <c r="N1561" s="42"/>
      <c r="O1561" s="57"/>
      <c r="P1561" s="43"/>
      <c r="Q1561" s="41"/>
      <c r="R1561" s="43"/>
      <c r="S1561" s="36"/>
      <c r="T1561" s="16">
        <f t="shared" si="48"/>
        <v>0</v>
      </c>
      <c r="U1561" s="16">
        <f t="shared" si="49"/>
        <v>0</v>
      </c>
      <c r="V1561" s="133"/>
    </row>
    <row r="1562" spans="1:22" s="56" customFormat="1">
      <c r="A1562" s="58"/>
      <c r="B1562" s="36"/>
      <c r="C1562" s="58"/>
      <c r="D1562" s="57"/>
      <c r="E1562" s="57"/>
      <c r="F1562" s="41"/>
      <c r="G1562" s="41"/>
      <c r="H1562" s="41"/>
      <c r="I1562" s="57"/>
      <c r="J1562" s="36"/>
      <c r="K1562" s="57"/>
      <c r="L1562" s="57"/>
      <c r="M1562" s="57"/>
      <c r="N1562" s="42"/>
      <c r="O1562" s="57"/>
      <c r="P1562" s="43"/>
      <c r="Q1562" s="41"/>
      <c r="R1562" s="43"/>
      <c r="S1562" s="36"/>
      <c r="T1562" s="16">
        <f t="shared" si="48"/>
        <v>0</v>
      </c>
      <c r="U1562" s="16">
        <f t="shared" si="49"/>
        <v>0</v>
      </c>
      <c r="V1562" s="133"/>
    </row>
    <row r="1563" spans="1:22" s="56" customFormat="1">
      <c r="A1563" s="58"/>
      <c r="B1563" s="36"/>
      <c r="C1563" s="58"/>
      <c r="D1563" s="57"/>
      <c r="E1563" s="57"/>
      <c r="F1563" s="41"/>
      <c r="G1563" s="41"/>
      <c r="H1563" s="41"/>
      <c r="I1563" s="57"/>
      <c r="J1563" s="36"/>
      <c r="K1563" s="57"/>
      <c r="L1563" s="57"/>
      <c r="M1563" s="57"/>
      <c r="N1563" s="42"/>
      <c r="O1563" s="57"/>
      <c r="P1563" s="43"/>
      <c r="Q1563" s="41"/>
      <c r="R1563" s="43"/>
      <c r="S1563" s="36"/>
      <c r="T1563" s="16">
        <f t="shared" si="48"/>
        <v>0</v>
      </c>
      <c r="U1563" s="16">
        <f t="shared" si="49"/>
        <v>0</v>
      </c>
      <c r="V1563" s="133"/>
    </row>
    <row r="1564" spans="1:22" s="56" customFormat="1">
      <c r="A1564" s="58"/>
      <c r="B1564" s="36"/>
      <c r="C1564" s="58"/>
      <c r="D1564" s="57"/>
      <c r="E1564" s="57"/>
      <c r="F1564" s="41"/>
      <c r="G1564" s="41"/>
      <c r="H1564" s="41"/>
      <c r="I1564" s="57"/>
      <c r="J1564" s="36"/>
      <c r="K1564" s="57"/>
      <c r="L1564" s="57"/>
      <c r="M1564" s="57"/>
      <c r="N1564" s="42"/>
      <c r="O1564" s="57"/>
      <c r="P1564" s="43"/>
      <c r="Q1564" s="41"/>
      <c r="R1564" s="43"/>
      <c r="S1564" s="36"/>
      <c r="T1564" s="16">
        <f t="shared" si="48"/>
        <v>0</v>
      </c>
      <c r="U1564" s="16">
        <f t="shared" si="49"/>
        <v>0</v>
      </c>
      <c r="V1564" s="133"/>
    </row>
    <row r="1565" spans="1:22" s="56" customFormat="1">
      <c r="A1565" s="58"/>
      <c r="B1565" s="36"/>
      <c r="C1565" s="58"/>
      <c r="D1565" s="57"/>
      <c r="E1565" s="57"/>
      <c r="F1565" s="41"/>
      <c r="G1565" s="41"/>
      <c r="H1565" s="41"/>
      <c r="I1565" s="57"/>
      <c r="J1565" s="36"/>
      <c r="K1565" s="57"/>
      <c r="L1565" s="57"/>
      <c r="M1565" s="57"/>
      <c r="N1565" s="42"/>
      <c r="O1565" s="57"/>
      <c r="P1565" s="43"/>
      <c r="Q1565" s="41"/>
      <c r="R1565" s="43"/>
      <c r="S1565" s="36"/>
      <c r="T1565" s="16">
        <f t="shared" si="48"/>
        <v>0</v>
      </c>
      <c r="U1565" s="16">
        <f t="shared" si="49"/>
        <v>0</v>
      </c>
      <c r="V1565" s="133"/>
    </row>
    <row r="1566" spans="1:22" s="56" customFormat="1">
      <c r="A1566" s="58"/>
      <c r="B1566" s="36"/>
      <c r="C1566" s="58"/>
      <c r="D1566" s="57"/>
      <c r="E1566" s="57"/>
      <c r="F1566" s="41"/>
      <c r="G1566" s="41"/>
      <c r="H1566" s="41"/>
      <c r="I1566" s="57"/>
      <c r="J1566" s="36"/>
      <c r="K1566" s="57"/>
      <c r="L1566" s="57"/>
      <c r="M1566" s="57"/>
      <c r="N1566" s="42"/>
      <c r="O1566" s="57"/>
      <c r="P1566" s="43"/>
      <c r="Q1566" s="41"/>
      <c r="R1566" s="43"/>
      <c r="S1566" s="36"/>
      <c r="T1566" s="16">
        <f t="shared" si="48"/>
        <v>0</v>
      </c>
      <c r="U1566" s="16">
        <f t="shared" si="49"/>
        <v>0</v>
      </c>
      <c r="V1566" s="133"/>
    </row>
    <row r="1567" spans="1:22" s="56" customFormat="1">
      <c r="A1567" s="58"/>
      <c r="B1567" s="36"/>
      <c r="C1567" s="58"/>
      <c r="D1567" s="57"/>
      <c r="E1567" s="57"/>
      <c r="F1567" s="41"/>
      <c r="G1567" s="41"/>
      <c r="H1567" s="41"/>
      <c r="I1567" s="57"/>
      <c r="J1567" s="36"/>
      <c r="K1567" s="57"/>
      <c r="L1567" s="57"/>
      <c r="M1567" s="57"/>
      <c r="N1567" s="42"/>
      <c r="O1567" s="57"/>
      <c r="P1567" s="43"/>
      <c r="Q1567" s="41"/>
      <c r="R1567" s="43"/>
      <c r="S1567" s="36"/>
      <c r="T1567" s="16">
        <f t="shared" si="48"/>
        <v>0</v>
      </c>
      <c r="U1567" s="16">
        <f t="shared" si="49"/>
        <v>0</v>
      </c>
      <c r="V1567" s="133"/>
    </row>
    <row r="1568" spans="1:22" s="56" customFormat="1">
      <c r="A1568" s="58"/>
      <c r="B1568" s="36"/>
      <c r="C1568" s="58"/>
      <c r="D1568" s="57"/>
      <c r="E1568" s="57"/>
      <c r="F1568" s="41"/>
      <c r="G1568" s="41"/>
      <c r="H1568" s="41"/>
      <c r="I1568" s="57"/>
      <c r="J1568" s="36"/>
      <c r="K1568" s="57"/>
      <c r="L1568" s="57"/>
      <c r="M1568" s="57"/>
      <c r="N1568" s="42"/>
      <c r="O1568" s="57"/>
      <c r="P1568" s="43"/>
      <c r="Q1568" s="41"/>
      <c r="R1568" s="43"/>
      <c r="S1568" s="36"/>
      <c r="T1568" s="16">
        <f t="shared" si="48"/>
        <v>0</v>
      </c>
      <c r="U1568" s="16">
        <f t="shared" si="49"/>
        <v>0</v>
      </c>
      <c r="V1568" s="133"/>
    </row>
    <row r="1569" spans="1:22" s="56" customFormat="1">
      <c r="A1569" s="58"/>
      <c r="B1569" s="36"/>
      <c r="C1569" s="58"/>
      <c r="D1569" s="57"/>
      <c r="E1569" s="57"/>
      <c r="F1569" s="41"/>
      <c r="G1569" s="41"/>
      <c r="H1569" s="41"/>
      <c r="I1569" s="57"/>
      <c r="J1569" s="36"/>
      <c r="K1569" s="57"/>
      <c r="L1569" s="57"/>
      <c r="M1569" s="57"/>
      <c r="N1569" s="42"/>
      <c r="O1569" s="57"/>
      <c r="P1569" s="43"/>
      <c r="Q1569" s="41"/>
      <c r="R1569" s="43"/>
      <c r="S1569" s="36"/>
      <c r="T1569" s="16">
        <f t="shared" si="48"/>
        <v>0</v>
      </c>
      <c r="U1569" s="16">
        <f t="shared" si="49"/>
        <v>0</v>
      </c>
      <c r="V1569" s="133"/>
    </row>
    <row r="1570" spans="1:22" s="56" customFormat="1">
      <c r="A1570" s="58"/>
      <c r="B1570" s="36"/>
      <c r="C1570" s="58"/>
      <c r="D1570" s="57"/>
      <c r="E1570" s="57"/>
      <c r="F1570" s="41"/>
      <c r="G1570" s="41"/>
      <c r="H1570" s="41"/>
      <c r="I1570" s="57"/>
      <c r="J1570" s="36"/>
      <c r="K1570" s="57"/>
      <c r="L1570" s="57"/>
      <c r="M1570" s="57"/>
      <c r="N1570" s="42"/>
      <c r="O1570" s="57"/>
      <c r="P1570" s="43"/>
      <c r="Q1570" s="41"/>
      <c r="R1570" s="43"/>
      <c r="S1570" s="36"/>
      <c r="T1570" s="16">
        <f t="shared" si="48"/>
        <v>0</v>
      </c>
      <c r="U1570" s="16">
        <f t="shared" si="49"/>
        <v>0</v>
      </c>
      <c r="V1570" s="133"/>
    </row>
    <row r="1571" spans="1:22" s="56" customFormat="1">
      <c r="A1571" s="58"/>
      <c r="B1571" s="36"/>
      <c r="C1571" s="58"/>
      <c r="D1571" s="57"/>
      <c r="E1571" s="57"/>
      <c r="F1571" s="41"/>
      <c r="G1571" s="41"/>
      <c r="H1571" s="41"/>
      <c r="I1571" s="57"/>
      <c r="J1571" s="36"/>
      <c r="K1571" s="57"/>
      <c r="L1571" s="57"/>
      <c r="M1571" s="57"/>
      <c r="N1571" s="42"/>
      <c r="O1571" s="57"/>
      <c r="P1571" s="43"/>
      <c r="Q1571" s="41"/>
      <c r="R1571" s="43"/>
      <c r="S1571" s="36"/>
      <c r="T1571" s="16">
        <f t="shared" si="48"/>
        <v>0</v>
      </c>
      <c r="U1571" s="16">
        <f t="shared" si="49"/>
        <v>0</v>
      </c>
      <c r="V1571" s="133"/>
    </row>
    <row r="1572" spans="1:22" s="56" customFormat="1">
      <c r="A1572" s="58"/>
      <c r="B1572" s="36"/>
      <c r="C1572" s="58"/>
      <c r="D1572" s="57"/>
      <c r="E1572" s="57"/>
      <c r="F1572" s="41"/>
      <c r="G1572" s="41"/>
      <c r="H1572" s="41"/>
      <c r="I1572" s="57"/>
      <c r="J1572" s="36"/>
      <c r="K1572" s="57"/>
      <c r="L1572" s="57"/>
      <c r="M1572" s="57"/>
      <c r="N1572" s="42"/>
      <c r="O1572" s="57"/>
      <c r="P1572" s="43"/>
      <c r="Q1572" s="41"/>
      <c r="R1572" s="43"/>
      <c r="S1572" s="36"/>
      <c r="T1572" s="16">
        <f t="shared" si="48"/>
        <v>0</v>
      </c>
      <c r="U1572" s="16">
        <f t="shared" si="49"/>
        <v>0</v>
      </c>
      <c r="V1572" s="133"/>
    </row>
    <row r="1573" spans="1:22" s="56" customFormat="1">
      <c r="A1573" s="58"/>
      <c r="B1573" s="36"/>
      <c r="C1573" s="58"/>
      <c r="D1573" s="57"/>
      <c r="E1573" s="57"/>
      <c r="F1573" s="41"/>
      <c r="G1573" s="41"/>
      <c r="H1573" s="41"/>
      <c r="I1573" s="57"/>
      <c r="J1573" s="36"/>
      <c r="K1573" s="57"/>
      <c r="L1573" s="57"/>
      <c r="M1573" s="57"/>
      <c r="N1573" s="42"/>
      <c r="O1573" s="57"/>
      <c r="P1573" s="43"/>
      <c r="Q1573" s="41"/>
      <c r="R1573" s="43"/>
      <c r="S1573" s="36"/>
      <c r="T1573" s="16">
        <f t="shared" si="48"/>
        <v>0</v>
      </c>
      <c r="U1573" s="16">
        <f t="shared" si="49"/>
        <v>0</v>
      </c>
      <c r="V1573" s="133"/>
    </row>
    <row r="1574" spans="1:22" s="56" customFormat="1">
      <c r="A1574" s="58"/>
      <c r="B1574" s="36"/>
      <c r="C1574" s="58"/>
      <c r="D1574" s="57"/>
      <c r="E1574" s="57"/>
      <c r="F1574" s="41"/>
      <c r="G1574" s="41"/>
      <c r="H1574" s="41"/>
      <c r="I1574" s="57"/>
      <c r="J1574" s="36"/>
      <c r="K1574" s="57"/>
      <c r="L1574" s="57"/>
      <c r="M1574" s="57"/>
      <c r="N1574" s="42"/>
      <c r="O1574" s="57"/>
      <c r="P1574" s="43"/>
      <c r="Q1574" s="41"/>
      <c r="R1574" s="43"/>
      <c r="S1574" s="36"/>
      <c r="T1574" s="16">
        <f t="shared" si="48"/>
        <v>0</v>
      </c>
      <c r="U1574" s="16">
        <f t="shared" si="49"/>
        <v>0</v>
      </c>
      <c r="V1574" s="133"/>
    </row>
    <row r="1575" spans="1:22" s="56" customFormat="1">
      <c r="A1575" s="58"/>
      <c r="B1575" s="36"/>
      <c r="C1575" s="58"/>
      <c r="D1575" s="57"/>
      <c r="E1575" s="57"/>
      <c r="F1575" s="41"/>
      <c r="G1575" s="41"/>
      <c r="H1575" s="41"/>
      <c r="I1575" s="57"/>
      <c r="J1575" s="36"/>
      <c r="K1575" s="57"/>
      <c r="L1575" s="57"/>
      <c r="M1575" s="57"/>
      <c r="N1575" s="42"/>
      <c r="O1575" s="57"/>
      <c r="P1575" s="43"/>
      <c r="Q1575" s="41"/>
      <c r="R1575" s="43"/>
      <c r="S1575" s="36"/>
      <c r="T1575" s="16">
        <f t="shared" si="48"/>
        <v>0</v>
      </c>
      <c r="U1575" s="16">
        <f t="shared" si="49"/>
        <v>0</v>
      </c>
      <c r="V1575" s="133"/>
    </row>
    <row r="1576" spans="1:22" s="56" customFormat="1">
      <c r="A1576" s="58"/>
      <c r="B1576" s="36"/>
      <c r="C1576" s="58"/>
      <c r="D1576" s="57"/>
      <c r="E1576" s="57"/>
      <c r="F1576" s="41"/>
      <c r="G1576" s="41"/>
      <c r="H1576" s="41"/>
      <c r="I1576" s="57"/>
      <c r="J1576" s="36"/>
      <c r="K1576" s="57"/>
      <c r="L1576" s="57"/>
      <c r="M1576" s="57"/>
      <c r="N1576" s="42"/>
      <c r="O1576" s="57"/>
      <c r="P1576" s="43"/>
      <c r="Q1576" s="41"/>
      <c r="R1576" s="43"/>
      <c r="S1576" s="36"/>
      <c r="T1576" s="16">
        <f t="shared" si="48"/>
        <v>0</v>
      </c>
      <c r="U1576" s="16">
        <f t="shared" si="49"/>
        <v>0</v>
      </c>
      <c r="V1576" s="133"/>
    </row>
    <row r="1577" spans="1:22" s="56" customFormat="1">
      <c r="A1577" s="58"/>
      <c r="B1577" s="36"/>
      <c r="C1577" s="58"/>
      <c r="D1577" s="57"/>
      <c r="E1577" s="57"/>
      <c r="F1577" s="41"/>
      <c r="G1577" s="41"/>
      <c r="H1577" s="41"/>
      <c r="I1577" s="57"/>
      <c r="J1577" s="36"/>
      <c r="K1577" s="57"/>
      <c r="L1577" s="57"/>
      <c r="M1577" s="57"/>
      <c r="N1577" s="42"/>
      <c r="O1577" s="57"/>
      <c r="P1577" s="43"/>
      <c r="Q1577" s="41"/>
      <c r="R1577" s="43"/>
      <c r="S1577" s="36"/>
      <c r="T1577" s="16">
        <f t="shared" si="48"/>
        <v>0</v>
      </c>
      <c r="U1577" s="16">
        <f t="shared" si="49"/>
        <v>0</v>
      </c>
      <c r="V1577" s="133"/>
    </row>
    <row r="1578" spans="1:22" s="56" customFormat="1">
      <c r="A1578" s="58"/>
      <c r="B1578" s="36"/>
      <c r="C1578" s="58"/>
      <c r="D1578" s="57"/>
      <c r="E1578" s="57"/>
      <c r="F1578" s="41"/>
      <c r="G1578" s="41"/>
      <c r="H1578" s="41"/>
      <c r="I1578" s="57"/>
      <c r="J1578" s="36"/>
      <c r="K1578" s="57"/>
      <c r="L1578" s="57"/>
      <c r="M1578" s="57"/>
      <c r="N1578" s="42"/>
      <c r="O1578" s="57"/>
      <c r="P1578" s="43"/>
      <c r="Q1578" s="41"/>
      <c r="R1578" s="43"/>
      <c r="S1578" s="36"/>
      <c r="T1578" s="16">
        <f t="shared" si="48"/>
        <v>0</v>
      </c>
      <c r="U1578" s="16">
        <f t="shared" si="49"/>
        <v>0</v>
      </c>
      <c r="V1578" s="133"/>
    </row>
    <row r="1579" spans="1:22" s="56" customFormat="1">
      <c r="A1579" s="58"/>
      <c r="B1579" s="36"/>
      <c r="C1579" s="58"/>
      <c r="D1579" s="57"/>
      <c r="E1579" s="57"/>
      <c r="F1579" s="41"/>
      <c r="G1579" s="41"/>
      <c r="H1579" s="41"/>
      <c r="I1579" s="57"/>
      <c r="J1579" s="36"/>
      <c r="K1579" s="57"/>
      <c r="L1579" s="57"/>
      <c r="M1579" s="57"/>
      <c r="N1579" s="42"/>
      <c r="O1579" s="57"/>
      <c r="P1579" s="43"/>
      <c r="Q1579" s="41"/>
      <c r="R1579" s="43"/>
      <c r="S1579" s="36"/>
      <c r="T1579" s="16">
        <f t="shared" si="48"/>
        <v>0</v>
      </c>
      <c r="U1579" s="16">
        <f t="shared" si="49"/>
        <v>0</v>
      </c>
      <c r="V1579" s="133"/>
    </row>
    <row r="1580" spans="1:22" s="56" customFormat="1">
      <c r="A1580" s="58"/>
      <c r="B1580" s="36"/>
      <c r="C1580" s="58"/>
      <c r="D1580" s="57"/>
      <c r="E1580" s="57"/>
      <c r="F1580" s="41"/>
      <c r="G1580" s="41"/>
      <c r="H1580" s="41"/>
      <c r="I1580" s="57"/>
      <c r="J1580" s="36"/>
      <c r="K1580" s="57"/>
      <c r="L1580" s="57"/>
      <c r="M1580" s="57"/>
      <c r="N1580" s="42"/>
      <c r="O1580" s="57"/>
      <c r="P1580" s="43"/>
      <c r="Q1580" s="41"/>
      <c r="R1580" s="43"/>
      <c r="S1580" s="36"/>
      <c r="T1580" s="16">
        <f t="shared" si="48"/>
        <v>0</v>
      </c>
      <c r="U1580" s="16">
        <f t="shared" si="49"/>
        <v>0</v>
      </c>
      <c r="V1580" s="133"/>
    </row>
    <row r="1581" spans="1:22" s="56" customFormat="1">
      <c r="A1581" s="58"/>
      <c r="B1581" s="36"/>
      <c r="C1581" s="58"/>
      <c r="D1581" s="57"/>
      <c r="E1581" s="57"/>
      <c r="F1581" s="41"/>
      <c r="G1581" s="41"/>
      <c r="H1581" s="41"/>
      <c r="I1581" s="57"/>
      <c r="J1581" s="36"/>
      <c r="K1581" s="57"/>
      <c r="L1581" s="57"/>
      <c r="M1581" s="57"/>
      <c r="N1581" s="42"/>
      <c r="O1581" s="57"/>
      <c r="P1581" s="43"/>
      <c r="Q1581" s="41"/>
      <c r="R1581" s="43"/>
      <c r="S1581" s="36"/>
      <c r="T1581" s="16">
        <f t="shared" si="48"/>
        <v>0</v>
      </c>
      <c r="U1581" s="16">
        <f t="shared" si="49"/>
        <v>0</v>
      </c>
      <c r="V1581" s="133"/>
    </row>
    <row r="1582" spans="1:22" s="56" customFormat="1">
      <c r="A1582" s="58"/>
      <c r="B1582" s="36"/>
      <c r="C1582" s="58"/>
      <c r="D1582" s="57"/>
      <c r="E1582" s="57"/>
      <c r="F1582" s="41"/>
      <c r="G1582" s="41"/>
      <c r="H1582" s="41"/>
      <c r="I1582" s="57"/>
      <c r="J1582" s="36"/>
      <c r="K1582" s="57"/>
      <c r="L1582" s="57"/>
      <c r="M1582" s="57"/>
      <c r="N1582" s="42"/>
      <c r="O1582" s="57"/>
      <c r="P1582" s="43"/>
      <c r="Q1582" s="41"/>
      <c r="R1582" s="43"/>
      <c r="S1582" s="36"/>
      <c r="T1582" s="16">
        <f t="shared" si="48"/>
        <v>0</v>
      </c>
      <c r="U1582" s="16">
        <f t="shared" si="49"/>
        <v>0</v>
      </c>
      <c r="V1582" s="133"/>
    </row>
    <row r="1583" spans="1:22" s="56" customFormat="1">
      <c r="A1583" s="58"/>
      <c r="B1583" s="36"/>
      <c r="C1583" s="58"/>
      <c r="D1583" s="57"/>
      <c r="E1583" s="57"/>
      <c r="F1583" s="41"/>
      <c r="G1583" s="41"/>
      <c r="H1583" s="41"/>
      <c r="I1583" s="57"/>
      <c r="J1583" s="36"/>
      <c r="K1583" s="57"/>
      <c r="L1583" s="57"/>
      <c r="M1583" s="57"/>
      <c r="N1583" s="42"/>
      <c r="O1583" s="57"/>
      <c r="P1583" s="43"/>
      <c r="Q1583" s="41"/>
      <c r="R1583" s="43"/>
      <c r="S1583" s="36"/>
      <c r="T1583" s="16">
        <f t="shared" si="48"/>
        <v>0</v>
      </c>
      <c r="U1583" s="16">
        <f t="shared" si="49"/>
        <v>0</v>
      </c>
      <c r="V1583" s="133"/>
    </row>
    <row r="1584" spans="1:22" s="56" customFormat="1">
      <c r="A1584" s="58"/>
      <c r="B1584" s="36"/>
      <c r="C1584" s="58"/>
      <c r="D1584" s="57"/>
      <c r="E1584" s="57"/>
      <c r="F1584" s="41"/>
      <c r="G1584" s="41"/>
      <c r="H1584" s="41"/>
      <c r="I1584" s="57"/>
      <c r="J1584" s="36"/>
      <c r="K1584" s="57"/>
      <c r="L1584" s="57"/>
      <c r="M1584" s="57"/>
      <c r="N1584" s="42"/>
      <c r="O1584" s="57"/>
      <c r="P1584" s="43"/>
      <c r="Q1584" s="41"/>
      <c r="R1584" s="43"/>
      <c r="S1584" s="36"/>
      <c r="T1584" s="16">
        <f t="shared" si="48"/>
        <v>0</v>
      </c>
      <c r="U1584" s="16">
        <f t="shared" si="49"/>
        <v>0</v>
      </c>
      <c r="V1584" s="133"/>
    </row>
    <row r="1585" spans="1:22" s="56" customFormat="1">
      <c r="A1585" s="58"/>
      <c r="B1585" s="36"/>
      <c r="C1585" s="58"/>
      <c r="D1585" s="57"/>
      <c r="E1585" s="57"/>
      <c r="F1585" s="41"/>
      <c r="G1585" s="41"/>
      <c r="H1585" s="41"/>
      <c r="I1585" s="57"/>
      <c r="J1585" s="36"/>
      <c r="K1585" s="57"/>
      <c r="L1585" s="57"/>
      <c r="M1585" s="57"/>
      <c r="N1585" s="42"/>
      <c r="O1585" s="57"/>
      <c r="P1585" s="43"/>
      <c r="Q1585" s="41"/>
      <c r="R1585" s="43"/>
      <c r="S1585" s="36"/>
      <c r="T1585" s="16">
        <f t="shared" si="48"/>
        <v>0</v>
      </c>
      <c r="U1585" s="16">
        <f t="shared" si="49"/>
        <v>0</v>
      </c>
      <c r="V1585" s="133"/>
    </row>
    <row r="1586" spans="1:22" s="56" customFormat="1">
      <c r="A1586" s="58"/>
      <c r="B1586" s="36"/>
      <c r="C1586" s="58"/>
      <c r="D1586" s="57"/>
      <c r="E1586" s="57"/>
      <c r="F1586" s="41"/>
      <c r="G1586" s="41"/>
      <c r="H1586" s="41"/>
      <c r="I1586" s="57"/>
      <c r="J1586" s="36"/>
      <c r="K1586" s="57"/>
      <c r="L1586" s="57"/>
      <c r="M1586" s="57"/>
      <c r="N1586" s="42"/>
      <c r="O1586" s="57"/>
      <c r="P1586" s="43"/>
      <c r="Q1586" s="41"/>
      <c r="R1586" s="43"/>
      <c r="S1586" s="36"/>
      <c r="T1586" s="16">
        <f t="shared" si="48"/>
        <v>0</v>
      </c>
      <c r="U1586" s="16">
        <f t="shared" si="49"/>
        <v>0</v>
      </c>
      <c r="V1586" s="133"/>
    </row>
    <row r="1587" spans="1:22" s="56" customFormat="1">
      <c r="A1587" s="58"/>
      <c r="B1587" s="36"/>
      <c r="C1587" s="58"/>
      <c r="D1587" s="57"/>
      <c r="E1587" s="57"/>
      <c r="F1587" s="41"/>
      <c r="G1587" s="41"/>
      <c r="H1587" s="41"/>
      <c r="I1587" s="57"/>
      <c r="J1587" s="36"/>
      <c r="K1587" s="57"/>
      <c r="L1587" s="57"/>
      <c r="M1587" s="57"/>
      <c r="N1587" s="42"/>
      <c r="O1587" s="57"/>
      <c r="P1587" s="43"/>
      <c r="Q1587" s="41"/>
      <c r="R1587" s="43"/>
      <c r="S1587" s="36"/>
      <c r="T1587" s="16">
        <f t="shared" si="48"/>
        <v>0</v>
      </c>
      <c r="U1587" s="16">
        <f t="shared" si="49"/>
        <v>0</v>
      </c>
      <c r="V1587" s="133"/>
    </row>
    <row r="1588" spans="1:22" s="56" customFormat="1">
      <c r="A1588" s="58"/>
      <c r="B1588" s="36"/>
      <c r="C1588" s="58"/>
      <c r="D1588" s="57"/>
      <c r="E1588" s="57"/>
      <c r="F1588" s="41"/>
      <c r="G1588" s="41"/>
      <c r="H1588" s="41"/>
      <c r="I1588" s="57"/>
      <c r="J1588" s="36"/>
      <c r="K1588" s="57"/>
      <c r="L1588" s="57"/>
      <c r="M1588" s="57"/>
      <c r="N1588" s="42"/>
      <c r="O1588" s="57"/>
      <c r="P1588" s="43"/>
      <c r="Q1588" s="41"/>
      <c r="R1588" s="43"/>
      <c r="S1588" s="36"/>
      <c r="T1588" s="16">
        <f t="shared" si="48"/>
        <v>0</v>
      </c>
      <c r="U1588" s="16">
        <f t="shared" si="49"/>
        <v>0</v>
      </c>
      <c r="V1588" s="133"/>
    </row>
    <row r="1589" spans="1:22" s="56" customFormat="1">
      <c r="A1589" s="58"/>
      <c r="B1589" s="36"/>
      <c r="C1589" s="58"/>
      <c r="D1589" s="57"/>
      <c r="E1589" s="57"/>
      <c r="F1589" s="41"/>
      <c r="G1589" s="41"/>
      <c r="H1589" s="41"/>
      <c r="I1589" s="57"/>
      <c r="J1589" s="36"/>
      <c r="K1589" s="57"/>
      <c r="L1589" s="57"/>
      <c r="M1589" s="57"/>
      <c r="N1589" s="42"/>
      <c r="O1589" s="57"/>
      <c r="P1589" s="43"/>
      <c r="Q1589" s="41"/>
      <c r="R1589" s="43"/>
      <c r="S1589" s="36"/>
      <c r="T1589" s="16">
        <f t="shared" si="48"/>
        <v>0</v>
      </c>
      <c r="U1589" s="16">
        <f t="shared" si="49"/>
        <v>0</v>
      </c>
      <c r="V1589" s="133"/>
    </row>
    <row r="1590" spans="1:22" s="56" customFormat="1">
      <c r="A1590" s="58"/>
      <c r="B1590" s="36"/>
      <c r="C1590" s="58"/>
      <c r="D1590" s="57"/>
      <c r="E1590" s="57"/>
      <c r="F1590" s="41"/>
      <c r="G1590" s="41"/>
      <c r="H1590" s="41"/>
      <c r="I1590" s="57"/>
      <c r="J1590" s="36"/>
      <c r="K1590" s="57"/>
      <c r="L1590" s="57"/>
      <c r="M1590" s="57"/>
      <c r="N1590" s="42"/>
      <c r="O1590" s="57"/>
      <c r="P1590" s="43"/>
      <c r="Q1590" s="41"/>
      <c r="R1590" s="43"/>
      <c r="S1590" s="36"/>
      <c r="T1590" s="16">
        <f t="shared" si="48"/>
        <v>0</v>
      </c>
      <c r="U1590" s="16">
        <f t="shared" si="49"/>
        <v>0</v>
      </c>
      <c r="V1590" s="133"/>
    </row>
    <row r="1591" spans="1:22" s="56" customFormat="1">
      <c r="A1591" s="58"/>
      <c r="B1591" s="36"/>
      <c r="C1591" s="58"/>
      <c r="D1591" s="57"/>
      <c r="E1591" s="57"/>
      <c r="F1591" s="41"/>
      <c r="G1591" s="41"/>
      <c r="H1591" s="41"/>
      <c r="I1591" s="57"/>
      <c r="J1591" s="36"/>
      <c r="K1591" s="57"/>
      <c r="L1591" s="57"/>
      <c r="M1591" s="57"/>
      <c r="N1591" s="42"/>
      <c r="O1591" s="57"/>
      <c r="P1591" s="43"/>
      <c r="Q1591" s="41"/>
      <c r="R1591" s="43"/>
      <c r="S1591" s="36"/>
      <c r="T1591" s="16">
        <f t="shared" si="48"/>
        <v>0</v>
      </c>
      <c r="U1591" s="16">
        <f t="shared" si="49"/>
        <v>0</v>
      </c>
      <c r="V1591" s="133"/>
    </row>
    <row r="1592" spans="1:22" s="56" customFormat="1">
      <c r="A1592" s="58"/>
      <c r="B1592" s="36"/>
      <c r="C1592" s="58"/>
      <c r="D1592" s="57"/>
      <c r="E1592" s="57"/>
      <c r="F1592" s="41"/>
      <c r="G1592" s="41"/>
      <c r="H1592" s="41"/>
      <c r="I1592" s="57"/>
      <c r="J1592" s="36"/>
      <c r="K1592" s="57"/>
      <c r="L1592" s="57"/>
      <c r="M1592" s="57"/>
      <c r="N1592" s="42"/>
      <c r="O1592" s="57"/>
      <c r="P1592" s="43"/>
      <c r="Q1592" s="41"/>
      <c r="R1592" s="43"/>
      <c r="S1592" s="36"/>
      <c r="T1592" s="16">
        <f t="shared" si="48"/>
        <v>0</v>
      </c>
      <c r="U1592" s="16">
        <f t="shared" si="49"/>
        <v>0</v>
      </c>
      <c r="V1592" s="133"/>
    </row>
    <row r="1593" spans="1:22" s="56" customFormat="1">
      <c r="A1593" s="58"/>
      <c r="B1593" s="36"/>
      <c r="C1593" s="58"/>
      <c r="D1593" s="57"/>
      <c r="E1593" s="57"/>
      <c r="F1593" s="41"/>
      <c r="G1593" s="41"/>
      <c r="H1593" s="41"/>
      <c r="I1593" s="57"/>
      <c r="J1593" s="36"/>
      <c r="K1593" s="57"/>
      <c r="L1593" s="57"/>
      <c r="M1593" s="57"/>
      <c r="N1593" s="42"/>
      <c r="O1593" s="57"/>
      <c r="P1593" s="43"/>
      <c r="Q1593" s="41"/>
      <c r="R1593" s="43"/>
      <c r="S1593" s="36"/>
      <c r="T1593" s="16">
        <f t="shared" si="48"/>
        <v>0</v>
      </c>
      <c r="U1593" s="16">
        <f t="shared" si="49"/>
        <v>0</v>
      </c>
      <c r="V1593" s="133"/>
    </row>
    <row r="1594" spans="1:22" s="56" customFormat="1">
      <c r="A1594" s="58"/>
      <c r="B1594" s="36"/>
      <c r="C1594" s="58"/>
      <c r="D1594" s="57"/>
      <c r="E1594" s="57"/>
      <c r="F1594" s="41"/>
      <c r="G1594" s="41"/>
      <c r="H1594" s="41"/>
      <c r="I1594" s="57"/>
      <c r="J1594" s="36"/>
      <c r="K1594" s="57"/>
      <c r="L1594" s="57"/>
      <c r="M1594" s="57"/>
      <c r="N1594" s="42"/>
      <c r="O1594" s="57"/>
      <c r="P1594" s="43"/>
      <c r="Q1594" s="41"/>
      <c r="R1594" s="43"/>
      <c r="S1594" s="36"/>
      <c r="T1594" s="16">
        <f t="shared" si="48"/>
        <v>0</v>
      </c>
      <c r="U1594" s="16">
        <f t="shared" si="49"/>
        <v>0</v>
      </c>
      <c r="V1594" s="133"/>
    </row>
    <row r="1595" spans="1:22" s="56" customFormat="1">
      <c r="A1595" s="58"/>
      <c r="B1595" s="36"/>
      <c r="C1595" s="58"/>
      <c r="D1595" s="57"/>
      <c r="E1595" s="57"/>
      <c r="F1595" s="41"/>
      <c r="G1595" s="41"/>
      <c r="H1595" s="41"/>
      <c r="I1595" s="57"/>
      <c r="J1595" s="36"/>
      <c r="K1595" s="57"/>
      <c r="L1595" s="57"/>
      <c r="M1595" s="57"/>
      <c r="N1595" s="42"/>
      <c r="O1595" s="57"/>
      <c r="P1595" s="43"/>
      <c r="Q1595" s="41"/>
      <c r="R1595" s="43"/>
      <c r="S1595" s="36"/>
      <c r="T1595" s="16">
        <f t="shared" si="48"/>
        <v>0</v>
      </c>
      <c r="U1595" s="16">
        <f t="shared" si="49"/>
        <v>0</v>
      </c>
      <c r="V1595" s="133"/>
    </row>
    <row r="1596" spans="1:22" s="56" customFormat="1">
      <c r="A1596" s="58"/>
      <c r="B1596" s="36"/>
      <c r="C1596" s="58"/>
      <c r="D1596" s="57"/>
      <c r="E1596" s="57"/>
      <c r="F1596" s="41"/>
      <c r="G1596" s="41"/>
      <c r="H1596" s="41"/>
      <c r="I1596" s="57"/>
      <c r="J1596" s="36"/>
      <c r="K1596" s="57"/>
      <c r="L1596" s="57"/>
      <c r="M1596" s="57"/>
      <c r="N1596" s="42"/>
      <c r="O1596" s="57"/>
      <c r="P1596" s="43"/>
      <c r="Q1596" s="41"/>
      <c r="R1596" s="43"/>
      <c r="S1596" s="36"/>
      <c r="T1596" s="16">
        <f t="shared" si="48"/>
        <v>0</v>
      </c>
      <c r="U1596" s="16">
        <f t="shared" si="49"/>
        <v>0</v>
      </c>
      <c r="V1596" s="133"/>
    </row>
    <row r="1597" spans="1:22" s="56" customFormat="1">
      <c r="A1597" s="58"/>
      <c r="B1597" s="36"/>
      <c r="C1597" s="58"/>
      <c r="D1597" s="57"/>
      <c r="E1597" s="57"/>
      <c r="F1597" s="41"/>
      <c r="G1597" s="41"/>
      <c r="H1597" s="41"/>
      <c r="I1597" s="57"/>
      <c r="J1597" s="36"/>
      <c r="K1597" s="57"/>
      <c r="L1597" s="57"/>
      <c r="M1597" s="57"/>
      <c r="N1597" s="42"/>
      <c r="O1597" s="57"/>
      <c r="P1597" s="43"/>
      <c r="Q1597" s="41"/>
      <c r="R1597" s="43"/>
      <c r="S1597" s="36"/>
      <c r="T1597" s="16">
        <f t="shared" si="48"/>
        <v>0</v>
      </c>
      <c r="U1597" s="16">
        <f t="shared" si="49"/>
        <v>0</v>
      </c>
      <c r="V1597" s="133"/>
    </row>
    <row r="1598" spans="1:22" s="56" customFormat="1">
      <c r="A1598" s="58"/>
      <c r="B1598" s="36"/>
      <c r="C1598" s="58"/>
      <c r="D1598" s="57"/>
      <c r="E1598" s="57"/>
      <c r="F1598" s="41"/>
      <c r="G1598" s="41"/>
      <c r="H1598" s="41"/>
      <c r="I1598" s="57"/>
      <c r="J1598" s="36"/>
      <c r="K1598" s="57"/>
      <c r="L1598" s="57"/>
      <c r="M1598" s="57"/>
      <c r="N1598" s="42"/>
      <c r="O1598" s="57"/>
      <c r="P1598" s="43"/>
      <c r="Q1598" s="41"/>
      <c r="R1598" s="43"/>
      <c r="S1598" s="36"/>
      <c r="T1598" s="16">
        <f t="shared" si="48"/>
        <v>0</v>
      </c>
      <c r="U1598" s="16">
        <f t="shared" si="49"/>
        <v>0</v>
      </c>
      <c r="V1598" s="133"/>
    </row>
    <row r="1599" spans="1:22" s="56" customFormat="1">
      <c r="A1599" s="58"/>
      <c r="B1599" s="36"/>
      <c r="C1599" s="58"/>
      <c r="D1599" s="57"/>
      <c r="E1599" s="57"/>
      <c r="F1599" s="41"/>
      <c r="G1599" s="41"/>
      <c r="H1599" s="41"/>
      <c r="I1599" s="57"/>
      <c r="J1599" s="36"/>
      <c r="K1599" s="57"/>
      <c r="L1599" s="57"/>
      <c r="M1599" s="57"/>
      <c r="N1599" s="42"/>
      <c r="O1599" s="57"/>
      <c r="P1599" s="43"/>
      <c r="Q1599" s="41"/>
      <c r="R1599" s="43"/>
      <c r="S1599" s="36"/>
      <c r="T1599" s="16">
        <f t="shared" si="48"/>
        <v>0</v>
      </c>
      <c r="U1599" s="16">
        <f t="shared" si="49"/>
        <v>0</v>
      </c>
      <c r="V1599" s="133"/>
    </row>
    <row r="1600" spans="1:22" s="56" customFormat="1">
      <c r="A1600" s="58"/>
      <c r="B1600" s="36"/>
      <c r="C1600" s="58"/>
      <c r="D1600" s="57"/>
      <c r="E1600" s="57"/>
      <c r="F1600" s="41"/>
      <c r="G1600" s="41"/>
      <c r="H1600" s="41"/>
      <c r="I1600" s="57"/>
      <c r="J1600" s="36"/>
      <c r="K1600" s="57"/>
      <c r="L1600" s="57"/>
      <c r="M1600" s="57"/>
      <c r="N1600" s="42"/>
      <c r="O1600" s="57"/>
      <c r="P1600" s="43"/>
      <c r="Q1600" s="41"/>
      <c r="R1600" s="43"/>
      <c r="S1600" s="36"/>
      <c r="T1600" s="16">
        <f t="shared" si="48"/>
        <v>0</v>
      </c>
      <c r="U1600" s="16">
        <f t="shared" si="49"/>
        <v>0</v>
      </c>
      <c r="V1600" s="133"/>
    </row>
    <row r="1601" spans="1:22" s="56" customFormat="1">
      <c r="A1601" s="58"/>
      <c r="B1601" s="36"/>
      <c r="C1601" s="58"/>
      <c r="D1601" s="57"/>
      <c r="E1601" s="57"/>
      <c r="F1601" s="41"/>
      <c r="G1601" s="41"/>
      <c r="H1601" s="41"/>
      <c r="I1601" s="57"/>
      <c r="J1601" s="36"/>
      <c r="K1601" s="57"/>
      <c r="L1601" s="57"/>
      <c r="M1601" s="57"/>
      <c r="N1601" s="42"/>
      <c r="O1601" s="57"/>
      <c r="P1601" s="43"/>
      <c r="Q1601" s="41"/>
      <c r="R1601" s="43"/>
      <c r="S1601" s="36"/>
      <c r="T1601" s="16">
        <f t="shared" si="48"/>
        <v>0</v>
      </c>
      <c r="U1601" s="16">
        <f t="shared" si="49"/>
        <v>0</v>
      </c>
      <c r="V1601" s="133"/>
    </row>
    <row r="1602" spans="1:22" s="56" customFormat="1">
      <c r="A1602" s="58"/>
      <c r="B1602" s="36"/>
      <c r="C1602" s="58"/>
      <c r="D1602" s="57"/>
      <c r="E1602" s="57"/>
      <c r="F1602" s="41"/>
      <c r="G1602" s="41"/>
      <c r="H1602" s="41"/>
      <c r="I1602" s="57"/>
      <c r="J1602" s="36"/>
      <c r="K1602" s="57"/>
      <c r="L1602" s="57"/>
      <c r="M1602" s="57"/>
      <c r="N1602" s="42"/>
      <c r="O1602" s="57"/>
      <c r="P1602" s="43"/>
      <c r="Q1602" s="41"/>
      <c r="R1602" s="43"/>
      <c r="S1602" s="36"/>
      <c r="T1602" s="16">
        <f t="shared" si="48"/>
        <v>0</v>
      </c>
      <c r="U1602" s="16">
        <f t="shared" si="49"/>
        <v>0</v>
      </c>
      <c r="V1602" s="133"/>
    </row>
    <row r="1603" spans="1:22" s="56" customFormat="1">
      <c r="A1603" s="58"/>
      <c r="B1603" s="36"/>
      <c r="C1603" s="58"/>
      <c r="D1603" s="57"/>
      <c r="E1603" s="57"/>
      <c r="F1603" s="41"/>
      <c r="G1603" s="41"/>
      <c r="H1603" s="41"/>
      <c r="I1603" s="57"/>
      <c r="J1603" s="36"/>
      <c r="K1603" s="57"/>
      <c r="L1603" s="57"/>
      <c r="M1603" s="57"/>
      <c r="N1603" s="42"/>
      <c r="O1603" s="57"/>
      <c r="P1603" s="43"/>
      <c r="Q1603" s="41"/>
      <c r="R1603" s="43"/>
      <c r="S1603" s="36"/>
      <c r="T1603" s="16">
        <f t="shared" si="48"/>
        <v>0</v>
      </c>
      <c r="U1603" s="16">
        <f t="shared" si="49"/>
        <v>0</v>
      </c>
      <c r="V1603" s="133"/>
    </row>
    <row r="1604" spans="1:22" s="56" customFormat="1">
      <c r="A1604" s="58"/>
      <c r="B1604" s="36"/>
      <c r="C1604" s="58"/>
      <c r="D1604" s="57"/>
      <c r="E1604" s="57"/>
      <c r="F1604" s="41"/>
      <c r="G1604" s="41"/>
      <c r="H1604" s="41"/>
      <c r="I1604" s="57"/>
      <c r="J1604" s="36"/>
      <c r="K1604" s="57"/>
      <c r="L1604" s="57"/>
      <c r="M1604" s="57"/>
      <c r="N1604" s="42"/>
      <c r="O1604" s="57"/>
      <c r="P1604" s="43"/>
      <c r="Q1604" s="41"/>
      <c r="R1604" s="43"/>
      <c r="S1604" s="36"/>
      <c r="T1604" s="16">
        <f t="shared" si="48"/>
        <v>0</v>
      </c>
      <c r="U1604" s="16">
        <f t="shared" si="49"/>
        <v>0</v>
      </c>
      <c r="V1604" s="133"/>
    </row>
    <row r="1605" spans="1:22" s="56" customFormat="1">
      <c r="A1605" s="58"/>
      <c r="B1605" s="36"/>
      <c r="C1605" s="58"/>
      <c r="D1605" s="57"/>
      <c r="E1605" s="57"/>
      <c r="F1605" s="41"/>
      <c r="G1605" s="41"/>
      <c r="H1605" s="41"/>
      <c r="I1605" s="57"/>
      <c r="J1605" s="36"/>
      <c r="K1605" s="57"/>
      <c r="L1605" s="57"/>
      <c r="M1605" s="57"/>
      <c r="N1605" s="42"/>
      <c r="O1605" s="57"/>
      <c r="P1605" s="43"/>
      <c r="Q1605" s="41"/>
      <c r="R1605" s="43"/>
      <c r="S1605" s="36"/>
      <c r="T1605" s="16">
        <f t="shared" ref="T1605:T1668" si="50">IF(OR($J1605="Accepted",ISBLANK($J1605)),IF(AND($G1605="Legacy Data",$Q1605="Legacy Data"),1,IF(OR($G1605="Legacy Data",$Q1605="Legacy Data"),1,0)),IF(OR($N1605="Agree with original translator",ISBLANK($N1605)),IF(AND($G1605="Source Text Data",$Q1605="Legacy Data"),1,IF(AND($G1605="Legacy Data",$Q1605="Legacy Data"),1,IF($Q1605="Legacy Data",1,0))),IF(AND($G1605="Legacy Data",$Q1605="Legacy Data"),1,IF(OR($Q1605="Legacy Data",ISBLANK($Q1605)),IF($G1605&lt;&gt;"Legacy Data",IF(AND($G1605="Source Text Data",$Q1605="Legacy Data"),1,0),1),0))))</f>
        <v>0</v>
      </c>
      <c r="U1605" s="16">
        <f t="shared" ref="U1605:U1668" si="51">IF(OR($J1605="Accepted",ISBLANK($J1605)),IF(AND($G1605="Source Text Data",$Q1605="Source Text Data"),1,IF(OR($G1605="Source Text Data",$Q1605="Source Text Data"),1,0)),IF(OR($N1605="Agree with original translator",ISBLANK($N1605)),IF(AND($G1605="Legacy Data",$Q1605="Source Text Data"),1,IF(AND($G1605="Source Text Data",$Q1605="Source Text Data"),1,IF($Q1605="Source Text Data",1,0))),IF(AND($G1605="Source Text Data",$Q1605="Source Text Data"),1,IF(OR($Q1605="Source Text Data",ISBLANK($Q1605)),IF($G1605&lt;&gt;"Source Text Data",IF(AND($G1605="Legacy Data",$Q1605="Source Text Data"),1,0),1),0))))</f>
        <v>0</v>
      </c>
      <c r="V1605" s="133"/>
    </row>
    <row r="1606" spans="1:22" s="56" customFormat="1">
      <c r="A1606" s="58"/>
      <c r="B1606" s="36"/>
      <c r="C1606" s="58"/>
      <c r="D1606" s="57"/>
      <c r="E1606" s="57"/>
      <c r="F1606" s="41"/>
      <c r="G1606" s="41"/>
      <c r="H1606" s="41"/>
      <c r="I1606" s="57"/>
      <c r="J1606" s="36"/>
      <c r="K1606" s="57"/>
      <c r="L1606" s="57"/>
      <c r="M1606" s="57"/>
      <c r="N1606" s="42"/>
      <c r="O1606" s="57"/>
      <c r="P1606" s="43"/>
      <c r="Q1606" s="41"/>
      <c r="R1606" s="43"/>
      <c r="S1606" s="36"/>
      <c r="T1606" s="16">
        <f t="shared" si="50"/>
        <v>0</v>
      </c>
      <c r="U1606" s="16">
        <f t="shared" si="51"/>
        <v>0</v>
      </c>
      <c r="V1606" s="133"/>
    </row>
    <row r="1607" spans="1:22" s="56" customFormat="1">
      <c r="A1607" s="58"/>
      <c r="B1607" s="36"/>
      <c r="C1607" s="58"/>
      <c r="D1607" s="57"/>
      <c r="E1607" s="57"/>
      <c r="F1607" s="41"/>
      <c r="G1607" s="41"/>
      <c r="H1607" s="41"/>
      <c r="I1607" s="57"/>
      <c r="J1607" s="36"/>
      <c r="K1607" s="57"/>
      <c r="L1607" s="57"/>
      <c r="M1607" s="57"/>
      <c r="N1607" s="42"/>
      <c r="O1607" s="57"/>
      <c r="P1607" s="43"/>
      <c r="Q1607" s="41"/>
      <c r="R1607" s="43"/>
      <c r="S1607" s="36"/>
      <c r="T1607" s="16">
        <f t="shared" si="50"/>
        <v>0</v>
      </c>
      <c r="U1607" s="16">
        <f t="shared" si="51"/>
        <v>0</v>
      </c>
      <c r="V1607" s="133"/>
    </row>
    <row r="1608" spans="1:22" s="56" customFormat="1">
      <c r="A1608" s="58"/>
      <c r="B1608" s="36"/>
      <c r="C1608" s="58"/>
      <c r="D1608" s="57"/>
      <c r="E1608" s="57"/>
      <c r="F1608" s="41"/>
      <c r="G1608" s="41"/>
      <c r="H1608" s="41"/>
      <c r="I1608" s="57"/>
      <c r="J1608" s="36"/>
      <c r="K1608" s="57"/>
      <c r="L1608" s="57"/>
      <c r="M1608" s="57"/>
      <c r="N1608" s="42"/>
      <c r="O1608" s="57"/>
      <c r="P1608" s="43"/>
      <c r="Q1608" s="41"/>
      <c r="R1608" s="43"/>
      <c r="S1608" s="36"/>
      <c r="T1608" s="16">
        <f t="shared" si="50"/>
        <v>0</v>
      </c>
      <c r="U1608" s="16">
        <f t="shared" si="51"/>
        <v>0</v>
      </c>
      <c r="V1608" s="133"/>
    </row>
    <row r="1609" spans="1:22" s="56" customFormat="1">
      <c r="A1609" s="58"/>
      <c r="B1609" s="36"/>
      <c r="C1609" s="58"/>
      <c r="D1609" s="57"/>
      <c r="E1609" s="57"/>
      <c r="F1609" s="41"/>
      <c r="G1609" s="41"/>
      <c r="H1609" s="41"/>
      <c r="I1609" s="57"/>
      <c r="J1609" s="36"/>
      <c r="K1609" s="57"/>
      <c r="L1609" s="57"/>
      <c r="M1609" s="57"/>
      <c r="N1609" s="42"/>
      <c r="O1609" s="57"/>
      <c r="P1609" s="43"/>
      <c r="Q1609" s="41"/>
      <c r="R1609" s="43"/>
      <c r="S1609" s="36"/>
      <c r="T1609" s="16">
        <f t="shared" si="50"/>
        <v>0</v>
      </c>
      <c r="U1609" s="16">
        <f t="shared" si="51"/>
        <v>0</v>
      </c>
      <c r="V1609" s="133"/>
    </row>
    <row r="1610" spans="1:22" s="56" customFormat="1">
      <c r="A1610" s="58"/>
      <c r="B1610" s="36"/>
      <c r="C1610" s="58"/>
      <c r="D1610" s="57"/>
      <c r="E1610" s="57"/>
      <c r="F1610" s="41"/>
      <c r="G1610" s="41"/>
      <c r="H1610" s="41"/>
      <c r="I1610" s="57"/>
      <c r="J1610" s="36"/>
      <c r="K1610" s="57"/>
      <c r="L1610" s="57"/>
      <c r="M1610" s="57"/>
      <c r="N1610" s="42"/>
      <c r="O1610" s="57"/>
      <c r="P1610" s="43"/>
      <c r="Q1610" s="41"/>
      <c r="R1610" s="43"/>
      <c r="S1610" s="36"/>
      <c r="T1610" s="16">
        <f t="shared" si="50"/>
        <v>0</v>
      </c>
      <c r="U1610" s="16">
        <f t="shared" si="51"/>
        <v>0</v>
      </c>
      <c r="V1610" s="133"/>
    </row>
    <row r="1611" spans="1:22" s="56" customFormat="1">
      <c r="A1611" s="58"/>
      <c r="B1611" s="36"/>
      <c r="C1611" s="58"/>
      <c r="D1611" s="57"/>
      <c r="E1611" s="57"/>
      <c r="F1611" s="41"/>
      <c r="G1611" s="41"/>
      <c r="H1611" s="41"/>
      <c r="I1611" s="57"/>
      <c r="J1611" s="36"/>
      <c r="K1611" s="57"/>
      <c r="L1611" s="57"/>
      <c r="M1611" s="57"/>
      <c r="N1611" s="42"/>
      <c r="O1611" s="57"/>
      <c r="P1611" s="43"/>
      <c r="Q1611" s="41"/>
      <c r="R1611" s="43"/>
      <c r="S1611" s="36"/>
      <c r="T1611" s="16">
        <f t="shared" si="50"/>
        <v>0</v>
      </c>
      <c r="U1611" s="16">
        <f t="shared" si="51"/>
        <v>0</v>
      </c>
      <c r="V1611" s="133"/>
    </row>
    <row r="1612" spans="1:22" s="56" customFormat="1">
      <c r="A1612" s="58"/>
      <c r="B1612" s="36"/>
      <c r="C1612" s="58"/>
      <c r="D1612" s="57"/>
      <c r="E1612" s="57"/>
      <c r="F1612" s="41"/>
      <c r="G1612" s="41"/>
      <c r="H1612" s="41"/>
      <c r="I1612" s="57"/>
      <c r="J1612" s="36"/>
      <c r="K1612" s="57"/>
      <c r="L1612" s="57"/>
      <c r="M1612" s="57"/>
      <c r="N1612" s="42"/>
      <c r="O1612" s="57"/>
      <c r="P1612" s="43"/>
      <c r="Q1612" s="41"/>
      <c r="R1612" s="43"/>
      <c r="S1612" s="36"/>
      <c r="T1612" s="16">
        <f t="shared" si="50"/>
        <v>0</v>
      </c>
      <c r="U1612" s="16">
        <f t="shared" si="51"/>
        <v>0</v>
      </c>
      <c r="V1612" s="133"/>
    </row>
    <row r="1613" spans="1:22" s="56" customFormat="1">
      <c r="A1613" s="58"/>
      <c r="B1613" s="36"/>
      <c r="C1613" s="58"/>
      <c r="D1613" s="57"/>
      <c r="E1613" s="57"/>
      <c r="F1613" s="41"/>
      <c r="G1613" s="41"/>
      <c r="H1613" s="41"/>
      <c r="I1613" s="57"/>
      <c r="J1613" s="36"/>
      <c r="K1613" s="57"/>
      <c r="L1613" s="57"/>
      <c r="M1613" s="57"/>
      <c r="N1613" s="42"/>
      <c r="O1613" s="57"/>
      <c r="P1613" s="43"/>
      <c r="Q1613" s="41"/>
      <c r="R1613" s="43"/>
      <c r="S1613" s="36"/>
      <c r="T1613" s="16">
        <f t="shared" si="50"/>
        <v>0</v>
      </c>
      <c r="U1613" s="16">
        <f t="shared" si="51"/>
        <v>0</v>
      </c>
      <c r="V1613" s="133"/>
    </row>
    <row r="1614" spans="1:22" s="56" customFormat="1">
      <c r="A1614" s="58"/>
      <c r="B1614" s="36"/>
      <c r="C1614" s="58"/>
      <c r="D1614" s="57"/>
      <c r="E1614" s="57"/>
      <c r="F1614" s="41"/>
      <c r="G1614" s="41"/>
      <c r="H1614" s="41"/>
      <c r="I1614" s="57"/>
      <c r="J1614" s="36"/>
      <c r="K1614" s="57"/>
      <c r="L1614" s="57"/>
      <c r="M1614" s="57"/>
      <c r="N1614" s="42"/>
      <c r="O1614" s="57"/>
      <c r="P1614" s="43"/>
      <c r="Q1614" s="41"/>
      <c r="R1614" s="43"/>
      <c r="S1614" s="36"/>
      <c r="T1614" s="16">
        <f t="shared" si="50"/>
        <v>0</v>
      </c>
      <c r="U1614" s="16">
        <f t="shared" si="51"/>
        <v>0</v>
      </c>
      <c r="V1614" s="133"/>
    </row>
    <row r="1615" spans="1:22" s="56" customFormat="1">
      <c r="A1615" s="58"/>
      <c r="B1615" s="36"/>
      <c r="C1615" s="58"/>
      <c r="D1615" s="57"/>
      <c r="E1615" s="57"/>
      <c r="F1615" s="41"/>
      <c r="G1615" s="41"/>
      <c r="H1615" s="41"/>
      <c r="I1615" s="57"/>
      <c r="J1615" s="36"/>
      <c r="K1615" s="57"/>
      <c r="L1615" s="57"/>
      <c r="M1615" s="57"/>
      <c r="N1615" s="42"/>
      <c r="O1615" s="57"/>
      <c r="P1615" s="43"/>
      <c r="Q1615" s="41"/>
      <c r="R1615" s="43"/>
      <c r="S1615" s="36"/>
      <c r="T1615" s="16">
        <f t="shared" si="50"/>
        <v>0</v>
      </c>
      <c r="U1615" s="16">
        <f t="shared" si="51"/>
        <v>0</v>
      </c>
      <c r="V1615" s="133"/>
    </row>
    <row r="1616" spans="1:22" s="56" customFormat="1">
      <c r="A1616" s="58"/>
      <c r="B1616" s="36"/>
      <c r="C1616" s="58"/>
      <c r="D1616" s="57"/>
      <c r="E1616" s="57"/>
      <c r="F1616" s="41"/>
      <c r="G1616" s="41"/>
      <c r="H1616" s="41"/>
      <c r="I1616" s="57"/>
      <c r="J1616" s="36"/>
      <c r="K1616" s="57"/>
      <c r="L1616" s="57"/>
      <c r="M1616" s="57"/>
      <c r="N1616" s="42"/>
      <c r="O1616" s="57"/>
      <c r="P1616" s="43"/>
      <c r="Q1616" s="41"/>
      <c r="R1616" s="43"/>
      <c r="S1616" s="36"/>
      <c r="T1616" s="16">
        <f t="shared" si="50"/>
        <v>0</v>
      </c>
      <c r="U1616" s="16">
        <f t="shared" si="51"/>
        <v>0</v>
      </c>
      <c r="V1616" s="133"/>
    </row>
    <row r="1617" spans="1:22" s="56" customFormat="1">
      <c r="A1617" s="58"/>
      <c r="B1617" s="36"/>
      <c r="C1617" s="58"/>
      <c r="D1617" s="57"/>
      <c r="E1617" s="57"/>
      <c r="F1617" s="41"/>
      <c r="G1617" s="41"/>
      <c r="H1617" s="41"/>
      <c r="I1617" s="57"/>
      <c r="J1617" s="36"/>
      <c r="K1617" s="57"/>
      <c r="L1617" s="57"/>
      <c r="M1617" s="57"/>
      <c r="N1617" s="42"/>
      <c r="O1617" s="57"/>
      <c r="P1617" s="43"/>
      <c r="Q1617" s="41"/>
      <c r="R1617" s="43"/>
      <c r="S1617" s="36"/>
      <c r="T1617" s="16">
        <f t="shared" si="50"/>
        <v>0</v>
      </c>
      <c r="U1617" s="16">
        <f t="shared" si="51"/>
        <v>0</v>
      </c>
      <c r="V1617" s="133"/>
    </row>
    <row r="1618" spans="1:22" s="56" customFormat="1">
      <c r="A1618" s="58"/>
      <c r="B1618" s="36"/>
      <c r="C1618" s="58"/>
      <c r="D1618" s="57"/>
      <c r="E1618" s="57"/>
      <c r="F1618" s="41"/>
      <c r="G1618" s="41"/>
      <c r="H1618" s="41"/>
      <c r="I1618" s="57"/>
      <c r="J1618" s="36"/>
      <c r="K1618" s="57"/>
      <c r="L1618" s="57"/>
      <c r="M1618" s="57"/>
      <c r="N1618" s="42"/>
      <c r="O1618" s="57"/>
      <c r="P1618" s="43"/>
      <c r="Q1618" s="41"/>
      <c r="R1618" s="43"/>
      <c r="S1618" s="36"/>
      <c r="T1618" s="16">
        <f t="shared" si="50"/>
        <v>0</v>
      </c>
      <c r="U1618" s="16">
        <f t="shared" si="51"/>
        <v>0</v>
      </c>
      <c r="V1618" s="133"/>
    </row>
    <row r="1619" spans="1:22" s="56" customFormat="1">
      <c r="A1619" s="58"/>
      <c r="B1619" s="36"/>
      <c r="C1619" s="58"/>
      <c r="D1619" s="57"/>
      <c r="E1619" s="57"/>
      <c r="F1619" s="41"/>
      <c r="G1619" s="41"/>
      <c r="H1619" s="41"/>
      <c r="I1619" s="57"/>
      <c r="J1619" s="36"/>
      <c r="K1619" s="57"/>
      <c r="L1619" s="57"/>
      <c r="M1619" s="57"/>
      <c r="N1619" s="42"/>
      <c r="O1619" s="57"/>
      <c r="P1619" s="43"/>
      <c r="Q1619" s="41"/>
      <c r="R1619" s="43"/>
      <c r="S1619" s="36"/>
      <c r="T1619" s="16">
        <f t="shared" si="50"/>
        <v>0</v>
      </c>
      <c r="U1619" s="16">
        <f t="shared" si="51"/>
        <v>0</v>
      </c>
      <c r="V1619" s="133"/>
    </row>
    <row r="1620" spans="1:22" s="56" customFormat="1">
      <c r="A1620" s="58"/>
      <c r="B1620" s="36"/>
      <c r="C1620" s="58"/>
      <c r="D1620" s="57"/>
      <c r="E1620" s="57"/>
      <c r="F1620" s="41"/>
      <c r="G1620" s="41"/>
      <c r="H1620" s="41"/>
      <c r="I1620" s="57"/>
      <c r="J1620" s="36"/>
      <c r="K1620" s="57"/>
      <c r="L1620" s="57"/>
      <c r="M1620" s="57"/>
      <c r="N1620" s="42"/>
      <c r="O1620" s="57"/>
      <c r="P1620" s="43"/>
      <c r="Q1620" s="41"/>
      <c r="R1620" s="43"/>
      <c r="S1620" s="36"/>
      <c r="T1620" s="16">
        <f t="shared" si="50"/>
        <v>0</v>
      </c>
      <c r="U1620" s="16">
        <f t="shared" si="51"/>
        <v>0</v>
      </c>
      <c r="V1620" s="133"/>
    </row>
    <row r="1621" spans="1:22" s="56" customFormat="1">
      <c r="A1621" s="58"/>
      <c r="B1621" s="36"/>
      <c r="C1621" s="58"/>
      <c r="D1621" s="57"/>
      <c r="E1621" s="57"/>
      <c r="F1621" s="41"/>
      <c r="G1621" s="41"/>
      <c r="H1621" s="41"/>
      <c r="I1621" s="57"/>
      <c r="J1621" s="36"/>
      <c r="K1621" s="57"/>
      <c r="L1621" s="57"/>
      <c r="M1621" s="57"/>
      <c r="N1621" s="42"/>
      <c r="O1621" s="57"/>
      <c r="P1621" s="43"/>
      <c r="Q1621" s="41"/>
      <c r="R1621" s="43"/>
      <c r="S1621" s="36"/>
      <c r="T1621" s="16">
        <f t="shared" si="50"/>
        <v>0</v>
      </c>
      <c r="U1621" s="16">
        <f t="shared" si="51"/>
        <v>0</v>
      </c>
      <c r="V1621" s="133"/>
    </row>
    <row r="1622" spans="1:22" s="56" customFormat="1">
      <c r="A1622" s="58"/>
      <c r="B1622" s="36"/>
      <c r="C1622" s="58"/>
      <c r="D1622" s="57"/>
      <c r="E1622" s="57"/>
      <c r="F1622" s="41"/>
      <c r="G1622" s="41"/>
      <c r="H1622" s="41"/>
      <c r="I1622" s="57"/>
      <c r="J1622" s="36"/>
      <c r="K1622" s="57"/>
      <c r="L1622" s="57"/>
      <c r="M1622" s="57"/>
      <c r="N1622" s="42"/>
      <c r="O1622" s="57"/>
      <c r="P1622" s="43"/>
      <c r="Q1622" s="41"/>
      <c r="R1622" s="43"/>
      <c r="S1622" s="36"/>
      <c r="T1622" s="16">
        <f t="shared" si="50"/>
        <v>0</v>
      </c>
      <c r="U1622" s="16">
        <f t="shared" si="51"/>
        <v>0</v>
      </c>
      <c r="V1622" s="133"/>
    </row>
    <row r="1623" spans="1:22" s="56" customFormat="1">
      <c r="A1623" s="58"/>
      <c r="B1623" s="36"/>
      <c r="C1623" s="58"/>
      <c r="D1623" s="57"/>
      <c r="E1623" s="57"/>
      <c r="F1623" s="41"/>
      <c r="G1623" s="41"/>
      <c r="H1623" s="41"/>
      <c r="I1623" s="57"/>
      <c r="J1623" s="36"/>
      <c r="K1623" s="57"/>
      <c r="L1623" s="57"/>
      <c r="M1623" s="57"/>
      <c r="N1623" s="42"/>
      <c r="O1623" s="57"/>
      <c r="P1623" s="43"/>
      <c r="Q1623" s="41"/>
      <c r="R1623" s="43"/>
      <c r="S1623" s="36"/>
      <c r="T1623" s="16">
        <f t="shared" si="50"/>
        <v>0</v>
      </c>
      <c r="U1623" s="16">
        <f t="shared" si="51"/>
        <v>0</v>
      </c>
      <c r="V1623" s="133"/>
    </row>
    <row r="1624" spans="1:22" s="56" customFormat="1">
      <c r="A1624" s="58"/>
      <c r="B1624" s="36"/>
      <c r="C1624" s="58"/>
      <c r="D1624" s="57"/>
      <c r="E1624" s="57"/>
      <c r="F1624" s="41"/>
      <c r="G1624" s="41"/>
      <c r="H1624" s="41"/>
      <c r="I1624" s="57"/>
      <c r="J1624" s="36"/>
      <c r="K1624" s="57"/>
      <c r="L1624" s="57"/>
      <c r="M1624" s="57"/>
      <c r="N1624" s="42"/>
      <c r="O1624" s="57"/>
      <c r="P1624" s="43"/>
      <c r="Q1624" s="41"/>
      <c r="R1624" s="43"/>
      <c r="S1624" s="36"/>
      <c r="T1624" s="16">
        <f t="shared" si="50"/>
        <v>0</v>
      </c>
      <c r="U1624" s="16">
        <f t="shared" si="51"/>
        <v>0</v>
      </c>
      <c r="V1624" s="133"/>
    </row>
    <row r="1625" spans="1:22" s="56" customFormat="1">
      <c r="A1625" s="58"/>
      <c r="B1625" s="36"/>
      <c r="C1625" s="58"/>
      <c r="D1625" s="57"/>
      <c r="E1625" s="57"/>
      <c r="F1625" s="41"/>
      <c r="G1625" s="41"/>
      <c r="H1625" s="41"/>
      <c r="I1625" s="57"/>
      <c r="J1625" s="36"/>
      <c r="K1625" s="57"/>
      <c r="L1625" s="57"/>
      <c r="M1625" s="57"/>
      <c r="N1625" s="42"/>
      <c r="O1625" s="57"/>
      <c r="P1625" s="43"/>
      <c r="Q1625" s="41"/>
      <c r="R1625" s="43"/>
      <c r="S1625" s="36"/>
      <c r="T1625" s="16">
        <f t="shared" si="50"/>
        <v>0</v>
      </c>
      <c r="U1625" s="16">
        <f t="shared" si="51"/>
        <v>0</v>
      </c>
      <c r="V1625" s="133"/>
    </row>
    <row r="1626" spans="1:22" s="56" customFormat="1">
      <c r="A1626" s="58"/>
      <c r="B1626" s="36"/>
      <c r="C1626" s="58"/>
      <c r="D1626" s="57"/>
      <c r="E1626" s="57"/>
      <c r="F1626" s="41"/>
      <c r="G1626" s="41"/>
      <c r="H1626" s="41"/>
      <c r="I1626" s="57"/>
      <c r="J1626" s="36"/>
      <c r="K1626" s="57"/>
      <c r="L1626" s="57"/>
      <c r="M1626" s="57"/>
      <c r="N1626" s="42"/>
      <c r="O1626" s="57"/>
      <c r="P1626" s="43"/>
      <c r="Q1626" s="41"/>
      <c r="R1626" s="43"/>
      <c r="S1626" s="36"/>
      <c r="T1626" s="16">
        <f t="shared" si="50"/>
        <v>0</v>
      </c>
      <c r="U1626" s="16">
        <f t="shared" si="51"/>
        <v>0</v>
      </c>
      <c r="V1626" s="133"/>
    </row>
    <row r="1627" spans="1:22" s="56" customFormat="1">
      <c r="A1627" s="58"/>
      <c r="B1627" s="36"/>
      <c r="C1627" s="58"/>
      <c r="D1627" s="57"/>
      <c r="E1627" s="57"/>
      <c r="F1627" s="41"/>
      <c r="G1627" s="41"/>
      <c r="H1627" s="41"/>
      <c r="I1627" s="57"/>
      <c r="J1627" s="36"/>
      <c r="K1627" s="57"/>
      <c r="L1627" s="57"/>
      <c r="M1627" s="57"/>
      <c r="N1627" s="42"/>
      <c r="O1627" s="57"/>
      <c r="P1627" s="43"/>
      <c r="Q1627" s="41"/>
      <c r="R1627" s="43"/>
      <c r="S1627" s="36"/>
      <c r="T1627" s="16">
        <f t="shared" si="50"/>
        <v>0</v>
      </c>
      <c r="U1627" s="16">
        <f t="shared" si="51"/>
        <v>0</v>
      </c>
      <c r="V1627" s="133"/>
    </row>
    <row r="1628" spans="1:22" s="56" customFormat="1">
      <c r="A1628" s="58"/>
      <c r="B1628" s="36"/>
      <c r="C1628" s="58"/>
      <c r="D1628" s="57"/>
      <c r="E1628" s="57"/>
      <c r="F1628" s="41"/>
      <c r="G1628" s="41"/>
      <c r="H1628" s="41"/>
      <c r="I1628" s="57"/>
      <c r="J1628" s="36"/>
      <c r="K1628" s="57"/>
      <c r="L1628" s="57"/>
      <c r="M1628" s="57"/>
      <c r="N1628" s="42"/>
      <c r="O1628" s="57"/>
      <c r="P1628" s="43"/>
      <c r="Q1628" s="41"/>
      <c r="R1628" s="43"/>
      <c r="S1628" s="36"/>
      <c r="T1628" s="16">
        <f t="shared" si="50"/>
        <v>0</v>
      </c>
      <c r="U1628" s="16">
        <f t="shared" si="51"/>
        <v>0</v>
      </c>
      <c r="V1628" s="133"/>
    </row>
    <row r="1629" spans="1:22" s="56" customFormat="1">
      <c r="A1629" s="58"/>
      <c r="B1629" s="36"/>
      <c r="C1629" s="58"/>
      <c r="D1629" s="57"/>
      <c r="E1629" s="57"/>
      <c r="F1629" s="41"/>
      <c r="G1629" s="41"/>
      <c r="H1629" s="41"/>
      <c r="I1629" s="57"/>
      <c r="J1629" s="36"/>
      <c r="K1629" s="57"/>
      <c r="L1629" s="57"/>
      <c r="M1629" s="57"/>
      <c r="N1629" s="42"/>
      <c r="O1629" s="57"/>
      <c r="P1629" s="43"/>
      <c r="Q1629" s="41"/>
      <c r="R1629" s="43"/>
      <c r="S1629" s="36"/>
      <c r="T1629" s="16">
        <f t="shared" si="50"/>
        <v>0</v>
      </c>
      <c r="U1629" s="16">
        <f t="shared" si="51"/>
        <v>0</v>
      </c>
      <c r="V1629" s="133"/>
    </row>
    <row r="1630" spans="1:22" s="56" customFormat="1">
      <c r="A1630" s="58"/>
      <c r="B1630" s="36"/>
      <c r="C1630" s="58"/>
      <c r="D1630" s="57"/>
      <c r="E1630" s="57"/>
      <c r="F1630" s="41"/>
      <c r="G1630" s="41"/>
      <c r="H1630" s="41"/>
      <c r="I1630" s="57"/>
      <c r="J1630" s="36"/>
      <c r="K1630" s="57"/>
      <c r="L1630" s="57"/>
      <c r="M1630" s="57"/>
      <c r="N1630" s="42"/>
      <c r="O1630" s="57"/>
      <c r="P1630" s="43"/>
      <c r="Q1630" s="41"/>
      <c r="R1630" s="43"/>
      <c r="S1630" s="36"/>
      <c r="T1630" s="16">
        <f t="shared" si="50"/>
        <v>0</v>
      </c>
      <c r="U1630" s="16">
        <f t="shared" si="51"/>
        <v>0</v>
      </c>
      <c r="V1630" s="133"/>
    </row>
    <row r="1631" spans="1:22" s="56" customFormat="1">
      <c r="A1631" s="58"/>
      <c r="B1631" s="36"/>
      <c r="C1631" s="58"/>
      <c r="D1631" s="57"/>
      <c r="E1631" s="57"/>
      <c r="F1631" s="41"/>
      <c r="G1631" s="41"/>
      <c r="H1631" s="41"/>
      <c r="I1631" s="57"/>
      <c r="J1631" s="36"/>
      <c r="K1631" s="57"/>
      <c r="L1631" s="57"/>
      <c r="M1631" s="57"/>
      <c r="N1631" s="42"/>
      <c r="O1631" s="57"/>
      <c r="P1631" s="43"/>
      <c r="Q1631" s="41"/>
      <c r="R1631" s="43"/>
      <c r="S1631" s="36"/>
      <c r="T1631" s="16">
        <f t="shared" si="50"/>
        <v>0</v>
      </c>
      <c r="U1631" s="16">
        <f t="shared" si="51"/>
        <v>0</v>
      </c>
      <c r="V1631" s="133"/>
    </row>
    <row r="1632" spans="1:22" s="56" customFormat="1">
      <c r="A1632" s="58"/>
      <c r="B1632" s="36"/>
      <c r="C1632" s="58"/>
      <c r="D1632" s="57"/>
      <c r="E1632" s="57"/>
      <c r="F1632" s="41"/>
      <c r="G1632" s="41"/>
      <c r="H1632" s="41"/>
      <c r="I1632" s="57"/>
      <c r="J1632" s="36"/>
      <c r="K1632" s="57"/>
      <c r="L1632" s="57"/>
      <c r="M1632" s="57"/>
      <c r="N1632" s="42"/>
      <c r="O1632" s="57"/>
      <c r="P1632" s="43"/>
      <c r="Q1632" s="41"/>
      <c r="R1632" s="43"/>
      <c r="S1632" s="36"/>
      <c r="T1632" s="16">
        <f t="shared" si="50"/>
        <v>0</v>
      </c>
      <c r="U1632" s="16">
        <f t="shared" si="51"/>
        <v>0</v>
      </c>
      <c r="V1632" s="133"/>
    </row>
    <row r="1633" spans="1:22" s="56" customFormat="1">
      <c r="A1633" s="58"/>
      <c r="B1633" s="36"/>
      <c r="C1633" s="58"/>
      <c r="D1633" s="57"/>
      <c r="E1633" s="57"/>
      <c r="F1633" s="41"/>
      <c r="G1633" s="41"/>
      <c r="H1633" s="41"/>
      <c r="I1633" s="57"/>
      <c r="J1633" s="36"/>
      <c r="K1633" s="57"/>
      <c r="L1633" s="57"/>
      <c r="M1633" s="57"/>
      <c r="N1633" s="42"/>
      <c r="O1633" s="57"/>
      <c r="P1633" s="43"/>
      <c r="Q1633" s="41"/>
      <c r="R1633" s="43"/>
      <c r="S1633" s="36"/>
      <c r="T1633" s="16">
        <f t="shared" si="50"/>
        <v>0</v>
      </c>
      <c r="U1633" s="16">
        <f t="shared" si="51"/>
        <v>0</v>
      </c>
      <c r="V1633" s="133"/>
    </row>
    <row r="1634" spans="1:22" s="56" customFormat="1">
      <c r="A1634" s="58"/>
      <c r="B1634" s="36"/>
      <c r="C1634" s="58"/>
      <c r="D1634" s="57"/>
      <c r="E1634" s="57"/>
      <c r="F1634" s="41"/>
      <c r="G1634" s="41"/>
      <c r="H1634" s="41"/>
      <c r="I1634" s="57"/>
      <c r="J1634" s="36"/>
      <c r="K1634" s="57"/>
      <c r="L1634" s="57"/>
      <c r="M1634" s="57"/>
      <c r="N1634" s="42"/>
      <c r="O1634" s="57"/>
      <c r="P1634" s="43"/>
      <c r="Q1634" s="41"/>
      <c r="R1634" s="43"/>
      <c r="S1634" s="36"/>
      <c r="T1634" s="16">
        <f t="shared" si="50"/>
        <v>0</v>
      </c>
      <c r="U1634" s="16">
        <f t="shared" si="51"/>
        <v>0</v>
      </c>
      <c r="V1634" s="133"/>
    </row>
    <row r="1635" spans="1:22" s="56" customFormat="1">
      <c r="A1635" s="58"/>
      <c r="B1635" s="36"/>
      <c r="C1635" s="58"/>
      <c r="D1635" s="57"/>
      <c r="E1635" s="57"/>
      <c r="F1635" s="41"/>
      <c r="G1635" s="41"/>
      <c r="H1635" s="41"/>
      <c r="I1635" s="57"/>
      <c r="J1635" s="36"/>
      <c r="K1635" s="57"/>
      <c r="L1635" s="57"/>
      <c r="M1635" s="57"/>
      <c r="N1635" s="42"/>
      <c r="O1635" s="57"/>
      <c r="P1635" s="43"/>
      <c r="Q1635" s="41"/>
      <c r="R1635" s="43"/>
      <c r="S1635" s="36"/>
      <c r="T1635" s="16">
        <f t="shared" si="50"/>
        <v>0</v>
      </c>
      <c r="U1635" s="16">
        <f t="shared" si="51"/>
        <v>0</v>
      </c>
      <c r="V1635" s="133"/>
    </row>
    <row r="1636" spans="1:22" s="56" customFormat="1">
      <c r="A1636" s="58"/>
      <c r="B1636" s="36"/>
      <c r="C1636" s="58"/>
      <c r="D1636" s="57"/>
      <c r="E1636" s="57"/>
      <c r="F1636" s="41"/>
      <c r="G1636" s="41"/>
      <c r="H1636" s="41"/>
      <c r="I1636" s="57"/>
      <c r="J1636" s="36"/>
      <c r="K1636" s="57"/>
      <c r="L1636" s="57"/>
      <c r="M1636" s="57"/>
      <c r="N1636" s="42"/>
      <c r="O1636" s="57"/>
      <c r="P1636" s="43"/>
      <c r="Q1636" s="41"/>
      <c r="R1636" s="43"/>
      <c r="S1636" s="36"/>
      <c r="T1636" s="16">
        <f t="shared" si="50"/>
        <v>0</v>
      </c>
      <c r="U1636" s="16">
        <f t="shared" si="51"/>
        <v>0</v>
      </c>
      <c r="V1636" s="133"/>
    </row>
    <row r="1637" spans="1:22" s="56" customFormat="1">
      <c r="A1637" s="58"/>
      <c r="B1637" s="36"/>
      <c r="C1637" s="58"/>
      <c r="D1637" s="57"/>
      <c r="E1637" s="57"/>
      <c r="F1637" s="41"/>
      <c r="G1637" s="41"/>
      <c r="H1637" s="41"/>
      <c r="I1637" s="57"/>
      <c r="J1637" s="36"/>
      <c r="K1637" s="57"/>
      <c r="L1637" s="57"/>
      <c r="M1637" s="57"/>
      <c r="N1637" s="42"/>
      <c r="O1637" s="57"/>
      <c r="P1637" s="43"/>
      <c r="Q1637" s="41"/>
      <c r="R1637" s="43"/>
      <c r="S1637" s="36"/>
      <c r="T1637" s="16">
        <f t="shared" si="50"/>
        <v>0</v>
      </c>
      <c r="U1637" s="16">
        <f t="shared" si="51"/>
        <v>0</v>
      </c>
      <c r="V1637" s="133"/>
    </row>
    <row r="1638" spans="1:22" s="56" customFormat="1">
      <c r="A1638" s="58"/>
      <c r="B1638" s="36"/>
      <c r="C1638" s="58"/>
      <c r="D1638" s="57"/>
      <c r="E1638" s="57"/>
      <c r="F1638" s="41"/>
      <c r="G1638" s="41"/>
      <c r="H1638" s="41"/>
      <c r="I1638" s="57"/>
      <c r="J1638" s="36"/>
      <c r="K1638" s="57"/>
      <c r="L1638" s="57"/>
      <c r="M1638" s="57"/>
      <c r="N1638" s="42"/>
      <c r="O1638" s="57"/>
      <c r="P1638" s="43"/>
      <c r="Q1638" s="41"/>
      <c r="R1638" s="43"/>
      <c r="S1638" s="36"/>
      <c r="T1638" s="16">
        <f t="shared" si="50"/>
        <v>0</v>
      </c>
      <c r="U1638" s="16">
        <f t="shared" si="51"/>
        <v>0</v>
      </c>
      <c r="V1638" s="133"/>
    </row>
    <row r="1639" spans="1:22" s="56" customFormat="1">
      <c r="A1639" s="58"/>
      <c r="B1639" s="36"/>
      <c r="C1639" s="58"/>
      <c r="D1639" s="57"/>
      <c r="E1639" s="57"/>
      <c r="F1639" s="41"/>
      <c r="G1639" s="41"/>
      <c r="H1639" s="41"/>
      <c r="I1639" s="57"/>
      <c r="J1639" s="36"/>
      <c r="K1639" s="57"/>
      <c r="L1639" s="57"/>
      <c r="M1639" s="57"/>
      <c r="N1639" s="42"/>
      <c r="O1639" s="57"/>
      <c r="P1639" s="43"/>
      <c r="Q1639" s="41"/>
      <c r="R1639" s="43"/>
      <c r="S1639" s="36"/>
      <c r="T1639" s="16">
        <f t="shared" si="50"/>
        <v>0</v>
      </c>
      <c r="U1639" s="16">
        <f t="shared" si="51"/>
        <v>0</v>
      </c>
      <c r="V1639" s="133"/>
    </row>
    <row r="1640" spans="1:22" s="56" customFormat="1">
      <c r="A1640" s="58"/>
      <c r="B1640" s="36"/>
      <c r="C1640" s="58"/>
      <c r="D1640" s="57"/>
      <c r="E1640" s="57"/>
      <c r="F1640" s="41"/>
      <c r="G1640" s="41"/>
      <c r="H1640" s="41"/>
      <c r="I1640" s="57"/>
      <c r="J1640" s="36"/>
      <c r="K1640" s="57"/>
      <c r="L1640" s="57"/>
      <c r="M1640" s="57"/>
      <c r="N1640" s="42"/>
      <c r="O1640" s="57"/>
      <c r="P1640" s="43"/>
      <c r="Q1640" s="41"/>
      <c r="R1640" s="43"/>
      <c r="S1640" s="36"/>
      <c r="T1640" s="16">
        <f t="shared" si="50"/>
        <v>0</v>
      </c>
      <c r="U1640" s="16">
        <f t="shared" si="51"/>
        <v>0</v>
      </c>
      <c r="V1640" s="133"/>
    </row>
    <row r="1641" spans="1:22" s="56" customFormat="1">
      <c r="A1641" s="58"/>
      <c r="B1641" s="36"/>
      <c r="C1641" s="58"/>
      <c r="D1641" s="57"/>
      <c r="E1641" s="57"/>
      <c r="F1641" s="41"/>
      <c r="G1641" s="41"/>
      <c r="H1641" s="41"/>
      <c r="I1641" s="57"/>
      <c r="J1641" s="36"/>
      <c r="K1641" s="57"/>
      <c r="L1641" s="57"/>
      <c r="M1641" s="57"/>
      <c r="N1641" s="42"/>
      <c r="O1641" s="57"/>
      <c r="P1641" s="43"/>
      <c r="Q1641" s="41"/>
      <c r="R1641" s="43"/>
      <c r="S1641" s="36"/>
      <c r="T1641" s="16">
        <f t="shared" si="50"/>
        <v>0</v>
      </c>
      <c r="U1641" s="16">
        <f t="shared" si="51"/>
        <v>0</v>
      </c>
      <c r="V1641" s="133"/>
    </row>
    <row r="1642" spans="1:22" s="56" customFormat="1">
      <c r="A1642" s="58"/>
      <c r="B1642" s="36"/>
      <c r="C1642" s="58"/>
      <c r="D1642" s="57"/>
      <c r="E1642" s="57"/>
      <c r="F1642" s="41"/>
      <c r="G1642" s="41"/>
      <c r="H1642" s="41"/>
      <c r="I1642" s="57"/>
      <c r="J1642" s="36"/>
      <c r="K1642" s="57"/>
      <c r="L1642" s="57"/>
      <c r="M1642" s="57"/>
      <c r="N1642" s="42"/>
      <c r="O1642" s="57"/>
      <c r="P1642" s="43"/>
      <c r="Q1642" s="41"/>
      <c r="R1642" s="43"/>
      <c r="S1642" s="36"/>
      <c r="T1642" s="16">
        <f t="shared" si="50"/>
        <v>0</v>
      </c>
      <c r="U1642" s="16">
        <f t="shared" si="51"/>
        <v>0</v>
      </c>
      <c r="V1642" s="133"/>
    </row>
    <row r="1643" spans="1:22" s="56" customFormat="1">
      <c r="A1643" s="58"/>
      <c r="B1643" s="36"/>
      <c r="C1643" s="58"/>
      <c r="D1643" s="57"/>
      <c r="E1643" s="57"/>
      <c r="F1643" s="41"/>
      <c r="G1643" s="41"/>
      <c r="H1643" s="41"/>
      <c r="I1643" s="57"/>
      <c r="J1643" s="36"/>
      <c r="K1643" s="57"/>
      <c r="L1643" s="57"/>
      <c r="M1643" s="57"/>
      <c r="N1643" s="42"/>
      <c r="O1643" s="57"/>
      <c r="P1643" s="43"/>
      <c r="Q1643" s="41"/>
      <c r="R1643" s="43"/>
      <c r="S1643" s="36"/>
      <c r="T1643" s="16">
        <f t="shared" si="50"/>
        <v>0</v>
      </c>
      <c r="U1643" s="16">
        <f t="shared" si="51"/>
        <v>0</v>
      </c>
      <c r="V1643" s="133"/>
    </row>
    <row r="1644" spans="1:22" s="56" customFormat="1">
      <c r="A1644" s="58"/>
      <c r="B1644" s="36"/>
      <c r="C1644" s="58"/>
      <c r="D1644" s="57"/>
      <c r="E1644" s="57"/>
      <c r="F1644" s="41"/>
      <c r="G1644" s="41"/>
      <c r="H1644" s="41"/>
      <c r="I1644" s="57"/>
      <c r="J1644" s="36"/>
      <c r="K1644" s="57"/>
      <c r="L1644" s="57"/>
      <c r="M1644" s="57"/>
      <c r="N1644" s="42"/>
      <c r="O1644" s="57"/>
      <c r="P1644" s="43"/>
      <c r="Q1644" s="41"/>
      <c r="R1644" s="43"/>
      <c r="S1644" s="36"/>
      <c r="T1644" s="16">
        <f t="shared" si="50"/>
        <v>0</v>
      </c>
      <c r="U1644" s="16">
        <f t="shared" si="51"/>
        <v>0</v>
      </c>
      <c r="V1644" s="133"/>
    </row>
    <row r="1645" spans="1:22" s="56" customFormat="1">
      <c r="A1645" s="58"/>
      <c r="B1645" s="36"/>
      <c r="C1645" s="58"/>
      <c r="D1645" s="57"/>
      <c r="E1645" s="57"/>
      <c r="F1645" s="41"/>
      <c r="G1645" s="41"/>
      <c r="H1645" s="41"/>
      <c r="I1645" s="57"/>
      <c r="J1645" s="36"/>
      <c r="K1645" s="57"/>
      <c r="L1645" s="57"/>
      <c r="M1645" s="57"/>
      <c r="N1645" s="42"/>
      <c r="O1645" s="57"/>
      <c r="P1645" s="43"/>
      <c r="Q1645" s="41"/>
      <c r="R1645" s="43"/>
      <c r="S1645" s="36"/>
      <c r="T1645" s="16">
        <f t="shared" si="50"/>
        <v>0</v>
      </c>
      <c r="U1645" s="16">
        <f t="shared" si="51"/>
        <v>0</v>
      </c>
      <c r="V1645" s="133"/>
    </row>
    <row r="1646" spans="1:22" s="56" customFormat="1">
      <c r="A1646" s="58"/>
      <c r="B1646" s="36"/>
      <c r="C1646" s="58"/>
      <c r="D1646" s="57"/>
      <c r="E1646" s="57"/>
      <c r="F1646" s="41"/>
      <c r="G1646" s="41"/>
      <c r="H1646" s="41"/>
      <c r="I1646" s="57"/>
      <c r="J1646" s="36"/>
      <c r="K1646" s="57"/>
      <c r="L1646" s="57"/>
      <c r="M1646" s="57"/>
      <c r="N1646" s="42"/>
      <c r="O1646" s="57"/>
      <c r="P1646" s="43"/>
      <c r="Q1646" s="41"/>
      <c r="R1646" s="43"/>
      <c r="S1646" s="36"/>
      <c r="T1646" s="16">
        <f t="shared" si="50"/>
        <v>0</v>
      </c>
      <c r="U1646" s="16">
        <f t="shared" si="51"/>
        <v>0</v>
      </c>
      <c r="V1646" s="133"/>
    </row>
    <row r="1647" spans="1:22" s="56" customFormat="1">
      <c r="A1647" s="58"/>
      <c r="B1647" s="36"/>
      <c r="C1647" s="58"/>
      <c r="D1647" s="57"/>
      <c r="E1647" s="57"/>
      <c r="F1647" s="41"/>
      <c r="G1647" s="41"/>
      <c r="H1647" s="41"/>
      <c r="I1647" s="57"/>
      <c r="J1647" s="36"/>
      <c r="K1647" s="57"/>
      <c r="L1647" s="57"/>
      <c r="M1647" s="57"/>
      <c r="N1647" s="42"/>
      <c r="O1647" s="57"/>
      <c r="P1647" s="43"/>
      <c r="Q1647" s="41"/>
      <c r="R1647" s="43"/>
      <c r="S1647" s="36"/>
      <c r="T1647" s="16">
        <f t="shared" si="50"/>
        <v>0</v>
      </c>
      <c r="U1647" s="16">
        <f t="shared" si="51"/>
        <v>0</v>
      </c>
      <c r="V1647" s="133"/>
    </row>
    <row r="1648" spans="1:22" s="56" customFormat="1">
      <c r="A1648" s="58"/>
      <c r="B1648" s="36"/>
      <c r="C1648" s="58"/>
      <c r="D1648" s="57"/>
      <c r="E1648" s="57"/>
      <c r="F1648" s="41"/>
      <c r="G1648" s="41"/>
      <c r="H1648" s="41"/>
      <c r="I1648" s="57"/>
      <c r="J1648" s="36"/>
      <c r="K1648" s="57"/>
      <c r="L1648" s="57"/>
      <c r="M1648" s="57"/>
      <c r="N1648" s="42"/>
      <c r="O1648" s="57"/>
      <c r="P1648" s="43"/>
      <c r="Q1648" s="41"/>
      <c r="R1648" s="43"/>
      <c r="S1648" s="36"/>
      <c r="T1648" s="16">
        <f t="shared" si="50"/>
        <v>0</v>
      </c>
      <c r="U1648" s="16">
        <f t="shared" si="51"/>
        <v>0</v>
      </c>
      <c r="V1648" s="133"/>
    </row>
    <row r="1649" spans="1:22" s="56" customFormat="1">
      <c r="A1649" s="58"/>
      <c r="B1649" s="36"/>
      <c r="C1649" s="58"/>
      <c r="D1649" s="57"/>
      <c r="E1649" s="57"/>
      <c r="F1649" s="41"/>
      <c r="G1649" s="41"/>
      <c r="H1649" s="41"/>
      <c r="I1649" s="57"/>
      <c r="J1649" s="36"/>
      <c r="K1649" s="57"/>
      <c r="L1649" s="57"/>
      <c r="M1649" s="57"/>
      <c r="N1649" s="42"/>
      <c r="O1649" s="57"/>
      <c r="P1649" s="43"/>
      <c r="Q1649" s="41"/>
      <c r="R1649" s="43"/>
      <c r="S1649" s="36"/>
      <c r="T1649" s="16">
        <f t="shared" si="50"/>
        <v>0</v>
      </c>
      <c r="U1649" s="16">
        <f t="shared" si="51"/>
        <v>0</v>
      </c>
      <c r="V1649" s="133"/>
    </row>
    <row r="1650" spans="1:22" s="56" customFormat="1">
      <c r="A1650" s="58"/>
      <c r="B1650" s="36"/>
      <c r="C1650" s="58"/>
      <c r="D1650" s="57"/>
      <c r="E1650" s="57"/>
      <c r="F1650" s="41"/>
      <c r="G1650" s="41"/>
      <c r="H1650" s="41"/>
      <c r="I1650" s="57"/>
      <c r="J1650" s="36"/>
      <c r="K1650" s="57"/>
      <c r="L1650" s="57"/>
      <c r="M1650" s="57"/>
      <c r="N1650" s="42"/>
      <c r="O1650" s="57"/>
      <c r="P1650" s="43"/>
      <c r="Q1650" s="41"/>
      <c r="R1650" s="43"/>
      <c r="S1650" s="36"/>
      <c r="T1650" s="16">
        <f t="shared" si="50"/>
        <v>0</v>
      </c>
      <c r="U1650" s="16">
        <f t="shared" si="51"/>
        <v>0</v>
      </c>
      <c r="V1650" s="133"/>
    </row>
    <row r="1651" spans="1:22" s="56" customFormat="1">
      <c r="A1651" s="58"/>
      <c r="B1651" s="36"/>
      <c r="C1651" s="58"/>
      <c r="D1651" s="57"/>
      <c r="E1651" s="57"/>
      <c r="F1651" s="41"/>
      <c r="G1651" s="41"/>
      <c r="H1651" s="41"/>
      <c r="I1651" s="57"/>
      <c r="J1651" s="36"/>
      <c r="K1651" s="57"/>
      <c r="L1651" s="57"/>
      <c r="M1651" s="57"/>
      <c r="N1651" s="42"/>
      <c r="O1651" s="57"/>
      <c r="P1651" s="43"/>
      <c r="Q1651" s="41"/>
      <c r="R1651" s="43"/>
      <c r="S1651" s="36"/>
      <c r="T1651" s="16">
        <f t="shared" si="50"/>
        <v>0</v>
      </c>
      <c r="U1651" s="16">
        <f t="shared" si="51"/>
        <v>0</v>
      </c>
      <c r="V1651" s="133"/>
    </row>
    <row r="1652" spans="1:22" s="56" customFormat="1">
      <c r="A1652" s="58"/>
      <c r="B1652" s="36"/>
      <c r="C1652" s="58"/>
      <c r="D1652" s="57"/>
      <c r="E1652" s="57"/>
      <c r="F1652" s="41"/>
      <c r="G1652" s="41"/>
      <c r="H1652" s="41"/>
      <c r="I1652" s="57"/>
      <c r="J1652" s="36"/>
      <c r="K1652" s="57"/>
      <c r="L1652" s="57"/>
      <c r="M1652" s="57"/>
      <c r="N1652" s="42"/>
      <c r="O1652" s="57"/>
      <c r="P1652" s="43"/>
      <c r="Q1652" s="41"/>
      <c r="R1652" s="43"/>
      <c r="S1652" s="36"/>
      <c r="T1652" s="16">
        <f t="shared" si="50"/>
        <v>0</v>
      </c>
      <c r="U1652" s="16">
        <f t="shared" si="51"/>
        <v>0</v>
      </c>
      <c r="V1652" s="133"/>
    </row>
    <row r="1653" spans="1:22" s="56" customFormat="1">
      <c r="A1653" s="58"/>
      <c r="B1653" s="36"/>
      <c r="C1653" s="58"/>
      <c r="D1653" s="57"/>
      <c r="E1653" s="57"/>
      <c r="F1653" s="41"/>
      <c r="G1653" s="41"/>
      <c r="H1653" s="41"/>
      <c r="I1653" s="57"/>
      <c r="J1653" s="36"/>
      <c r="K1653" s="57"/>
      <c r="L1653" s="57"/>
      <c r="M1653" s="57"/>
      <c r="N1653" s="42"/>
      <c r="O1653" s="57"/>
      <c r="P1653" s="43"/>
      <c r="Q1653" s="41"/>
      <c r="R1653" s="43"/>
      <c r="S1653" s="36"/>
      <c r="T1653" s="16">
        <f t="shared" si="50"/>
        <v>0</v>
      </c>
      <c r="U1653" s="16">
        <f t="shared" si="51"/>
        <v>0</v>
      </c>
      <c r="V1653" s="133"/>
    </row>
    <row r="1654" spans="1:22" s="56" customFormat="1">
      <c r="A1654" s="58"/>
      <c r="B1654" s="36"/>
      <c r="C1654" s="58"/>
      <c r="D1654" s="57"/>
      <c r="E1654" s="57"/>
      <c r="F1654" s="41"/>
      <c r="G1654" s="41"/>
      <c r="H1654" s="41"/>
      <c r="I1654" s="57"/>
      <c r="J1654" s="36"/>
      <c r="K1654" s="57"/>
      <c r="L1654" s="57"/>
      <c r="M1654" s="57"/>
      <c r="N1654" s="42"/>
      <c r="O1654" s="57"/>
      <c r="P1654" s="43"/>
      <c r="Q1654" s="41"/>
      <c r="R1654" s="43"/>
      <c r="S1654" s="36"/>
      <c r="T1654" s="16">
        <f t="shared" si="50"/>
        <v>0</v>
      </c>
      <c r="U1654" s="16">
        <f t="shared" si="51"/>
        <v>0</v>
      </c>
      <c r="V1654" s="133"/>
    </row>
    <row r="1655" spans="1:22" s="56" customFormat="1">
      <c r="A1655" s="58"/>
      <c r="B1655" s="36"/>
      <c r="C1655" s="58"/>
      <c r="D1655" s="57"/>
      <c r="E1655" s="57"/>
      <c r="F1655" s="41"/>
      <c r="G1655" s="41"/>
      <c r="H1655" s="41"/>
      <c r="I1655" s="57"/>
      <c r="J1655" s="36"/>
      <c r="K1655" s="57"/>
      <c r="L1655" s="57"/>
      <c r="M1655" s="57"/>
      <c r="N1655" s="42"/>
      <c r="O1655" s="57"/>
      <c r="P1655" s="43"/>
      <c r="Q1655" s="41"/>
      <c r="R1655" s="43"/>
      <c r="S1655" s="36"/>
      <c r="T1655" s="16">
        <f t="shared" si="50"/>
        <v>0</v>
      </c>
      <c r="U1655" s="16">
        <f t="shared" si="51"/>
        <v>0</v>
      </c>
      <c r="V1655" s="133"/>
    </row>
    <row r="1656" spans="1:22" s="56" customFormat="1">
      <c r="A1656" s="58"/>
      <c r="B1656" s="36"/>
      <c r="C1656" s="58"/>
      <c r="D1656" s="57"/>
      <c r="E1656" s="57"/>
      <c r="F1656" s="41"/>
      <c r="G1656" s="41"/>
      <c r="H1656" s="41"/>
      <c r="I1656" s="57"/>
      <c r="J1656" s="36"/>
      <c r="K1656" s="57"/>
      <c r="L1656" s="57"/>
      <c r="M1656" s="57"/>
      <c r="N1656" s="42"/>
      <c r="O1656" s="57"/>
      <c r="P1656" s="43"/>
      <c r="Q1656" s="41"/>
      <c r="R1656" s="43"/>
      <c r="S1656" s="36"/>
      <c r="T1656" s="16">
        <f t="shared" si="50"/>
        <v>0</v>
      </c>
      <c r="U1656" s="16">
        <f t="shared" si="51"/>
        <v>0</v>
      </c>
      <c r="V1656" s="133"/>
    </row>
    <row r="1657" spans="1:22" s="56" customFormat="1">
      <c r="A1657" s="58"/>
      <c r="B1657" s="36"/>
      <c r="C1657" s="58"/>
      <c r="D1657" s="57"/>
      <c r="E1657" s="57"/>
      <c r="F1657" s="41"/>
      <c r="G1657" s="41"/>
      <c r="H1657" s="41"/>
      <c r="I1657" s="57"/>
      <c r="J1657" s="36"/>
      <c r="K1657" s="57"/>
      <c r="L1657" s="57"/>
      <c r="M1657" s="57"/>
      <c r="N1657" s="42"/>
      <c r="O1657" s="57"/>
      <c r="P1657" s="43"/>
      <c r="Q1657" s="41"/>
      <c r="R1657" s="43"/>
      <c r="S1657" s="36"/>
      <c r="T1657" s="16">
        <f t="shared" si="50"/>
        <v>0</v>
      </c>
      <c r="U1657" s="16">
        <f t="shared" si="51"/>
        <v>0</v>
      </c>
      <c r="V1657" s="133"/>
    </row>
    <row r="1658" spans="1:22" s="56" customFormat="1">
      <c r="A1658" s="58"/>
      <c r="B1658" s="36"/>
      <c r="C1658" s="58"/>
      <c r="D1658" s="57"/>
      <c r="E1658" s="57"/>
      <c r="F1658" s="41"/>
      <c r="G1658" s="41"/>
      <c r="H1658" s="41"/>
      <c r="I1658" s="57"/>
      <c r="J1658" s="36"/>
      <c r="K1658" s="57"/>
      <c r="L1658" s="57"/>
      <c r="M1658" s="57"/>
      <c r="N1658" s="42"/>
      <c r="O1658" s="57"/>
      <c r="P1658" s="43"/>
      <c r="Q1658" s="41"/>
      <c r="R1658" s="43"/>
      <c r="S1658" s="36"/>
      <c r="T1658" s="16">
        <f t="shared" si="50"/>
        <v>0</v>
      </c>
      <c r="U1658" s="16">
        <f t="shared" si="51"/>
        <v>0</v>
      </c>
      <c r="V1658" s="133"/>
    </row>
    <row r="1659" spans="1:22" s="56" customFormat="1">
      <c r="A1659" s="58"/>
      <c r="B1659" s="36"/>
      <c r="C1659" s="58"/>
      <c r="D1659" s="57"/>
      <c r="E1659" s="57"/>
      <c r="F1659" s="41"/>
      <c r="G1659" s="41"/>
      <c r="H1659" s="41"/>
      <c r="I1659" s="57"/>
      <c r="J1659" s="36"/>
      <c r="K1659" s="57"/>
      <c r="L1659" s="57"/>
      <c r="M1659" s="57"/>
      <c r="N1659" s="42"/>
      <c r="O1659" s="57"/>
      <c r="P1659" s="43"/>
      <c r="Q1659" s="41"/>
      <c r="R1659" s="43"/>
      <c r="S1659" s="36"/>
      <c r="T1659" s="16">
        <f t="shared" si="50"/>
        <v>0</v>
      </c>
      <c r="U1659" s="16">
        <f t="shared" si="51"/>
        <v>0</v>
      </c>
      <c r="V1659" s="133"/>
    </row>
    <row r="1660" spans="1:22" s="56" customFormat="1">
      <c r="A1660" s="58"/>
      <c r="B1660" s="36"/>
      <c r="C1660" s="58"/>
      <c r="D1660" s="57"/>
      <c r="E1660" s="57"/>
      <c r="F1660" s="41"/>
      <c r="G1660" s="41"/>
      <c r="H1660" s="41"/>
      <c r="I1660" s="57"/>
      <c r="J1660" s="36"/>
      <c r="K1660" s="57"/>
      <c r="L1660" s="57"/>
      <c r="M1660" s="57"/>
      <c r="N1660" s="42"/>
      <c r="O1660" s="57"/>
      <c r="P1660" s="43"/>
      <c r="Q1660" s="41"/>
      <c r="R1660" s="43"/>
      <c r="S1660" s="36"/>
      <c r="T1660" s="16">
        <f t="shared" si="50"/>
        <v>0</v>
      </c>
      <c r="U1660" s="16">
        <f t="shared" si="51"/>
        <v>0</v>
      </c>
      <c r="V1660" s="133"/>
    </row>
    <row r="1661" spans="1:22" s="56" customFormat="1">
      <c r="A1661" s="58"/>
      <c r="B1661" s="36"/>
      <c r="C1661" s="58"/>
      <c r="D1661" s="57"/>
      <c r="E1661" s="57"/>
      <c r="F1661" s="41"/>
      <c r="G1661" s="41"/>
      <c r="H1661" s="41"/>
      <c r="I1661" s="57"/>
      <c r="J1661" s="36"/>
      <c r="K1661" s="57"/>
      <c r="L1661" s="57"/>
      <c r="M1661" s="57"/>
      <c r="N1661" s="42"/>
      <c r="O1661" s="57"/>
      <c r="P1661" s="43"/>
      <c r="Q1661" s="41"/>
      <c r="R1661" s="43"/>
      <c r="S1661" s="36"/>
      <c r="T1661" s="16">
        <f t="shared" si="50"/>
        <v>0</v>
      </c>
      <c r="U1661" s="16">
        <f t="shared" si="51"/>
        <v>0</v>
      </c>
      <c r="V1661" s="133"/>
    </row>
    <row r="1662" spans="1:22" s="56" customFormat="1">
      <c r="A1662" s="58"/>
      <c r="B1662" s="36"/>
      <c r="C1662" s="58"/>
      <c r="D1662" s="57"/>
      <c r="E1662" s="57"/>
      <c r="F1662" s="41"/>
      <c r="G1662" s="41"/>
      <c r="H1662" s="41"/>
      <c r="I1662" s="57"/>
      <c r="J1662" s="36"/>
      <c r="K1662" s="57"/>
      <c r="L1662" s="57"/>
      <c r="M1662" s="57"/>
      <c r="N1662" s="42"/>
      <c r="O1662" s="57"/>
      <c r="P1662" s="43"/>
      <c r="Q1662" s="41"/>
      <c r="R1662" s="43"/>
      <c r="S1662" s="36"/>
      <c r="T1662" s="16">
        <f t="shared" si="50"/>
        <v>0</v>
      </c>
      <c r="U1662" s="16">
        <f t="shared" si="51"/>
        <v>0</v>
      </c>
      <c r="V1662" s="133"/>
    </row>
    <row r="1663" spans="1:22" s="56" customFormat="1">
      <c r="A1663" s="58"/>
      <c r="B1663" s="36"/>
      <c r="C1663" s="58"/>
      <c r="D1663" s="57"/>
      <c r="E1663" s="57"/>
      <c r="F1663" s="41"/>
      <c r="G1663" s="41"/>
      <c r="H1663" s="41"/>
      <c r="I1663" s="57"/>
      <c r="J1663" s="36"/>
      <c r="K1663" s="57"/>
      <c r="L1663" s="57"/>
      <c r="M1663" s="57"/>
      <c r="N1663" s="42"/>
      <c r="O1663" s="57"/>
      <c r="P1663" s="43"/>
      <c r="Q1663" s="41"/>
      <c r="R1663" s="43"/>
      <c r="S1663" s="36"/>
      <c r="T1663" s="16">
        <f t="shared" si="50"/>
        <v>0</v>
      </c>
      <c r="U1663" s="16">
        <f t="shared" si="51"/>
        <v>0</v>
      </c>
      <c r="V1663" s="133"/>
    </row>
    <row r="1664" spans="1:22" s="56" customFormat="1">
      <c r="A1664" s="58"/>
      <c r="B1664" s="36"/>
      <c r="C1664" s="58"/>
      <c r="D1664" s="57"/>
      <c r="E1664" s="57"/>
      <c r="F1664" s="41"/>
      <c r="G1664" s="41"/>
      <c r="H1664" s="41"/>
      <c r="I1664" s="57"/>
      <c r="J1664" s="36"/>
      <c r="K1664" s="57"/>
      <c r="L1664" s="57"/>
      <c r="M1664" s="57"/>
      <c r="N1664" s="42"/>
      <c r="O1664" s="57"/>
      <c r="P1664" s="43"/>
      <c r="Q1664" s="41"/>
      <c r="R1664" s="43"/>
      <c r="S1664" s="36"/>
      <c r="T1664" s="16">
        <f t="shared" si="50"/>
        <v>0</v>
      </c>
      <c r="U1664" s="16">
        <f t="shared" si="51"/>
        <v>0</v>
      </c>
      <c r="V1664" s="133"/>
    </row>
    <row r="1665" spans="1:22" s="56" customFormat="1">
      <c r="A1665" s="58"/>
      <c r="B1665" s="36"/>
      <c r="C1665" s="58"/>
      <c r="D1665" s="57"/>
      <c r="E1665" s="57"/>
      <c r="F1665" s="41"/>
      <c r="G1665" s="41"/>
      <c r="H1665" s="41"/>
      <c r="I1665" s="57"/>
      <c r="J1665" s="36"/>
      <c r="K1665" s="57"/>
      <c r="L1665" s="57"/>
      <c r="M1665" s="57"/>
      <c r="N1665" s="42"/>
      <c r="O1665" s="57"/>
      <c r="P1665" s="43"/>
      <c r="Q1665" s="41"/>
      <c r="R1665" s="43"/>
      <c r="S1665" s="36"/>
      <c r="T1665" s="16">
        <f t="shared" si="50"/>
        <v>0</v>
      </c>
      <c r="U1665" s="16">
        <f t="shared" si="51"/>
        <v>0</v>
      </c>
      <c r="V1665" s="133"/>
    </row>
    <row r="1666" spans="1:22" s="56" customFormat="1">
      <c r="A1666" s="58"/>
      <c r="B1666" s="36"/>
      <c r="C1666" s="58"/>
      <c r="D1666" s="57"/>
      <c r="E1666" s="57"/>
      <c r="F1666" s="41"/>
      <c r="G1666" s="41"/>
      <c r="H1666" s="41"/>
      <c r="I1666" s="57"/>
      <c r="J1666" s="36"/>
      <c r="K1666" s="57"/>
      <c r="L1666" s="57"/>
      <c r="M1666" s="57"/>
      <c r="N1666" s="42"/>
      <c r="O1666" s="57"/>
      <c r="P1666" s="43"/>
      <c r="Q1666" s="41"/>
      <c r="R1666" s="43"/>
      <c r="S1666" s="36"/>
      <c r="T1666" s="16">
        <f t="shared" si="50"/>
        <v>0</v>
      </c>
      <c r="U1666" s="16">
        <f t="shared" si="51"/>
        <v>0</v>
      </c>
      <c r="V1666" s="133"/>
    </row>
    <row r="1667" spans="1:22" s="56" customFormat="1">
      <c r="A1667" s="58"/>
      <c r="B1667" s="36"/>
      <c r="C1667" s="58"/>
      <c r="D1667" s="57"/>
      <c r="E1667" s="57"/>
      <c r="F1667" s="41"/>
      <c r="G1667" s="41"/>
      <c r="H1667" s="41"/>
      <c r="I1667" s="57"/>
      <c r="J1667" s="36"/>
      <c r="K1667" s="57"/>
      <c r="L1667" s="57"/>
      <c r="M1667" s="57"/>
      <c r="N1667" s="42"/>
      <c r="O1667" s="57"/>
      <c r="P1667" s="43"/>
      <c r="Q1667" s="41"/>
      <c r="R1667" s="43"/>
      <c r="S1667" s="36"/>
      <c r="T1667" s="16">
        <f t="shared" si="50"/>
        <v>0</v>
      </c>
      <c r="U1667" s="16">
        <f t="shared" si="51"/>
        <v>0</v>
      </c>
      <c r="V1667" s="133"/>
    </row>
    <row r="1668" spans="1:22" s="56" customFormat="1">
      <c r="A1668" s="58"/>
      <c r="B1668" s="36"/>
      <c r="C1668" s="58"/>
      <c r="D1668" s="57"/>
      <c r="E1668" s="57"/>
      <c r="F1668" s="41"/>
      <c r="G1668" s="41"/>
      <c r="H1668" s="41"/>
      <c r="I1668" s="57"/>
      <c r="J1668" s="36"/>
      <c r="K1668" s="57"/>
      <c r="L1668" s="57"/>
      <c r="M1668" s="57"/>
      <c r="N1668" s="42"/>
      <c r="O1668" s="57"/>
      <c r="P1668" s="43"/>
      <c r="Q1668" s="41"/>
      <c r="R1668" s="43"/>
      <c r="S1668" s="36"/>
      <c r="T1668" s="16">
        <f t="shared" si="50"/>
        <v>0</v>
      </c>
      <c r="U1668" s="16">
        <f t="shared" si="51"/>
        <v>0</v>
      </c>
      <c r="V1668" s="133"/>
    </row>
    <row r="1669" spans="1:22" s="56" customFormat="1">
      <c r="A1669" s="58"/>
      <c r="B1669" s="36"/>
      <c r="C1669" s="58"/>
      <c r="D1669" s="57"/>
      <c r="E1669" s="57"/>
      <c r="F1669" s="41"/>
      <c r="G1669" s="41"/>
      <c r="H1669" s="41"/>
      <c r="I1669" s="57"/>
      <c r="J1669" s="36"/>
      <c r="K1669" s="57"/>
      <c r="L1669" s="57"/>
      <c r="M1669" s="57"/>
      <c r="N1669" s="42"/>
      <c r="O1669" s="57"/>
      <c r="P1669" s="43"/>
      <c r="Q1669" s="41"/>
      <c r="R1669" s="43"/>
      <c r="S1669" s="36"/>
      <c r="T1669" s="16">
        <f t="shared" ref="T1669:T1732" si="52">IF(OR($J1669="Accepted",ISBLANK($J1669)),IF(AND($G1669="Legacy Data",$Q1669="Legacy Data"),1,IF(OR($G1669="Legacy Data",$Q1669="Legacy Data"),1,0)),IF(OR($N1669="Agree with original translator",ISBLANK($N1669)),IF(AND($G1669="Source Text Data",$Q1669="Legacy Data"),1,IF(AND($G1669="Legacy Data",$Q1669="Legacy Data"),1,IF($Q1669="Legacy Data",1,0))),IF(AND($G1669="Legacy Data",$Q1669="Legacy Data"),1,IF(OR($Q1669="Legacy Data",ISBLANK($Q1669)),IF($G1669&lt;&gt;"Legacy Data",IF(AND($G1669="Source Text Data",$Q1669="Legacy Data"),1,0),1),0))))</f>
        <v>0</v>
      </c>
      <c r="U1669" s="16">
        <f t="shared" ref="U1669:U1732" si="53">IF(OR($J1669="Accepted",ISBLANK($J1669)),IF(AND($G1669="Source Text Data",$Q1669="Source Text Data"),1,IF(OR($G1669="Source Text Data",$Q1669="Source Text Data"),1,0)),IF(OR($N1669="Agree with original translator",ISBLANK($N1669)),IF(AND($G1669="Legacy Data",$Q1669="Source Text Data"),1,IF(AND($G1669="Source Text Data",$Q1669="Source Text Data"),1,IF($Q1669="Source Text Data",1,0))),IF(AND($G1669="Source Text Data",$Q1669="Source Text Data"),1,IF(OR($Q1669="Source Text Data",ISBLANK($Q1669)),IF($G1669&lt;&gt;"Source Text Data",IF(AND($G1669="Legacy Data",$Q1669="Source Text Data"),1,0),1),0))))</f>
        <v>0</v>
      </c>
      <c r="V1669" s="133"/>
    </row>
    <row r="1670" spans="1:22" s="56" customFormat="1">
      <c r="A1670" s="58"/>
      <c r="B1670" s="36"/>
      <c r="C1670" s="58"/>
      <c r="D1670" s="57"/>
      <c r="E1670" s="57"/>
      <c r="F1670" s="41"/>
      <c r="G1670" s="41"/>
      <c r="H1670" s="41"/>
      <c r="I1670" s="57"/>
      <c r="J1670" s="36"/>
      <c r="K1670" s="57"/>
      <c r="L1670" s="57"/>
      <c r="M1670" s="57"/>
      <c r="N1670" s="42"/>
      <c r="O1670" s="57"/>
      <c r="P1670" s="43"/>
      <c r="Q1670" s="41"/>
      <c r="R1670" s="43"/>
      <c r="S1670" s="36"/>
      <c r="T1670" s="16">
        <f t="shared" si="52"/>
        <v>0</v>
      </c>
      <c r="U1670" s="16">
        <f t="shared" si="53"/>
        <v>0</v>
      </c>
      <c r="V1670" s="133"/>
    </row>
    <row r="1671" spans="1:22" s="56" customFormat="1">
      <c r="A1671" s="58"/>
      <c r="B1671" s="36"/>
      <c r="C1671" s="58"/>
      <c r="D1671" s="57"/>
      <c r="E1671" s="57"/>
      <c r="F1671" s="41"/>
      <c r="G1671" s="41"/>
      <c r="H1671" s="41"/>
      <c r="I1671" s="57"/>
      <c r="J1671" s="36"/>
      <c r="K1671" s="57"/>
      <c r="L1671" s="57"/>
      <c r="M1671" s="57"/>
      <c r="N1671" s="42"/>
      <c r="O1671" s="57"/>
      <c r="P1671" s="43"/>
      <c r="Q1671" s="41"/>
      <c r="R1671" s="43"/>
      <c r="S1671" s="36"/>
      <c r="T1671" s="16">
        <f t="shared" si="52"/>
        <v>0</v>
      </c>
      <c r="U1671" s="16">
        <f t="shared" si="53"/>
        <v>0</v>
      </c>
      <c r="V1671" s="133"/>
    </row>
    <row r="1672" spans="1:22" s="56" customFormat="1">
      <c r="A1672" s="58"/>
      <c r="B1672" s="36"/>
      <c r="C1672" s="58"/>
      <c r="D1672" s="57"/>
      <c r="E1672" s="57"/>
      <c r="F1672" s="41"/>
      <c r="G1672" s="41"/>
      <c r="H1672" s="41"/>
      <c r="I1672" s="57"/>
      <c r="J1672" s="36"/>
      <c r="K1672" s="57"/>
      <c r="L1672" s="57"/>
      <c r="M1672" s="57"/>
      <c r="N1672" s="42"/>
      <c r="O1672" s="57"/>
      <c r="P1672" s="43"/>
      <c r="Q1672" s="41"/>
      <c r="R1672" s="43"/>
      <c r="S1672" s="36"/>
      <c r="T1672" s="16">
        <f t="shared" si="52"/>
        <v>0</v>
      </c>
      <c r="U1672" s="16">
        <f t="shared" si="53"/>
        <v>0</v>
      </c>
      <c r="V1672" s="133"/>
    </row>
    <row r="1673" spans="1:22" s="56" customFormat="1">
      <c r="A1673" s="58"/>
      <c r="B1673" s="36"/>
      <c r="C1673" s="58"/>
      <c r="D1673" s="57"/>
      <c r="E1673" s="57"/>
      <c r="F1673" s="41"/>
      <c r="G1673" s="41"/>
      <c r="H1673" s="41"/>
      <c r="I1673" s="57"/>
      <c r="J1673" s="36"/>
      <c r="K1673" s="57"/>
      <c r="L1673" s="57"/>
      <c r="M1673" s="57"/>
      <c r="N1673" s="42"/>
      <c r="O1673" s="57"/>
      <c r="P1673" s="43"/>
      <c r="Q1673" s="41"/>
      <c r="R1673" s="43"/>
      <c r="S1673" s="36"/>
      <c r="T1673" s="16">
        <f t="shared" si="52"/>
        <v>0</v>
      </c>
      <c r="U1673" s="16">
        <f t="shared" si="53"/>
        <v>0</v>
      </c>
      <c r="V1673" s="133"/>
    </row>
    <row r="1674" spans="1:22" s="56" customFormat="1">
      <c r="A1674" s="58"/>
      <c r="B1674" s="36"/>
      <c r="C1674" s="58"/>
      <c r="D1674" s="57"/>
      <c r="E1674" s="57"/>
      <c r="F1674" s="41"/>
      <c r="G1674" s="41"/>
      <c r="H1674" s="41"/>
      <c r="I1674" s="57"/>
      <c r="J1674" s="36"/>
      <c r="K1674" s="57"/>
      <c r="L1674" s="57"/>
      <c r="M1674" s="57"/>
      <c r="N1674" s="42"/>
      <c r="O1674" s="57"/>
      <c r="P1674" s="43"/>
      <c r="Q1674" s="41"/>
      <c r="R1674" s="43"/>
      <c r="S1674" s="36"/>
      <c r="T1674" s="16">
        <f t="shared" si="52"/>
        <v>0</v>
      </c>
      <c r="U1674" s="16">
        <f t="shared" si="53"/>
        <v>0</v>
      </c>
      <c r="V1674" s="133"/>
    </row>
    <row r="1675" spans="1:22" s="56" customFormat="1">
      <c r="A1675" s="58"/>
      <c r="B1675" s="36"/>
      <c r="C1675" s="58"/>
      <c r="D1675" s="57"/>
      <c r="E1675" s="57"/>
      <c r="F1675" s="41"/>
      <c r="G1675" s="41"/>
      <c r="H1675" s="41"/>
      <c r="I1675" s="57"/>
      <c r="J1675" s="36"/>
      <c r="K1675" s="57"/>
      <c r="L1675" s="57"/>
      <c r="M1675" s="57"/>
      <c r="N1675" s="42"/>
      <c r="O1675" s="57"/>
      <c r="P1675" s="43"/>
      <c r="Q1675" s="41"/>
      <c r="R1675" s="43"/>
      <c r="S1675" s="36"/>
      <c r="T1675" s="16">
        <f t="shared" si="52"/>
        <v>0</v>
      </c>
      <c r="U1675" s="16">
        <f t="shared" si="53"/>
        <v>0</v>
      </c>
      <c r="V1675" s="133"/>
    </row>
    <row r="1676" spans="1:22" s="56" customFormat="1">
      <c r="A1676" s="58"/>
      <c r="B1676" s="36"/>
      <c r="C1676" s="58"/>
      <c r="D1676" s="57"/>
      <c r="E1676" s="57"/>
      <c r="F1676" s="41"/>
      <c r="G1676" s="41"/>
      <c r="H1676" s="41"/>
      <c r="I1676" s="57"/>
      <c r="J1676" s="36"/>
      <c r="K1676" s="57"/>
      <c r="L1676" s="57"/>
      <c r="M1676" s="57"/>
      <c r="N1676" s="42"/>
      <c r="O1676" s="57"/>
      <c r="P1676" s="43"/>
      <c r="Q1676" s="41"/>
      <c r="R1676" s="43"/>
      <c r="S1676" s="36"/>
      <c r="T1676" s="16">
        <f t="shared" si="52"/>
        <v>0</v>
      </c>
      <c r="U1676" s="16">
        <f t="shared" si="53"/>
        <v>0</v>
      </c>
      <c r="V1676" s="133"/>
    </row>
    <row r="1677" spans="1:22" s="56" customFormat="1">
      <c r="A1677" s="58"/>
      <c r="B1677" s="36"/>
      <c r="C1677" s="58"/>
      <c r="D1677" s="57"/>
      <c r="E1677" s="57"/>
      <c r="F1677" s="41"/>
      <c r="G1677" s="41"/>
      <c r="H1677" s="41"/>
      <c r="I1677" s="57"/>
      <c r="J1677" s="36"/>
      <c r="K1677" s="57"/>
      <c r="L1677" s="57"/>
      <c r="M1677" s="57"/>
      <c r="N1677" s="42"/>
      <c r="O1677" s="57"/>
      <c r="P1677" s="43"/>
      <c r="Q1677" s="41"/>
      <c r="R1677" s="43"/>
      <c r="S1677" s="36"/>
      <c r="T1677" s="16">
        <f t="shared" si="52"/>
        <v>0</v>
      </c>
      <c r="U1677" s="16">
        <f t="shared" si="53"/>
        <v>0</v>
      </c>
      <c r="V1677" s="133"/>
    </row>
    <row r="1678" spans="1:22" s="56" customFormat="1">
      <c r="A1678" s="58"/>
      <c r="B1678" s="36"/>
      <c r="C1678" s="58"/>
      <c r="D1678" s="57"/>
      <c r="E1678" s="57"/>
      <c r="F1678" s="41"/>
      <c r="G1678" s="41"/>
      <c r="H1678" s="41"/>
      <c r="I1678" s="57"/>
      <c r="J1678" s="36"/>
      <c r="K1678" s="57"/>
      <c r="L1678" s="57"/>
      <c r="M1678" s="57"/>
      <c r="N1678" s="42"/>
      <c r="O1678" s="57"/>
      <c r="P1678" s="43"/>
      <c r="Q1678" s="41"/>
      <c r="R1678" s="43"/>
      <c r="S1678" s="36"/>
      <c r="T1678" s="16">
        <f t="shared" si="52"/>
        <v>0</v>
      </c>
      <c r="U1678" s="16">
        <f t="shared" si="53"/>
        <v>0</v>
      </c>
      <c r="V1678" s="133"/>
    </row>
    <row r="1679" spans="1:22" s="56" customFormat="1">
      <c r="A1679" s="58"/>
      <c r="B1679" s="36"/>
      <c r="C1679" s="58"/>
      <c r="D1679" s="57"/>
      <c r="E1679" s="57"/>
      <c r="F1679" s="41"/>
      <c r="G1679" s="41"/>
      <c r="H1679" s="41"/>
      <c r="I1679" s="57"/>
      <c r="J1679" s="36"/>
      <c r="K1679" s="57"/>
      <c r="L1679" s="57"/>
      <c r="M1679" s="57"/>
      <c r="N1679" s="42"/>
      <c r="O1679" s="57"/>
      <c r="P1679" s="43"/>
      <c r="Q1679" s="41"/>
      <c r="R1679" s="43"/>
      <c r="S1679" s="36"/>
      <c r="T1679" s="16">
        <f t="shared" si="52"/>
        <v>0</v>
      </c>
      <c r="U1679" s="16">
        <f t="shared" si="53"/>
        <v>0</v>
      </c>
      <c r="V1679" s="133"/>
    </row>
    <row r="1680" spans="1:22" s="56" customFormat="1">
      <c r="A1680" s="58"/>
      <c r="B1680" s="36"/>
      <c r="C1680" s="58"/>
      <c r="D1680" s="57"/>
      <c r="E1680" s="57"/>
      <c r="F1680" s="41"/>
      <c r="G1680" s="41"/>
      <c r="H1680" s="41"/>
      <c r="I1680" s="57"/>
      <c r="J1680" s="36"/>
      <c r="K1680" s="57"/>
      <c r="L1680" s="57"/>
      <c r="M1680" s="57"/>
      <c r="N1680" s="42"/>
      <c r="O1680" s="57"/>
      <c r="P1680" s="43"/>
      <c r="Q1680" s="41"/>
      <c r="R1680" s="43"/>
      <c r="S1680" s="36"/>
      <c r="T1680" s="16">
        <f t="shared" si="52"/>
        <v>0</v>
      </c>
      <c r="U1680" s="16">
        <f t="shared" si="53"/>
        <v>0</v>
      </c>
      <c r="V1680" s="133"/>
    </row>
    <row r="1681" spans="1:22" s="56" customFormat="1">
      <c r="A1681" s="58"/>
      <c r="B1681" s="36"/>
      <c r="C1681" s="58"/>
      <c r="D1681" s="57"/>
      <c r="E1681" s="57"/>
      <c r="F1681" s="41"/>
      <c r="G1681" s="41"/>
      <c r="H1681" s="41"/>
      <c r="I1681" s="57"/>
      <c r="J1681" s="36"/>
      <c r="K1681" s="57"/>
      <c r="L1681" s="57"/>
      <c r="M1681" s="57"/>
      <c r="N1681" s="42"/>
      <c r="O1681" s="57"/>
      <c r="P1681" s="43"/>
      <c r="Q1681" s="41"/>
      <c r="R1681" s="43"/>
      <c r="S1681" s="36"/>
      <c r="T1681" s="16">
        <f t="shared" si="52"/>
        <v>0</v>
      </c>
      <c r="U1681" s="16">
        <f t="shared" si="53"/>
        <v>0</v>
      </c>
      <c r="V1681" s="133"/>
    </row>
    <row r="1682" spans="1:22" s="56" customFormat="1">
      <c r="A1682" s="58"/>
      <c r="B1682" s="36"/>
      <c r="C1682" s="58"/>
      <c r="D1682" s="57"/>
      <c r="E1682" s="57"/>
      <c r="F1682" s="41"/>
      <c r="G1682" s="41"/>
      <c r="H1682" s="41"/>
      <c r="I1682" s="57"/>
      <c r="J1682" s="36"/>
      <c r="K1682" s="57"/>
      <c r="L1682" s="57"/>
      <c r="M1682" s="57"/>
      <c r="N1682" s="42"/>
      <c r="O1682" s="57"/>
      <c r="P1682" s="43"/>
      <c r="Q1682" s="41"/>
      <c r="R1682" s="43"/>
      <c r="S1682" s="36"/>
      <c r="T1682" s="16">
        <f t="shared" si="52"/>
        <v>0</v>
      </c>
      <c r="U1682" s="16">
        <f t="shared" si="53"/>
        <v>0</v>
      </c>
      <c r="V1682" s="133"/>
    </row>
    <row r="1683" spans="1:22" s="56" customFormat="1">
      <c r="A1683" s="58"/>
      <c r="B1683" s="36"/>
      <c r="C1683" s="58"/>
      <c r="D1683" s="57"/>
      <c r="E1683" s="57"/>
      <c r="F1683" s="41"/>
      <c r="G1683" s="41"/>
      <c r="H1683" s="41"/>
      <c r="I1683" s="57"/>
      <c r="J1683" s="36"/>
      <c r="K1683" s="57"/>
      <c r="L1683" s="57"/>
      <c r="M1683" s="57"/>
      <c r="N1683" s="42"/>
      <c r="O1683" s="57"/>
      <c r="P1683" s="43"/>
      <c r="Q1683" s="41"/>
      <c r="R1683" s="43"/>
      <c r="S1683" s="36"/>
      <c r="T1683" s="16">
        <f t="shared" si="52"/>
        <v>0</v>
      </c>
      <c r="U1683" s="16">
        <f t="shared" si="53"/>
        <v>0</v>
      </c>
      <c r="V1683" s="133"/>
    </row>
    <row r="1684" spans="1:22" s="56" customFormat="1">
      <c r="A1684" s="58"/>
      <c r="B1684" s="36"/>
      <c r="C1684" s="58"/>
      <c r="D1684" s="57"/>
      <c r="E1684" s="57"/>
      <c r="F1684" s="41"/>
      <c r="G1684" s="41"/>
      <c r="H1684" s="41"/>
      <c r="I1684" s="57"/>
      <c r="J1684" s="36"/>
      <c r="K1684" s="57"/>
      <c r="L1684" s="57"/>
      <c r="M1684" s="57"/>
      <c r="N1684" s="42"/>
      <c r="O1684" s="57"/>
      <c r="P1684" s="43"/>
      <c r="Q1684" s="41"/>
      <c r="R1684" s="43"/>
      <c r="S1684" s="36"/>
      <c r="T1684" s="16">
        <f t="shared" si="52"/>
        <v>0</v>
      </c>
      <c r="U1684" s="16">
        <f t="shared" si="53"/>
        <v>0</v>
      </c>
      <c r="V1684" s="133"/>
    </row>
    <row r="1685" spans="1:22" s="56" customFormat="1">
      <c r="A1685" s="58"/>
      <c r="B1685" s="36"/>
      <c r="C1685" s="58"/>
      <c r="D1685" s="57"/>
      <c r="E1685" s="57"/>
      <c r="F1685" s="41"/>
      <c r="G1685" s="41"/>
      <c r="H1685" s="41"/>
      <c r="I1685" s="57"/>
      <c r="J1685" s="36"/>
      <c r="K1685" s="57"/>
      <c r="L1685" s="57"/>
      <c r="M1685" s="57"/>
      <c r="N1685" s="42"/>
      <c r="O1685" s="57"/>
      <c r="P1685" s="43"/>
      <c r="Q1685" s="41"/>
      <c r="R1685" s="43"/>
      <c r="S1685" s="36"/>
      <c r="T1685" s="16">
        <f t="shared" si="52"/>
        <v>0</v>
      </c>
      <c r="U1685" s="16">
        <f t="shared" si="53"/>
        <v>0</v>
      </c>
      <c r="V1685" s="133"/>
    </row>
    <row r="1686" spans="1:22" s="56" customFormat="1">
      <c r="A1686" s="58"/>
      <c r="B1686" s="36"/>
      <c r="C1686" s="58"/>
      <c r="D1686" s="57"/>
      <c r="E1686" s="57"/>
      <c r="F1686" s="41"/>
      <c r="G1686" s="41"/>
      <c r="H1686" s="41"/>
      <c r="I1686" s="57"/>
      <c r="J1686" s="36"/>
      <c r="K1686" s="57"/>
      <c r="L1686" s="57"/>
      <c r="M1686" s="57"/>
      <c r="N1686" s="42"/>
      <c r="O1686" s="57"/>
      <c r="P1686" s="43"/>
      <c r="Q1686" s="41"/>
      <c r="R1686" s="43"/>
      <c r="S1686" s="36"/>
      <c r="T1686" s="16">
        <f t="shared" si="52"/>
        <v>0</v>
      </c>
      <c r="U1686" s="16">
        <f t="shared" si="53"/>
        <v>0</v>
      </c>
      <c r="V1686" s="133"/>
    </row>
    <row r="1687" spans="1:22" s="56" customFormat="1">
      <c r="A1687" s="58"/>
      <c r="B1687" s="36"/>
      <c r="C1687" s="58"/>
      <c r="D1687" s="57"/>
      <c r="E1687" s="57"/>
      <c r="F1687" s="41"/>
      <c r="G1687" s="41"/>
      <c r="H1687" s="41"/>
      <c r="I1687" s="57"/>
      <c r="J1687" s="36"/>
      <c r="K1687" s="57"/>
      <c r="L1687" s="57"/>
      <c r="M1687" s="57"/>
      <c r="N1687" s="42"/>
      <c r="O1687" s="57"/>
      <c r="P1687" s="43"/>
      <c r="Q1687" s="41"/>
      <c r="R1687" s="43"/>
      <c r="S1687" s="36"/>
      <c r="T1687" s="16">
        <f t="shared" si="52"/>
        <v>0</v>
      </c>
      <c r="U1687" s="16">
        <f t="shared" si="53"/>
        <v>0</v>
      </c>
      <c r="V1687" s="133"/>
    </row>
    <row r="1688" spans="1:22" s="56" customFormat="1">
      <c r="A1688" s="58"/>
      <c r="B1688" s="36"/>
      <c r="C1688" s="58"/>
      <c r="D1688" s="57"/>
      <c r="E1688" s="57"/>
      <c r="F1688" s="41"/>
      <c r="G1688" s="41"/>
      <c r="H1688" s="41"/>
      <c r="I1688" s="57"/>
      <c r="J1688" s="36"/>
      <c r="K1688" s="57"/>
      <c r="L1688" s="57"/>
      <c r="M1688" s="57"/>
      <c r="N1688" s="42"/>
      <c r="O1688" s="57"/>
      <c r="P1688" s="43"/>
      <c r="Q1688" s="41"/>
      <c r="R1688" s="43"/>
      <c r="S1688" s="36"/>
      <c r="T1688" s="16">
        <f t="shared" si="52"/>
        <v>0</v>
      </c>
      <c r="U1688" s="16">
        <f t="shared" si="53"/>
        <v>0</v>
      </c>
      <c r="V1688" s="133"/>
    </row>
    <row r="1689" spans="1:22" s="56" customFormat="1">
      <c r="A1689" s="58"/>
      <c r="B1689" s="36"/>
      <c r="C1689" s="58"/>
      <c r="D1689" s="57"/>
      <c r="E1689" s="57"/>
      <c r="F1689" s="41"/>
      <c r="G1689" s="41"/>
      <c r="H1689" s="41"/>
      <c r="I1689" s="57"/>
      <c r="J1689" s="36"/>
      <c r="K1689" s="57"/>
      <c r="L1689" s="57"/>
      <c r="M1689" s="57"/>
      <c r="N1689" s="42"/>
      <c r="O1689" s="57"/>
      <c r="P1689" s="43"/>
      <c r="Q1689" s="41"/>
      <c r="R1689" s="43"/>
      <c r="S1689" s="36"/>
      <c r="T1689" s="16">
        <f t="shared" si="52"/>
        <v>0</v>
      </c>
      <c r="U1689" s="16">
        <f t="shared" si="53"/>
        <v>0</v>
      </c>
      <c r="V1689" s="133"/>
    </row>
    <row r="1690" spans="1:22" s="56" customFormat="1">
      <c r="A1690" s="58"/>
      <c r="B1690" s="36"/>
      <c r="C1690" s="58"/>
      <c r="D1690" s="57"/>
      <c r="E1690" s="57"/>
      <c r="F1690" s="41"/>
      <c r="G1690" s="41"/>
      <c r="H1690" s="41"/>
      <c r="I1690" s="57"/>
      <c r="J1690" s="36"/>
      <c r="K1690" s="57"/>
      <c r="L1690" s="57"/>
      <c r="M1690" s="57"/>
      <c r="N1690" s="42"/>
      <c r="O1690" s="57"/>
      <c r="P1690" s="43"/>
      <c r="Q1690" s="41"/>
      <c r="R1690" s="43"/>
      <c r="S1690" s="36"/>
      <c r="T1690" s="16">
        <f t="shared" si="52"/>
        <v>0</v>
      </c>
      <c r="U1690" s="16">
        <f t="shared" si="53"/>
        <v>0</v>
      </c>
      <c r="V1690" s="133"/>
    </row>
    <row r="1691" spans="1:22" s="56" customFormat="1">
      <c r="A1691" s="58"/>
      <c r="B1691" s="36"/>
      <c r="C1691" s="58"/>
      <c r="D1691" s="57"/>
      <c r="E1691" s="57"/>
      <c r="F1691" s="41"/>
      <c r="G1691" s="41"/>
      <c r="H1691" s="41"/>
      <c r="I1691" s="57"/>
      <c r="J1691" s="36"/>
      <c r="K1691" s="57"/>
      <c r="L1691" s="57"/>
      <c r="M1691" s="57"/>
      <c r="N1691" s="42"/>
      <c r="O1691" s="57"/>
      <c r="P1691" s="43"/>
      <c r="Q1691" s="41"/>
      <c r="R1691" s="43"/>
      <c r="S1691" s="36"/>
      <c r="T1691" s="16">
        <f t="shared" si="52"/>
        <v>0</v>
      </c>
      <c r="U1691" s="16">
        <f t="shared" si="53"/>
        <v>0</v>
      </c>
      <c r="V1691" s="133"/>
    </row>
    <row r="1692" spans="1:22" s="56" customFormat="1">
      <c r="A1692" s="58"/>
      <c r="B1692" s="36"/>
      <c r="C1692" s="58"/>
      <c r="D1692" s="57"/>
      <c r="E1692" s="57"/>
      <c r="F1692" s="41"/>
      <c r="G1692" s="41"/>
      <c r="H1692" s="41"/>
      <c r="I1692" s="57"/>
      <c r="J1692" s="36"/>
      <c r="K1692" s="57"/>
      <c r="L1692" s="57"/>
      <c r="M1692" s="57"/>
      <c r="N1692" s="42"/>
      <c r="O1692" s="57"/>
      <c r="P1692" s="43"/>
      <c r="Q1692" s="41"/>
      <c r="R1692" s="43"/>
      <c r="S1692" s="36"/>
      <c r="T1692" s="16">
        <f t="shared" si="52"/>
        <v>0</v>
      </c>
      <c r="U1692" s="16">
        <f t="shared" si="53"/>
        <v>0</v>
      </c>
      <c r="V1692" s="133"/>
    </row>
    <row r="1693" spans="1:22" s="56" customFormat="1">
      <c r="A1693" s="58"/>
      <c r="B1693" s="36"/>
      <c r="C1693" s="58"/>
      <c r="D1693" s="57"/>
      <c r="E1693" s="57"/>
      <c r="F1693" s="41"/>
      <c r="G1693" s="41"/>
      <c r="H1693" s="41"/>
      <c r="I1693" s="57"/>
      <c r="J1693" s="36"/>
      <c r="K1693" s="57"/>
      <c r="L1693" s="57"/>
      <c r="M1693" s="57"/>
      <c r="N1693" s="42"/>
      <c r="O1693" s="57"/>
      <c r="P1693" s="43"/>
      <c r="Q1693" s="41"/>
      <c r="R1693" s="43"/>
      <c r="S1693" s="36"/>
      <c r="T1693" s="16">
        <f t="shared" si="52"/>
        <v>0</v>
      </c>
      <c r="U1693" s="16">
        <f t="shared" si="53"/>
        <v>0</v>
      </c>
      <c r="V1693" s="133"/>
    </row>
    <row r="1694" spans="1:22" s="56" customFormat="1">
      <c r="A1694" s="58"/>
      <c r="B1694" s="36"/>
      <c r="C1694" s="58"/>
      <c r="D1694" s="57"/>
      <c r="E1694" s="57"/>
      <c r="F1694" s="41"/>
      <c r="G1694" s="41"/>
      <c r="H1694" s="41"/>
      <c r="I1694" s="57"/>
      <c r="J1694" s="36"/>
      <c r="K1694" s="57"/>
      <c r="L1694" s="57"/>
      <c r="M1694" s="57"/>
      <c r="N1694" s="42"/>
      <c r="O1694" s="57"/>
      <c r="P1694" s="43"/>
      <c r="Q1694" s="41"/>
      <c r="R1694" s="43"/>
      <c r="S1694" s="36"/>
      <c r="T1694" s="16">
        <f t="shared" si="52"/>
        <v>0</v>
      </c>
      <c r="U1694" s="16">
        <f t="shared" si="53"/>
        <v>0</v>
      </c>
      <c r="V1694" s="133"/>
    </row>
    <row r="1695" spans="1:22" s="56" customFormat="1">
      <c r="A1695" s="58"/>
      <c r="B1695" s="36"/>
      <c r="C1695" s="58"/>
      <c r="D1695" s="57"/>
      <c r="E1695" s="57"/>
      <c r="F1695" s="41"/>
      <c r="G1695" s="41"/>
      <c r="H1695" s="41"/>
      <c r="I1695" s="57"/>
      <c r="J1695" s="36"/>
      <c r="K1695" s="57"/>
      <c r="L1695" s="57"/>
      <c r="M1695" s="57"/>
      <c r="N1695" s="42"/>
      <c r="O1695" s="57"/>
      <c r="P1695" s="43"/>
      <c r="Q1695" s="41"/>
      <c r="R1695" s="43"/>
      <c r="S1695" s="36"/>
      <c r="T1695" s="16">
        <f t="shared" si="52"/>
        <v>0</v>
      </c>
      <c r="U1695" s="16">
        <f t="shared" si="53"/>
        <v>0</v>
      </c>
      <c r="V1695" s="133"/>
    </row>
    <row r="1696" spans="1:22" s="56" customFormat="1">
      <c r="A1696" s="58"/>
      <c r="B1696" s="36"/>
      <c r="C1696" s="58"/>
      <c r="D1696" s="57"/>
      <c r="E1696" s="57"/>
      <c r="F1696" s="41"/>
      <c r="G1696" s="41"/>
      <c r="H1696" s="41"/>
      <c r="I1696" s="57"/>
      <c r="J1696" s="36"/>
      <c r="K1696" s="57"/>
      <c r="L1696" s="57"/>
      <c r="M1696" s="57"/>
      <c r="N1696" s="42"/>
      <c r="O1696" s="57"/>
      <c r="P1696" s="43"/>
      <c r="Q1696" s="41"/>
      <c r="R1696" s="43"/>
      <c r="S1696" s="36"/>
      <c r="T1696" s="16">
        <f t="shared" si="52"/>
        <v>0</v>
      </c>
      <c r="U1696" s="16">
        <f t="shared" si="53"/>
        <v>0</v>
      </c>
      <c r="V1696" s="133"/>
    </row>
    <row r="1697" spans="1:22" s="56" customFormat="1">
      <c r="A1697" s="58"/>
      <c r="B1697" s="36"/>
      <c r="C1697" s="58"/>
      <c r="D1697" s="57"/>
      <c r="E1697" s="57"/>
      <c r="F1697" s="41"/>
      <c r="G1697" s="41"/>
      <c r="H1697" s="41"/>
      <c r="I1697" s="57"/>
      <c r="J1697" s="36"/>
      <c r="K1697" s="57"/>
      <c r="L1697" s="57"/>
      <c r="M1697" s="57"/>
      <c r="N1697" s="42"/>
      <c r="O1697" s="57"/>
      <c r="P1697" s="43"/>
      <c r="Q1697" s="41"/>
      <c r="R1697" s="43"/>
      <c r="S1697" s="36"/>
      <c r="T1697" s="16">
        <f t="shared" si="52"/>
        <v>0</v>
      </c>
      <c r="U1697" s="16">
        <f t="shared" si="53"/>
        <v>0</v>
      </c>
      <c r="V1697" s="133"/>
    </row>
    <row r="1698" spans="1:22" s="56" customFormat="1">
      <c r="A1698" s="58"/>
      <c r="B1698" s="36"/>
      <c r="C1698" s="58"/>
      <c r="D1698" s="57"/>
      <c r="E1698" s="57"/>
      <c r="F1698" s="41"/>
      <c r="G1698" s="41"/>
      <c r="H1698" s="41"/>
      <c r="I1698" s="57"/>
      <c r="J1698" s="36"/>
      <c r="K1698" s="57"/>
      <c r="L1698" s="57"/>
      <c r="M1698" s="57"/>
      <c r="N1698" s="42"/>
      <c r="O1698" s="57"/>
      <c r="P1698" s="43"/>
      <c r="Q1698" s="41"/>
      <c r="R1698" s="43"/>
      <c r="S1698" s="36"/>
      <c r="T1698" s="16">
        <f t="shared" si="52"/>
        <v>0</v>
      </c>
      <c r="U1698" s="16">
        <f t="shared" si="53"/>
        <v>0</v>
      </c>
      <c r="V1698" s="133"/>
    </row>
    <row r="1699" spans="1:22" s="56" customFormat="1">
      <c r="A1699" s="58"/>
      <c r="B1699" s="36"/>
      <c r="C1699" s="58"/>
      <c r="D1699" s="57"/>
      <c r="E1699" s="57"/>
      <c r="F1699" s="41"/>
      <c r="G1699" s="41"/>
      <c r="H1699" s="41"/>
      <c r="I1699" s="57"/>
      <c r="J1699" s="36"/>
      <c r="K1699" s="57"/>
      <c r="L1699" s="57"/>
      <c r="M1699" s="57"/>
      <c r="N1699" s="42"/>
      <c r="O1699" s="57"/>
      <c r="P1699" s="43"/>
      <c r="Q1699" s="41"/>
      <c r="R1699" s="43"/>
      <c r="S1699" s="36"/>
      <c r="T1699" s="16">
        <f t="shared" si="52"/>
        <v>0</v>
      </c>
      <c r="U1699" s="16">
        <f t="shared" si="53"/>
        <v>0</v>
      </c>
      <c r="V1699" s="133"/>
    </row>
    <row r="1700" spans="1:22" s="56" customFormat="1">
      <c r="A1700" s="58"/>
      <c r="B1700" s="36"/>
      <c r="C1700" s="58"/>
      <c r="D1700" s="57"/>
      <c r="E1700" s="57"/>
      <c r="F1700" s="41"/>
      <c r="G1700" s="41"/>
      <c r="H1700" s="41"/>
      <c r="I1700" s="57"/>
      <c r="J1700" s="36"/>
      <c r="K1700" s="57"/>
      <c r="L1700" s="57"/>
      <c r="M1700" s="57"/>
      <c r="N1700" s="42"/>
      <c r="O1700" s="57"/>
      <c r="P1700" s="43"/>
      <c r="Q1700" s="41"/>
      <c r="R1700" s="43"/>
      <c r="S1700" s="36"/>
      <c r="T1700" s="16">
        <f t="shared" si="52"/>
        <v>0</v>
      </c>
      <c r="U1700" s="16">
        <f t="shared" si="53"/>
        <v>0</v>
      </c>
      <c r="V1700" s="133"/>
    </row>
    <row r="1701" spans="1:22" s="56" customFormat="1">
      <c r="A1701" s="58"/>
      <c r="B1701" s="36"/>
      <c r="C1701" s="58"/>
      <c r="D1701" s="57"/>
      <c r="E1701" s="57"/>
      <c r="F1701" s="41"/>
      <c r="G1701" s="41"/>
      <c r="H1701" s="41"/>
      <c r="I1701" s="57"/>
      <c r="J1701" s="36"/>
      <c r="K1701" s="57"/>
      <c r="L1701" s="57"/>
      <c r="M1701" s="57"/>
      <c r="N1701" s="42"/>
      <c r="O1701" s="57"/>
      <c r="P1701" s="43"/>
      <c r="Q1701" s="41"/>
      <c r="R1701" s="43"/>
      <c r="S1701" s="36"/>
      <c r="T1701" s="16">
        <f t="shared" si="52"/>
        <v>0</v>
      </c>
      <c r="U1701" s="16">
        <f t="shared" si="53"/>
        <v>0</v>
      </c>
      <c r="V1701" s="133"/>
    </row>
    <row r="1702" spans="1:22" s="56" customFormat="1">
      <c r="A1702" s="58"/>
      <c r="B1702" s="36"/>
      <c r="C1702" s="58"/>
      <c r="D1702" s="57"/>
      <c r="E1702" s="57"/>
      <c r="F1702" s="41"/>
      <c r="G1702" s="41"/>
      <c r="H1702" s="41"/>
      <c r="I1702" s="57"/>
      <c r="J1702" s="36"/>
      <c r="K1702" s="57"/>
      <c r="L1702" s="57"/>
      <c r="M1702" s="57"/>
      <c r="N1702" s="42"/>
      <c r="O1702" s="57"/>
      <c r="P1702" s="43"/>
      <c r="Q1702" s="41"/>
      <c r="R1702" s="43"/>
      <c r="S1702" s="36"/>
      <c r="T1702" s="16">
        <f t="shared" si="52"/>
        <v>0</v>
      </c>
      <c r="U1702" s="16">
        <f t="shared" si="53"/>
        <v>0</v>
      </c>
      <c r="V1702" s="133"/>
    </row>
    <row r="1703" spans="1:22" s="56" customFormat="1">
      <c r="A1703" s="58"/>
      <c r="B1703" s="36"/>
      <c r="C1703" s="58"/>
      <c r="D1703" s="57"/>
      <c r="E1703" s="57"/>
      <c r="F1703" s="41"/>
      <c r="G1703" s="41"/>
      <c r="H1703" s="41"/>
      <c r="I1703" s="57"/>
      <c r="J1703" s="36"/>
      <c r="K1703" s="57"/>
      <c r="L1703" s="57"/>
      <c r="M1703" s="57"/>
      <c r="N1703" s="42"/>
      <c r="O1703" s="57"/>
      <c r="P1703" s="43"/>
      <c r="Q1703" s="41"/>
      <c r="R1703" s="43"/>
      <c r="S1703" s="36"/>
      <c r="T1703" s="16">
        <f t="shared" si="52"/>
        <v>0</v>
      </c>
      <c r="U1703" s="16">
        <f t="shared" si="53"/>
        <v>0</v>
      </c>
      <c r="V1703" s="133"/>
    </row>
    <row r="1704" spans="1:22" s="56" customFormat="1">
      <c r="A1704" s="58"/>
      <c r="B1704" s="36"/>
      <c r="C1704" s="58"/>
      <c r="D1704" s="57"/>
      <c r="E1704" s="57"/>
      <c r="F1704" s="41"/>
      <c r="G1704" s="41"/>
      <c r="H1704" s="41"/>
      <c r="I1704" s="57"/>
      <c r="J1704" s="36"/>
      <c r="K1704" s="57"/>
      <c r="L1704" s="57"/>
      <c r="M1704" s="57"/>
      <c r="N1704" s="42"/>
      <c r="O1704" s="57"/>
      <c r="P1704" s="43"/>
      <c r="Q1704" s="41"/>
      <c r="R1704" s="43"/>
      <c r="S1704" s="36"/>
      <c r="T1704" s="16">
        <f t="shared" si="52"/>
        <v>0</v>
      </c>
      <c r="U1704" s="16">
        <f t="shared" si="53"/>
        <v>0</v>
      </c>
      <c r="V1704" s="133"/>
    </row>
    <row r="1705" spans="1:22" s="56" customFormat="1">
      <c r="A1705" s="58"/>
      <c r="B1705" s="36"/>
      <c r="C1705" s="58"/>
      <c r="D1705" s="57"/>
      <c r="E1705" s="57"/>
      <c r="F1705" s="41"/>
      <c r="G1705" s="41"/>
      <c r="H1705" s="41"/>
      <c r="I1705" s="57"/>
      <c r="J1705" s="36"/>
      <c r="K1705" s="57"/>
      <c r="L1705" s="57"/>
      <c r="M1705" s="57"/>
      <c r="N1705" s="42"/>
      <c r="O1705" s="57"/>
      <c r="P1705" s="43"/>
      <c r="Q1705" s="41"/>
      <c r="R1705" s="43"/>
      <c r="S1705" s="36"/>
      <c r="T1705" s="16">
        <f t="shared" si="52"/>
        <v>0</v>
      </c>
      <c r="U1705" s="16">
        <f t="shared" si="53"/>
        <v>0</v>
      </c>
      <c r="V1705" s="133"/>
    </row>
    <row r="1706" spans="1:22" s="56" customFormat="1">
      <c r="A1706" s="58"/>
      <c r="B1706" s="36"/>
      <c r="C1706" s="58"/>
      <c r="D1706" s="57"/>
      <c r="E1706" s="57"/>
      <c r="F1706" s="41"/>
      <c r="G1706" s="41"/>
      <c r="H1706" s="41"/>
      <c r="I1706" s="57"/>
      <c r="J1706" s="36"/>
      <c r="K1706" s="57"/>
      <c r="L1706" s="57"/>
      <c r="M1706" s="57"/>
      <c r="N1706" s="42"/>
      <c r="O1706" s="57"/>
      <c r="P1706" s="43"/>
      <c r="Q1706" s="41"/>
      <c r="R1706" s="43"/>
      <c r="S1706" s="36"/>
      <c r="T1706" s="16">
        <f t="shared" si="52"/>
        <v>0</v>
      </c>
      <c r="U1706" s="16">
        <f t="shared" si="53"/>
        <v>0</v>
      </c>
      <c r="V1706" s="133"/>
    </row>
    <row r="1707" spans="1:22" s="56" customFormat="1">
      <c r="A1707" s="58"/>
      <c r="B1707" s="36"/>
      <c r="C1707" s="58"/>
      <c r="D1707" s="57"/>
      <c r="E1707" s="57"/>
      <c r="F1707" s="41"/>
      <c r="G1707" s="41"/>
      <c r="H1707" s="41"/>
      <c r="I1707" s="57"/>
      <c r="J1707" s="36"/>
      <c r="K1707" s="57"/>
      <c r="L1707" s="57"/>
      <c r="M1707" s="57"/>
      <c r="N1707" s="42"/>
      <c r="O1707" s="57"/>
      <c r="P1707" s="43"/>
      <c r="Q1707" s="41"/>
      <c r="R1707" s="43"/>
      <c r="S1707" s="36"/>
      <c r="T1707" s="16">
        <f t="shared" si="52"/>
        <v>0</v>
      </c>
      <c r="U1707" s="16">
        <f t="shared" si="53"/>
        <v>0</v>
      </c>
      <c r="V1707" s="133"/>
    </row>
    <row r="1708" spans="1:22" s="56" customFormat="1">
      <c r="A1708" s="58"/>
      <c r="B1708" s="36"/>
      <c r="C1708" s="58"/>
      <c r="D1708" s="57"/>
      <c r="E1708" s="57"/>
      <c r="F1708" s="41"/>
      <c r="G1708" s="41"/>
      <c r="H1708" s="41"/>
      <c r="I1708" s="57"/>
      <c r="J1708" s="36"/>
      <c r="K1708" s="57"/>
      <c r="L1708" s="57"/>
      <c r="M1708" s="57"/>
      <c r="N1708" s="42"/>
      <c r="O1708" s="57"/>
      <c r="P1708" s="43"/>
      <c r="Q1708" s="41"/>
      <c r="R1708" s="43"/>
      <c r="S1708" s="36"/>
      <c r="T1708" s="16">
        <f t="shared" si="52"/>
        <v>0</v>
      </c>
      <c r="U1708" s="16">
        <f t="shared" si="53"/>
        <v>0</v>
      </c>
      <c r="V1708" s="133"/>
    </row>
    <row r="1709" spans="1:22" s="56" customFormat="1">
      <c r="A1709" s="58"/>
      <c r="B1709" s="36"/>
      <c r="C1709" s="58"/>
      <c r="D1709" s="57"/>
      <c r="E1709" s="57"/>
      <c r="F1709" s="41"/>
      <c r="G1709" s="41"/>
      <c r="H1709" s="41"/>
      <c r="I1709" s="57"/>
      <c r="J1709" s="36"/>
      <c r="K1709" s="57"/>
      <c r="L1709" s="57"/>
      <c r="M1709" s="57"/>
      <c r="N1709" s="42"/>
      <c r="O1709" s="57"/>
      <c r="P1709" s="43"/>
      <c r="Q1709" s="41"/>
      <c r="R1709" s="43"/>
      <c r="S1709" s="36"/>
      <c r="T1709" s="16">
        <f t="shared" si="52"/>
        <v>0</v>
      </c>
      <c r="U1709" s="16">
        <f t="shared" si="53"/>
        <v>0</v>
      </c>
      <c r="V1709" s="133"/>
    </row>
    <row r="1710" spans="1:22" s="56" customFormat="1">
      <c r="A1710" s="58"/>
      <c r="B1710" s="36"/>
      <c r="C1710" s="58"/>
      <c r="D1710" s="57"/>
      <c r="E1710" s="57"/>
      <c r="F1710" s="41"/>
      <c r="G1710" s="41"/>
      <c r="H1710" s="41"/>
      <c r="I1710" s="57"/>
      <c r="J1710" s="36"/>
      <c r="K1710" s="57"/>
      <c r="L1710" s="57"/>
      <c r="M1710" s="57"/>
      <c r="N1710" s="42"/>
      <c r="O1710" s="57"/>
      <c r="P1710" s="43"/>
      <c r="Q1710" s="41"/>
      <c r="R1710" s="43"/>
      <c r="S1710" s="36"/>
      <c r="T1710" s="16">
        <f t="shared" si="52"/>
        <v>0</v>
      </c>
      <c r="U1710" s="16">
        <f t="shared" si="53"/>
        <v>0</v>
      </c>
      <c r="V1710" s="133"/>
    </row>
    <row r="1711" spans="1:22" s="56" customFormat="1">
      <c r="A1711" s="58"/>
      <c r="B1711" s="36"/>
      <c r="C1711" s="58"/>
      <c r="D1711" s="57"/>
      <c r="E1711" s="57"/>
      <c r="F1711" s="41"/>
      <c r="G1711" s="41"/>
      <c r="H1711" s="41"/>
      <c r="I1711" s="57"/>
      <c r="J1711" s="36"/>
      <c r="K1711" s="57"/>
      <c r="L1711" s="57"/>
      <c r="M1711" s="57"/>
      <c r="N1711" s="42"/>
      <c r="O1711" s="57"/>
      <c r="P1711" s="43"/>
      <c r="Q1711" s="41"/>
      <c r="R1711" s="43"/>
      <c r="S1711" s="36"/>
      <c r="T1711" s="16">
        <f t="shared" si="52"/>
        <v>0</v>
      </c>
      <c r="U1711" s="16">
        <f t="shared" si="53"/>
        <v>0</v>
      </c>
      <c r="V1711" s="133"/>
    </row>
    <row r="1712" spans="1:22" s="56" customFormat="1">
      <c r="A1712" s="58"/>
      <c r="B1712" s="36"/>
      <c r="C1712" s="58"/>
      <c r="D1712" s="57"/>
      <c r="E1712" s="57"/>
      <c r="F1712" s="41"/>
      <c r="G1712" s="41"/>
      <c r="H1712" s="41"/>
      <c r="I1712" s="57"/>
      <c r="J1712" s="36"/>
      <c r="K1712" s="57"/>
      <c r="L1712" s="57"/>
      <c r="M1712" s="57"/>
      <c r="N1712" s="42"/>
      <c r="O1712" s="57"/>
      <c r="P1712" s="43"/>
      <c r="Q1712" s="41"/>
      <c r="R1712" s="43"/>
      <c r="S1712" s="36"/>
      <c r="T1712" s="16">
        <f t="shared" si="52"/>
        <v>0</v>
      </c>
      <c r="U1712" s="16">
        <f t="shared" si="53"/>
        <v>0</v>
      </c>
      <c r="V1712" s="133"/>
    </row>
    <row r="1713" spans="1:22" s="56" customFormat="1">
      <c r="A1713" s="58"/>
      <c r="B1713" s="36"/>
      <c r="C1713" s="58"/>
      <c r="D1713" s="57"/>
      <c r="E1713" s="57"/>
      <c r="F1713" s="41"/>
      <c r="G1713" s="41"/>
      <c r="H1713" s="41"/>
      <c r="I1713" s="57"/>
      <c r="J1713" s="36"/>
      <c r="K1713" s="57"/>
      <c r="L1713" s="57"/>
      <c r="M1713" s="57"/>
      <c r="N1713" s="42"/>
      <c r="O1713" s="57"/>
      <c r="P1713" s="43"/>
      <c r="Q1713" s="41"/>
      <c r="R1713" s="43"/>
      <c r="S1713" s="36"/>
      <c r="T1713" s="16">
        <f t="shared" si="52"/>
        <v>0</v>
      </c>
      <c r="U1713" s="16">
        <f t="shared" si="53"/>
        <v>0</v>
      </c>
      <c r="V1713" s="133"/>
    </row>
    <row r="1714" spans="1:22" s="56" customFormat="1">
      <c r="A1714" s="58"/>
      <c r="B1714" s="36"/>
      <c r="C1714" s="58"/>
      <c r="D1714" s="57"/>
      <c r="E1714" s="57"/>
      <c r="F1714" s="41"/>
      <c r="G1714" s="41"/>
      <c r="H1714" s="41"/>
      <c r="I1714" s="57"/>
      <c r="J1714" s="36"/>
      <c r="K1714" s="57"/>
      <c r="L1714" s="57"/>
      <c r="M1714" s="57"/>
      <c r="N1714" s="42"/>
      <c r="O1714" s="57"/>
      <c r="P1714" s="43"/>
      <c r="Q1714" s="41"/>
      <c r="R1714" s="43"/>
      <c r="S1714" s="36"/>
      <c r="T1714" s="16">
        <f t="shared" si="52"/>
        <v>0</v>
      </c>
      <c r="U1714" s="16">
        <f t="shared" si="53"/>
        <v>0</v>
      </c>
      <c r="V1714" s="133"/>
    </row>
    <row r="1715" spans="1:22" s="56" customFormat="1">
      <c r="A1715" s="58"/>
      <c r="B1715" s="36"/>
      <c r="C1715" s="58"/>
      <c r="D1715" s="57"/>
      <c r="E1715" s="57"/>
      <c r="F1715" s="41"/>
      <c r="G1715" s="41"/>
      <c r="H1715" s="41"/>
      <c r="I1715" s="57"/>
      <c r="J1715" s="36"/>
      <c r="K1715" s="57"/>
      <c r="L1715" s="57"/>
      <c r="M1715" s="57"/>
      <c r="N1715" s="42"/>
      <c r="O1715" s="57"/>
      <c r="P1715" s="43"/>
      <c r="Q1715" s="41"/>
      <c r="R1715" s="43"/>
      <c r="S1715" s="36"/>
      <c r="T1715" s="16">
        <f t="shared" si="52"/>
        <v>0</v>
      </c>
      <c r="U1715" s="16">
        <f t="shared" si="53"/>
        <v>0</v>
      </c>
      <c r="V1715" s="133"/>
    </row>
    <row r="1716" spans="1:22" s="56" customFormat="1">
      <c r="A1716" s="58"/>
      <c r="B1716" s="36"/>
      <c r="C1716" s="58"/>
      <c r="D1716" s="57"/>
      <c r="E1716" s="57"/>
      <c r="F1716" s="41"/>
      <c r="G1716" s="41"/>
      <c r="H1716" s="41"/>
      <c r="I1716" s="57"/>
      <c r="J1716" s="36"/>
      <c r="K1716" s="57"/>
      <c r="L1716" s="57"/>
      <c r="M1716" s="57"/>
      <c r="N1716" s="42"/>
      <c r="O1716" s="57"/>
      <c r="P1716" s="43"/>
      <c r="Q1716" s="41"/>
      <c r="R1716" s="43"/>
      <c r="S1716" s="36"/>
      <c r="T1716" s="16">
        <f t="shared" si="52"/>
        <v>0</v>
      </c>
      <c r="U1716" s="16">
        <f t="shared" si="53"/>
        <v>0</v>
      </c>
      <c r="V1716" s="133"/>
    </row>
    <row r="1717" spans="1:22" s="56" customFormat="1">
      <c r="A1717" s="58"/>
      <c r="B1717" s="36"/>
      <c r="C1717" s="58"/>
      <c r="D1717" s="57"/>
      <c r="E1717" s="57"/>
      <c r="F1717" s="41"/>
      <c r="G1717" s="41"/>
      <c r="H1717" s="41"/>
      <c r="I1717" s="57"/>
      <c r="J1717" s="36"/>
      <c r="K1717" s="57"/>
      <c r="L1717" s="57"/>
      <c r="M1717" s="57"/>
      <c r="N1717" s="42"/>
      <c r="O1717" s="57"/>
      <c r="P1717" s="43"/>
      <c r="Q1717" s="41"/>
      <c r="R1717" s="43"/>
      <c r="S1717" s="36"/>
      <c r="T1717" s="16">
        <f t="shared" si="52"/>
        <v>0</v>
      </c>
      <c r="U1717" s="16">
        <f t="shared" si="53"/>
        <v>0</v>
      </c>
      <c r="V1717" s="133"/>
    </row>
    <row r="1718" spans="1:22" s="56" customFormat="1">
      <c r="A1718" s="58"/>
      <c r="B1718" s="36"/>
      <c r="C1718" s="58"/>
      <c r="D1718" s="57"/>
      <c r="E1718" s="57"/>
      <c r="F1718" s="41"/>
      <c r="G1718" s="41"/>
      <c r="H1718" s="41"/>
      <c r="I1718" s="57"/>
      <c r="J1718" s="36"/>
      <c r="K1718" s="57"/>
      <c r="L1718" s="57"/>
      <c r="M1718" s="57"/>
      <c r="N1718" s="42"/>
      <c r="O1718" s="57"/>
      <c r="P1718" s="43"/>
      <c r="Q1718" s="41"/>
      <c r="R1718" s="43"/>
      <c r="S1718" s="36"/>
      <c r="T1718" s="16">
        <f t="shared" si="52"/>
        <v>0</v>
      </c>
      <c r="U1718" s="16">
        <f t="shared" si="53"/>
        <v>0</v>
      </c>
      <c r="V1718" s="133"/>
    </row>
    <row r="1719" spans="1:22" s="56" customFormat="1">
      <c r="A1719" s="58"/>
      <c r="B1719" s="36"/>
      <c r="C1719" s="58"/>
      <c r="D1719" s="57"/>
      <c r="E1719" s="57"/>
      <c r="F1719" s="41"/>
      <c r="G1719" s="41"/>
      <c r="H1719" s="41"/>
      <c r="I1719" s="57"/>
      <c r="J1719" s="36"/>
      <c r="K1719" s="57"/>
      <c r="L1719" s="57"/>
      <c r="M1719" s="57"/>
      <c r="N1719" s="42"/>
      <c r="O1719" s="57"/>
      <c r="P1719" s="43"/>
      <c r="Q1719" s="41"/>
      <c r="R1719" s="43"/>
      <c r="S1719" s="36"/>
      <c r="T1719" s="16">
        <f t="shared" si="52"/>
        <v>0</v>
      </c>
      <c r="U1719" s="16">
        <f t="shared" si="53"/>
        <v>0</v>
      </c>
      <c r="V1719" s="133"/>
    </row>
    <row r="1720" spans="1:22" s="56" customFormat="1">
      <c r="A1720" s="58"/>
      <c r="B1720" s="36"/>
      <c r="C1720" s="58"/>
      <c r="D1720" s="57"/>
      <c r="E1720" s="57"/>
      <c r="F1720" s="41"/>
      <c r="G1720" s="41"/>
      <c r="H1720" s="41"/>
      <c r="I1720" s="57"/>
      <c r="J1720" s="36"/>
      <c r="K1720" s="57"/>
      <c r="L1720" s="57"/>
      <c r="M1720" s="57"/>
      <c r="N1720" s="42"/>
      <c r="O1720" s="57"/>
      <c r="P1720" s="43"/>
      <c r="Q1720" s="41"/>
      <c r="R1720" s="43"/>
      <c r="S1720" s="36"/>
      <c r="T1720" s="16">
        <f t="shared" si="52"/>
        <v>0</v>
      </c>
      <c r="U1720" s="16">
        <f t="shared" si="53"/>
        <v>0</v>
      </c>
      <c r="V1720" s="133"/>
    </row>
    <row r="1721" spans="1:22" s="56" customFormat="1">
      <c r="A1721" s="58"/>
      <c r="B1721" s="36"/>
      <c r="C1721" s="58"/>
      <c r="D1721" s="57"/>
      <c r="E1721" s="57"/>
      <c r="F1721" s="41"/>
      <c r="G1721" s="41"/>
      <c r="H1721" s="41"/>
      <c r="I1721" s="57"/>
      <c r="J1721" s="36"/>
      <c r="K1721" s="57"/>
      <c r="L1721" s="57"/>
      <c r="M1721" s="57"/>
      <c r="N1721" s="42"/>
      <c r="O1721" s="57"/>
      <c r="P1721" s="43"/>
      <c r="Q1721" s="41"/>
      <c r="R1721" s="43"/>
      <c r="S1721" s="36"/>
      <c r="T1721" s="16">
        <f t="shared" si="52"/>
        <v>0</v>
      </c>
      <c r="U1721" s="16">
        <f t="shared" si="53"/>
        <v>0</v>
      </c>
      <c r="V1721" s="133"/>
    </row>
    <row r="1722" spans="1:22" s="56" customFormat="1">
      <c r="A1722" s="58"/>
      <c r="B1722" s="36"/>
      <c r="C1722" s="58"/>
      <c r="D1722" s="57"/>
      <c r="E1722" s="57"/>
      <c r="F1722" s="41"/>
      <c r="G1722" s="41"/>
      <c r="H1722" s="41"/>
      <c r="I1722" s="57"/>
      <c r="J1722" s="36"/>
      <c r="K1722" s="57"/>
      <c r="L1722" s="57"/>
      <c r="M1722" s="57"/>
      <c r="N1722" s="42"/>
      <c r="O1722" s="57"/>
      <c r="P1722" s="43"/>
      <c r="Q1722" s="41"/>
      <c r="R1722" s="43"/>
      <c r="S1722" s="36"/>
      <c r="T1722" s="16">
        <f t="shared" si="52"/>
        <v>0</v>
      </c>
      <c r="U1722" s="16">
        <f t="shared" si="53"/>
        <v>0</v>
      </c>
      <c r="V1722" s="133"/>
    </row>
    <row r="1723" spans="1:22" s="56" customFormat="1">
      <c r="A1723" s="58"/>
      <c r="B1723" s="36"/>
      <c r="C1723" s="58"/>
      <c r="D1723" s="57"/>
      <c r="E1723" s="57"/>
      <c r="F1723" s="41"/>
      <c r="G1723" s="41"/>
      <c r="H1723" s="41"/>
      <c r="I1723" s="57"/>
      <c r="J1723" s="36"/>
      <c r="K1723" s="57"/>
      <c r="L1723" s="57"/>
      <c r="M1723" s="57"/>
      <c r="N1723" s="42"/>
      <c r="O1723" s="57"/>
      <c r="P1723" s="43"/>
      <c r="Q1723" s="41"/>
      <c r="R1723" s="43"/>
      <c r="S1723" s="36"/>
      <c r="T1723" s="16">
        <f t="shared" si="52"/>
        <v>0</v>
      </c>
      <c r="U1723" s="16">
        <f t="shared" si="53"/>
        <v>0</v>
      </c>
      <c r="V1723" s="133"/>
    </row>
    <row r="1724" spans="1:22" s="56" customFormat="1">
      <c r="A1724" s="58"/>
      <c r="B1724" s="36"/>
      <c r="C1724" s="58"/>
      <c r="D1724" s="57"/>
      <c r="E1724" s="57"/>
      <c r="F1724" s="41"/>
      <c r="G1724" s="41"/>
      <c r="H1724" s="41"/>
      <c r="I1724" s="57"/>
      <c r="J1724" s="36"/>
      <c r="K1724" s="57"/>
      <c r="L1724" s="57"/>
      <c r="M1724" s="57"/>
      <c r="N1724" s="42"/>
      <c r="O1724" s="57"/>
      <c r="P1724" s="43"/>
      <c r="Q1724" s="41"/>
      <c r="R1724" s="43"/>
      <c r="S1724" s="36"/>
      <c r="T1724" s="16">
        <f t="shared" si="52"/>
        <v>0</v>
      </c>
      <c r="U1724" s="16">
        <f t="shared" si="53"/>
        <v>0</v>
      </c>
      <c r="V1724" s="133"/>
    </row>
    <row r="1725" spans="1:22" s="56" customFormat="1">
      <c r="A1725" s="58"/>
      <c r="B1725" s="36"/>
      <c r="C1725" s="58"/>
      <c r="D1725" s="57"/>
      <c r="E1725" s="57"/>
      <c r="F1725" s="41"/>
      <c r="G1725" s="41"/>
      <c r="H1725" s="41"/>
      <c r="I1725" s="57"/>
      <c r="J1725" s="36"/>
      <c r="K1725" s="57"/>
      <c r="L1725" s="57"/>
      <c r="M1725" s="57"/>
      <c r="N1725" s="42"/>
      <c r="O1725" s="57"/>
      <c r="P1725" s="43"/>
      <c r="Q1725" s="41"/>
      <c r="R1725" s="43"/>
      <c r="S1725" s="36"/>
      <c r="T1725" s="16">
        <f t="shared" si="52"/>
        <v>0</v>
      </c>
      <c r="U1725" s="16">
        <f t="shared" si="53"/>
        <v>0</v>
      </c>
      <c r="V1725" s="133"/>
    </row>
    <row r="1726" spans="1:22" s="56" customFormat="1">
      <c r="A1726" s="58"/>
      <c r="B1726" s="36"/>
      <c r="C1726" s="58"/>
      <c r="D1726" s="57"/>
      <c r="E1726" s="57"/>
      <c r="F1726" s="41"/>
      <c r="G1726" s="41"/>
      <c r="H1726" s="41"/>
      <c r="I1726" s="57"/>
      <c r="J1726" s="36"/>
      <c r="K1726" s="57"/>
      <c r="L1726" s="57"/>
      <c r="M1726" s="57"/>
      <c r="N1726" s="42"/>
      <c r="O1726" s="57"/>
      <c r="P1726" s="43"/>
      <c r="Q1726" s="41"/>
      <c r="R1726" s="43"/>
      <c r="S1726" s="36"/>
      <c r="T1726" s="16">
        <f t="shared" si="52"/>
        <v>0</v>
      </c>
      <c r="U1726" s="16">
        <f t="shared" si="53"/>
        <v>0</v>
      </c>
      <c r="V1726" s="133"/>
    </row>
    <row r="1727" spans="1:22" s="56" customFormat="1">
      <c r="A1727" s="58"/>
      <c r="B1727" s="36"/>
      <c r="C1727" s="58"/>
      <c r="D1727" s="57"/>
      <c r="E1727" s="57"/>
      <c r="F1727" s="41"/>
      <c r="G1727" s="41"/>
      <c r="H1727" s="41"/>
      <c r="I1727" s="57"/>
      <c r="J1727" s="36"/>
      <c r="K1727" s="57"/>
      <c r="L1727" s="57"/>
      <c r="M1727" s="57"/>
      <c r="N1727" s="42"/>
      <c r="O1727" s="57"/>
      <c r="P1727" s="43"/>
      <c r="Q1727" s="41"/>
      <c r="R1727" s="43"/>
      <c r="S1727" s="36"/>
      <c r="T1727" s="16">
        <f t="shared" si="52"/>
        <v>0</v>
      </c>
      <c r="U1727" s="16">
        <f t="shared" si="53"/>
        <v>0</v>
      </c>
      <c r="V1727" s="133"/>
    </row>
    <row r="1728" spans="1:22" s="56" customFormat="1">
      <c r="A1728" s="58"/>
      <c r="B1728" s="36"/>
      <c r="C1728" s="58"/>
      <c r="D1728" s="57"/>
      <c r="E1728" s="57"/>
      <c r="F1728" s="41"/>
      <c r="G1728" s="41"/>
      <c r="H1728" s="41"/>
      <c r="I1728" s="57"/>
      <c r="J1728" s="36"/>
      <c r="K1728" s="57"/>
      <c r="L1728" s="57"/>
      <c r="M1728" s="57"/>
      <c r="N1728" s="42"/>
      <c r="O1728" s="57"/>
      <c r="P1728" s="43"/>
      <c r="Q1728" s="41"/>
      <c r="R1728" s="43"/>
      <c r="S1728" s="36"/>
      <c r="T1728" s="16">
        <f t="shared" si="52"/>
        <v>0</v>
      </c>
      <c r="U1728" s="16">
        <f t="shared" si="53"/>
        <v>0</v>
      </c>
      <c r="V1728" s="133"/>
    </row>
    <row r="1729" spans="1:22" s="56" customFormat="1">
      <c r="A1729" s="58"/>
      <c r="B1729" s="36"/>
      <c r="C1729" s="58"/>
      <c r="D1729" s="57"/>
      <c r="E1729" s="57"/>
      <c r="F1729" s="41"/>
      <c r="G1729" s="41"/>
      <c r="H1729" s="41"/>
      <c r="I1729" s="57"/>
      <c r="J1729" s="36"/>
      <c r="K1729" s="57"/>
      <c r="L1729" s="57"/>
      <c r="M1729" s="57"/>
      <c r="N1729" s="42"/>
      <c r="O1729" s="57"/>
      <c r="P1729" s="43"/>
      <c r="Q1729" s="41"/>
      <c r="R1729" s="43"/>
      <c r="S1729" s="36"/>
      <c r="T1729" s="16">
        <f t="shared" si="52"/>
        <v>0</v>
      </c>
      <c r="U1729" s="16">
        <f t="shared" si="53"/>
        <v>0</v>
      </c>
      <c r="V1729" s="133"/>
    </row>
    <row r="1730" spans="1:22" s="56" customFormat="1">
      <c r="A1730" s="58"/>
      <c r="B1730" s="36"/>
      <c r="C1730" s="58"/>
      <c r="D1730" s="57"/>
      <c r="E1730" s="57"/>
      <c r="F1730" s="41"/>
      <c r="G1730" s="41"/>
      <c r="H1730" s="41"/>
      <c r="I1730" s="57"/>
      <c r="J1730" s="36"/>
      <c r="K1730" s="57"/>
      <c r="L1730" s="57"/>
      <c r="M1730" s="57"/>
      <c r="N1730" s="42"/>
      <c r="O1730" s="57"/>
      <c r="P1730" s="43"/>
      <c r="Q1730" s="41"/>
      <c r="R1730" s="43"/>
      <c r="S1730" s="36"/>
      <c r="T1730" s="16">
        <f t="shared" si="52"/>
        <v>0</v>
      </c>
      <c r="U1730" s="16">
        <f t="shared" si="53"/>
        <v>0</v>
      </c>
      <c r="V1730" s="133"/>
    </row>
    <row r="1731" spans="1:22" s="56" customFormat="1">
      <c r="A1731" s="58"/>
      <c r="B1731" s="36"/>
      <c r="C1731" s="58"/>
      <c r="D1731" s="57"/>
      <c r="E1731" s="57"/>
      <c r="F1731" s="41"/>
      <c r="G1731" s="41"/>
      <c r="H1731" s="41"/>
      <c r="I1731" s="57"/>
      <c r="J1731" s="36"/>
      <c r="K1731" s="57"/>
      <c r="L1731" s="57"/>
      <c r="M1731" s="57"/>
      <c r="N1731" s="42"/>
      <c r="O1731" s="57"/>
      <c r="P1731" s="43"/>
      <c r="Q1731" s="41"/>
      <c r="R1731" s="43"/>
      <c r="S1731" s="36"/>
      <c r="T1731" s="16">
        <f t="shared" si="52"/>
        <v>0</v>
      </c>
      <c r="U1731" s="16">
        <f t="shared" si="53"/>
        <v>0</v>
      </c>
      <c r="V1731" s="133"/>
    </row>
    <row r="1732" spans="1:22" s="56" customFormat="1">
      <c r="A1732" s="58"/>
      <c r="B1732" s="36"/>
      <c r="C1732" s="58"/>
      <c r="D1732" s="57"/>
      <c r="E1732" s="57"/>
      <c r="F1732" s="41"/>
      <c r="G1732" s="41"/>
      <c r="H1732" s="41"/>
      <c r="I1732" s="57"/>
      <c r="J1732" s="36"/>
      <c r="K1732" s="57"/>
      <c r="L1732" s="57"/>
      <c r="M1732" s="57"/>
      <c r="N1732" s="42"/>
      <c r="O1732" s="57"/>
      <c r="P1732" s="43"/>
      <c r="Q1732" s="41"/>
      <c r="R1732" s="43"/>
      <c r="S1732" s="36"/>
      <c r="T1732" s="16">
        <f t="shared" si="52"/>
        <v>0</v>
      </c>
      <c r="U1732" s="16">
        <f t="shared" si="53"/>
        <v>0</v>
      </c>
      <c r="V1732" s="133"/>
    </row>
    <row r="1733" spans="1:22" s="56" customFormat="1">
      <c r="A1733" s="58"/>
      <c r="B1733" s="36"/>
      <c r="C1733" s="58"/>
      <c r="D1733" s="57"/>
      <c r="E1733" s="57"/>
      <c r="F1733" s="41"/>
      <c r="G1733" s="41"/>
      <c r="H1733" s="41"/>
      <c r="I1733" s="57"/>
      <c r="J1733" s="36"/>
      <c r="K1733" s="57"/>
      <c r="L1733" s="57"/>
      <c r="M1733" s="57"/>
      <c r="N1733" s="42"/>
      <c r="O1733" s="57"/>
      <c r="P1733" s="43"/>
      <c r="Q1733" s="41"/>
      <c r="R1733" s="43"/>
      <c r="S1733" s="36"/>
      <c r="T1733" s="16">
        <f t="shared" ref="T1733:T1796" si="54">IF(OR($J1733="Accepted",ISBLANK($J1733)),IF(AND($G1733="Legacy Data",$Q1733="Legacy Data"),1,IF(OR($G1733="Legacy Data",$Q1733="Legacy Data"),1,0)),IF(OR($N1733="Agree with original translator",ISBLANK($N1733)),IF(AND($G1733="Source Text Data",$Q1733="Legacy Data"),1,IF(AND($G1733="Legacy Data",$Q1733="Legacy Data"),1,IF($Q1733="Legacy Data",1,0))),IF(AND($G1733="Legacy Data",$Q1733="Legacy Data"),1,IF(OR($Q1733="Legacy Data",ISBLANK($Q1733)),IF($G1733&lt;&gt;"Legacy Data",IF(AND($G1733="Source Text Data",$Q1733="Legacy Data"),1,0),1),0))))</f>
        <v>0</v>
      </c>
      <c r="U1733" s="16">
        <f t="shared" ref="U1733:U1796" si="55">IF(OR($J1733="Accepted",ISBLANK($J1733)),IF(AND($G1733="Source Text Data",$Q1733="Source Text Data"),1,IF(OR($G1733="Source Text Data",$Q1733="Source Text Data"),1,0)),IF(OR($N1733="Agree with original translator",ISBLANK($N1733)),IF(AND($G1733="Legacy Data",$Q1733="Source Text Data"),1,IF(AND($G1733="Source Text Data",$Q1733="Source Text Data"),1,IF($Q1733="Source Text Data",1,0))),IF(AND($G1733="Source Text Data",$Q1733="Source Text Data"),1,IF(OR($Q1733="Source Text Data",ISBLANK($Q1733)),IF($G1733&lt;&gt;"Source Text Data",IF(AND($G1733="Legacy Data",$Q1733="Source Text Data"),1,0),1),0))))</f>
        <v>0</v>
      </c>
      <c r="V1733" s="133"/>
    </row>
    <row r="1734" spans="1:22" s="56" customFormat="1">
      <c r="A1734" s="58"/>
      <c r="B1734" s="36"/>
      <c r="C1734" s="58"/>
      <c r="D1734" s="57"/>
      <c r="E1734" s="57"/>
      <c r="F1734" s="41"/>
      <c r="G1734" s="41"/>
      <c r="H1734" s="41"/>
      <c r="I1734" s="57"/>
      <c r="J1734" s="36"/>
      <c r="K1734" s="57"/>
      <c r="L1734" s="57"/>
      <c r="M1734" s="57"/>
      <c r="N1734" s="42"/>
      <c r="O1734" s="57"/>
      <c r="P1734" s="43"/>
      <c r="Q1734" s="41"/>
      <c r="R1734" s="43"/>
      <c r="S1734" s="36"/>
      <c r="T1734" s="16">
        <f t="shared" si="54"/>
        <v>0</v>
      </c>
      <c r="U1734" s="16">
        <f t="shared" si="55"/>
        <v>0</v>
      </c>
      <c r="V1734" s="133"/>
    </row>
    <row r="1735" spans="1:22" s="56" customFormat="1">
      <c r="A1735" s="58"/>
      <c r="B1735" s="36"/>
      <c r="C1735" s="58"/>
      <c r="D1735" s="57"/>
      <c r="E1735" s="57"/>
      <c r="F1735" s="41"/>
      <c r="G1735" s="41"/>
      <c r="H1735" s="41"/>
      <c r="I1735" s="57"/>
      <c r="J1735" s="36"/>
      <c r="K1735" s="57"/>
      <c r="L1735" s="57"/>
      <c r="M1735" s="57"/>
      <c r="N1735" s="42"/>
      <c r="O1735" s="57"/>
      <c r="P1735" s="43"/>
      <c r="Q1735" s="41"/>
      <c r="R1735" s="43"/>
      <c r="S1735" s="36"/>
      <c r="T1735" s="16">
        <f t="shared" si="54"/>
        <v>0</v>
      </c>
      <c r="U1735" s="16">
        <f t="shared" si="55"/>
        <v>0</v>
      </c>
      <c r="V1735" s="133"/>
    </row>
    <row r="1736" spans="1:22" s="56" customFormat="1">
      <c r="A1736" s="58"/>
      <c r="B1736" s="36"/>
      <c r="C1736" s="58"/>
      <c r="D1736" s="57"/>
      <c r="E1736" s="57"/>
      <c r="F1736" s="41"/>
      <c r="G1736" s="41"/>
      <c r="H1736" s="41"/>
      <c r="I1736" s="57"/>
      <c r="J1736" s="36"/>
      <c r="K1736" s="57"/>
      <c r="L1736" s="57"/>
      <c r="M1736" s="57"/>
      <c r="N1736" s="42"/>
      <c r="O1736" s="57"/>
      <c r="P1736" s="43"/>
      <c r="Q1736" s="41"/>
      <c r="R1736" s="43"/>
      <c r="S1736" s="36"/>
      <c r="T1736" s="16">
        <f t="shared" si="54"/>
        <v>0</v>
      </c>
      <c r="U1736" s="16">
        <f t="shared" si="55"/>
        <v>0</v>
      </c>
      <c r="V1736" s="133"/>
    </row>
    <row r="1737" spans="1:22" s="56" customFormat="1">
      <c r="A1737" s="58"/>
      <c r="B1737" s="36"/>
      <c r="C1737" s="58"/>
      <c r="D1737" s="57"/>
      <c r="E1737" s="57"/>
      <c r="F1737" s="41"/>
      <c r="G1737" s="41"/>
      <c r="H1737" s="41"/>
      <c r="I1737" s="57"/>
      <c r="J1737" s="36"/>
      <c r="K1737" s="57"/>
      <c r="L1737" s="57"/>
      <c r="M1737" s="57"/>
      <c r="N1737" s="42"/>
      <c r="O1737" s="57"/>
      <c r="P1737" s="43"/>
      <c r="Q1737" s="41"/>
      <c r="R1737" s="43"/>
      <c r="S1737" s="36"/>
      <c r="T1737" s="16">
        <f t="shared" si="54"/>
        <v>0</v>
      </c>
      <c r="U1737" s="16">
        <f t="shared" si="55"/>
        <v>0</v>
      </c>
      <c r="V1737" s="133"/>
    </row>
    <row r="1738" spans="1:22" s="56" customFormat="1">
      <c r="A1738" s="58"/>
      <c r="B1738" s="36"/>
      <c r="C1738" s="58"/>
      <c r="D1738" s="57"/>
      <c r="E1738" s="57"/>
      <c r="F1738" s="41"/>
      <c r="G1738" s="41"/>
      <c r="H1738" s="41"/>
      <c r="I1738" s="57"/>
      <c r="J1738" s="36"/>
      <c r="K1738" s="57"/>
      <c r="L1738" s="57"/>
      <c r="M1738" s="57"/>
      <c r="N1738" s="42"/>
      <c r="O1738" s="57"/>
      <c r="P1738" s="43"/>
      <c r="Q1738" s="41"/>
      <c r="R1738" s="43"/>
      <c r="S1738" s="36"/>
      <c r="T1738" s="16">
        <f t="shared" si="54"/>
        <v>0</v>
      </c>
      <c r="U1738" s="16">
        <f t="shared" si="55"/>
        <v>0</v>
      </c>
      <c r="V1738" s="133"/>
    </row>
    <row r="1739" spans="1:22" s="56" customFormat="1">
      <c r="A1739" s="58"/>
      <c r="B1739" s="36"/>
      <c r="C1739" s="58"/>
      <c r="D1739" s="57"/>
      <c r="E1739" s="57"/>
      <c r="F1739" s="41"/>
      <c r="G1739" s="41"/>
      <c r="H1739" s="41"/>
      <c r="I1739" s="57"/>
      <c r="J1739" s="36"/>
      <c r="K1739" s="57"/>
      <c r="L1739" s="57"/>
      <c r="M1739" s="57"/>
      <c r="N1739" s="42"/>
      <c r="O1739" s="57"/>
      <c r="P1739" s="43"/>
      <c r="Q1739" s="41"/>
      <c r="R1739" s="43"/>
      <c r="S1739" s="36"/>
      <c r="T1739" s="16">
        <f t="shared" si="54"/>
        <v>0</v>
      </c>
      <c r="U1739" s="16">
        <f t="shared" si="55"/>
        <v>0</v>
      </c>
      <c r="V1739" s="133"/>
    </row>
    <row r="1740" spans="1:22" s="56" customFormat="1">
      <c r="A1740" s="58"/>
      <c r="B1740" s="36"/>
      <c r="C1740" s="58"/>
      <c r="D1740" s="57"/>
      <c r="E1740" s="57"/>
      <c r="F1740" s="41"/>
      <c r="G1740" s="41"/>
      <c r="H1740" s="41"/>
      <c r="I1740" s="57"/>
      <c r="J1740" s="36"/>
      <c r="K1740" s="57"/>
      <c r="L1740" s="57"/>
      <c r="M1740" s="57"/>
      <c r="N1740" s="42"/>
      <c r="O1740" s="57"/>
      <c r="P1740" s="43"/>
      <c r="Q1740" s="41"/>
      <c r="R1740" s="43"/>
      <c r="S1740" s="36"/>
      <c r="T1740" s="16">
        <f t="shared" si="54"/>
        <v>0</v>
      </c>
      <c r="U1740" s="16">
        <f t="shared" si="55"/>
        <v>0</v>
      </c>
      <c r="V1740" s="133"/>
    </row>
    <row r="1741" spans="1:22" s="56" customFormat="1">
      <c r="A1741" s="58"/>
      <c r="B1741" s="36"/>
      <c r="C1741" s="58"/>
      <c r="D1741" s="57"/>
      <c r="E1741" s="57"/>
      <c r="F1741" s="41"/>
      <c r="G1741" s="41"/>
      <c r="H1741" s="41"/>
      <c r="I1741" s="57"/>
      <c r="J1741" s="36"/>
      <c r="K1741" s="57"/>
      <c r="L1741" s="57"/>
      <c r="M1741" s="57"/>
      <c r="N1741" s="42"/>
      <c r="O1741" s="57"/>
      <c r="P1741" s="43"/>
      <c r="Q1741" s="41"/>
      <c r="R1741" s="43"/>
      <c r="S1741" s="36"/>
      <c r="T1741" s="16">
        <f t="shared" si="54"/>
        <v>0</v>
      </c>
      <c r="U1741" s="16">
        <f t="shared" si="55"/>
        <v>0</v>
      </c>
      <c r="V1741" s="133"/>
    </row>
    <row r="1742" spans="1:22" s="56" customFormat="1">
      <c r="A1742" s="58"/>
      <c r="B1742" s="36"/>
      <c r="C1742" s="58"/>
      <c r="D1742" s="57"/>
      <c r="E1742" s="57"/>
      <c r="F1742" s="41"/>
      <c r="G1742" s="41"/>
      <c r="H1742" s="41"/>
      <c r="I1742" s="57"/>
      <c r="J1742" s="36"/>
      <c r="K1742" s="57"/>
      <c r="L1742" s="57"/>
      <c r="M1742" s="57"/>
      <c r="N1742" s="42"/>
      <c r="O1742" s="57"/>
      <c r="P1742" s="43"/>
      <c r="Q1742" s="41"/>
      <c r="R1742" s="43"/>
      <c r="S1742" s="36"/>
      <c r="T1742" s="16">
        <f t="shared" si="54"/>
        <v>0</v>
      </c>
      <c r="U1742" s="16">
        <f t="shared" si="55"/>
        <v>0</v>
      </c>
      <c r="V1742" s="133"/>
    </row>
    <row r="1743" spans="1:22" s="56" customFormat="1">
      <c r="A1743" s="58"/>
      <c r="B1743" s="36"/>
      <c r="C1743" s="58"/>
      <c r="D1743" s="57"/>
      <c r="E1743" s="57"/>
      <c r="F1743" s="41"/>
      <c r="G1743" s="41"/>
      <c r="H1743" s="41"/>
      <c r="I1743" s="57"/>
      <c r="J1743" s="36"/>
      <c r="K1743" s="57"/>
      <c r="L1743" s="57"/>
      <c r="M1743" s="57"/>
      <c r="N1743" s="42"/>
      <c r="O1743" s="57"/>
      <c r="P1743" s="43"/>
      <c r="Q1743" s="41"/>
      <c r="R1743" s="43"/>
      <c r="S1743" s="36"/>
      <c r="T1743" s="16">
        <f t="shared" si="54"/>
        <v>0</v>
      </c>
      <c r="U1743" s="16">
        <f t="shared" si="55"/>
        <v>0</v>
      </c>
      <c r="V1743" s="133"/>
    </row>
    <row r="1744" spans="1:22" s="56" customFormat="1">
      <c r="A1744" s="58"/>
      <c r="B1744" s="36"/>
      <c r="C1744" s="58"/>
      <c r="D1744" s="57"/>
      <c r="E1744" s="57"/>
      <c r="F1744" s="41"/>
      <c r="G1744" s="41"/>
      <c r="H1744" s="41"/>
      <c r="I1744" s="57"/>
      <c r="J1744" s="36"/>
      <c r="K1744" s="57"/>
      <c r="L1744" s="57"/>
      <c r="M1744" s="57"/>
      <c r="N1744" s="42"/>
      <c r="O1744" s="57"/>
      <c r="P1744" s="43"/>
      <c r="Q1744" s="41"/>
      <c r="R1744" s="43"/>
      <c r="S1744" s="36"/>
      <c r="T1744" s="16">
        <f t="shared" si="54"/>
        <v>0</v>
      </c>
      <c r="U1744" s="16">
        <f t="shared" si="55"/>
        <v>0</v>
      </c>
      <c r="V1744" s="133"/>
    </row>
    <row r="1745" spans="1:22" s="56" customFormat="1">
      <c r="A1745" s="58"/>
      <c r="B1745" s="36"/>
      <c r="C1745" s="58"/>
      <c r="D1745" s="57"/>
      <c r="E1745" s="57"/>
      <c r="F1745" s="41"/>
      <c r="G1745" s="41"/>
      <c r="H1745" s="41"/>
      <c r="I1745" s="57"/>
      <c r="J1745" s="36"/>
      <c r="K1745" s="57"/>
      <c r="L1745" s="57"/>
      <c r="M1745" s="57"/>
      <c r="N1745" s="42"/>
      <c r="O1745" s="57"/>
      <c r="P1745" s="43"/>
      <c r="Q1745" s="41"/>
      <c r="R1745" s="43"/>
      <c r="S1745" s="36"/>
      <c r="T1745" s="16">
        <f t="shared" si="54"/>
        <v>0</v>
      </c>
      <c r="U1745" s="16">
        <f t="shared" si="55"/>
        <v>0</v>
      </c>
      <c r="V1745" s="133"/>
    </row>
    <row r="1746" spans="1:22" s="56" customFormat="1">
      <c r="A1746" s="58"/>
      <c r="B1746" s="36"/>
      <c r="C1746" s="58"/>
      <c r="D1746" s="57"/>
      <c r="E1746" s="57"/>
      <c r="F1746" s="41"/>
      <c r="G1746" s="41"/>
      <c r="H1746" s="41"/>
      <c r="I1746" s="57"/>
      <c r="J1746" s="36"/>
      <c r="K1746" s="57"/>
      <c r="L1746" s="57"/>
      <c r="M1746" s="57"/>
      <c r="N1746" s="42"/>
      <c r="O1746" s="57"/>
      <c r="P1746" s="43"/>
      <c r="Q1746" s="41"/>
      <c r="R1746" s="43"/>
      <c r="S1746" s="36"/>
      <c r="T1746" s="16">
        <f t="shared" si="54"/>
        <v>0</v>
      </c>
      <c r="U1746" s="16">
        <f t="shared" si="55"/>
        <v>0</v>
      </c>
      <c r="V1746" s="133"/>
    </row>
    <row r="1747" spans="1:22" s="56" customFormat="1">
      <c r="A1747" s="58"/>
      <c r="B1747" s="36"/>
      <c r="C1747" s="58"/>
      <c r="D1747" s="57"/>
      <c r="E1747" s="57"/>
      <c r="F1747" s="41"/>
      <c r="G1747" s="41"/>
      <c r="H1747" s="41"/>
      <c r="I1747" s="57"/>
      <c r="J1747" s="36"/>
      <c r="K1747" s="57"/>
      <c r="L1747" s="57"/>
      <c r="M1747" s="57"/>
      <c r="N1747" s="42"/>
      <c r="O1747" s="57"/>
      <c r="P1747" s="43"/>
      <c r="Q1747" s="41"/>
      <c r="R1747" s="43"/>
      <c r="S1747" s="36"/>
      <c r="T1747" s="16">
        <f t="shared" si="54"/>
        <v>0</v>
      </c>
      <c r="U1747" s="16">
        <f t="shared" si="55"/>
        <v>0</v>
      </c>
      <c r="V1747" s="133"/>
    </row>
    <row r="1748" spans="1:22" s="56" customFormat="1">
      <c r="A1748" s="58"/>
      <c r="B1748" s="36"/>
      <c r="C1748" s="58"/>
      <c r="D1748" s="57"/>
      <c r="E1748" s="57"/>
      <c r="F1748" s="41"/>
      <c r="G1748" s="41"/>
      <c r="H1748" s="41"/>
      <c r="I1748" s="57"/>
      <c r="J1748" s="36"/>
      <c r="K1748" s="57"/>
      <c r="L1748" s="57"/>
      <c r="M1748" s="57"/>
      <c r="N1748" s="42"/>
      <c r="O1748" s="57"/>
      <c r="P1748" s="43"/>
      <c r="Q1748" s="41"/>
      <c r="R1748" s="43"/>
      <c r="S1748" s="36"/>
      <c r="T1748" s="16">
        <f t="shared" si="54"/>
        <v>0</v>
      </c>
      <c r="U1748" s="16">
        <f t="shared" si="55"/>
        <v>0</v>
      </c>
      <c r="V1748" s="133"/>
    </row>
    <row r="1749" spans="1:22" s="56" customFormat="1">
      <c r="A1749" s="58"/>
      <c r="B1749" s="36"/>
      <c r="C1749" s="58"/>
      <c r="D1749" s="57"/>
      <c r="E1749" s="57"/>
      <c r="F1749" s="41"/>
      <c r="G1749" s="41"/>
      <c r="H1749" s="41"/>
      <c r="I1749" s="57"/>
      <c r="J1749" s="36"/>
      <c r="K1749" s="57"/>
      <c r="L1749" s="57"/>
      <c r="M1749" s="57"/>
      <c r="N1749" s="42"/>
      <c r="O1749" s="57"/>
      <c r="P1749" s="43"/>
      <c r="Q1749" s="41"/>
      <c r="R1749" s="43"/>
      <c r="S1749" s="36"/>
      <c r="T1749" s="16">
        <f t="shared" si="54"/>
        <v>0</v>
      </c>
      <c r="U1749" s="16">
        <f t="shared" si="55"/>
        <v>0</v>
      </c>
      <c r="V1749" s="133"/>
    </row>
    <row r="1750" spans="1:22" s="56" customFormat="1">
      <c r="A1750" s="58"/>
      <c r="B1750" s="36"/>
      <c r="C1750" s="58"/>
      <c r="D1750" s="57"/>
      <c r="E1750" s="57"/>
      <c r="F1750" s="41"/>
      <c r="G1750" s="41"/>
      <c r="H1750" s="41"/>
      <c r="I1750" s="57"/>
      <c r="J1750" s="36"/>
      <c r="K1750" s="57"/>
      <c r="L1750" s="57"/>
      <c r="M1750" s="57"/>
      <c r="N1750" s="42"/>
      <c r="O1750" s="57"/>
      <c r="P1750" s="43"/>
      <c r="Q1750" s="41"/>
      <c r="R1750" s="43"/>
      <c r="S1750" s="36"/>
      <c r="T1750" s="16">
        <f t="shared" si="54"/>
        <v>0</v>
      </c>
      <c r="U1750" s="16">
        <f t="shared" si="55"/>
        <v>0</v>
      </c>
      <c r="V1750" s="133"/>
    </row>
    <row r="1751" spans="1:22" s="56" customFormat="1">
      <c r="A1751" s="58"/>
      <c r="B1751" s="36"/>
      <c r="C1751" s="58"/>
      <c r="D1751" s="57"/>
      <c r="E1751" s="57"/>
      <c r="F1751" s="41"/>
      <c r="G1751" s="41"/>
      <c r="H1751" s="41"/>
      <c r="I1751" s="57"/>
      <c r="J1751" s="36"/>
      <c r="K1751" s="57"/>
      <c r="L1751" s="57"/>
      <c r="M1751" s="57"/>
      <c r="N1751" s="42"/>
      <c r="O1751" s="57"/>
      <c r="P1751" s="43"/>
      <c r="Q1751" s="41"/>
      <c r="R1751" s="43"/>
      <c r="S1751" s="36"/>
      <c r="T1751" s="16">
        <f t="shared" si="54"/>
        <v>0</v>
      </c>
      <c r="U1751" s="16">
        <f t="shared" si="55"/>
        <v>0</v>
      </c>
      <c r="V1751" s="133"/>
    </row>
    <row r="1752" spans="1:22" s="56" customFormat="1">
      <c r="A1752" s="58"/>
      <c r="B1752" s="36"/>
      <c r="C1752" s="58"/>
      <c r="D1752" s="57"/>
      <c r="E1752" s="57"/>
      <c r="F1752" s="41"/>
      <c r="G1752" s="41"/>
      <c r="H1752" s="41"/>
      <c r="I1752" s="57"/>
      <c r="J1752" s="36"/>
      <c r="K1752" s="57"/>
      <c r="L1752" s="57"/>
      <c r="M1752" s="57"/>
      <c r="N1752" s="42"/>
      <c r="O1752" s="57"/>
      <c r="P1752" s="43"/>
      <c r="Q1752" s="41"/>
      <c r="R1752" s="43"/>
      <c r="S1752" s="36"/>
      <c r="T1752" s="16">
        <f t="shared" si="54"/>
        <v>0</v>
      </c>
      <c r="U1752" s="16">
        <f t="shared" si="55"/>
        <v>0</v>
      </c>
      <c r="V1752" s="133"/>
    </row>
    <row r="1753" spans="1:22" s="56" customFormat="1">
      <c r="A1753" s="58"/>
      <c r="B1753" s="36"/>
      <c r="C1753" s="58"/>
      <c r="D1753" s="57"/>
      <c r="E1753" s="57"/>
      <c r="F1753" s="41"/>
      <c r="G1753" s="41"/>
      <c r="H1753" s="41"/>
      <c r="I1753" s="57"/>
      <c r="J1753" s="36"/>
      <c r="K1753" s="57"/>
      <c r="L1753" s="57"/>
      <c r="M1753" s="57"/>
      <c r="N1753" s="42"/>
      <c r="O1753" s="57"/>
      <c r="P1753" s="43"/>
      <c r="Q1753" s="41"/>
      <c r="R1753" s="43"/>
      <c r="S1753" s="36"/>
      <c r="T1753" s="16">
        <f t="shared" si="54"/>
        <v>0</v>
      </c>
      <c r="U1753" s="16">
        <f t="shared" si="55"/>
        <v>0</v>
      </c>
      <c r="V1753" s="133"/>
    </row>
    <row r="1754" spans="1:22" s="56" customFormat="1">
      <c r="A1754" s="58"/>
      <c r="B1754" s="36"/>
      <c r="C1754" s="58"/>
      <c r="D1754" s="57"/>
      <c r="E1754" s="57"/>
      <c r="F1754" s="41"/>
      <c r="G1754" s="41"/>
      <c r="H1754" s="41"/>
      <c r="I1754" s="57"/>
      <c r="J1754" s="36"/>
      <c r="K1754" s="57"/>
      <c r="L1754" s="57"/>
      <c r="M1754" s="57"/>
      <c r="N1754" s="42"/>
      <c r="O1754" s="57"/>
      <c r="P1754" s="43"/>
      <c r="Q1754" s="41"/>
      <c r="R1754" s="43"/>
      <c r="S1754" s="36"/>
      <c r="T1754" s="16">
        <f t="shared" si="54"/>
        <v>0</v>
      </c>
      <c r="U1754" s="16">
        <f t="shared" si="55"/>
        <v>0</v>
      </c>
      <c r="V1754" s="133"/>
    </row>
    <row r="1755" spans="1:22" s="56" customFormat="1">
      <c r="A1755" s="58"/>
      <c r="B1755" s="36"/>
      <c r="C1755" s="58"/>
      <c r="D1755" s="57"/>
      <c r="E1755" s="57"/>
      <c r="F1755" s="41"/>
      <c r="G1755" s="41"/>
      <c r="H1755" s="41"/>
      <c r="I1755" s="57"/>
      <c r="J1755" s="36"/>
      <c r="K1755" s="57"/>
      <c r="L1755" s="57"/>
      <c r="M1755" s="57"/>
      <c r="N1755" s="42"/>
      <c r="O1755" s="57"/>
      <c r="P1755" s="43"/>
      <c r="Q1755" s="41"/>
      <c r="R1755" s="43"/>
      <c r="S1755" s="36"/>
      <c r="T1755" s="16">
        <f t="shared" si="54"/>
        <v>0</v>
      </c>
      <c r="U1755" s="16">
        <f t="shared" si="55"/>
        <v>0</v>
      </c>
      <c r="V1755" s="133"/>
    </row>
    <row r="1756" spans="1:22" s="56" customFormat="1">
      <c r="A1756" s="58"/>
      <c r="B1756" s="36"/>
      <c r="C1756" s="58"/>
      <c r="D1756" s="57"/>
      <c r="E1756" s="57"/>
      <c r="F1756" s="41"/>
      <c r="G1756" s="41"/>
      <c r="H1756" s="41"/>
      <c r="I1756" s="57"/>
      <c r="J1756" s="36"/>
      <c r="K1756" s="57"/>
      <c r="L1756" s="57"/>
      <c r="M1756" s="57"/>
      <c r="N1756" s="42"/>
      <c r="O1756" s="57"/>
      <c r="P1756" s="43"/>
      <c r="Q1756" s="41"/>
      <c r="R1756" s="43"/>
      <c r="S1756" s="36"/>
      <c r="T1756" s="16">
        <f t="shared" si="54"/>
        <v>0</v>
      </c>
      <c r="U1756" s="16">
        <f t="shared" si="55"/>
        <v>0</v>
      </c>
      <c r="V1756" s="133"/>
    </row>
    <row r="1757" spans="1:22" s="56" customFormat="1">
      <c r="A1757" s="58"/>
      <c r="B1757" s="36"/>
      <c r="C1757" s="58"/>
      <c r="D1757" s="57"/>
      <c r="E1757" s="57"/>
      <c r="F1757" s="41"/>
      <c r="G1757" s="41"/>
      <c r="H1757" s="41"/>
      <c r="I1757" s="57"/>
      <c r="J1757" s="36"/>
      <c r="K1757" s="57"/>
      <c r="L1757" s="57"/>
      <c r="M1757" s="57"/>
      <c r="N1757" s="42"/>
      <c r="O1757" s="57"/>
      <c r="P1757" s="43"/>
      <c r="Q1757" s="41"/>
      <c r="R1757" s="43"/>
      <c r="S1757" s="36"/>
      <c r="T1757" s="16">
        <f t="shared" si="54"/>
        <v>0</v>
      </c>
      <c r="U1757" s="16">
        <f t="shared" si="55"/>
        <v>0</v>
      </c>
      <c r="V1757" s="133"/>
    </row>
    <row r="1758" spans="1:22" s="56" customFormat="1">
      <c r="A1758" s="58"/>
      <c r="B1758" s="36"/>
      <c r="C1758" s="58"/>
      <c r="D1758" s="57"/>
      <c r="E1758" s="57"/>
      <c r="F1758" s="41"/>
      <c r="G1758" s="41"/>
      <c r="H1758" s="41"/>
      <c r="I1758" s="57"/>
      <c r="J1758" s="36"/>
      <c r="K1758" s="57"/>
      <c r="L1758" s="57"/>
      <c r="M1758" s="57"/>
      <c r="N1758" s="42"/>
      <c r="O1758" s="57"/>
      <c r="P1758" s="43"/>
      <c r="Q1758" s="41"/>
      <c r="R1758" s="43"/>
      <c r="S1758" s="36"/>
      <c r="T1758" s="16">
        <f t="shared" si="54"/>
        <v>0</v>
      </c>
      <c r="U1758" s="16">
        <f t="shared" si="55"/>
        <v>0</v>
      </c>
      <c r="V1758" s="133"/>
    </row>
    <row r="1759" spans="1:22" s="56" customFormat="1">
      <c r="A1759" s="58"/>
      <c r="B1759" s="36"/>
      <c r="C1759" s="58"/>
      <c r="D1759" s="57"/>
      <c r="E1759" s="57"/>
      <c r="F1759" s="41"/>
      <c r="G1759" s="41"/>
      <c r="H1759" s="41"/>
      <c r="I1759" s="57"/>
      <c r="J1759" s="36"/>
      <c r="K1759" s="57"/>
      <c r="L1759" s="57"/>
      <c r="M1759" s="57"/>
      <c r="N1759" s="42"/>
      <c r="O1759" s="57"/>
      <c r="P1759" s="43"/>
      <c r="Q1759" s="41"/>
      <c r="R1759" s="43"/>
      <c r="S1759" s="36"/>
      <c r="T1759" s="16">
        <f t="shared" si="54"/>
        <v>0</v>
      </c>
      <c r="U1759" s="16">
        <f t="shared" si="55"/>
        <v>0</v>
      </c>
      <c r="V1759" s="133"/>
    </row>
    <row r="1760" spans="1:22" s="56" customFormat="1">
      <c r="A1760" s="58"/>
      <c r="B1760" s="36"/>
      <c r="C1760" s="58"/>
      <c r="D1760" s="57"/>
      <c r="E1760" s="57"/>
      <c r="F1760" s="41"/>
      <c r="G1760" s="41"/>
      <c r="H1760" s="41"/>
      <c r="I1760" s="57"/>
      <c r="J1760" s="36"/>
      <c r="K1760" s="57"/>
      <c r="L1760" s="57"/>
      <c r="M1760" s="57"/>
      <c r="N1760" s="42"/>
      <c r="O1760" s="57"/>
      <c r="P1760" s="43"/>
      <c r="Q1760" s="41"/>
      <c r="R1760" s="43"/>
      <c r="S1760" s="36"/>
      <c r="T1760" s="16">
        <f t="shared" si="54"/>
        <v>0</v>
      </c>
      <c r="U1760" s="16">
        <f t="shared" si="55"/>
        <v>0</v>
      </c>
      <c r="V1760" s="133"/>
    </row>
    <row r="1761" spans="1:22" s="56" customFormat="1">
      <c r="A1761" s="58"/>
      <c r="B1761" s="36"/>
      <c r="C1761" s="58"/>
      <c r="D1761" s="57"/>
      <c r="E1761" s="57"/>
      <c r="F1761" s="41"/>
      <c r="G1761" s="41"/>
      <c r="H1761" s="41"/>
      <c r="I1761" s="57"/>
      <c r="J1761" s="36"/>
      <c r="K1761" s="57"/>
      <c r="L1761" s="57"/>
      <c r="M1761" s="57"/>
      <c r="N1761" s="42"/>
      <c r="O1761" s="57"/>
      <c r="P1761" s="43"/>
      <c r="Q1761" s="41"/>
      <c r="R1761" s="43"/>
      <c r="S1761" s="36"/>
      <c r="T1761" s="16">
        <f t="shared" si="54"/>
        <v>0</v>
      </c>
      <c r="U1761" s="16">
        <f t="shared" si="55"/>
        <v>0</v>
      </c>
      <c r="V1761" s="133"/>
    </row>
    <row r="1762" spans="1:22" s="56" customFormat="1">
      <c r="A1762" s="58"/>
      <c r="B1762" s="36"/>
      <c r="C1762" s="58"/>
      <c r="D1762" s="57"/>
      <c r="E1762" s="57"/>
      <c r="F1762" s="41"/>
      <c r="G1762" s="41"/>
      <c r="H1762" s="41"/>
      <c r="I1762" s="57"/>
      <c r="J1762" s="36"/>
      <c r="K1762" s="57"/>
      <c r="L1762" s="57"/>
      <c r="M1762" s="57"/>
      <c r="N1762" s="42"/>
      <c r="O1762" s="57"/>
      <c r="P1762" s="43"/>
      <c r="Q1762" s="41"/>
      <c r="R1762" s="43"/>
      <c r="S1762" s="36"/>
      <c r="T1762" s="16">
        <f t="shared" si="54"/>
        <v>0</v>
      </c>
      <c r="U1762" s="16">
        <f t="shared" si="55"/>
        <v>0</v>
      </c>
      <c r="V1762" s="133"/>
    </row>
    <row r="1763" spans="1:22" s="56" customFormat="1">
      <c r="A1763" s="58"/>
      <c r="B1763" s="36"/>
      <c r="C1763" s="58"/>
      <c r="D1763" s="57"/>
      <c r="E1763" s="57"/>
      <c r="F1763" s="41"/>
      <c r="G1763" s="41"/>
      <c r="H1763" s="41"/>
      <c r="I1763" s="57"/>
      <c r="J1763" s="36"/>
      <c r="K1763" s="57"/>
      <c r="L1763" s="57"/>
      <c r="M1763" s="57"/>
      <c r="N1763" s="42"/>
      <c r="O1763" s="57"/>
      <c r="P1763" s="43"/>
      <c r="Q1763" s="41"/>
      <c r="R1763" s="43"/>
      <c r="S1763" s="36"/>
      <c r="T1763" s="16">
        <f t="shared" si="54"/>
        <v>0</v>
      </c>
      <c r="U1763" s="16">
        <f t="shared" si="55"/>
        <v>0</v>
      </c>
      <c r="V1763" s="133"/>
    </row>
    <row r="1764" spans="1:22" s="56" customFormat="1">
      <c r="A1764" s="58"/>
      <c r="B1764" s="36"/>
      <c r="C1764" s="58"/>
      <c r="D1764" s="57"/>
      <c r="E1764" s="57"/>
      <c r="F1764" s="41"/>
      <c r="G1764" s="41"/>
      <c r="H1764" s="41"/>
      <c r="I1764" s="57"/>
      <c r="J1764" s="36"/>
      <c r="K1764" s="57"/>
      <c r="L1764" s="57"/>
      <c r="M1764" s="57"/>
      <c r="N1764" s="42"/>
      <c r="O1764" s="57"/>
      <c r="P1764" s="43"/>
      <c r="Q1764" s="41"/>
      <c r="R1764" s="43"/>
      <c r="S1764" s="36"/>
      <c r="T1764" s="16">
        <f t="shared" si="54"/>
        <v>0</v>
      </c>
      <c r="U1764" s="16">
        <f t="shared" si="55"/>
        <v>0</v>
      </c>
      <c r="V1764" s="133"/>
    </row>
    <row r="1765" spans="1:22" s="56" customFormat="1">
      <c r="A1765" s="58"/>
      <c r="B1765" s="36"/>
      <c r="C1765" s="58"/>
      <c r="D1765" s="57"/>
      <c r="E1765" s="57"/>
      <c r="F1765" s="41"/>
      <c r="G1765" s="41"/>
      <c r="H1765" s="41"/>
      <c r="I1765" s="57"/>
      <c r="J1765" s="36"/>
      <c r="K1765" s="57"/>
      <c r="L1765" s="57"/>
      <c r="M1765" s="57"/>
      <c r="N1765" s="42"/>
      <c r="O1765" s="57"/>
      <c r="P1765" s="43"/>
      <c r="Q1765" s="41"/>
      <c r="R1765" s="43"/>
      <c r="S1765" s="36"/>
      <c r="T1765" s="16">
        <f t="shared" si="54"/>
        <v>0</v>
      </c>
      <c r="U1765" s="16">
        <f t="shared" si="55"/>
        <v>0</v>
      </c>
      <c r="V1765" s="133"/>
    </row>
    <row r="1766" spans="1:22" s="56" customFormat="1">
      <c r="A1766" s="58"/>
      <c r="B1766" s="36"/>
      <c r="C1766" s="58"/>
      <c r="D1766" s="57"/>
      <c r="E1766" s="57"/>
      <c r="F1766" s="41"/>
      <c r="G1766" s="41"/>
      <c r="H1766" s="41"/>
      <c r="I1766" s="57"/>
      <c r="J1766" s="36"/>
      <c r="K1766" s="57"/>
      <c r="L1766" s="57"/>
      <c r="M1766" s="57"/>
      <c r="N1766" s="42"/>
      <c r="O1766" s="57"/>
      <c r="P1766" s="43"/>
      <c r="Q1766" s="41"/>
      <c r="R1766" s="43"/>
      <c r="S1766" s="36"/>
      <c r="T1766" s="16">
        <f t="shared" si="54"/>
        <v>0</v>
      </c>
      <c r="U1766" s="16">
        <f t="shared" si="55"/>
        <v>0</v>
      </c>
      <c r="V1766" s="133"/>
    </row>
    <row r="1767" spans="1:22" s="56" customFormat="1">
      <c r="A1767" s="58"/>
      <c r="B1767" s="36"/>
      <c r="C1767" s="58"/>
      <c r="D1767" s="57"/>
      <c r="E1767" s="57"/>
      <c r="F1767" s="41"/>
      <c r="G1767" s="41"/>
      <c r="H1767" s="41"/>
      <c r="I1767" s="57"/>
      <c r="J1767" s="36"/>
      <c r="K1767" s="57"/>
      <c r="L1767" s="57"/>
      <c r="M1767" s="57"/>
      <c r="N1767" s="42"/>
      <c r="O1767" s="57"/>
      <c r="P1767" s="43"/>
      <c r="Q1767" s="41"/>
      <c r="R1767" s="43"/>
      <c r="S1767" s="36"/>
      <c r="T1767" s="16">
        <f t="shared" si="54"/>
        <v>0</v>
      </c>
      <c r="U1767" s="16">
        <f t="shared" si="55"/>
        <v>0</v>
      </c>
      <c r="V1767" s="133"/>
    </row>
    <row r="1768" spans="1:22" s="56" customFormat="1">
      <c r="A1768" s="58"/>
      <c r="B1768" s="36"/>
      <c r="C1768" s="58"/>
      <c r="D1768" s="57"/>
      <c r="E1768" s="57"/>
      <c r="F1768" s="41"/>
      <c r="G1768" s="41"/>
      <c r="H1768" s="41"/>
      <c r="I1768" s="57"/>
      <c r="J1768" s="36"/>
      <c r="K1768" s="57"/>
      <c r="L1768" s="57"/>
      <c r="M1768" s="57"/>
      <c r="N1768" s="42"/>
      <c r="O1768" s="57"/>
      <c r="P1768" s="43"/>
      <c r="Q1768" s="41"/>
      <c r="R1768" s="43"/>
      <c r="S1768" s="36"/>
      <c r="T1768" s="16">
        <f t="shared" si="54"/>
        <v>0</v>
      </c>
      <c r="U1768" s="16">
        <f t="shared" si="55"/>
        <v>0</v>
      </c>
      <c r="V1768" s="133"/>
    </row>
    <row r="1769" spans="1:22" s="56" customFormat="1">
      <c r="A1769" s="58"/>
      <c r="B1769" s="36"/>
      <c r="C1769" s="58"/>
      <c r="D1769" s="57"/>
      <c r="E1769" s="57"/>
      <c r="F1769" s="41"/>
      <c r="G1769" s="41"/>
      <c r="H1769" s="41"/>
      <c r="I1769" s="57"/>
      <c r="J1769" s="36"/>
      <c r="K1769" s="57"/>
      <c r="L1769" s="57"/>
      <c r="M1769" s="57"/>
      <c r="N1769" s="42"/>
      <c r="O1769" s="57"/>
      <c r="P1769" s="43"/>
      <c r="Q1769" s="41"/>
      <c r="R1769" s="43"/>
      <c r="S1769" s="36"/>
      <c r="T1769" s="16">
        <f t="shared" si="54"/>
        <v>0</v>
      </c>
      <c r="U1769" s="16">
        <f t="shared" si="55"/>
        <v>0</v>
      </c>
      <c r="V1769" s="133"/>
    </row>
    <row r="1770" spans="1:22" s="56" customFormat="1">
      <c r="A1770" s="58"/>
      <c r="B1770" s="36"/>
      <c r="C1770" s="58"/>
      <c r="D1770" s="57"/>
      <c r="E1770" s="57"/>
      <c r="F1770" s="41"/>
      <c r="G1770" s="41"/>
      <c r="H1770" s="41"/>
      <c r="I1770" s="57"/>
      <c r="J1770" s="36"/>
      <c r="K1770" s="57"/>
      <c r="L1770" s="57"/>
      <c r="M1770" s="57"/>
      <c r="N1770" s="42"/>
      <c r="O1770" s="57"/>
      <c r="P1770" s="43"/>
      <c r="Q1770" s="41"/>
      <c r="R1770" s="43"/>
      <c r="S1770" s="36"/>
      <c r="T1770" s="16">
        <f t="shared" si="54"/>
        <v>0</v>
      </c>
      <c r="U1770" s="16">
        <f t="shared" si="55"/>
        <v>0</v>
      </c>
      <c r="V1770" s="133"/>
    </row>
    <row r="1771" spans="1:22" s="56" customFormat="1">
      <c r="A1771" s="58"/>
      <c r="B1771" s="36"/>
      <c r="C1771" s="58"/>
      <c r="D1771" s="57"/>
      <c r="E1771" s="57"/>
      <c r="F1771" s="41"/>
      <c r="G1771" s="41"/>
      <c r="H1771" s="41"/>
      <c r="I1771" s="57"/>
      <c r="J1771" s="36"/>
      <c r="K1771" s="57"/>
      <c r="L1771" s="57"/>
      <c r="M1771" s="57"/>
      <c r="N1771" s="42"/>
      <c r="O1771" s="57"/>
      <c r="P1771" s="43"/>
      <c r="Q1771" s="41"/>
      <c r="R1771" s="43"/>
      <c r="S1771" s="36"/>
      <c r="T1771" s="16">
        <f t="shared" si="54"/>
        <v>0</v>
      </c>
      <c r="U1771" s="16">
        <f t="shared" si="55"/>
        <v>0</v>
      </c>
      <c r="V1771" s="133"/>
    </row>
    <row r="1772" spans="1:22" s="56" customFormat="1">
      <c r="A1772" s="58"/>
      <c r="B1772" s="36"/>
      <c r="C1772" s="58"/>
      <c r="D1772" s="57"/>
      <c r="E1772" s="57"/>
      <c r="F1772" s="41"/>
      <c r="G1772" s="41"/>
      <c r="H1772" s="41"/>
      <c r="I1772" s="57"/>
      <c r="J1772" s="36"/>
      <c r="K1772" s="57"/>
      <c r="L1772" s="57"/>
      <c r="M1772" s="57"/>
      <c r="N1772" s="42"/>
      <c r="O1772" s="57"/>
      <c r="P1772" s="43"/>
      <c r="Q1772" s="41"/>
      <c r="R1772" s="43"/>
      <c r="S1772" s="36"/>
      <c r="T1772" s="16">
        <f t="shared" si="54"/>
        <v>0</v>
      </c>
      <c r="U1772" s="16">
        <f t="shared" si="55"/>
        <v>0</v>
      </c>
      <c r="V1772" s="133"/>
    </row>
    <row r="1773" spans="1:22" s="56" customFormat="1">
      <c r="A1773" s="58"/>
      <c r="B1773" s="36"/>
      <c r="C1773" s="58"/>
      <c r="D1773" s="57"/>
      <c r="E1773" s="57"/>
      <c r="F1773" s="41"/>
      <c r="G1773" s="41"/>
      <c r="H1773" s="41"/>
      <c r="I1773" s="57"/>
      <c r="J1773" s="36"/>
      <c r="K1773" s="57"/>
      <c r="L1773" s="57"/>
      <c r="M1773" s="57"/>
      <c r="N1773" s="42"/>
      <c r="O1773" s="57"/>
      <c r="P1773" s="43"/>
      <c r="Q1773" s="41"/>
      <c r="R1773" s="43"/>
      <c r="S1773" s="36"/>
      <c r="T1773" s="16">
        <f t="shared" si="54"/>
        <v>0</v>
      </c>
      <c r="U1773" s="16">
        <f t="shared" si="55"/>
        <v>0</v>
      </c>
      <c r="V1773" s="133"/>
    </row>
    <row r="1774" spans="1:22" s="56" customFormat="1">
      <c r="A1774" s="58"/>
      <c r="B1774" s="36"/>
      <c r="C1774" s="58"/>
      <c r="D1774" s="57"/>
      <c r="E1774" s="57"/>
      <c r="F1774" s="41"/>
      <c r="G1774" s="41"/>
      <c r="H1774" s="41"/>
      <c r="I1774" s="57"/>
      <c r="J1774" s="36"/>
      <c r="K1774" s="57"/>
      <c r="L1774" s="57"/>
      <c r="M1774" s="57"/>
      <c r="N1774" s="42"/>
      <c r="O1774" s="57"/>
      <c r="P1774" s="43"/>
      <c r="Q1774" s="41"/>
      <c r="R1774" s="43"/>
      <c r="S1774" s="36"/>
      <c r="T1774" s="16">
        <f t="shared" si="54"/>
        <v>0</v>
      </c>
      <c r="U1774" s="16">
        <f t="shared" si="55"/>
        <v>0</v>
      </c>
      <c r="V1774" s="133"/>
    </row>
    <row r="1775" spans="1:22" s="56" customFormat="1">
      <c r="A1775" s="58"/>
      <c r="B1775" s="36"/>
      <c r="C1775" s="58"/>
      <c r="D1775" s="57"/>
      <c r="E1775" s="57"/>
      <c r="F1775" s="41"/>
      <c r="G1775" s="41"/>
      <c r="H1775" s="41"/>
      <c r="I1775" s="57"/>
      <c r="J1775" s="36"/>
      <c r="K1775" s="57"/>
      <c r="L1775" s="57"/>
      <c r="M1775" s="57"/>
      <c r="N1775" s="42"/>
      <c r="O1775" s="57"/>
      <c r="P1775" s="43"/>
      <c r="Q1775" s="41"/>
      <c r="R1775" s="43"/>
      <c r="S1775" s="36"/>
      <c r="T1775" s="16">
        <f t="shared" si="54"/>
        <v>0</v>
      </c>
      <c r="U1775" s="16">
        <f t="shared" si="55"/>
        <v>0</v>
      </c>
      <c r="V1775" s="133"/>
    </row>
    <row r="1776" spans="1:22" s="56" customFormat="1">
      <c r="A1776" s="58"/>
      <c r="B1776" s="36"/>
      <c r="C1776" s="58"/>
      <c r="D1776" s="57"/>
      <c r="E1776" s="57"/>
      <c r="F1776" s="41"/>
      <c r="G1776" s="41"/>
      <c r="H1776" s="41"/>
      <c r="I1776" s="57"/>
      <c r="J1776" s="36"/>
      <c r="K1776" s="57"/>
      <c r="L1776" s="57"/>
      <c r="M1776" s="57"/>
      <c r="N1776" s="42"/>
      <c r="O1776" s="57"/>
      <c r="P1776" s="43"/>
      <c r="Q1776" s="41"/>
      <c r="R1776" s="43"/>
      <c r="S1776" s="36"/>
      <c r="T1776" s="16">
        <f t="shared" si="54"/>
        <v>0</v>
      </c>
      <c r="U1776" s="16">
        <f t="shared" si="55"/>
        <v>0</v>
      </c>
      <c r="V1776" s="133"/>
    </row>
    <row r="1777" spans="1:22" s="56" customFormat="1">
      <c r="A1777" s="58"/>
      <c r="B1777" s="36"/>
      <c r="C1777" s="58"/>
      <c r="D1777" s="57"/>
      <c r="E1777" s="57"/>
      <c r="F1777" s="41"/>
      <c r="G1777" s="41"/>
      <c r="H1777" s="41"/>
      <c r="I1777" s="57"/>
      <c r="J1777" s="36"/>
      <c r="K1777" s="57"/>
      <c r="L1777" s="57"/>
      <c r="M1777" s="57"/>
      <c r="N1777" s="42"/>
      <c r="O1777" s="57"/>
      <c r="P1777" s="43"/>
      <c r="Q1777" s="41"/>
      <c r="R1777" s="43"/>
      <c r="S1777" s="36"/>
      <c r="T1777" s="16">
        <f t="shared" si="54"/>
        <v>0</v>
      </c>
      <c r="U1777" s="16">
        <f t="shared" si="55"/>
        <v>0</v>
      </c>
      <c r="V1777" s="133"/>
    </row>
    <row r="1778" spans="1:22" s="56" customFormat="1">
      <c r="A1778" s="58"/>
      <c r="B1778" s="36"/>
      <c r="C1778" s="58"/>
      <c r="D1778" s="57"/>
      <c r="E1778" s="57"/>
      <c r="F1778" s="41"/>
      <c r="G1778" s="41"/>
      <c r="H1778" s="41"/>
      <c r="I1778" s="57"/>
      <c r="J1778" s="36"/>
      <c r="K1778" s="57"/>
      <c r="L1778" s="57"/>
      <c r="M1778" s="57"/>
      <c r="N1778" s="42"/>
      <c r="O1778" s="57"/>
      <c r="P1778" s="43"/>
      <c r="Q1778" s="41"/>
      <c r="R1778" s="43"/>
      <c r="S1778" s="36"/>
      <c r="T1778" s="16">
        <f t="shared" si="54"/>
        <v>0</v>
      </c>
      <c r="U1778" s="16">
        <f t="shared" si="55"/>
        <v>0</v>
      </c>
      <c r="V1778" s="133"/>
    </row>
    <row r="1779" spans="1:22" s="56" customFormat="1">
      <c r="A1779" s="58"/>
      <c r="B1779" s="36"/>
      <c r="C1779" s="58"/>
      <c r="D1779" s="57"/>
      <c r="E1779" s="57"/>
      <c r="F1779" s="41"/>
      <c r="G1779" s="41"/>
      <c r="H1779" s="41"/>
      <c r="I1779" s="57"/>
      <c r="J1779" s="36"/>
      <c r="K1779" s="57"/>
      <c r="L1779" s="57"/>
      <c r="M1779" s="57"/>
      <c r="N1779" s="42"/>
      <c r="O1779" s="57"/>
      <c r="P1779" s="43"/>
      <c r="Q1779" s="41"/>
      <c r="R1779" s="43"/>
      <c r="S1779" s="36"/>
      <c r="T1779" s="16">
        <f t="shared" si="54"/>
        <v>0</v>
      </c>
      <c r="U1779" s="16">
        <f t="shared" si="55"/>
        <v>0</v>
      </c>
      <c r="V1779" s="133"/>
    </row>
    <row r="1780" spans="1:22" s="56" customFormat="1">
      <c r="A1780" s="58"/>
      <c r="B1780" s="36"/>
      <c r="C1780" s="58"/>
      <c r="D1780" s="57"/>
      <c r="E1780" s="57"/>
      <c r="F1780" s="41"/>
      <c r="G1780" s="41"/>
      <c r="H1780" s="41"/>
      <c r="I1780" s="57"/>
      <c r="J1780" s="36"/>
      <c r="K1780" s="57"/>
      <c r="L1780" s="57"/>
      <c r="M1780" s="57"/>
      <c r="N1780" s="42"/>
      <c r="O1780" s="57"/>
      <c r="P1780" s="43"/>
      <c r="Q1780" s="41"/>
      <c r="R1780" s="43"/>
      <c r="S1780" s="36"/>
      <c r="T1780" s="16">
        <f t="shared" si="54"/>
        <v>0</v>
      </c>
      <c r="U1780" s="16">
        <f t="shared" si="55"/>
        <v>0</v>
      </c>
      <c r="V1780" s="133"/>
    </row>
    <row r="1781" spans="1:22" s="56" customFormat="1">
      <c r="A1781" s="58"/>
      <c r="B1781" s="36"/>
      <c r="C1781" s="58"/>
      <c r="D1781" s="57"/>
      <c r="E1781" s="57"/>
      <c r="F1781" s="41"/>
      <c r="G1781" s="41"/>
      <c r="H1781" s="41"/>
      <c r="I1781" s="57"/>
      <c r="J1781" s="36"/>
      <c r="K1781" s="57"/>
      <c r="L1781" s="57"/>
      <c r="M1781" s="57"/>
      <c r="N1781" s="42"/>
      <c r="O1781" s="57"/>
      <c r="P1781" s="43"/>
      <c r="Q1781" s="41"/>
      <c r="R1781" s="43"/>
      <c r="S1781" s="36"/>
      <c r="T1781" s="16">
        <f t="shared" si="54"/>
        <v>0</v>
      </c>
      <c r="U1781" s="16">
        <f t="shared" si="55"/>
        <v>0</v>
      </c>
      <c r="V1781" s="133"/>
    </row>
    <row r="1782" spans="1:22" s="56" customFormat="1">
      <c r="A1782" s="58"/>
      <c r="B1782" s="36"/>
      <c r="C1782" s="58"/>
      <c r="D1782" s="57"/>
      <c r="E1782" s="57"/>
      <c r="F1782" s="41"/>
      <c r="G1782" s="41"/>
      <c r="H1782" s="41"/>
      <c r="I1782" s="57"/>
      <c r="J1782" s="36"/>
      <c r="K1782" s="57"/>
      <c r="L1782" s="57"/>
      <c r="M1782" s="57"/>
      <c r="N1782" s="42"/>
      <c r="O1782" s="57"/>
      <c r="P1782" s="43"/>
      <c r="Q1782" s="41"/>
      <c r="R1782" s="43"/>
      <c r="S1782" s="36"/>
      <c r="T1782" s="16">
        <f t="shared" si="54"/>
        <v>0</v>
      </c>
      <c r="U1782" s="16">
        <f t="shared" si="55"/>
        <v>0</v>
      </c>
      <c r="V1782" s="133"/>
    </row>
    <row r="1783" spans="1:22" s="56" customFormat="1">
      <c r="A1783" s="58"/>
      <c r="B1783" s="36"/>
      <c r="C1783" s="58"/>
      <c r="D1783" s="57"/>
      <c r="E1783" s="57"/>
      <c r="F1783" s="41"/>
      <c r="G1783" s="41"/>
      <c r="H1783" s="41"/>
      <c r="I1783" s="57"/>
      <c r="J1783" s="36"/>
      <c r="K1783" s="57"/>
      <c r="L1783" s="57"/>
      <c r="M1783" s="57"/>
      <c r="N1783" s="42"/>
      <c r="O1783" s="57"/>
      <c r="P1783" s="43"/>
      <c r="Q1783" s="41"/>
      <c r="R1783" s="43"/>
      <c r="S1783" s="36"/>
      <c r="T1783" s="16">
        <f t="shared" si="54"/>
        <v>0</v>
      </c>
      <c r="U1783" s="16">
        <f t="shared" si="55"/>
        <v>0</v>
      </c>
      <c r="V1783" s="133"/>
    </row>
    <row r="1784" spans="1:22" s="56" customFormat="1">
      <c r="A1784" s="58"/>
      <c r="B1784" s="36"/>
      <c r="C1784" s="58"/>
      <c r="D1784" s="57"/>
      <c r="E1784" s="57"/>
      <c r="F1784" s="41"/>
      <c r="G1784" s="41"/>
      <c r="H1784" s="41"/>
      <c r="I1784" s="57"/>
      <c r="J1784" s="36"/>
      <c r="K1784" s="57"/>
      <c r="L1784" s="57"/>
      <c r="M1784" s="57"/>
      <c r="N1784" s="42"/>
      <c r="O1784" s="57"/>
      <c r="P1784" s="43"/>
      <c r="Q1784" s="41"/>
      <c r="R1784" s="43"/>
      <c r="S1784" s="36"/>
      <c r="T1784" s="16">
        <f t="shared" si="54"/>
        <v>0</v>
      </c>
      <c r="U1784" s="16">
        <f t="shared" si="55"/>
        <v>0</v>
      </c>
      <c r="V1784" s="133"/>
    </row>
    <row r="1785" spans="1:22" s="56" customFormat="1">
      <c r="A1785" s="58"/>
      <c r="B1785" s="36"/>
      <c r="C1785" s="58"/>
      <c r="D1785" s="57"/>
      <c r="E1785" s="57"/>
      <c r="F1785" s="41"/>
      <c r="G1785" s="41"/>
      <c r="H1785" s="41"/>
      <c r="I1785" s="57"/>
      <c r="J1785" s="36"/>
      <c r="K1785" s="57"/>
      <c r="L1785" s="57"/>
      <c r="M1785" s="57"/>
      <c r="N1785" s="42"/>
      <c r="O1785" s="57"/>
      <c r="P1785" s="43"/>
      <c r="Q1785" s="41"/>
      <c r="R1785" s="43"/>
      <c r="S1785" s="36"/>
      <c r="T1785" s="16">
        <f t="shared" si="54"/>
        <v>0</v>
      </c>
      <c r="U1785" s="16">
        <f t="shared" si="55"/>
        <v>0</v>
      </c>
      <c r="V1785" s="133"/>
    </row>
    <row r="1786" spans="1:22" s="56" customFormat="1">
      <c r="A1786" s="58"/>
      <c r="B1786" s="36"/>
      <c r="C1786" s="58"/>
      <c r="D1786" s="57"/>
      <c r="E1786" s="57"/>
      <c r="F1786" s="41"/>
      <c r="G1786" s="41"/>
      <c r="H1786" s="41"/>
      <c r="I1786" s="57"/>
      <c r="J1786" s="36"/>
      <c r="K1786" s="57"/>
      <c r="L1786" s="57"/>
      <c r="M1786" s="57"/>
      <c r="N1786" s="42"/>
      <c r="O1786" s="57"/>
      <c r="P1786" s="43"/>
      <c r="Q1786" s="41"/>
      <c r="R1786" s="43"/>
      <c r="S1786" s="36"/>
      <c r="T1786" s="16">
        <f t="shared" si="54"/>
        <v>0</v>
      </c>
      <c r="U1786" s="16">
        <f t="shared" si="55"/>
        <v>0</v>
      </c>
      <c r="V1786" s="133"/>
    </row>
    <row r="1787" spans="1:22" s="56" customFormat="1">
      <c r="A1787" s="58"/>
      <c r="B1787" s="36"/>
      <c r="C1787" s="58"/>
      <c r="D1787" s="57"/>
      <c r="E1787" s="57"/>
      <c r="F1787" s="41"/>
      <c r="G1787" s="41"/>
      <c r="H1787" s="41"/>
      <c r="I1787" s="57"/>
      <c r="J1787" s="36"/>
      <c r="K1787" s="57"/>
      <c r="L1787" s="57"/>
      <c r="M1787" s="57"/>
      <c r="N1787" s="42"/>
      <c r="O1787" s="57"/>
      <c r="P1787" s="43"/>
      <c r="Q1787" s="41"/>
      <c r="R1787" s="43"/>
      <c r="S1787" s="36"/>
      <c r="T1787" s="16">
        <f t="shared" si="54"/>
        <v>0</v>
      </c>
      <c r="U1787" s="16">
        <f t="shared" si="55"/>
        <v>0</v>
      </c>
      <c r="V1787" s="133"/>
    </row>
    <row r="1788" spans="1:22" s="56" customFormat="1">
      <c r="A1788" s="58"/>
      <c r="B1788" s="36"/>
      <c r="C1788" s="58"/>
      <c r="D1788" s="57"/>
      <c r="E1788" s="57"/>
      <c r="F1788" s="41"/>
      <c r="G1788" s="41"/>
      <c r="H1788" s="41"/>
      <c r="I1788" s="57"/>
      <c r="J1788" s="36"/>
      <c r="K1788" s="57"/>
      <c r="L1788" s="57"/>
      <c r="M1788" s="57"/>
      <c r="N1788" s="42"/>
      <c r="O1788" s="57"/>
      <c r="P1788" s="43"/>
      <c r="Q1788" s="41"/>
      <c r="R1788" s="43"/>
      <c r="S1788" s="36"/>
      <c r="T1788" s="16">
        <f t="shared" si="54"/>
        <v>0</v>
      </c>
      <c r="U1788" s="16">
        <f t="shared" si="55"/>
        <v>0</v>
      </c>
      <c r="V1788" s="133"/>
    </row>
    <row r="1789" spans="1:22" s="56" customFormat="1">
      <c r="A1789" s="58"/>
      <c r="B1789" s="36"/>
      <c r="C1789" s="58"/>
      <c r="D1789" s="57"/>
      <c r="E1789" s="57"/>
      <c r="F1789" s="41"/>
      <c r="G1789" s="41"/>
      <c r="H1789" s="41"/>
      <c r="I1789" s="57"/>
      <c r="J1789" s="36"/>
      <c r="K1789" s="57"/>
      <c r="L1789" s="57"/>
      <c r="M1789" s="57"/>
      <c r="N1789" s="42"/>
      <c r="O1789" s="57"/>
      <c r="P1789" s="43"/>
      <c r="Q1789" s="41"/>
      <c r="R1789" s="43"/>
      <c r="S1789" s="36"/>
      <c r="T1789" s="16">
        <f t="shared" si="54"/>
        <v>0</v>
      </c>
      <c r="U1789" s="16">
        <f t="shared" si="55"/>
        <v>0</v>
      </c>
      <c r="V1789" s="133"/>
    </row>
    <row r="1790" spans="1:22" s="56" customFormat="1">
      <c r="A1790" s="58"/>
      <c r="B1790" s="36"/>
      <c r="C1790" s="58"/>
      <c r="D1790" s="57"/>
      <c r="E1790" s="57"/>
      <c r="F1790" s="41"/>
      <c r="G1790" s="41"/>
      <c r="H1790" s="41"/>
      <c r="I1790" s="57"/>
      <c r="J1790" s="36"/>
      <c r="K1790" s="57"/>
      <c r="L1790" s="57"/>
      <c r="M1790" s="57"/>
      <c r="N1790" s="42"/>
      <c r="O1790" s="57"/>
      <c r="P1790" s="43"/>
      <c r="Q1790" s="41"/>
      <c r="R1790" s="43"/>
      <c r="S1790" s="36"/>
      <c r="T1790" s="16">
        <f t="shared" si="54"/>
        <v>0</v>
      </c>
      <c r="U1790" s="16">
        <f t="shared" si="55"/>
        <v>0</v>
      </c>
      <c r="V1790" s="133"/>
    </row>
    <row r="1791" spans="1:22" s="56" customFormat="1">
      <c r="A1791" s="58"/>
      <c r="B1791" s="36"/>
      <c r="C1791" s="58"/>
      <c r="D1791" s="57"/>
      <c r="E1791" s="57"/>
      <c r="F1791" s="41"/>
      <c r="G1791" s="41"/>
      <c r="H1791" s="41"/>
      <c r="I1791" s="57"/>
      <c r="J1791" s="36"/>
      <c r="K1791" s="57"/>
      <c r="L1791" s="57"/>
      <c r="M1791" s="57"/>
      <c r="N1791" s="42"/>
      <c r="O1791" s="57"/>
      <c r="P1791" s="43"/>
      <c r="Q1791" s="41"/>
      <c r="R1791" s="43"/>
      <c r="S1791" s="36"/>
      <c r="T1791" s="16">
        <f t="shared" si="54"/>
        <v>0</v>
      </c>
      <c r="U1791" s="16">
        <f t="shared" si="55"/>
        <v>0</v>
      </c>
      <c r="V1791" s="133"/>
    </row>
    <row r="1792" spans="1:22" s="56" customFormat="1">
      <c r="A1792" s="58"/>
      <c r="B1792" s="36"/>
      <c r="C1792" s="58"/>
      <c r="D1792" s="57"/>
      <c r="E1792" s="57"/>
      <c r="F1792" s="41"/>
      <c r="G1792" s="41"/>
      <c r="H1792" s="41"/>
      <c r="I1792" s="57"/>
      <c r="J1792" s="36"/>
      <c r="K1792" s="57"/>
      <c r="L1792" s="57"/>
      <c r="M1792" s="57"/>
      <c r="N1792" s="42"/>
      <c r="O1792" s="57"/>
      <c r="P1792" s="43"/>
      <c r="Q1792" s="41"/>
      <c r="R1792" s="43"/>
      <c r="S1792" s="36"/>
      <c r="T1792" s="16">
        <f t="shared" si="54"/>
        <v>0</v>
      </c>
      <c r="U1792" s="16">
        <f t="shared" si="55"/>
        <v>0</v>
      </c>
      <c r="V1792" s="133"/>
    </row>
    <row r="1793" spans="1:22" s="56" customFormat="1">
      <c r="A1793" s="58"/>
      <c r="B1793" s="36"/>
      <c r="C1793" s="58"/>
      <c r="D1793" s="57"/>
      <c r="E1793" s="57"/>
      <c r="F1793" s="41"/>
      <c r="G1793" s="41"/>
      <c r="H1793" s="41"/>
      <c r="I1793" s="57"/>
      <c r="J1793" s="36"/>
      <c r="K1793" s="57"/>
      <c r="L1793" s="57"/>
      <c r="M1793" s="57"/>
      <c r="N1793" s="42"/>
      <c r="O1793" s="57"/>
      <c r="P1793" s="43"/>
      <c r="Q1793" s="41"/>
      <c r="R1793" s="43"/>
      <c r="S1793" s="36"/>
      <c r="T1793" s="16">
        <f t="shared" si="54"/>
        <v>0</v>
      </c>
      <c r="U1793" s="16">
        <f t="shared" si="55"/>
        <v>0</v>
      </c>
      <c r="V1793" s="133"/>
    </row>
    <row r="1794" spans="1:22" s="56" customFormat="1">
      <c r="A1794" s="58"/>
      <c r="B1794" s="36"/>
      <c r="C1794" s="58"/>
      <c r="D1794" s="57"/>
      <c r="E1794" s="57"/>
      <c r="F1794" s="41"/>
      <c r="G1794" s="41"/>
      <c r="H1794" s="41"/>
      <c r="I1794" s="57"/>
      <c r="J1794" s="36"/>
      <c r="K1794" s="57"/>
      <c r="L1794" s="57"/>
      <c r="M1794" s="57"/>
      <c r="N1794" s="42"/>
      <c r="O1794" s="57"/>
      <c r="P1794" s="43"/>
      <c r="Q1794" s="41"/>
      <c r="R1794" s="43"/>
      <c r="S1794" s="36"/>
      <c r="T1794" s="16">
        <f t="shared" si="54"/>
        <v>0</v>
      </c>
      <c r="U1794" s="16">
        <f t="shared" si="55"/>
        <v>0</v>
      </c>
      <c r="V1794" s="133"/>
    </row>
    <row r="1795" spans="1:22" s="56" customFormat="1">
      <c r="A1795" s="58"/>
      <c r="B1795" s="36"/>
      <c r="C1795" s="58"/>
      <c r="D1795" s="57"/>
      <c r="E1795" s="57"/>
      <c r="F1795" s="41"/>
      <c r="G1795" s="41"/>
      <c r="H1795" s="41"/>
      <c r="I1795" s="57"/>
      <c r="J1795" s="36"/>
      <c r="K1795" s="57"/>
      <c r="L1795" s="57"/>
      <c r="M1795" s="57"/>
      <c r="N1795" s="42"/>
      <c r="O1795" s="57"/>
      <c r="P1795" s="43"/>
      <c r="Q1795" s="41"/>
      <c r="R1795" s="43"/>
      <c r="S1795" s="36"/>
      <c r="T1795" s="16">
        <f t="shared" si="54"/>
        <v>0</v>
      </c>
      <c r="U1795" s="16">
        <f t="shared" si="55"/>
        <v>0</v>
      </c>
      <c r="V1795" s="133"/>
    </row>
    <row r="1796" spans="1:22" s="56" customFormat="1">
      <c r="A1796" s="58"/>
      <c r="B1796" s="36"/>
      <c r="C1796" s="58"/>
      <c r="D1796" s="57"/>
      <c r="E1796" s="57"/>
      <c r="F1796" s="41"/>
      <c r="G1796" s="41"/>
      <c r="H1796" s="41"/>
      <c r="I1796" s="57"/>
      <c r="J1796" s="36"/>
      <c r="K1796" s="57"/>
      <c r="L1796" s="57"/>
      <c r="M1796" s="57"/>
      <c r="N1796" s="42"/>
      <c r="O1796" s="57"/>
      <c r="P1796" s="43"/>
      <c r="Q1796" s="41"/>
      <c r="R1796" s="43"/>
      <c r="S1796" s="36"/>
      <c r="T1796" s="16">
        <f t="shared" si="54"/>
        <v>0</v>
      </c>
      <c r="U1796" s="16">
        <f t="shared" si="55"/>
        <v>0</v>
      </c>
      <c r="V1796" s="133"/>
    </row>
    <row r="1797" spans="1:22" s="56" customFormat="1">
      <c r="A1797" s="58"/>
      <c r="B1797" s="36"/>
      <c r="C1797" s="58"/>
      <c r="D1797" s="57"/>
      <c r="E1797" s="57"/>
      <c r="F1797" s="41"/>
      <c r="G1797" s="41"/>
      <c r="H1797" s="41"/>
      <c r="I1797" s="57"/>
      <c r="J1797" s="36"/>
      <c r="K1797" s="57"/>
      <c r="L1797" s="57"/>
      <c r="M1797" s="57"/>
      <c r="N1797" s="42"/>
      <c r="O1797" s="57"/>
      <c r="P1797" s="43"/>
      <c r="Q1797" s="41"/>
      <c r="R1797" s="43"/>
      <c r="S1797" s="36"/>
      <c r="T1797" s="16">
        <f t="shared" ref="T1797:T1860" si="56">IF(OR($J1797="Accepted",ISBLANK($J1797)),IF(AND($G1797="Legacy Data",$Q1797="Legacy Data"),1,IF(OR($G1797="Legacy Data",$Q1797="Legacy Data"),1,0)),IF(OR($N1797="Agree with original translator",ISBLANK($N1797)),IF(AND($G1797="Source Text Data",$Q1797="Legacy Data"),1,IF(AND($G1797="Legacy Data",$Q1797="Legacy Data"),1,IF($Q1797="Legacy Data",1,0))),IF(AND($G1797="Legacy Data",$Q1797="Legacy Data"),1,IF(OR($Q1797="Legacy Data",ISBLANK($Q1797)),IF($G1797&lt;&gt;"Legacy Data",IF(AND($G1797="Source Text Data",$Q1797="Legacy Data"),1,0),1),0))))</f>
        <v>0</v>
      </c>
      <c r="U1797" s="16">
        <f t="shared" ref="U1797:U1860" si="57">IF(OR($J1797="Accepted",ISBLANK($J1797)),IF(AND($G1797="Source Text Data",$Q1797="Source Text Data"),1,IF(OR($G1797="Source Text Data",$Q1797="Source Text Data"),1,0)),IF(OR($N1797="Agree with original translator",ISBLANK($N1797)),IF(AND($G1797="Legacy Data",$Q1797="Source Text Data"),1,IF(AND($G1797="Source Text Data",$Q1797="Source Text Data"),1,IF($Q1797="Source Text Data",1,0))),IF(AND($G1797="Source Text Data",$Q1797="Source Text Data"),1,IF(OR($Q1797="Source Text Data",ISBLANK($Q1797)),IF($G1797&lt;&gt;"Source Text Data",IF(AND($G1797="Legacy Data",$Q1797="Source Text Data"),1,0),1),0))))</f>
        <v>0</v>
      </c>
      <c r="V1797" s="133"/>
    </row>
    <row r="1798" spans="1:22" s="56" customFormat="1">
      <c r="A1798" s="58"/>
      <c r="B1798" s="36"/>
      <c r="C1798" s="58"/>
      <c r="D1798" s="57"/>
      <c r="E1798" s="57"/>
      <c r="F1798" s="41"/>
      <c r="G1798" s="41"/>
      <c r="H1798" s="41"/>
      <c r="I1798" s="57"/>
      <c r="J1798" s="36"/>
      <c r="K1798" s="57"/>
      <c r="L1798" s="57"/>
      <c r="M1798" s="57"/>
      <c r="N1798" s="42"/>
      <c r="O1798" s="57"/>
      <c r="P1798" s="43"/>
      <c r="Q1798" s="41"/>
      <c r="R1798" s="43"/>
      <c r="S1798" s="36"/>
      <c r="T1798" s="16">
        <f t="shared" si="56"/>
        <v>0</v>
      </c>
      <c r="U1798" s="16">
        <f t="shared" si="57"/>
        <v>0</v>
      </c>
      <c r="V1798" s="133"/>
    </row>
    <row r="1799" spans="1:22" s="56" customFormat="1">
      <c r="A1799" s="58"/>
      <c r="B1799" s="36"/>
      <c r="C1799" s="58"/>
      <c r="D1799" s="57"/>
      <c r="E1799" s="57"/>
      <c r="F1799" s="41"/>
      <c r="G1799" s="41"/>
      <c r="H1799" s="41"/>
      <c r="I1799" s="57"/>
      <c r="J1799" s="36"/>
      <c r="K1799" s="57"/>
      <c r="L1799" s="57"/>
      <c r="M1799" s="57"/>
      <c r="N1799" s="42"/>
      <c r="O1799" s="57"/>
      <c r="P1799" s="43"/>
      <c r="Q1799" s="41"/>
      <c r="R1799" s="43"/>
      <c r="S1799" s="36"/>
      <c r="T1799" s="16">
        <f t="shared" si="56"/>
        <v>0</v>
      </c>
      <c r="U1799" s="16">
        <f t="shared" si="57"/>
        <v>0</v>
      </c>
      <c r="V1799" s="133"/>
    </row>
    <row r="1800" spans="1:22" s="56" customFormat="1">
      <c r="A1800" s="58"/>
      <c r="B1800" s="36"/>
      <c r="C1800" s="58"/>
      <c r="D1800" s="57"/>
      <c r="E1800" s="57"/>
      <c r="F1800" s="41"/>
      <c r="G1800" s="41"/>
      <c r="H1800" s="41"/>
      <c r="I1800" s="57"/>
      <c r="J1800" s="36"/>
      <c r="K1800" s="57"/>
      <c r="L1800" s="57"/>
      <c r="M1800" s="57"/>
      <c r="N1800" s="42"/>
      <c r="O1800" s="57"/>
      <c r="P1800" s="43"/>
      <c r="Q1800" s="41"/>
      <c r="R1800" s="43"/>
      <c r="S1800" s="36"/>
      <c r="T1800" s="16">
        <f t="shared" si="56"/>
        <v>0</v>
      </c>
      <c r="U1800" s="16">
        <f t="shared" si="57"/>
        <v>0</v>
      </c>
      <c r="V1800" s="133"/>
    </row>
    <row r="1801" spans="1:22" s="56" customFormat="1">
      <c r="A1801" s="58"/>
      <c r="B1801" s="36"/>
      <c r="C1801" s="58"/>
      <c r="D1801" s="57"/>
      <c r="E1801" s="57"/>
      <c r="F1801" s="41"/>
      <c r="G1801" s="41"/>
      <c r="H1801" s="41"/>
      <c r="I1801" s="57"/>
      <c r="J1801" s="36"/>
      <c r="K1801" s="57"/>
      <c r="L1801" s="57"/>
      <c r="M1801" s="57"/>
      <c r="N1801" s="42"/>
      <c r="O1801" s="57"/>
      <c r="P1801" s="43"/>
      <c r="Q1801" s="41"/>
      <c r="R1801" s="43"/>
      <c r="S1801" s="36"/>
      <c r="T1801" s="16">
        <f t="shared" si="56"/>
        <v>0</v>
      </c>
      <c r="U1801" s="16">
        <f t="shared" si="57"/>
        <v>0</v>
      </c>
      <c r="V1801" s="133"/>
    </row>
    <row r="1802" spans="1:22" s="56" customFormat="1">
      <c r="A1802" s="58"/>
      <c r="B1802" s="36"/>
      <c r="C1802" s="58"/>
      <c r="D1802" s="57"/>
      <c r="E1802" s="57"/>
      <c r="F1802" s="41"/>
      <c r="G1802" s="41"/>
      <c r="H1802" s="41"/>
      <c r="I1802" s="57"/>
      <c r="J1802" s="36"/>
      <c r="K1802" s="57"/>
      <c r="L1802" s="57"/>
      <c r="M1802" s="57"/>
      <c r="N1802" s="42"/>
      <c r="O1802" s="57"/>
      <c r="P1802" s="43"/>
      <c r="Q1802" s="41"/>
      <c r="R1802" s="43"/>
      <c r="S1802" s="36"/>
      <c r="T1802" s="16">
        <f t="shared" si="56"/>
        <v>0</v>
      </c>
      <c r="U1802" s="16">
        <f t="shared" si="57"/>
        <v>0</v>
      </c>
      <c r="V1802" s="133"/>
    </row>
    <row r="1803" spans="1:22" s="56" customFormat="1">
      <c r="A1803" s="58"/>
      <c r="B1803" s="36"/>
      <c r="C1803" s="58"/>
      <c r="D1803" s="57"/>
      <c r="E1803" s="57"/>
      <c r="F1803" s="41"/>
      <c r="G1803" s="41"/>
      <c r="H1803" s="41"/>
      <c r="I1803" s="57"/>
      <c r="J1803" s="36"/>
      <c r="K1803" s="57"/>
      <c r="L1803" s="57"/>
      <c r="M1803" s="57"/>
      <c r="N1803" s="42"/>
      <c r="O1803" s="57"/>
      <c r="P1803" s="43"/>
      <c r="Q1803" s="41"/>
      <c r="R1803" s="43"/>
      <c r="S1803" s="36"/>
      <c r="T1803" s="16">
        <f t="shared" si="56"/>
        <v>0</v>
      </c>
      <c r="U1803" s="16">
        <f t="shared" si="57"/>
        <v>0</v>
      </c>
      <c r="V1803" s="133"/>
    </row>
    <row r="1804" spans="1:22" s="56" customFormat="1">
      <c r="A1804" s="58"/>
      <c r="B1804" s="36"/>
      <c r="C1804" s="58"/>
      <c r="D1804" s="57"/>
      <c r="E1804" s="57"/>
      <c r="F1804" s="41"/>
      <c r="G1804" s="41"/>
      <c r="H1804" s="41"/>
      <c r="I1804" s="57"/>
      <c r="J1804" s="36"/>
      <c r="K1804" s="57"/>
      <c r="L1804" s="57"/>
      <c r="M1804" s="57"/>
      <c r="N1804" s="42"/>
      <c r="O1804" s="57"/>
      <c r="P1804" s="43"/>
      <c r="Q1804" s="41"/>
      <c r="R1804" s="43"/>
      <c r="S1804" s="36"/>
      <c r="T1804" s="16">
        <f t="shared" si="56"/>
        <v>0</v>
      </c>
      <c r="U1804" s="16">
        <f t="shared" si="57"/>
        <v>0</v>
      </c>
      <c r="V1804" s="133"/>
    </row>
    <row r="1805" spans="1:22" s="56" customFormat="1">
      <c r="A1805" s="58"/>
      <c r="B1805" s="36"/>
      <c r="C1805" s="58"/>
      <c r="D1805" s="57"/>
      <c r="E1805" s="57"/>
      <c r="F1805" s="41"/>
      <c r="G1805" s="41"/>
      <c r="H1805" s="41"/>
      <c r="I1805" s="57"/>
      <c r="J1805" s="36"/>
      <c r="K1805" s="57"/>
      <c r="L1805" s="57"/>
      <c r="M1805" s="57"/>
      <c r="N1805" s="42"/>
      <c r="O1805" s="57"/>
      <c r="P1805" s="43"/>
      <c r="Q1805" s="41"/>
      <c r="R1805" s="43"/>
      <c r="S1805" s="36"/>
      <c r="T1805" s="16">
        <f t="shared" si="56"/>
        <v>0</v>
      </c>
      <c r="U1805" s="16">
        <f t="shared" si="57"/>
        <v>0</v>
      </c>
      <c r="V1805" s="133"/>
    </row>
    <row r="1806" spans="1:22" s="56" customFormat="1">
      <c r="A1806" s="58"/>
      <c r="B1806" s="36"/>
      <c r="C1806" s="58"/>
      <c r="D1806" s="57"/>
      <c r="E1806" s="57"/>
      <c r="F1806" s="41"/>
      <c r="G1806" s="41"/>
      <c r="H1806" s="41"/>
      <c r="I1806" s="57"/>
      <c r="J1806" s="36"/>
      <c r="K1806" s="57"/>
      <c r="L1806" s="57"/>
      <c r="M1806" s="57"/>
      <c r="N1806" s="42"/>
      <c r="O1806" s="57"/>
      <c r="P1806" s="43"/>
      <c r="Q1806" s="41"/>
      <c r="R1806" s="43"/>
      <c r="S1806" s="36"/>
      <c r="T1806" s="16">
        <f t="shared" si="56"/>
        <v>0</v>
      </c>
      <c r="U1806" s="16">
        <f t="shared" si="57"/>
        <v>0</v>
      </c>
      <c r="V1806" s="133"/>
    </row>
    <row r="1807" spans="1:22" s="56" customFormat="1">
      <c r="A1807" s="58"/>
      <c r="B1807" s="36"/>
      <c r="C1807" s="58"/>
      <c r="D1807" s="57"/>
      <c r="E1807" s="57"/>
      <c r="F1807" s="41"/>
      <c r="G1807" s="41"/>
      <c r="H1807" s="41"/>
      <c r="I1807" s="57"/>
      <c r="J1807" s="36"/>
      <c r="K1807" s="57"/>
      <c r="L1807" s="57"/>
      <c r="M1807" s="57"/>
      <c r="N1807" s="42"/>
      <c r="O1807" s="57"/>
      <c r="P1807" s="43"/>
      <c r="Q1807" s="41"/>
      <c r="R1807" s="43"/>
      <c r="S1807" s="36"/>
      <c r="T1807" s="16">
        <f t="shared" si="56"/>
        <v>0</v>
      </c>
      <c r="U1807" s="16">
        <f t="shared" si="57"/>
        <v>0</v>
      </c>
      <c r="V1807" s="133"/>
    </row>
    <row r="1808" spans="1:22" s="56" customFormat="1">
      <c r="A1808" s="58"/>
      <c r="B1808" s="36"/>
      <c r="C1808" s="58"/>
      <c r="D1808" s="57"/>
      <c r="E1808" s="57"/>
      <c r="F1808" s="41"/>
      <c r="G1808" s="41"/>
      <c r="H1808" s="41"/>
      <c r="I1808" s="57"/>
      <c r="J1808" s="36"/>
      <c r="K1808" s="57"/>
      <c r="L1808" s="57"/>
      <c r="M1808" s="57"/>
      <c r="N1808" s="42"/>
      <c r="O1808" s="57"/>
      <c r="P1808" s="43"/>
      <c r="Q1808" s="41"/>
      <c r="R1808" s="43"/>
      <c r="S1808" s="36"/>
      <c r="T1808" s="16">
        <f t="shared" si="56"/>
        <v>0</v>
      </c>
      <c r="U1808" s="16">
        <f t="shared" si="57"/>
        <v>0</v>
      </c>
      <c r="V1808" s="133"/>
    </row>
    <row r="1809" spans="1:22" s="56" customFormat="1">
      <c r="A1809" s="58"/>
      <c r="B1809" s="36"/>
      <c r="C1809" s="58"/>
      <c r="D1809" s="57"/>
      <c r="E1809" s="57"/>
      <c r="F1809" s="41"/>
      <c r="G1809" s="41"/>
      <c r="H1809" s="41"/>
      <c r="I1809" s="57"/>
      <c r="J1809" s="36"/>
      <c r="K1809" s="57"/>
      <c r="L1809" s="57"/>
      <c r="M1809" s="57"/>
      <c r="N1809" s="42"/>
      <c r="O1809" s="57"/>
      <c r="P1809" s="43"/>
      <c r="Q1809" s="41"/>
      <c r="R1809" s="43"/>
      <c r="S1809" s="36"/>
      <c r="T1809" s="16">
        <f t="shared" si="56"/>
        <v>0</v>
      </c>
      <c r="U1809" s="16">
        <f t="shared" si="57"/>
        <v>0</v>
      </c>
      <c r="V1809" s="133"/>
    </row>
    <row r="1810" spans="1:22" s="56" customFormat="1">
      <c r="A1810" s="58"/>
      <c r="B1810" s="36"/>
      <c r="C1810" s="58"/>
      <c r="D1810" s="57"/>
      <c r="E1810" s="57"/>
      <c r="F1810" s="41"/>
      <c r="G1810" s="41"/>
      <c r="H1810" s="41"/>
      <c r="I1810" s="57"/>
      <c r="J1810" s="36"/>
      <c r="K1810" s="57"/>
      <c r="L1810" s="57"/>
      <c r="M1810" s="57"/>
      <c r="N1810" s="42"/>
      <c r="O1810" s="57"/>
      <c r="P1810" s="43"/>
      <c r="Q1810" s="41"/>
      <c r="R1810" s="43"/>
      <c r="S1810" s="36"/>
      <c r="T1810" s="16">
        <f t="shared" si="56"/>
        <v>0</v>
      </c>
      <c r="U1810" s="16">
        <f t="shared" si="57"/>
        <v>0</v>
      </c>
      <c r="V1810" s="133"/>
    </row>
    <row r="1811" spans="1:22" s="56" customFormat="1">
      <c r="A1811" s="58"/>
      <c r="B1811" s="36"/>
      <c r="C1811" s="58"/>
      <c r="D1811" s="57"/>
      <c r="E1811" s="57"/>
      <c r="F1811" s="41"/>
      <c r="G1811" s="41"/>
      <c r="H1811" s="41"/>
      <c r="I1811" s="57"/>
      <c r="J1811" s="36"/>
      <c r="K1811" s="57"/>
      <c r="L1811" s="57"/>
      <c r="M1811" s="57"/>
      <c r="N1811" s="42"/>
      <c r="O1811" s="57"/>
      <c r="P1811" s="43"/>
      <c r="Q1811" s="41"/>
      <c r="R1811" s="43"/>
      <c r="S1811" s="36"/>
      <c r="T1811" s="16">
        <f t="shared" si="56"/>
        <v>0</v>
      </c>
      <c r="U1811" s="16">
        <f t="shared" si="57"/>
        <v>0</v>
      </c>
      <c r="V1811" s="133"/>
    </row>
    <row r="1812" spans="1:22" s="56" customFormat="1">
      <c r="A1812" s="58"/>
      <c r="B1812" s="36"/>
      <c r="C1812" s="58"/>
      <c r="D1812" s="57"/>
      <c r="E1812" s="57"/>
      <c r="F1812" s="41"/>
      <c r="G1812" s="41"/>
      <c r="H1812" s="41"/>
      <c r="I1812" s="57"/>
      <c r="J1812" s="36"/>
      <c r="K1812" s="57"/>
      <c r="L1812" s="57"/>
      <c r="M1812" s="57"/>
      <c r="N1812" s="42"/>
      <c r="O1812" s="57"/>
      <c r="P1812" s="43"/>
      <c r="Q1812" s="41"/>
      <c r="R1812" s="43"/>
      <c r="S1812" s="36"/>
      <c r="T1812" s="16">
        <f t="shared" si="56"/>
        <v>0</v>
      </c>
      <c r="U1812" s="16">
        <f t="shared" si="57"/>
        <v>0</v>
      </c>
      <c r="V1812" s="133"/>
    </row>
    <row r="1813" spans="1:22" s="56" customFormat="1">
      <c r="A1813" s="58"/>
      <c r="B1813" s="36"/>
      <c r="C1813" s="58"/>
      <c r="D1813" s="57"/>
      <c r="E1813" s="57"/>
      <c r="F1813" s="41"/>
      <c r="G1813" s="41"/>
      <c r="H1813" s="41"/>
      <c r="I1813" s="57"/>
      <c r="J1813" s="36"/>
      <c r="K1813" s="57"/>
      <c r="L1813" s="57"/>
      <c r="M1813" s="57"/>
      <c r="N1813" s="42"/>
      <c r="O1813" s="57"/>
      <c r="P1813" s="43"/>
      <c r="Q1813" s="41"/>
      <c r="R1813" s="43"/>
      <c r="S1813" s="36"/>
      <c r="T1813" s="16">
        <f t="shared" si="56"/>
        <v>0</v>
      </c>
      <c r="U1813" s="16">
        <f t="shared" si="57"/>
        <v>0</v>
      </c>
      <c r="V1813" s="133"/>
    </row>
    <row r="1814" spans="1:22" s="56" customFormat="1">
      <c r="A1814" s="58"/>
      <c r="B1814" s="36"/>
      <c r="C1814" s="58"/>
      <c r="D1814" s="57"/>
      <c r="E1814" s="57"/>
      <c r="F1814" s="41"/>
      <c r="G1814" s="41"/>
      <c r="H1814" s="41"/>
      <c r="I1814" s="57"/>
      <c r="J1814" s="36"/>
      <c r="K1814" s="57"/>
      <c r="L1814" s="57"/>
      <c r="M1814" s="57"/>
      <c r="N1814" s="42"/>
      <c r="O1814" s="57"/>
      <c r="P1814" s="43"/>
      <c r="Q1814" s="41"/>
      <c r="R1814" s="43"/>
      <c r="S1814" s="36"/>
      <c r="T1814" s="16">
        <f t="shared" si="56"/>
        <v>0</v>
      </c>
      <c r="U1814" s="16">
        <f t="shared" si="57"/>
        <v>0</v>
      </c>
      <c r="V1814" s="133"/>
    </row>
    <row r="1815" spans="1:22" s="56" customFormat="1">
      <c r="A1815" s="58"/>
      <c r="B1815" s="36"/>
      <c r="C1815" s="58"/>
      <c r="D1815" s="57"/>
      <c r="E1815" s="57"/>
      <c r="F1815" s="41"/>
      <c r="G1815" s="41"/>
      <c r="H1815" s="41"/>
      <c r="I1815" s="57"/>
      <c r="J1815" s="36"/>
      <c r="K1815" s="57"/>
      <c r="L1815" s="57"/>
      <c r="M1815" s="57"/>
      <c r="N1815" s="42"/>
      <c r="O1815" s="57"/>
      <c r="P1815" s="43"/>
      <c r="Q1815" s="41"/>
      <c r="R1815" s="43"/>
      <c r="S1815" s="36"/>
      <c r="T1815" s="16">
        <f t="shared" si="56"/>
        <v>0</v>
      </c>
      <c r="U1815" s="16">
        <f t="shared" si="57"/>
        <v>0</v>
      </c>
      <c r="V1815" s="133"/>
    </row>
    <row r="1816" spans="1:22" s="56" customFormat="1">
      <c r="A1816" s="58"/>
      <c r="B1816" s="36"/>
      <c r="C1816" s="58"/>
      <c r="D1816" s="57"/>
      <c r="E1816" s="57"/>
      <c r="F1816" s="41"/>
      <c r="G1816" s="41"/>
      <c r="H1816" s="41"/>
      <c r="I1816" s="57"/>
      <c r="J1816" s="36"/>
      <c r="K1816" s="57"/>
      <c r="L1816" s="57"/>
      <c r="M1816" s="57"/>
      <c r="N1816" s="42"/>
      <c r="O1816" s="57"/>
      <c r="P1816" s="43"/>
      <c r="Q1816" s="41"/>
      <c r="R1816" s="43"/>
      <c r="S1816" s="36"/>
      <c r="T1816" s="16">
        <f t="shared" si="56"/>
        <v>0</v>
      </c>
      <c r="U1816" s="16">
        <f t="shared" si="57"/>
        <v>0</v>
      </c>
      <c r="V1816" s="133"/>
    </row>
    <row r="1817" spans="1:22" s="56" customFormat="1">
      <c r="A1817" s="58"/>
      <c r="B1817" s="36"/>
      <c r="C1817" s="58"/>
      <c r="D1817" s="57"/>
      <c r="E1817" s="57"/>
      <c r="F1817" s="41"/>
      <c r="G1817" s="41"/>
      <c r="H1817" s="41"/>
      <c r="I1817" s="57"/>
      <c r="J1817" s="36"/>
      <c r="K1817" s="57"/>
      <c r="L1817" s="57"/>
      <c r="M1817" s="57"/>
      <c r="N1817" s="42"/>
      <c r="O1817" s="57"/>
      <c r="P1817" s="43"/>
      <c r="Q1817" s="41"/>
      <c r="R1817" s="43"/>
      <c r="S1817" s="36"/>
      <c r="T1817" s="16">
        <f t="shared" si="56"/>
        <v>0</v>
      </c>
      <c r="U1817" s="16">
        <f t="shared" si="57"/>
        <v>0</v>
      </c>
      <c r="V1817" s="133"/>
    </row>
    <row r="1818" spans="1:22" s="56" customFormat="1">
      <c r="A1818" s="58"/>
      <c r="B1818" s="36"/>
      <c r="C1818" s="58"/>
      <c r="D1818" s="57"/>
      <c r="E1818" s="57"/>
      <c r="F1818" s="41"/>
      <c r="G1818" s="41"/>
      <c r="H1818" s="41"/>
      <c r="I1818" s="57"/>
      <c r="J1818" s="36"/>
      <c r="K1818" s="57"/>
      <c r="L1818" s="57"/>
      <c r="M1818" s="57"/>
      <c r="N1818" s="42"/>
      <c r="O1818" s="57"/>
      <c r="P1818" s="43"/>
      <c r="Q1818" s="41"/>
      <c r="R1818" s="43"/>
      <c r="S1818" s="36"/>
      <c r="T1818" s="16">
        <f t="shared" si="56"/>
        <v>0</v>
      </c>
      <c r="U1818" s="16">
        <f t="shared" si="57"/>
        <v>0</v>
      </c>
      <c r="V1818" s="133"/>
    </row>
    <row r="1819" spans="1:22" s="56" customFormat="1">
      <c r="A1819" s="58"/>
      <c r="B1819" s="36"/>
      <c r="C1819" s="58"/>
      <c r="D1819" s="57"/>
      <c r="E1819" s="57"/>
      <c r="F1819" s="41"/>
      <c r="G1819" s="41"/>
      <c r="H1819" s="41"/>
      <c r="I1819" s="57"/>
      <c r="J1819" s="36"/>
      <c r="K1819" s="57"/>
      <c r="L1819" s="57"/>
      <c r="M1819" s="57"/>
      <c r="N1819" s="42"/>
      <c r="O1819" s="57"/>
      <c r="P1819" s="43"/>
      <c r="Q1819" s="41"/>
      <c r="R1819" s="43"/>
      <c r="S1819" s="36"/>
      <c r="T1819" s="16">
        <f t="shared" si="56"/>
        <v>0</v>
      </c>
      <c r="U1819" s="16">
        <f t="shared" si="57"/>
        <v>0</v>
      </c>
      <c r="V1819" s="133"/>
    </row>
    <row r="1820" spans="1:22" s="56" customFormat="1">
      <c r="A1820" s="58"/>
      <c r="B1820" s="36"/>
      <c r="C1820" s="58"/>
      <c r="D1820" s="57"/>
      <c r="E1820" s="57"/>
      <c r="F1820" s="41"/>
      <c r="G1820" s="41"/>
      <c r="H1820" s="41"/>
      <c r="I1820" s="57"/>
      <c r="J1820" s="36"/>
      <c r="K1820" s="57"/>
      <c r="L1820" s="57"/>
      <c r="M1820" s="57"/>
      <c r="N1820" s="42"/>
      <c r="O1820" s="57"/>
      <c r="P1820" s="43"/>
      <c r="Q1820" s="41"/>
      <c r="R1820" s="43"/>
      <c r="S1820" s="36"/>
      <c r="T1820" s="16">
        <f t="shared" si="56"/>
        <v>0</v>
      </c>
      <c r="U1820" s="16">
        <f t="shared" si="57"/>
        <v>0</v>
      </c>
      <c r="V1820" s="133"/>
    </row>
    <row r="1821" spans="1:22" s="56" customFormat="1">
      <c r="A1821" s="58"/>
      <c r="B1821" s="36"/>
      <c r="C1821" s="58"/>
      <c r="D1821" s="57"/>
      <c r="E1821" s="57"/>
      <c r="F1821" s="41"/>
      <c r="G1821" s="41"/>
      <c r="H1821" s="41"/>
      <c r="I1821" s="57"/>
      <c r="J1821" s="36"/>
      <c r="K1821" s="57"/>
      <c r="L1821" s="57"/>
      <c r="M1821" s="57"/>
      <c r="N1821" s="42"/>
      <c r="O1821" s="57"/>
      <c r="P1821" s="43"/>
      <c r="Q1821" s="41"/>
      <c r="R1821" s="43"/>
      <c r="S1821" s="36"/>
      <c r="T1821" s="16">
        <f t="shared" si="56"/>
        <v>0</v>
      </c>
      <c r="U1821" s="16">
        <f t="shared" si="57"/>
        <v>0</v>
      </c>
      <c r="V1821" s="133"/>
    </row>
    <row r="1822" spans="1:22" s="56" customFormat="1">
      <c r="A1822" s="58"/>
      <c r="B1822" s="36"/>
      <c r="C1822" s="58"/>
      <c r="D1822" s="57"/>
      <c r="E1822" s="57"/>
      <c r="F1822" s="41"/>
      <c r="G1822" s="41"/>
      <c r="H1822" s="41"/>
      <c r="I1822" s="57"/>
      <c r="J1822" s="36"/>
      <c r="K1822" s="57"/>
      <c r="L1822" s="57"/>
      <c r="M1822" s="57"/>
      <c r="N1822" s="42"/>
      <c r="O1822" s="57"/>
      <c r="P1822" s="43"/>
      <c r="Q1822" s="41"/>
      <c r="R1822" s="43"/>
      <c r="S1822" s="36"/>
      <c r="T1822" s="16">
        <f t="shared" si="56"/>
        <v>0</v>
      </c>
      <c r="U1822" s="16">
        <f t="shared" si="57"/>
        <v>0</v>
      </c>
      <c r="V1822" s="133"/>
    </row>
    <row r="1823" spans="1:22" s="56" customFormat="1">
      <c r="A1823" s="58"/>
      <c r="B1823" s="36"/>
      <c r="C1823" s="58"/>
      <c r="D1823" s="57"/>
      <c r="E1823" s="57"/>
      <c r="F1823" s="41"/>
      <c r="G1823" s="41"/>
      <c r="H1823" s="41"/>
      <c r="I1823" s="57"/>
      <c r="J1823" s="36"/>
      <c r="K1823" s="57"/>
      <c r="L1823" s="57"/>
      <c r="M1823" s="57"/>
      <c r="N1823" s="42"/>
      <c r="O1823" s="57"/>
      <c r="P1823" s="43"/>
      <c r="Q1823" s="41"/>
      <c r="R1823" s="43"/>
      <c r="S1823" s="36"/>
      <c r="T1823" s="16">
        <f t="shared" si="56"/>
        <v>0</v>
      </c>
      <c r="U1823" s="16">
        <f t="shared" si="57"/>
        <v>0</v>
      </c>
      <c r="V1823" s="133"/>
    </row>
    <row r="1824" spans="1:22" s="56" customFormat="1">
      <c r="A1824" s="58"/>
      <c r="B1824" s="36"/>
      <c r="C1824" s="58"/>
      <c r="D1824" s="57"/>
      <c r="E1824" s="57"/>
      <c r="F1824" s="41"/>
      <c r="G1824" s="41"/>
      <c r="H1824" s="41"/>
      <c r="I1824" s="57"/>
      <c r="J1824" s="36"/>
      <c r="K1824" s="57"/>
      <c r="L1824" s="57"/>
      <c r="M1824" s="57"/>
      <c r="N1824" s="42"/>
      <c r="O1824" s="57"/>
      <c r="P1824" s="43"/>
      <c r="Q1824" s="41"/>
      <c r="R1824" s="43"/>
      <c r="S1824" s="36"/>
      <c r="T1824" s="16">
        <f t="shared" si="56"/>
        <v>0</v>
      </c>
      <c r="U1824" s="16">
        <f t="shared" si="57"/>
        <v>0</v>
      </c>
      <c r="V1824" s="133"/>
    </row>
    <row r="1825" spans="1:22" s="56" customFormat="1">
      <c r="A1825" s="58"/>
      <c r="B1825" s="36"/>
      <c r="C1825" s="58"/>
      <c r="D1825" s="57"/>
      <c r="E1825" s="57"/>
      <c r="F1825" s="41"/>
      <c r="G1825" s="41"/>
      <c r="H1825" s="41"/>
      <c r="I1825" s="57"/>
      <c r="J1825" s="36"/>
      <c r="K1825" s="57"/>
      <c r="L1825" s="57"/>
      <c r="M1825" s="57"/>
      <c r="N1825" s="42"/>
      <c r="O1825" s="57"/>
      <c r="P1825" s="43"/>
      <c r="Q1825" s="41"/>
      <c r="R1825" s="43"/>
      <c r="S1825" s="36"/>
      <c r="T1825" s="16">
        <f t="shared" si="56"/>
        <v>0</v>
      </c>
      <c r="U1825" s="16">
        <f t="shared" si="57"/>
        <v>0</v>
      </c>
      <c r="V1825" s="133"/>
    </row>
    <row r="1826" spans="1:22" s="56" customFormat="1">
      <c r="A1826" s="58"/>
      <c r="B1826" s="36"/>
      <c r="C1826" s="58"/>
      <c r="D1826" s="57"/>
      <c r="E1826" s="57"/>
      <c r="F1826" s="41"/>
      <c r="G1826" s="41"/>
      <c r="H1826" s="41"/>
      <c r="I1826" s="57"/>
      <c r="J1826" s="36"/>
      <c r="K1826" s="57"/>
      <c r="L1826" s="57"/>
      <c r="M1826" s="57"/>
      <c r="N1826" s="42"/>
      <c r="O1826" s="57"/>
      <c r="P1826" s="43"/>
      <c r="Q1826" s="41"/>
      <c r="R1826" s="43"/>
      <c r="S1826" s="36"/>
      <c r="T1826" s="16">
        <f t="shared" si="56"/>
        <v>0</v>
      </c>
      <c r="U1826" s="16">
        <f t="shared" si="57"/>
        <v>0</v>
      </c>
      <c r="V1826" s="133"/>
    </row>
    <row r="1827" spans="1:22" s="56" customFormat="1">
      <c r="A1827" s="58"/>
      <c r="B1827" s="36"/>
      <c r="C1827" s="58"/>
      <c r="D1827" s="57"/>
      <c r="E1827" s="57"/>
      <c r="F1827" s="41"/>
      <c r="G1827" s="41"/>
      <c r="H1827" s="41"/>
      <c r="I1827" s="57"/>
      <c r="J1827" s="36"/>
      <c r="K1827" s="57"/>
      <c r="L1827" s="57"/>
      <c r="M1827" s="57"/>
      <c r="N1827" s="42"/>
      <c r="O1827" s="57"/>
      <c r="P1827" s="43"/>
      <c r="Q1827" s="41"/>
      <c r="R1827" s="43"/>
      <c r="S1827" s="36"/>
      <c r="T1827" s="16">
        <f t="shared" si="56"/>
        <v>0</v>
      </c>
      <c r="U1827" s="16">
        <f t="shared" si="57"/>
        <v>0</v>
      </c>
      <c r="V1827" s="133"/>
    </row>
    <row r="1828" spans="1:22" s="56" customFormat="1">
      <c r="A1828" s="58"/>
      <c r="B1828" s="36"/>
      <c r="C1828" s="58"/>
      <c r="D1828" s="57"/>
      <c r="E1828" s="57"/>
      <c r="F1828" s="41"/>
      <c r="G1828" s="41"/>
      <c r="H1828" s="41"/>
      <c r="I1828" s="57"/>
      <c r="J1828" s="36"/>
      <c r="K1828" s="57"/>
      <c r="L1828" s="57"/>
      <c r="M1828" s="57"/>
      <c r="N1828" s="42"/>
      <c r="O1828" s="57"/>
      <c r="P1828" s="43"/>
      <c r="Q1828" s="41"/>
      <c r="R1828" s="43"/>
      <c r="S1828" s="36"/>
      <c r="T1828" s="16">
        <f t="shared" si="56"/>
        <v>0</v>
      </c>
      <c r="U1828" s="16">
        <f t="shared" si="57"/>
        <v>0</v>
      </c>
      <c r="V1828" s="133"/>
    </row>
    <row r="1829" spans="1:22" s="56" customFormat="1">
      <c r="A1829" s="58"/>
      <c r="B1829" s="36"/>
      <c r="C1829" s="58"/>
      <c r="D1829" s="57"/>
      <c r="E1829" s="57"/>
      <c r="F1829" s="41"/>
      <c r="G1829" s="41"/>
      <c r="H1829" s="41"/>
      <c r="I1829" s="57"/>
      <c r="J1829" s="36"/>
      <c r="K1829" s="57"/>
      <c r="L1829" s="57"/>
      <c r="M1829" s="57"/>
      <c r="N1829" s="42"/>
      <c r="O1829" s="57"/>
      <c r="P1829" s="43"/>
      <c r="Q1829" s="41"/>
      <c r="R1829" s="43"/>
      <c r="S1829" s="36"/>
      <c r="T1829" s="16">
        <f t="shared" si="56"/>
        <v>0</v>
      </c>
      <c r="U1829" s="16">
        <f t="shared" si="57"/>
        <v>0</v>
      </c>
      <c r="V1829" s="133"/>
    </row>
    <row r="1830" spans="1:22" s="56" customFormat="1">
      <c r="A1830" s="58"/>
      <c r="B1830" s="36"/>
      <c r="C1830" s="58"/>
      <c r="D1830" s="57"/>
      <c r="E1830" s="57"/>
      <c r="F1830" s="41"/>
      <c r="G1830" s="41"/>
      <c r="H1830" s="41"/>
      <c r="I1830" s="57"/>
      <c r="J1830" s="36"/>
      <c r="K1830" s="57"/>
      <c r="L1830" s="57"/>
      <c r="M1830" s="57"/>
      <c r="N1830" s="42"/>
      <c r="O1830" s="57"/>
      <c r="P1830" s="43"/>
      <c r="Q1830" s="41"/>
      <c r="R1830" s="43"/>
      <c r="S1830" s="36"/>
      <c r="T1830" s="16">
        <f t="shared" si="56"/>
        <v>0</v>
      </c>
      <c r="U1830" s="16">
        <f t="shared" si="57"/>
        <v>0</v>
      </c>
      <c r="V1830" s="133"/>
    </row>
    <row r="1831" spans="1:22" s="56" customFormat="1">
      <c r="A1831" s="58"/>
      <c r="B1831" s="36"/>
      <c r="C1831" s="58"/>
      <c r="D1831" s="57"/>
      <c r="E1831" s="57"/>
      <c r="F1831" s="41"/>
      <c r="G1831" s="41"/>
      <c r="H1831" s="41"/>
      <c r="I1831" s="57"/>
      <c r="J1831" s="36"/>
      <c r="K1831" s="57"/>
      <c r="L1831" s="57"/>
      <c r="M1831" s="57"/>
      <c r="N1831" s="42"/>
      <c r="O1831" s="57"/>
      <c r="P1831" s="43"/>
      <c r="Q1831" s="41"/>
      <c r="R1831" s="43"/>
      <c r="S1831" s="36"/>
      <c r="T1831" s="16">
        <f t="shared" si="56"/>
        <v>0</v>
      </c>
      <c r="U1831" s="16">
        <f t="shared" si="57"/>
        <v>0</v>
      </c>
      <c r="V1831" s="133"/>
    </row>
    <row r="1832" spans="1:22" s="56" customFormat="1">
      <c r="A1832" s="58"/>
      <c r="B1832" s="36"/>
      <c r="C1832" s="58"/>
      <c r="D1832" s="57"/>
      <c r="E1832" s="57"/>
      <c r="F1832" s="41"/>
      <c r="G1832" s="41"/>
      <c r="H1832" s="41"/>
      <c r="I1832" s="57"/>
      <c r="J1832" s="36"/>
      <c r="K1832" s="57"/>
      <c r="L1832" s="57"/>
      <c r="M1832" s="57"/>
      <c r="N1832" s="42"/>
      <c r="O1832" s="57"/>
      <c r="P1832" s="43"/>
      <c r="Q1832" s="41"/>
      <c r="R1832" s="43"/>
      <c r="S1832" s="36"/>
      <c r="T1832" s="16">
        <f t="shared" si="56"/>
        <v>0</v>
      </c>
      <c r="U1832" s="16">
        <f t="shared" si="57"/>
        <v>0</v>
      </c>
      <c r="V1832" s="133"/>
    </row>
    <row r="1833" spans="1:22" s="56" customFormat="1">
      <c r="A1833" s="58"/>
      <c r="B1833" s="36"/>
      <c r="C1833" s="58"/>
      <c r="D1833" s="57"/>
      <c r="E1833" s="57"/>
      <c r="F1833" s="41"/>
      <c r="G1833" s="41"/>
      <c r="H1833" s="41"/>
      <c r="I1833" s="57"/>
      <c r="J1833" s="36"/>
      <c r="K1833" s="57"/>
      <c r="L1833" s="57"/>
      <c r="M1833" s="57"/>
      <c r="N1833" s="42"/>
      <c r="O1833" s="57"/>
      <c r="P1833" s="43"/>
      <c r="Q1833" s="41"/>
      <c r="R1833" s="43"/>
      <c r="S1833" s="36"/>
      <c r="T1833" s="16">
        <f t="shared" si="56"/>
        <v>0</v>
      </c>
      <c r="U1833" s="16">
        <f t="shared" si="57"/>
        <v>0</v>
      </c>
      <c r="V1833" s="133"/>
    </row>
    <row r="1834" spans="1:22" s="56" customFormat="1">
      <c r="A1834" s="58"/>
      <c r="B1834" s="36"/>
      <c r="C1834" s="58"/>
      <c r="D1834" s="57"/>
      <c r="E1834" s="57"/>
      <c r="F1834" s="41"/>
      <c r="G1834" s="41"/>
      <c r="H1834" s="41"/>
      <c r="I1834" s="57"/>
      <c r="J1834" s="36"/>
      <c r="K1834" s="57"/>
      <c r="L1834" s="57"/>
      <c r="M1834" s="57"/>
      <c r="N1834" s="42"/>
      <c r="O1834" s="57"/>
      <c r="P1834" s="43"/>
      <c r="Q1834" s="41"/>
      <c r="R1834" s="43"/>
      <c r="S1834" s="36"/>
      <c r="T1834" s="16">
        <f t="shared" si="56"/>
        <v>0</v>
      </c>
      <c r="U1834" s="16">
        <f t="shared" si="57"/>
        <v>0</v>
      </c>
      <c r="V1834" s="133"/>
    </row>
    <row r="1835" spans="1:22" s="56" customFormat="1">
      <c r="A1835" s="58"/>
      <c r="B1835" s="36"/>
      <c r="C1835" s="58"/>
      <c r="D1835" s="57"/>
      <c r="E1835" s="57"/>
      <c r="F1835" s="41"/>
      <c r="G1835" s="41"/>
      <c r="H1835" s="41"/>
      <c r="I1835" s="57"/>
      <c r="J1835" s="36"/>
      <c r="K1835" s="57"/>
      <c r="L1835" s="57"/>
      <c r="M1835" s="57"/>
      <c r="N1835" s="42"/>
      <c r="O1835" s="57"/>
      <c r="P1835" s="43"/>
      <c r="Q1835" s="41"/>
      <c r="R1835" s="43"/>
      <c r="S1835" s="36"/>
      <c r="T1835" s="16">
        <f t="shared" si="56"/>
        <v>0</v>
      </c>
      <c r="U1835" s="16">
        <f t="shared" si="57"/>
        <v>0</v>
      </c>
      <c r="V1835" s="133"/>
    </row>
    <row r="1836" spans="1:22" s="56" customFormat="1">
      <c r="A1836" s="58"/>
      <c r="B1836" s="36"/>
      <c r="C1836" s="58"/>
      <c r="D1836" s="57"/>
      <c r="E1836" s="57"/>
      <c r="F1836" s="41"/>
      <c r="G1836" s="41"/>
      <c r="H1836" s="41"/>
      <c r="I1836" s="57"/>
      <c r="J1836" s="36"/>
      <c r="K1836" s="57"/>
      <c r="L1836" s="57"/>
      <c r="M1836" s="57"/>
      <c r="N1836" s="42"/>
      <c r="O1836" s="57"/>
      <c r="P1836" s="43"/>
      <c r="Q1836" s="41"/>
      <c r="R1836" s="43"/>
      <c r="S1836" s="36"/>
      <c r="T1836" s="16">
        <f t="shared" si="56"/>
        <v>0</v>
      </c>
      <c r="U1836" s="16">
        <f t="shared" si="57"/>
        <v>0</v>
      </c>
      <c r="V1836" s="133"/>
    </row>
    <row r="1837" spans="1:22" s="56" customFormat="1">
      <c r="A1837" s="58"/>
      <c r="B1837" s="36"/>
      <c r="C1837" s="58"/>
      <c r="D1837" s="57"/>
      <c r="E1837" s="57"/>
      <c r="F1837" s="41"/>
      <c r="G1837" s="41"/>
      <c r="H1837" s="41"/>
      <c r="I1837" s="57"/>
      <c r="J1837" s="36"/>
      <c r="K1837" s="57"/>
      <c r="L1837" s="57"/>
      <c r="M1837" s="57"/>
      <c r="N1837" s="42"/>
      <c r="O1837" s="57"/>
      <c r="P1837" s="43"/>
      <c r="Q1837" s="41"/>
      <c r="R1837" s="43"/>
      <c r="S1837" s="36"/>
      <c r="T1837" s="16">
        <f t="shared" si="56"/>
        <v>0</v>
      </c>
      <c r="U1837" s="16">
        <f t="shared" si="57"/>
        <v>0</v>
      </c>
      <c r="V1837" s="133"/>
    </row>
    <row r="1838" spans="1:22" s="56" customFormat="1">
      <c r="A1838" s="58"/>
      <c r="B1838" s="36"/>
      <c r="C1838" s="58"/>
      <c r="D1838" s="57"/>
      <c r="E1838" s="57"/>
      <c r="F1838" s="41"/>
      <c r="G1838" s="41"/>
      <c r="H1838" s="41"/>
      <c r="I1838" s="57"/>
      <c r="J1838" s="36"/>
      <c r="K1838" s="57"/>
      <c r="L1838" s="57"/>
      <c r="M1838" s="57"/>
      <c r="N1838" s="42"/>
      <c r="O1838" s="57"/>
      <c r="P1838" s="43"/>
      <c r="Q1838" s="41"/>
      <c r="R1838" s="43"/>
      <c r="S1838" s="36"/>
      <c r="T1838" s="16">
        <f t="shared" si="56"/>
        <v>0</v>
      </c>
      <c r="U1838" s="16">
        <f t="shared" si="57"/>
        <v>0</v>
      </c>
      <c r="V1838" s="133"/>
    </row>
    <row r="1839" spans="1:22" s="56" customFormat="1">
      <c r="A1839" s="58"/>
      <c r="B1839" s="36"/>
      <c r="C1839" s="58"/>
      <c r="D1839" s="57"/>
      <c r="E1839" s="57"/>
      <c r="F1839" s="41"/>
      <c r="G1839" s="41"/>
      <c r="H1839" s="41"/>
      <c r="I1839" s="57"/>
      <c r="J1839" s="36"/>
      <c r="K1839" s="57"/>
      <c r="L1839" s="57"/>
      <c r="M1839" s="57"/>
      <c r="N1839" s="42"/>
      <c r="O1839" s="57"/>
      <c r="P1839" s="43"/>
      <c r="Q1839" s="41"/>
      <c r="R1839" s="43"/>
      <c r="S1839" s="36"/>
      <c r="T1839" s="16">
        <f t="shared" si="56"/>
        <v>0</v>
      </c>
      <c r="U1839" s="16">
        <f t="shared" si="57"/>
        <v>0</v>
      </c>
      <c r="V1839" s="133"/>
    </row>
    <row r="1840" spans="1:22" s="56" customFormat="1">
      <c r="A1840" s="58"/>
      <c r="B1840" s="36"/>
      <c r="C1840" s="58"/>
      <c r="D1840" s="57"/>
      <c r="E1840" s="57"/>
      <c r="F1840" s="41"/>
      <c r="G1840" s="41"/>
      <c r="H1840" s="41"/>
      <c r="I1840" s="57"/>
      <c r="J1840" s="36"/>
      <c r="K1840" s="57"/>
      <c r="L1840" s="57"/>
      <c r="M1840" s="57"/>
      <c r="N1840" s="42"/>
      <c r="O1840" s="57"/>
      <c r="P1840" s="43"/>
      <c r="Q1840" s="41"/>
      <c r="R1840" s="43"/>
      <c r="S1840" s="36"/>
      <c r="T1840" s="16">
        <f t="shared" si="56"/>
        <v>0</v>
      </c>
      <c r="U1840" s="16">
        <f t="shared" si="57"/>
        <v>0</v>
      </c>
      <c r="V1840" s="133"/>
    </row>
    <row r="1841" spans="1:22" s="56" customFormat="1">
      <c r="A1841" s="58"/>
      <c r="B1841" s="36"/>
      <c r="C1841" s="58"/>
      <c r="D1841" s="57"/>
      <c r="E1841" s="57"/>
      <c r="F1841" s="41"/>
      <c r="G1841" s="41"/>
      <c r="H1841" s="41"/>
      <c r="I1841" s="57"/>
      <c r="J1841" s="36"/>
      <c r="K1841" s="57"/>
      <c r="L1841" s="57"/>
      <c r="M1841" s="57"/>
      <c r="N1841" s="42"/>
      <c r="O1841" s="57"/>
      <c r="P1841" s="43"/>
      <c r="Q1841" s="41"/>
      <c r="R1841" s="43"/>
      <c r="S1841" s="36"/>
      <c r="T1841" s="16">
        <f t="shared" si="56"/>
        <v>0</v>
      </c>
      <c r="U1841" s="16">
        <f t="shared" si="57"/>
        <v>0</v>
      </c>
      <c r="V1841" s="133"/>
    </row>
    <row r="1842" spans="1:22" s="56" customFormat="1">
      <c r="A1842" s="58"/>
      <c r="B1842" s="36"/>
      <c r="C1842" s="58"/>
      <c r="D1842" s="57"/>
      <c r="E1842" s="57"/>
      <c r="F1842" s="41"/>
      <c r="G1842" s="41"/>
      <c r="H1842" s="41"/>
      <c r="I1842" s="57"/>
      <c r="J1842" s="36"/>
      <c r="K1842" s="57"/>
      <c r="L1842" s="57"/>
      <c r="M1842" s="57"/>
      <c r="N1842" s="42"/>
      <c r="O1842" s="57"/>
      <c r="P1842" s="43"/>
      <c r="Q1842" s="41"/>
      <c r="R1842" s="43"/>
      <c r="S1842" s="36"/>
      <c r="T1842" s="16">
        <f t="shared" si="56"/>
        <v>0</v>
      </c>
      <c r="U1842" s="16">
        <f t="shared" si="57"/>
        <v>0</v>
      </c>
      <c r="V1842" s="133"/>
    </row>
    <row r="1843" spans="1:22" s="56" customFormat="1">
      <c r="A1843" s="58"/>
      <c r="B1843" s="36"/>
      <c r="C1843" s="58"/>
      <c r="D1843" s="57"/>
      <c r="E1843" s="57"/>
      <c r="F1843" s="41"/>
      <c r="G1843" s="41"/>
      <c r="H1843" s="41"/>
      <c r="I1843" s="57"/>
      <c r="J1843" s="36"/>
      <c r="K1843" s="57"/>
      <c r="L1843" s="57"/>
      <c r="M1843" s="57"/>
      <c r="N1843" s="42"/>
      <c r="O1843" s="57"/>
      <c r="P1843" s="43"/>
      <c r="Q1843" s="41"/>
      <c r="R1843" s="43"/>
      <c r="S1843" s="36"/>
      <c r="T1843" s="16">
        <f t="shared" si="56"/>
        <v>0</v>
      </c>
      <c r="U1843" s="16">
        <f t="shared" si="57"/>
        <v>0</v>
      </c>
      <c r="V1843" s="133"/>
    </row>
    <row r="1844" spans="1:22" s="56" customFormat="1">
      <c r="A1844" s="58"/>
      <c r="B1844" s="36"/>
      <c r="C1844" s="58"/>
      <c r="D1844" s="57"/>
      <c r="E1844" s="57"/>
      <c r="F1844" s="41"/>
      <c r="G1844" s="41"/>
      <c r="H1844" s="41"/>
      <c r="I1844" s="57"/>
      <c r="J1844" s="36"/>
      <c r="K1844" s="57"/>
      <c r="L1844" s="57"/>
      <c r="M1844" s="57"/>
      <c r="N1844" s="42"/>
      <c r="O1844" s="57"/>
      <c r="P1844" s="43"/>
      <c r="Q1844" s="41"/>
      <c r="R1844" s="43"/>
      <c r="S1844" s="36"/>
      <c r="T1844" s="16">
        <f t="shared" si="56"/>
        <v>0</v>
      </c>
      <c r="U1844" s="16">
        <f t="shared" si="57"/>
        <v>0</v>
      </c>
      <c r="V1844" s="133"/>
    </row>
    <row r="1845" spans="1:22" s="56" customFormat="1">
      <c r="A1845" s="58"/>
      <c r="B1845" s="36"/>
      <c r="C1845" s="58"/>
      <c r="D1845" s="57"/>
      <c r="E1845" s="57"/>
      <c r="F1845" s="41"/>
      <c r="G1845" s="41"/>
      <c r="H1845" s="41"/>
      <c r="I1845" s="57"/>
      <c r="J1845" s="36"/>
      <c r="K1845" s="57"/>
      <c r="L1845" s="57"/>
      <c r="M1845" s="57"/>
      <c r="N1845" s="42"/>
      <c r="O1845" s="57"/>
      <c r="P1845" s="43"/>
      <c r="Q1845" s="41"/>
      <c r="R1845" s="43"/>
      <c r="S1845" s="36"/>
      <c r="T1845" s="16">
        <f t="shared" si="56"/>
        <v>0</v>
      </c>
      <c r="U1845" s="16">
        <f t="shared" si="57"/>
        <v>0</v>
      </c>
      <c r="V1845" s="133"/>
    </row>
    <row r="1846" spans="1:22" s="56" customFormat="1">
      <c r="A1846" s="58"/>
      <c r="B1846" s="36"/>
      <c r="C1846" s="58"/>
      <c r="D1846" s="57"/>
      <c r="E1846" s="57"/>
      <c r="F1846" s="41"/>
      <c r="G1846" s="41"/>
      <c r="H1846" s="41"/>
      <c r="I1846" s="57"/>
      <c r="J1846" s="36"/>
      <c r="K1846" s="57"/>
      <c r="L1846" s="57"/>
      <c r="M1846" s="57"/>
      <c r="N1846" s="42"/>
      <c r="O1846" s="57"/>
      <c r="P1846" s="43"/>
      <c r="Q1846" s="41"/>
      <c r="R1846" s="43"/>
      <c r="S1846" s="36"/>
      <c r="T1846" s="16">
        <f t="shared" si="56"/>
        <v>0</v>
      </c>
      <c r="U1846" s="16">
        <f t="shared" si="57"/>
        <v>0</v>
      </c>
      <c r="V1846" s="133"/>
    </row>
    <row r="1847" spans="1:22" s="56" customFormat="1">
      <c r="A1847" s="58"/>
      <c r="B1847" s="36"/>
      <c r="C1847" s="58"/>
      <c r="D1847" s="57"/>
      <c r="E1847" s="57"/>
      <c r="F1847" s="41"/>
      <c r="G1847" s="41"/>
      <c r="H1847" s="41"/>
      <c r="I1847" s="57"/>
      <c r="J1847" s="36"/>
      <c r="K1847" s="57"/>
      <c r="L1847" s="57"/>
      <c r="M1847" s="57"/>
      <c r="N1847" s="42"/>
      <c r="O1847" s="57"/>
      <c r="P1847" s="43"/>
      <c r="Q1847" s="41"/>
      <c r="R1847" s="43"/>
      <c r="S1847" s="36"/>
      <c r="T1847" s="16">
        <f t="shared" si="56"/>
        <v>0</v>
      </c>
      <c r="U1847" s="16">
        <f t="shared" si="57"/>
        <v>0</v>
      </c>
      <c r="V1847" s="133"/>
    </row>
    <row r="1848" spans="1:22" s="56" customFormat="1">
      <c r="A1848" s="58"/>
      <c r="B1848" s="36"/>
      <c r="C1848" s="58"/>
      <c r="D1848" s="57"/>
      <c r="E1848" s="57"/>
      <c r="F1848" s="41"/>
      <c r="G1848" s="41"/>
      <c r="H1848" s="41"/>
      <c r="I1848" s="57"/>
      <c r="J1848" s="36"/>
      <c r="K1848" s="57"/>
      <c r="L1848" s="57"/>
      <c r="M1848" s="57"/>
      <c r="N1848" s="42"/>
      <c r="O1848" s="57"/>
      <c r="P1848" s="43"/>
      <c r="Q1848" s="41"/>
      <c r="R1848" s="43"/>
      <c r="S1848" s="36"/>
      <c r="T1848" s="16">
        <f t="shared" si="56"/>
        <v>0</v>
      </c>
      <c r="U1848" s="16">
        <f t="shared" si="57"/>
        <v>0</v>
      </c>
      <c r="V1848" s="133"/>
    </row>
    <row r="1849" spans="1:22" s="56" customFormat="1">
      <c r="A1849" s="58"/>
      <c r="B1849" s="36"/>
      <c r="C1849" s="58"/>
      <c r="D1849" s="57"/>
      <c r="E1849" s="57"/>
      <c r="F1849" s="41"/>
      <c r="G1849" s="41"/>
      <c r="H1849" s="41"/>
      <c r="I1849" s="57"/>
      <c r="J1849" s="36"/>
      <c r="K1849" s="57"/>
      <c r="L1849" s="57"/>
      <c r="M1849" s="57"/>
      <c r="N1849" s="42"/>
      <c r="O1849" s="57"/>
      <c r="P1849" s="43"/>
      <c r="Q1849" s="41"/>
      <c r="R1849" s="43"/>
      <c r="S1849" s="36"/>
      <c r="T1849" s="16">
        <f t="shared" si="56"/>
        <v>0</v>
      </c>
      <c r="U1849" s="16">
        <f t="shared" si="57"/>
        <v>0</v>
      </c>
      <c r="V1849" s="133"/>
    </row>
    <row r="1850" spans="1:22" s="56" customFormat="1">
      <c r="A1850" s="58"/>
      <c r="B1850" s="36"/>
      <c r="C1850" s="58"/>
      <c r="D1850" s="57"/>
      <c r="E1850" s="57"/>
      <c r="F1850" s="41"/>
      <c r="G1850" s="41"/>
      <c r="H1850" s="41"/>
      <c r="I1850" s="57"/>
      <c r="J1850" s="36"/>
      <c r="K1850" s="57"/>
      <c r="L1850" s="57"/>
      <c r="M1850" s="57"/>
      <c r="N1850" s="42"/>
      <c r="O1850" s="57"/>
      <c r="P1850" s="43"/>
      <c r="Q1850" s="41"/>
      <c r="R1850" s="43"/>
      <c r="S1850" s="36"/>
      <c r="T1850" s="16">
        <f t="shared" si="56"/>
        <v>0</v>
      </c>
      <c r="U1850" s="16">
        <f t="shared" si="57"/>
        <v>0</v>
      </c>
      <c r="V1850" s="133"/>
    </row>
    <row r="1851" spans="1:22" s="56" customFormat="1">
      <c r="A1851" s="58"/>
      <c r="B1851" s="36"/>
      <c r="C1851" s="58"/>
      <c r="D1851" s="57"/>
      <c r="E1851" s="57"/>
      <c r="F1851" s="41"/>
      <c r="G1851" s="41"/>
      <c r="H1851" s="41"/>
      <c r="I1851" s="57"/>
      <c r="J1851" s="36"/>
      <c r="K1851" s="57"/>
      <c r="L1851" s="57"/>
      <c r="M1851" s="57"/>
      <c r="N1851" s="42"/>
      <c r="O1851" s="57"/>
      <c r="P1851" s="43"/>
      <c r="Q1851" s="41"/>
      <c r="R1851" s="43"/>
      <c r="S1851" s="36"/>
      <c r="T1851" s="16">
        <f t="shared" si="56"/>
        <v>0</v>
      </c>
      <c r="U1851" s="16">
        <f t="shared" si="57"/>
        <v>0</v>
      </c>
      <c r="V1851" s="133"/>
    </row>
    <row r="1852" spans="1:22" s="56" customFormat="1">
      <c r="A1852" s="58"/>
      <c r="B1852" s="36"/>
      <c r="C1852" s="58"/>
      <c r="D1852" s="57"/>
      <c r="E1852" s="57"/>
      <c r="F1852" s="41"/>
      <c r="G1852" s="41"/>
      <c r="H1852" s="41"/>
      <c r="I1852" s="57"/>
      <c r="J1852" s="36"/>
      <c r="K1852" s="57"/>
      <c r="L1852" s="57"/>
      <c r="M1852" s="57"/>
      <c r="N1852" s="42"/>
      <c r="O1852" s="57"/>
      <c r="P1852" s="43"/>
      <c r="Q1852" s="41"/>
      <c r="R1852" s="43"/>
      <c r="S1852" s="36"/>
      <c r="T1852" s="16">
        <f t="shared" si="56"/>
        <v>0</v>
      </c>
      <c r="U1852" s="16">
        <f t="shared" si="57"/>
        <v>0</v>
      </c>
      <c r="V1852" s="133"/>
    </row>
    <row r="1853" spans="1:22" s="56" customFormat="1">
      <c r="A1853" s="58"/>
      <c r="B1853" s="36"/>
      <c r="C1853" s="58"/>
      <c r="D1853" s="57"/>
      <c r="E1853" s="57"/>
      <c r="F1853" s="41"/>
      <c r="G1853" s="41"/>
      <c r="H1853" s="41"/>
      <c r="I1853" s="57"/>
      <c r="J1853" s="36"/>
      <c r="K1853" s="57"/>
      <c r="L1853" s="57"/>
      <c r="M1853" s="57"/>
      <c r="N1853" s="42"/>
      <c r="O1853" s="57"/>
      <c r="P1853" s="43"/>
      <c r="Q1853" s="41"/>
      <c r="R1853" s="43"/>
      <c r="S1853" s="36"/>
      <c r="T1853" s="16">
        <f t="shared" si="56"/>
        <v>0</v>
      </c>
      <c r="U1853" s="16">
        <f t="shared" si="57"/>
        <v>0</v>
      </c>
      <c r="V1853" s="133"/>
    </row>
    <row r="1854" spans="1:22" s="56" customFormat="1">
      <c r="A1854" s="58"/>
      <c r="B1854" s="36"/>
      <c r="C1854" s="58"/>
      <c r="D1854" s="57"/>
      <c r="E1854" s="57"/>
      <c r="F1854" s="41"/>
      <c r="G1854" s="41"/>
      <c r="H1854" s="41"/>
      <c r="I1854" s="57"/>
      <c r="J1854" s="36"/>
      <c r="K1854" s="57"/>
      <c r="L1854" s="57"/>
      <c r="M1854" s="57"/>
      <c r="N1854" s="42"/>
      <c r="O1854" s="57"/>
      <c r="P1854" s="43"/>
      <c r="Q1854" s="41"/>
      <c r="R1854" s="43"/>
      <c r="S1854" s="36"/>
      <c r="T1854" s="16">
        <f t="shared" si="56"/>
        <v>0</v>
      </c>
      <c r="U1854" s="16">
        <f t="shared" si="57"/>
        <v>0</v>
      </c>
      <c r="V1854" s="133"/>
    </row>
    <row r="1855" spans="1:22" s="56" customFormat="1">
      <c r="A1855" s="58"/>
      <c r="B1855" s="36"/>
      <c r="C1855" s="58"/>
      <c r="D1855" s="57"/>
      <c r="E1855" s="57"/>
      <c r="F1855" s="41"/>
      <c r="G1855" s="41"/>
      <c r="H1855" s="41"/>
      <c r="I1855" s="57"/>
      <c r="J1855" s="36"/>
      <c r="K1855" s="57"/>
      <c r="L1855" s="57"/>
      <c r="M1855" s="57"/>
      <c r="N1855" s="42"/>
      <c r="O1855" s="57"/>
      <c r="P1855" s="43"/>
      <c r="Q1855" s="41"/>
      <c r="R1855" s="43"/>
      <c r="S1855" s="36"/>
      <c r="T1855" s="16">
        <f t="shared" si="56"/>
        <v>0</v>
      </c>
      <c r="U1855" s="16">
        <f t="shared" si="57"/>
        <v>0</v>
      </c>
      <c r="V1855" s="133"/>
    </row>
    <row r="1856" spans="1:22" s="56" customFormat="1">
      <c r="A1856" s="58"/>
      <c r="B1856" s="36"/>
      <c r="C1856" s="58"/>
      <c r="D1856" s="57"/>
      <c r="E1856" s="57"/>
      <c r="F1856" s="41"/>
      <c r="G1856" s="41"/>
      <c r="H1856" s="41"/>
      <c r="I1856" s="57"/>
      <c r="J1856" s="36"/>
      <c r="K1856" s="57"/>
      <c r="L1856" s="57"/>
      <c r="M1856" s="57"/>
      <c r="N1856" s="42"/>
      <c r="O1856" s="57"/>
      <c r="P1856" s="43"/>
      <c r="Q1856" s="41"/>
      <c r="R1856" s="43"/>
      <c r="S1856" s="36"/>
      <c r="T1856" s="16">
        <f t="shared" si="56"/>
        <v>0</v>
      </c>
      <c r="U1856" s="16">
        <f t="shared" si="57"/>
        <v>0</v>
      </c>
      <c r="V1856" s="133"/>
    </row>
    <row r="1857" spans="1:22" s="56" customFormat="1">
      <c r="A1857" s="58"/>
      <c r="B1857" s="36"/>
      <c r="C1857" s="58"/>
      <c r="D1857" s="57"/>
      <c r="E1857" s="57"/>
      <c r="F1857" s="41"/>
      <c r="G1857" s="41"/>
      <c r="H1857" s="41"/>
      <c r="I1857" s="57"/>
      <c r="J1857" s="36"/>
      <c r="K1857" s="57"/>
      <c r="L1857" s="57"/>
      <c r="M1857" s="57"/>
      <c r="N1857" s="42"/>
      <c r="O1857" s="57"/>
      <c r="P1857" s="43"/>
      <c r="Q1857" s="41"/>
      <c r="R1857" s="43"/>
      <c r="S1857" s="36"/>
      <c r="T1857" s="16">
        <f t="shared" si="56"/>
        <v>0</v>
      </c>
      <c r="U1857" s="16">
        <f t="shared" si="57"/>
        <v>0</v>
      </c>
      <c r="V1857" s="133"/>
    </row>
    <row r="1858" spans="1:22" s="56" customFormat="1">
      <c r="A1858" s="58"/>
      <c r="B1858" s="36"/>
      <c r="C1858" s="58"/>
      <c r="D1858" s="57"/>
      <c r="E1858" s="57"/>
      <c r="F1858" s="41"/>
      <c r="G1858" s="41"/>
      <c r="H1858" s="41"/>
      <c r="I1858" s="57"/>
      <c r="J1858" s="36"/>
      <c r="K1858" s="57"/>
      <c r="L1858" s="57"/>
      <c r="M1858" s="57"/>
      <c r="N1858" s="42"/>
      <c r="O1858" s="57"/>
      <c r="P1858" s="43"/>
      <c r="Q1858" s="41"/>
      <c r="R1858" s="43"/>
      <c r="S1858" s="36"/>
      <c r="T1858" s="16">
        <f t="shared" si="56"/>
        <v>0</v>
      </c>
      <c r="U1858" s="16">
        <f t="shared" si="57"/>
        <v>0</v>
      </c>
      <c r="V1858" s="133"/>
    </row>
    <row r="1859" spans="1:22" s="56" customFormat="1">
      <c r="A1859" s="58"/>
      <c r="B1859" s="36"/>
      <c r="C1859" s="58"/>
      <c r="D1859" s="57"/>
      <c r="E1859" s="57"/>
      <c r="F1859" s="41"/>
      <c r="G1859" s="41"/>
      <c r="H1859" s="41"/>
      <c r="I1859" s="57"/>
      <c r="J1859" s="36"/>
      <c r="K1859" s="57"/>
      <c r="L1859" s="57"/>
      <c r="M1859" s="57"/>
      <c r="N1859" s="42"/>
      <c r="O1859" s="57"/>
      <c r="P1859" s="43"/>
      <c r="Q1859" s="41"/>
      <c r="R1859" s="43"/>
      <c r="S1859" s="36"/>
      <c r="T1859" s="16">
        <f t="shared" si="56"/>
        <v>0</v>
      </c>
      <c r="U1859" s="16">
        <f t="shared" si="57"/>
        <v>0</v>
      </c>
      <c r="V1859" s="133"/>
    </row>
    <row r="1860" spans="1:22" s="56" customFormat="1">
      <c r="A1860" s="58"/>
      <c r="B1860" s="36"/>
      <c r="C1860" s="58"/>
      <c r="D1860" s="57"/>
      <c r="E1860" s="57"/>
      <c r="F1860" s="41"/>
      <c r="G1860" s="41"/>
      <c r="H1860" s="41"/>
      <c r="I1860" s="57"/>
      <c r="J1860" s="36"/>
      <c r="K1860" s="57"/>
      <c r="L1860" s="57"/>
      <c r="M1860" s="57"/>
      <c r="N1860" s="42"/>
      <c r="O1860" s="57"/>
      <c r="P1860" s="43"/>
      <c r="Q1860" s="41"/>
      <c r="R1860" s="43"/>
      <c r="S1860" s="36"/>
      <c r="T1860" s="16">
        <f t="shared" si="56"/>
        <v>0</v>
      </c>
      <c r="U1860" s="16">
        <f t="shared" si="57"/>
        <v>0</v>
      </c>
      <c r="V1860" s="133"/>
    </row>
    <row r="1861" spans="1:22" s="56" customFormat="1">
      <c r="A1861" s="58"/>
      <c r="B1861" s="36"/>
      <c r="C1861" s="58"/>
      <c r="D1861" s="57"/>
      <c r="E1861" s="57"/>
      <c r="F1861" s="41"/>
      <c r="G1861" s="41"/>
      <c r="H1861" s="41"/>
      <c r="I1861" s="57"/>
      <c r="J1861" s="36"/>
      <c r="K1861" s="57"/>
      <c r="L1861" s="57"/>
      <c r="M1861" s="57"/>
      <c r="N1861" s="42"/>
      <c r="O1861" s="57"/>
      <c r="P1861" s="43"/>
      <c r="Q1861" s="41"/>
      <c r="R1861" s="43"/>
      <c r="S1861" s="36"/>
      <c r="T1861" s="16">
        <f t="shared" ref="T1861:T1924" si="58">IF(OR($J1861="Accepted",ISBLANK($J1861)),IF(AND($G1861="Legacy Data",$Q1861="Legacy Data"),1,IF(OR($G1861="Legacy Data",$Q1861="Legacy Data"),1,0)),IF(OR($N1861="Agree with original translator",ISBLANK($N1861)),IF(AND($G1861="Source Text Data",$Q1861="Legacy Data"),1,IF(AND($G1861="Legacy Data",$Q1861="Legacy Data"),1,IF($Q1861="Legacy Data",1,0))),IF(AND($G1861="Legacy Data",$Q1861="Legacy Data"),1,IF(OR($Q1861="Legacy Data",ISBLANK($Q1861)),IF($G1861&lt;&gt;"Legacy Data",IF(AND($G1861="Source Text Data",$Q1861="Legacy Data"),1,0),1),0))))</f>
        <v>0</v>
      </c>
      <c r="U1861" s="16">
        <f t="shared" ref="U1861:U1924" si="59">IF(OR($J1861="Accepted",ISBLANK($J1861)),IF(AND($G1861="Source Text Data",$Q1861="Source Text Data"),1,IF(OR($G1861="Source Text Data",$Q1861="Source Text Data"),1,0)),IF(OR($N1861="Agree with original translator",ISBLANK($N1861)),IF(AND($G1861="Legacy Data",$Q1861="Source Text Data"),1,IF(AND($G1861="Source Text Data",$Q1861="Source Text Data"),1,IF($Q1861="Source Text Data",1,0))),IF(AND($G1861="Source Text Data",$Q1861="Source Text Data"),1,IF(OR($Q1861="Source Text Data",ISBLANK($Q1861)),IF($G1861&lt;&gt;"Source Text Data",IF(AND($G1861="Legacy Data",$Q1861="Source Text Data"),1,0),1),0))))</f>
        <v>0</v>
      </c>
      <c r="V1861" s="133"/>
    </row>
    <row r="1862" spans="1:22" s="56" customFormat="1">
      <c r="A1862" s="58"/>
      <c r="B1862" s="36"/>
      <c r="C1862" s="58"/>
      <c r="D1862" s="57"/>
      <c r="E1862" s="57"/>
      <c r="F1862" s="41"/>
      <c r="G1862" s="41"/>
      <c r="H1862" s="41"/>
      <c r="I1862" s="57"/>
      <c r="J1862" s="36"/>
      <c r="K1862" s="57"/>
      <c r="L1862" s="57"/>
      <c r="M1862" s="57"/>
      <c r="N1862" s="42"/>
      <c r="O1862" s="57"/>
      <c r="P1862" s="43"/>
      <c r="Q1862" s="41"/>
      <c r="R1862" s="43"/>
      <c r="S1862" s="36"/>
      <c r="T1862" s="16">
        <f t="shared" si="58"/>
        <v>0</v>
      </c>
      <c r="U1862" s="16">
        <f t="shared" si="59"/>
        <v>0</v>
      </c>
      <c r="V1862" s="133"/>
    </row>
    <row r="1863" spans="1:22" s="56" customFormat="1">
      <c r="A1863" s="58"/>
      <c r="B1863" s="36"/>
      <c r="C1863" s="58"/>
      <c r="D1863" s="57"/>
      <c r="E1863" s="57"/>
      <c r="F1863" s="41"/>
      <c r="G1863" s="41"/>
      <c r="H1863" s="41"/>
      <c r="I1863" s="57"/>
      <c r="J1863" s="36"/>
      <c r="K1863" s="57"/>
      <c r="L1863" s="57"/>
      <c r="M1863" s="57"/>
      <c r="N1863" s="42"/>
      <c r="O1863" s="57"/>
      <c r="P1863" s="43"/>
      <c r="Q1863" s="41"/>
      <c r="R1863" s="43"/>
      <c r="S1863" s="36"/>
      <c r="T1863" s="16">
        <f t="shared" si="58"/>
        <v>0</v>
      </c>
      <c r="U1863" s="16">
        <f t="shared" si="59"/>
        <v>0</v>
      </c>
      <c r="V1863" s="133"/>
    </row>
    <row r="1864" spans="1:22" s="56" customFormat="1">
      <c r="A1864" s="58"/>
      <c r="B1864" s="36"/>
      <c r="C1864" s="58"/>
      <c r="D1864" s="57"/>
      <c r="E1864" s="57"/>
      <c r="F1864" s="41"/>
      <c r="G1864" s="41"/>
      <c r="H1864" s="41"/>
      <c r="I1864" s="57"/>
      <c r="J1864" s="36"/>
      <c r="K1864" s="57"/>
      <c r="L1864" s="57"/>
      <c r="M1864" s="57"/>
      <c r="N1864" s="42"/>
      <c r="O1864" s="57"/>
      <c r="P1864" s="43"/>
      <c r="Q1864" s="41"/>
      <c r="R1864" s="43"/>
      <c r="S1864" s="36"/>
      <c r="T1864" s="16">
        <f t="shared" si="58"/>
        <v>0</v>
      </c>
      <c r="U1864" s="16">
        <f t="shared" si="59"/>
        <v>0</v>
      </c>
      <c r="V1864" s="133"/>
    </row>
    <row r="1865" spans="1:22" s="56" customFormat="1">
      <c r="A1865" s="58"/>
      <c r="B1865" s="36"/>
      <c r="C1865" s="58"/>
      <c r="D1865" s="57"/>
      <c r="E1865" s="57"/>
      <c r="F1865" s="41"/>
      <c r="G1865" s="41"/>
      <c r="H1865" s="41"/>
      <c r="I1865" s="57"/>
      <c r="J1865" s="36"/>
      <c r="K1865" s="57"/>
      <c r="L1865" s="57"/>
      <c r="M1865" s="57"/>
      <c r="N1865" s="42"/>
      <c r="O1865" s="57"/>
      <c r="P1865" s="43"/>
      <c r="Q1865" s="41"/>
      <c r="R1865" s="43"/>
      <c r="S1865" s="36"/>
      <c r="T1865" s="16">
        <f t="shared" si="58"/>
        <v>0</v>
      </c>
      <c r="U1865" s="16">
        <f t="shared" si="59"/>
        <v>0</v>
      </c>
      <c r="V1865" s="133"/>
    </row>
    <row r="1866" spans="1:22" s="56" customFormat="1">
      <c r="A1866" s="58"/>
      <c r="B1866" s="36"/>
      <c r="C1866" s="58"/>
      <c r="D1866" s="57"/>
      <c r="E1866" s="57"/>
      <c r="F1866" s="41"/>
      <c r="G1866" s="41"/>
      <c r="H1866" s="41"/>
      <c r="I1866" s="57"/>
      <c r="J1866" s="36"/>
      <c r="K1866" s="57"/>
      <c r="L1866" s="57"/>
      <c r="M1866" s="57"/>
      <c r="N1866" s="42"/>
      <c r="O1866" s="57"/>
      <c r="P1866" s="43"/>
      <c r="Q1866" s="41"/>
      <c r="R1866" s="43"/>
      <c r="S1866" s="36"/>
      <c r="T1866" s="16">
        <f t="shared" si="58"/>
        <v>0</v>
      </c>
      <c r="U1866" s="16">
        <f t="shared" si="59"/>
        <v>0</v>
      </c>
      <c r="V1866" s="133"/>
    </row>
    <row r="1867" spans="1:22" s="56" customFormat="1">
      <c r="A1867" s="58"/>
      <c r="B1867" s="36"/>
      <c r="C1867" s="58"/>
      <c r="D1867" s="57"/>
      <c r="E1867" s="57"/>
      <c r="F1867" s="41"/>
      <c r="G1867" s="41"/>
      <c r="H1867" s="41"/>
      <c r="I1867" s="57"/>
      <c r="J1867" s="36"/>
      <c r="K1867" s="57"/>
      <c r="L1867" s="57"/>
      <c r="M1867" s="57"/>
      <c r="N1867" s="42"/>
      <c r="O1867" s="57"/>
      <c r="P1867" s="43"/>
      <c r="Q1867" s="41"/>
      <c r="R1867" s="43"/>
      <c r="S1867" s="36"/>
      <c r="T1867" s="16">
        <f t="shared" si="58"/>
        <v>0</v>
      </c>
      <c r="U1867" s="16">
        <f t="shared" si="59"/>
        <v>0</v>
      </c>
      <c r="V1867" s="133"/>
    </row>
    <row r="1868" spans="1:22" s="56" customFormat="1">
      <c r="A1868" s="58"/>
      <c r="B1868" s="36"/>
      <c r="C1868" s="58"/>
      <c r="D1868" s="57"/>
      <c r="E1868" s="57"/>
      <c r="F1868" s="41"/>
      <c r="G1868" s="41"/>
      <c r="H1868" s="41"/>
      <c r="I1868" s="57"/>
      <c r="J1868" s="36"/>
      <c r="K1868" s="57"/>
      <c r="L1868" s="57"/>
      <c r="M1868" s="57"/>
      <c r="N1868" s="42"/>
      <c r="O1868" s="57"/>
      <c r="P1868" s="43"/>
      <c r="Q1868" s="41"/>
      <c r="R1868" s="43"/>
      <c r="S1868" s="36"/>
      <c r="T1868" s="16">
        <f t="shared" si="58"/>
        <v>0</v>
      </c>
      <c r="U1868" s="16">
        <f t="shared" si="59"/>
        <v>0</v>
      </c>
      <c r="V1868" s="133"/>
    </row>
    <row r="1869" spans="1:22" s="56" customFormat="1">
      <c r="A1869" s="58"/>
      <c r="B1869" s="36"/>
      <c r="C1869" s="58"/>
      <c r="D1869" s="57"/>
      <c r="E1869" s="57"/>
      <c r="F1869" s="41"/>
      <c r="G1869" s="41"/>
      <c r="H1869" s="41"/>
      <c r="I1869" s="57"/>
      <c r="J1869" s="36"/>
      <c r="K1869" s="57"/>
      <c r="L1869" s="57"/>
      <c r="M1869" s="57"/>
      <c r="N1869" s="42"/>
      <c r="O1869" s="57"/>
      <c r="P1869" s="43"/>
      <c r="Q1869" s="41"/>
      <c r="R1869" s="43"/>
      <c r="S1869" s="36"/>
      <c r="T1869" s="16">
        <f t="shared" si="58"/>
        <v>0</v>
      </c>
      <c r="U1869" s="16">
        <f t="shared" si="59"/>
        <v>0</v>
      </c>
      <c r="V1869" s="133"/>
    </row>
    <row r="1870" spans="1:22" s="56" customFormat="1">
      <c r="A1870" s="58"/>
      <c r="B1870" s="36"/>
      <c r="C1870" s="58"/>
      <c r="D1870" s="57"/>
      <c r="E1870" s="57"/>
      <c r="F1870" s="41"/>
      <c r="G1870" s="41"/>
      <c r="H1870" s="41"/>
      <c r="I1870" s="57"/>
      <c r="J1870" s="36"/>
      <c r="K1870" s="57"/>
      <c r="L1870" s="57"/>
      <c r="M1870" s="57"/>
      <c r="N1870" s="42"/>
      <c r="O1870" s="57"/>
      <c r="P1870" s="43"/>
      <c r="Q1870" s="41"/>
      <c r="R1870" s="43"/>
      <c r="S1870" s="36"/>
      <c r="T1870" s="16">
        <f t="shared" si="58"/>
        <v>0</v>
      </c>
      <c r="U1870" s="16">
        <f t="shared" si="59"/>
        <v>0</v>
      </c>
      <c r="V1870" s="133"/>
    </row>
    <row r="1871" spans="1:22" s="56" customFormat="1">
      <c r="A1871" s="58"/>
      <c r="B1871" s="36"/>
      <c r="C1871" s="58"/>
      <c r="D1871" s="57"/>
      <c r="E1871" s="57"/>
      <c r="F1871" s="41"/>
      <c r="G1871" s="41"/>
      <c r="H1871" s="41"/>
      <c r="I1871" s="57"/>
      <c r="J1871" s="36"/>
      <c r="K1871" s="57"/>
      <c r="L1871" s="57"/>
      <c r="M1871" s="57"/>
      <c r="N1871" s="42"/>
      <c r="O1871" s="57"/>
      <c r="P1871" s="43"/>
      <c r="Q1871" s="41"/>
      <c r="R1871" s="43"/>
      <c r="S1871" s="36"/>
      <c r="T1871" s="16">
        <f t="shared" si="58"/>
        <v>0</v>
      </c>
      <c r="U1871" s="16">
        <f t="shared" si="59"/>
        <v>0</v>
      </c>
      <c r="V1871" s="133"/>
    </row>
    <row r="1872" spans="1:22" s="56" customFormat="1">
      <c r="A1872" s="58"/>
      <c r="B1872" s="36"/>
      <c r="C1872" s="58"/>
      <c r="D1872" s="57"/>
      <c r="E1872" s="57"/>
      <c r="F1872" s="41"/>
      <c r="G1872" s="41"/>
      <c r="H1872" s="41"/>
      <c r="I1872" s="57"/>
      <c r="J1872" s="36"/>
      <c r="K1872" s="57"/>
      <c r="L1872" s="57"/>
      <c r="M1872" s="57"/>
      <c r="N1872" s="42"/>
      <c r="O1872" s="57"/>
      <c r="P1872" s="43"/>
      <c r="Q1872" s="41"/>
      <c r="R1872" s="43"/>
      <c r="S1872" s="36"/>
      <c r="T1872" s="16">
        <f t="shared" si="58"/>
        <v>0</v>
      </c>
      <c r="U1872" s="16">
        <f t="shared" si="59"/>
        <v>0</v>
      </c>
      <c r="V1872" s="133"/>
    </row>
    <row r="1873" spans="1:22" s="56" customFormat="1">
      <c r="A1873" s="58"/>
      <c r="B1873" s="36"/>
      <c r="C1873" s="58"/>
      <c r="D1873" s="57"/>
      <c r="E1873" s="57"/>
      <c r="F1873" s="41"/>
      <c r="G1873" s="41"/>
      <c r="H1873" s="41"/>
      <c r="I1873" s="57"/>
      <c r="J1873" s="36"/>
      <c r="K1873" s="57"/>
      <c r="L1873" s="57"/>
      <c r="M1873" s="57"/>
      <c r="N1873" s="42"/>
      <c r="O1873" s="57"/>
      <c r="P1873" s="43"/>
      <c r="Q1873" s="41"/>
      <c r="R1873" s="43"/>
      <c r="S1873" s="36"/>
      <c r="T1873" s="16">
        <f t="shared" si="58"/>
        <v>0</v>
      </c>
      <c r="U1873" s="16">
        <f t="shared" si="59"/>
        <v>0</v>
      </c>
      <c r="V1873" s="133"/>
    </row>
    <row r="1874" spans="1:22" s="56" customFormat="1">
      <c r="A1874" s="58"/>
      <c r="B1874" s="36"/>
      <c r="C1874" s="58"/>
      <c r="D1874" s="57"/>
      <c r="E1874" s="57"/>
      <c r="F1874" s="41"/>
      <c r="G1874" s="41"/>
      <c r="H1874" s="41"/>
      <c r="I1874" s="57"/>
      <c r="J1874" s="36"/>
      <c r="K1874" s="57"/>
      <c r="L1874" s="57"/>
      <c r="M1874" s="57"/>
      <c r="N1874" s="42"/>
      <c r="O1874" s="57"/>
      <c r="P1874" s="43"/>
      <c r="Q1874" s="41"/>
      <c r="R1874" s="43"/>
      <c r="S1874" s="36"/>
      <c r="T1874" s="16">
        <f t="shared" si="58"/>
        <v>0</v>
      </c>
      <c r="U1874" s="16">
        <f t="shared" si="59"/>
        <v>0</v>
      </c>
      <c r="V1874" s="133"/>
    </row>
    <row r="1875" spans="1:22" s="56" customFormat="1">
      <c r="A1875" s="58"/>
      <c r="B1875" s="36"/>
      <c r="C1875" s="58"/>
      <c r="D1875" s="57"/>
      <c r="E1875" s="57"/>
      <c r="F1875" s="41"/>
      <c r="G1875" s="41"/>
      <c r="H1875" s="41"/>
      <c r="I1875" s="57"/>
      <c r="J1875" s="36"/>
      <c r="K1875" s="57"/>
      <c r="L1875" s="57"/>
      <c r="M1875" s="57"/>
      <c r="N1875" s="42"/>
      <c r="O1875" s="57"/>
      <c r="P1875" s="43"/>
      <c r="Q1875" s="41"/>
      <c r="R1875" s="43"/>
      <c r="S1875" s="36"/>
      <c r="T1875" s="16">
        <f t="shared" si="58"/>
        <v>0</v>
      </c>
      <c r="U1875" s="16">
        <f t="shared" si="59"/>
        <v>0</v>
      </c>
      <c r="V1875" s="133"/>
    </row>
    <row r="1876" spans="1:22" s="56" customFormat="1">
      <c r="A1876" s="58"/>
      <c r="B1876" s="36"/>
      <c r="C1876" s="58"/>
      <c r="D1876" s="57"/>
      <c r="E1876" s="57"/>
      <c r="F1876" s="41"/>
      <c r="G1876" s="41"/>
      <c r="H1876" s="41"/>
      <c r="I1876" s="57"/>
      <c r="J1876" s="36"/>
      <c r="K1876" s="57"/>
      <c r="L1876" s="57"/>
      <c r="M1876" s="57"/>
      <c r="N1876" s="42"/>
      <c r="O1876" s="57"/>
      <c r="P1876" s="43"/>
      <c r="Q1876" s="41"/>
      <c r="R1876" s="43"/>
      <c r="S1876" s="36"/>
      <c r="T1876" s="16">
        <f t="shared" si="58"/>
        <v>0</v>
      </c>
      <c r="U1876" s="16">
        <f t="shared" si="59"/>
        <v>0</v>
      </c>
      <c r="V1876" s="133"/>
    </row>
    <row r="1877" spans="1:22" s="56" customFormat="1">
      <c r="A1877" s="58"/>
      <c r="B1877" s="36"/>
      <c r="C1877" s="58"/>
      <c r="D1877" s="57"/>
      <c r="E1877" s="57"/>
      <c r="F1877" s="41"/>
      <c r="G1877" s="41"/>
      <c r="H1877" s="41"/>
      <c r="I1877" s="57"/>
      <c r="J1877" s="36"/>
      <c r="K1877" s="57"/>
      <c r="L1877" s="57"/>
      <c r="M1877" s="57"/>
      <c r="N1877" s="42"/>
      <c r="O1877" s="57"/>
      <c r="P1877" s="43"/>
      <c r="Q1877" s="41"/>
      <c r="R1877" s="43"/>
      <c r="S1877" s="36"/>
      <c r="T1877" s="16">
        <f t="shared" si="58"/>
        <v>0</v>
      </c>
      <c r="U1877" s="16">
        <f t="shared" si="59"/>
        <v>0</v>
      </c>
      <c r="V1877" s="133"/>
    </row>
    <row r="1878" spans="1:22" s="56" customFormat="1">
      <c r="A1878" s="58"/>
      <c r="B1878" s="36"/>
      <c r="C1878" s="58"/>
      <c r="D1878" s="57"/>
      <c r="E1878" s="57"/>
      <c r="F1878" s="41"/>
      <c r="G1878" s="41"/>
      <c r="H1878" s="41"/>
      <c r="I1878" s="57"/>
      <c r="J1878" s="36"/>
      <c r="K1878" s="57"/>
      <c r="L1878" s="57"/>
      <c r="M1878" s="57"/>
      <c r="N1878" s="42"/>
      <c r="O1878" s="57"/>
      <c r="P1878" s="43"/>
      <c r="Q1878" s="41"/>
      <c r="R1878" s="43"/>
      <c r="S1878" s="36"/>
      <c r="T1878" s="16">
        <f t="shared" si="58"/>
        <v>0</v>
      </c>
      <c r="U1878" s="16">
        <f t="shared" si="59"/>
        <v>0</v>
      </c>
      <c r="V1878" s="133"/>
    </row>
    <row r="1879" spans="1:22" s="56" customFormat="1">
      <c r="A1879" s="58"/>
      <c r="B1879" s="36"/>
      <c r="C1879" s="58"/>
      <c r="D1879" s="57"/>
      <c r="E1879" s="57"/>
      <c r="F1879" s="41"/>
      <c r="G1879" s="41"/>
      <c r="H1879" s="41"/>
      <c r="I1879" s="57"/>
      <c r="J1879" s="36"/>
      <c r="K1879" s="57"/>
      <c r="L1879" s="57"/>
      <c r="M1879" s="57"/>
      <c r="N1879" s="42"/>
      <c r="O1879" s="57"/>
      <c r="P1879" s="43"/>
      <c r="Q1879" s="41"/>
      <c r="R1879" s="43"/>
      <c r="S1879" s="36"/>
      <c r="T1879" s="16">
        <f t="shared" si="58"/>
        <v>0</v>
      </c>
      <c r="U1879" s="16">
        <f t="shared" si="59"/>
        <v>0</v>
      </c>
      <c r="V1879" s="133"/>
    </row>
    <row r="1880" spans="1:22" s="56" customFormat="1">
      <c r="A1880" s="58"/>
      <c r="B1880" s="36"/>
      <c r="C1880" s="58"/>
      <c r="D1880" s="57"/>
      <c r="E1880" s="57"/>
      <c r="F1880" s="41"/>
      <c r="G1880" s="41"/>
      <c r="H1880" s="41"/>
      <c r="I1880" s="57"/>
      <c r="J1880" s="36"/>
      <c r="K1880" s="57"/>
      <c r="L1880" s="57"/>
      <c r="M1880" s="57"/>
      <c r="N1880" s="42"/>
      <c r="O1880" s="57"/>
      <c r="P1880" s="43"/>
      <c r="Q1880" s="41"/>
      <c r="R1880" s="43"/>
      <c r="S1880" s="36"/>
      <c r="T1880" s="16">
        <f t="shared" si="58"/>
        <v>0</v>
      </c>
      <c r="U1880" s="16">
        <f t="shared" si="59"/>
        <v>0</v>
      </c>
      <c r="V1880" s="133"/>
    </row>
    <row r="1881" spans="1:22" s="56" customFormat="1">
      <c r="A1881" s="58"/>
      <c r="B1881" s="36"/>
      <c r="C1881" s="58"/>
      <c r="D1881" s="57"/>
      <c r="E1881" s="57"/>
      <c r="F1881" s="41"/>
      <c r="G1881" s="41"/>
      <c r="H1881" s="41"/>
      <c r="I1881" s="57"/>
      <c r="J1881" s="36"/>
      <c r="K1881" s="57"/>
      <c r="L1881" s="57"/>
      <c r="M1881" s="57"/>
      <c r="N1881" s="42"/>
      <c r="O1881" s="57"/>
      <c r="P1881" s="43"/>
      <c r="Q1881" s="41"/>
      <c r="R1881" s="43"/>
      <c r="S1881" s="36"/>
      <c r="T1881" s="16">
        <f t="shared" si="58"/>
        <v>0</v>
      </c>
      <c r="U1881" s="16">
        <f t="shared" si="59"/>
        <v>0</v>
      </c>
      <c r="V1881" s="133"/>
    </row>
    <row r="1882" spans="1:22" s="56" customFormat="1">
      <c r="A1882" s="58"/>
      <c r="B1882" s="36"/>
      <c r="C1882" s="58"/>
      <c r="D1882" s="57"/>
      <c r="E1882" s="57"/>
      <c r="F1882" s="41"/>
      <c r="G1882" s="41"/>
      <c r="H1882" s="41"/>
      <c r="I1882" s="57"/>
      <c r="J1882" s="36"/>
      <c r="K1882" s="57"/>
      <c r="L1882" s="57"/>
      <c r="M1882" s="57"/>
      <c r="N1882" s="42"/>
      <c r="O1882" s="57"/>
      <c r="P1882" s="43"/>
      <c r="Q1882" s="41"/>
      <c r="R1882" s="43"/>
      <c r="S1882" s="36"/>
      <c r="T1882" s="16">
        <f t="shared" si="58"/>
        <v>0</v>
      </c>
      <c r="U1882" s="16">
        <f t="shared" si="59"/>
        <v>0</v>
      </c>
      <c r="V1882" s="133"/>
    </row>
    <row r="1883" spans="1:22" s="56" customFormat="1">
      <c r="A1883" s="58"/>
      <c r="B1883" s="36"/>
      <c r="C1883" s="58"/>
      <c r="D1883" s="57"/>
      <c r="E1883" s="57"/>
      <c r="F1883" s="41"/>
      <c r="G1883" s="41"/>
      <c r="H1883" s="41"/>
      <c r="I1883" s="57"/>
      <c r="J1883" s="36"/>
      <c r="K1883" s="57"/>
      <c r="L1883" s="57"/>
      <c r="M1883" s="57"/>
      <c r="N1883" s="42"/>
      <c r="O1883" s="57"/>
      <c r="P1883" s="43"/>
      <c r="Q1883" s="41"/>
      <c r="R1883" s="43"/>
      <c r="S1883" s="36"/>
      <c r="T1883" s="16">
        <f t="shared" si="58"/>
        <v>0</v>
      </c>
      <c r="U1883" s="16">
        <f t="shared" si="59"/>
        <v>0</v>
      </c>
      <c r="V1883" s="133"/>
    </row>
    <row r="1884" spans="1:22" s="56" customFormat="1">
      <c r="A1884" s="58"/>
      <c r="B1884" s="36"/>
      <c r="C1884" s="58"/>
      <c r="D1884" s="57"/>
      <c r="E1884" s="57"/>
      <c r="F1884" s="41"/>
      <c r="G1884" s="41"/>
      <c r="H1884" s="41"/>
      <c r="I1884" s="57"/>
      <c r="J1884" s="36"/>
      <c r="K1884" s="57"/>
      <c r="L1884" s="57"/>
      <c r="M1884" s="57"/>
      <c r="N1884" s="42"/>
      <c r="O1884" s="57"/>
      <c r="P1884" s="43"/>
      <c r="Q1884" s="41"/>
      <c r="R1884" s="43"/>
      <c r="S1884" s="36"/>
      <c r="T1884" s="16">
        <f t="shared" si="58"/>
        <v>0</v>
      </c>
      <c r="U1884" s="16">
        <f t="shared" si="59"/>
        <v>0</v>
      </c>
      <c r="V1884" s="133"/>
    </row>
    <row r="1885" spans="1:22" s="56" customFormat="1">
      <c r="A1885" s="58"/>
      <c r="B1885" s="36"/>
      <c r="C1885" s="58"/>
      <c r="D1885" s="57"/>
      <c r="E1885" s="57"/>
      <c r="F1885" s="41"/>
      <c r="G1885" s="41"/>
      <c r="H1885" s="41"/>
      <c r="I1885" s="57"/>
      <c r="J1885" s="36"/>
      <c r="K1885" s="57"/>
      <c r="L1885" s="57"/>
      <c r="M1885" s="57"/>
      <c r="N1885" s="42"/>
      <c r="O1885" s="57"/>
      <c r="P1885" s="43"/>
      <c r="Q1885" s="41"/>
      <c r="R1885" s="43"/>
      <c r="S1885" s="36"/>
      <c r="T1885" s="16">
        <f t="shared" si="58"/>
        <v>0</v>
      </c>
      <c r="U1885" s="16">
        <f t="shared" si="59"/>
        <v>0</v>
      </c>
      <c r="V1885" s="133"/>
    </row>
    <row r="1886" spans="1:22" s="56" customFormat="1">
      <c r="A1886" s="58"/>
      <c r="B1886" s="36"/>
      <c r="C1886" s="58"/>
      <c r="D1886" s="57"/>
      <c r="E1886" s="57"/>
      <c r="F1886" s="41"/>
      <c r="G1886" s="41"/>
      <c r="H1886" s="41"/>
      <c r="I1886" s="57"/>
      <c r="J1886" s="36"/>
      <c r="K1886" s="57"/>
      <c r="L1886" s="57"/>
      <c r="M1886" s="57"/>
      <c r="N1886" s="42"/>
      <c r="O1886" s="57"/>
      <c r="P1886" s="43"/>
      <c r="Q1886" s="41"/>
      <c r="R1886" s="43"/>
      <c r="S1886" s="36"/>
      <c r="T1886" s="16">
        <f t="shared" si="58"/>
        <v>0</v>
      </c>
      <c r="U1886" s="16">
        <f t="shared" si="59"/>
        <v>0</v>
      </c>
      <c r="V1886" s="133"/>
    </row>
    <row r="1887" spans="1:22" s="56" customFormat="1">
      <c r="A1887" s="58"/>
      <c r="B1887" s="36"/>
      <c r="C1887" s="58"/>
      <c r="D1887" s="57"/>
      <c r="E1887" s="57"/>
      <c r="F1887" s="41"/>
      <c r="G1887" s="41"/>
      <c r="H1887" s="41"/>
      <c r="I1887" s="57"/>
      <c r="J1887" s="36"/>
      <c r="K1887" s="57"/>
      <c r="L1887" s="57"/>
      <c r="M1887" s="57"/>
      <c r="N1887" s="42"/>
      <c r="O1887" s="57"/>
      <c r="P1887" s="43"/>
      <c r="Q1887" s="41"/>
      <c r="R1887" s="43"/>
      <c r="S1887" s="36"/>
      <c r="T1887" s="16">
        <f t="shared" si="58"/>
        <v>0</v>
      </c>
      <c r="U1887" s="16">
        <f t="shared" si="59"/>
        <v>0</v>
      </c>
      <c r="V1887" s="133"/>
    </row>
    <row r="1888" spans="1:22" s="56" customFormat="1">
      <c r="A1888" s="58"/>
      <c r="B1888" s="36"/>
      <c r="C1888" s="58"/>
      <c r="D1888" s="57"/>
      <c r="E1888" s="57"/>
      <c r="F1888" s="41"/>
      <c r="G1888" s="41"/>
      <c r="H1888" s="41"/>
      <c r="I1888" s="57"/>
      <c r="J1888" s="36"/>
      <c r="K1888" s="57"/>
      <c r="L1888" s="57"/>
      <c r="M1888" s="57"/>
      <c r="N1888" s="42"/>
      <c r="O1888" s="57"/>
      <c r="P1888" s="43"/>
      <c r="Q1888" s="41"/>
      <c r="R1888" s="43"/>
      <c r="S1888" s="36"/>
      <c r="T1888" s="16">
        <f t="shared" si="58"/>
        <v>0</v>
      </c>
      <c r="U1888" s="16">
        <f t="shared" si="59"/>
        <v>0</v>
      </c>
      <c r="V1888" s="133"/>
    </row>
    <row r="1889" spans="1:22" s="56" customFormat="1">
      <c r="A1889" s="58"/>
      <c r="B1889" s="36"/>
      <c r="C1889" s="58"/>
      <c r="D1889" s="57"/>
      <c r="E1889" s="57"/>
      <c r="F1889" s="41"/>
      <c r="G1889" s="41"/>
      <c r="H1889" s="41"/>
      <c r="I1889" s="57"/>
      <c r="J1889" s="36"/>
      <c r="K1889" s="57"/>
      <c r="L1889" s="57"/>
      <c r="M1889" s="57"/>
      <c r="N1889" s="42"/>
      <c r="O1889" s="57"/>
      <c r="P1889" s="43"/>
      <c r="Q1889" s="41"/>
      <c r="R1889" s="43"/>
      <c r="S1889" s="36"/>
      <c r="T1889" s="16">
        <f t="shared" si="58"/>
        <v>0</v>
      </c>
      <c r="U1889" s="16">
        <f t="shared" si="59"/>
        <v>0</v>
      </c>
      <c r="V1889" s="133"/>
    </row>
    <row r="1890" spans="1:22" s="56" customFormat="1">
      <c r="A1890" s="58"/>
      <c r="B1890" s="36"/>
      <c r="C1890" s="58"/>
      <c r="D1890" s="57"/>
      <c r="E1890" s="57"/>
      <c r="F1890" s="41"/>
      <c r="G1890" s="41"/>
      <c r="H1890" s="41"/>
      <c r="I1890" s="57"/>
      <c r="J1890" s="36"/>
      <c r="K1890" s="57"/>
      <c r="L1890" s="57"/>
      <c r="M1890" s="57"/>
      <c r="N1890" s="42"/>
      <c r="O1890" s="57"/>
      <c r="P1890" s="43"/>
      <c r="Q1890" s="41"/>
      <c r="R1890" s="43"/>
      <c r="S1890" s="36"/>
      <c r="T1890" s="16">
        <f t="shared" si="58"/>
        <v>0</v>
      </c>
      <c r="U1890" s="16">
        <f t="shared" si="59"/>
        <v>0</v>
      </c>
      <c r="V1890" s="133"/>
    </row>
    <row r="1891" spans="1:22" s="56" customFormat="1">
      <c r="A1891" s="58"/>
      <c r="B1891" s="36"/>
      <c r="C1891" s="58"/>
      <c r="D1891" s="57"/>
      <c r="E1891" s="57"/>
      <c r="F1891" s="41"/>
      <c r="G1891" s="41"/>
      <c r="H1891" s="41"/>
      <c r="I1891" s="57"/>
      <c r="J1891" s="36"/>
      <c r="K1891" s="57"/>
      <c r="L1891" s="57"/>
      <c r="M1891" s="57"/>
      <c r="N1891" s="42"/>
      <c r="O1891" s="57"/>
      <c r="P1891" s="43"/>
      <c r="Q1891" s="41"/>
      <c r="R1891" s="43"/>
      <c r="S1891" s="36"/>
      <c r="T1891" s="16">
        <f t="shared" si="58"/>
        <v>0</v>
      </c>
      <c r="U1891" s="16">
        <f t="shared" si="59"/>
        <v>0</v>
      </c>
      <c r="V1891" s="133"/>
    </row>
    <row r="1892" spans="1:22" s="56" customFormat="1">
      <c r="A1892" s="58"/>
      <c r="B1892" s="36"/>
      <c r="C1892" s="58"/>
      <c r="D1892" s="57"/>
      <c r="E1892" s="57"/>
      <c r="F1892" s="41"/>
      <c r="G1892" s="41"/>
      <c r="H1892" s="41"/>
      <c r="I1892" s="57"/>
      <c r="J1892" s="36"/>
      <c r="K1892" s="57"/>
      <c r="L1892" s="57"/>
      <c r="M1892" s="57"/>
      <c r="N1892" s="42"/>
      <c r="O1892" s="57"/>
      <c r="P1892" s="43"/>
      <c r="Q1892" s="41"/>
      <c r="R1892" s="43"/>
      <c r="S1892" s="36"/>
      <c r="T1892" s="16">
        <f t="shared" si="58"/>
        <v>0</v>
      </c>
      <c r="U1892" s="16">
        <f t="shared" si="59"/>
        <v>0</v>
      </c>
      <c r="V1892" s="133"/>
    </row>
    <row r="1893" spans="1:22" s="56" customFormat="1">
      <c r="A1893" s="58"/>
      <c r="B1893" s="36"/>
      <c r="C1893" s="58"/>
      <c r="D1893" s="57"/>
      <c r="E1893" s="57"/>
      <c r="F1893" s="41"/>
      <c r="G1893" s="41"/>
      <c r="H1893" s="41"/>
      <c r="I1893" s="57"/>
      <c r="J1893" s="36"/>
      <c r="K1893" s="57"/>
      <c r="L1893" s="57"/>
      <c r="M1893" s="57"/>
      <c r="N1893" s="42"/>
      <c r="O1893" s="57"/>
      <c r="P1893" s="43"/>
      <c r="Q1893" s="41"/>
      <c r="R1893" s="43"/>
      <c r="S1893" s="36"/>
      <c r="T1893" s="16">
        <f t="shared" si="58"/>
        <v>0</v>
      </c>
      <c r="U1893" s="16">
        <f t="shared" si="59"/>
        <v>0</v>
      </c>
      <c r="V1893" s="133"/>
    </row>
    <row r="1894" spans="1:22" s="56" customFormat="1">
      <c r="A1894" s="58"/>
      <c r="B1894" s="36"/>
      <c r="C1894" s="58"/>
      <c r="D1894" s="57"/>
      <c r="E1894" s="57"/>
      <c r="F1894" s="41"/>
      <c r="G1894" s="41"/>
      <c r="H1894" s="41"/>
      <c r="I1894" s="57"/>
      <c r="J1894" s="36"/>
      <c r="K1894" s="57"/>
      <c r="L1894" s="57"/>
      <c r="M1894" s="57"/>
      <c r="N1894" s="42"/>
      <c r="O1894" s="57"/>
      <c r="P1894" s="43"/>
      <c r="Q1894" s="41"/>
      <c r="R1894" s="43"/>
      <c r="S1894" s="36"/>
      <c r="T1894" s="16">
        <f t="shared" si="58"/>
        <v>0</v>
      </c>
      <c r="U1894" s="16">
        <f t="shared" si="59"/>
        <v>0</v>
      </c>
      <c r="V1894" s="133"/>
    </row>
    <row r="1895" spans="1:22" s="56" customFormat="1">
      <c r="A1895" s="58"/>
      <c r="B1895" s="36"/>
      <c r="C1895" s="58"/>
      <c r="D1895" s="57"/>
      <c r="E1895" s="57"/>
      <c r="F1895" s="41"/>
      <c r="G1895" s="41"/>
      <c r="H1895" s="41"/>
      <c r="I1895" s="57"/>
      <c r="J1895" s="36"/>
      <c r="K1895" s="57"/>
      <c r="L1895" s="57"/>
      <c r="M1895" s="57"/>
      <c r="N1895" s="42"/>
      <c r="O1895" s="57"/>
      <c r="P1895" s="43"/>
      <c r="Q1895" s="41"/>
      <c r="R1895" s="43"/>
      <c r="S1895" s="36"/>
      <c r="T1895" s="16">
        <f t="shared" si="58"/>
        <v>0</v>
      </c>
      <c r="U1895" s="16">
        <f t="shared" si="59"/>
        <v>0</v>
      </c>
      <c r="V1895" s="133"/>
    </row>
    <row r="1896" spans="1:22" s="56" customFormat="1">
      <c r="A1896" s="58"/>
      <c r="B1896" s="36"/>
      <c r="C1896" s="58"/>
      <c r="D1896" s="57"/>
      <c r="E1896" s="57"/>
      <c r="F1896" s="41"/>
      <c r="G1896" s="41"/>
      <c r="H1896" s="41"/>
      <c r="I1896" s="57"/>
      <c r="J1896" s="36"/>
      <c r="K1896" s="57"/>
      <c r="L1896" s="57"/>
      <c r="M1896" s="57"/>
      <c r="N1896" s="42"/>
      <c r="O1896" s="57"/>
      <c r="P1896" s="43"/>
      <c r="Q1896" s="41"/>
      <c r="R1896" s="43"/>
      <c r="S1896" s="36"/>
      <c r="T1896" s="16">
        <f t="shared" si="58"/>
        <v>0</v>
      </c>
      <c r="U1896" s="16">
        <f t="shared" si="59"/>
        <v>0</v>
      </c>
      <c r="V1896" s="133"/>
    </row>
    <row r="1897" spans="1:22" s="56" customFormat="1">
      <c r="A1897" s="58"/>
      <c r="B1897" s="36"/>
      <c r="C1897" s="58"/>
      <c r="D1897" s="57"/>
      <c r="E1897" s="57"/>
      <c r="F1897" s="41"/>
      <c r="G1897" s="41"/>
      <c r="H1897" s="41"/>
      <c r="I1897" s="57"/>
      <c r="J1897" s="36"/>
      <c r="K1897" s="57"/>
      <c r="L1897" s="57"/>
      <c r="M1897" s="57"/>
      <c r="N1897" s="42"/>
      <c r="O1897" s="57"/>
      <c r="P1897" s="43"/>
      <c r="Q1897" s="41"/>
      <c r="R1897" s="43"/>
      <c r="S1897" s="36"/>
      <c r="T1897" s="16">
        <f t="shared" si="58"/>
        <v>0</v>
      </c>
      <c r="U1897" s="16">
        <f t="shared" si="59"/>
        <v>0</v>
      </c>
      <c r="V1897" s="133"/>
    </row>
    <row r="1898" spans="1:22" s="56" customFormat="1">
      <c r="A1898" s="58"/>
      <c r="B1898" s="36"/>
      <c r="C1898" s="58"/>
      <c r="D1898" s="57"/>
      <c r="E1898" s="57"/>
      <c r="F1898" s="41"/>
      <c r="G1898" s="41"/>
      <c r="H1898" s="41"/>
      <c r="I1898" s="57"/>
      <c r="J1898" s="36"/>
      <c r="K1898" s="57"/>
      <c r="L1898" s="57"/>
      <c r="M1898" s="57"/>
      <c r="N1898" s="42"/>
      <c r="O1898" s="57"/>
      <c r="P1898" s="43"/>
      <c r="Q1898" s="41"/>
      <c r="R1898" s="43"/>
      <c r="S1898" s="36"/>
      <c r="T1898" s="16">
        <f t="shared" si="58"/>
        <v>0</v>
      </c>
      <c r="U1898" s="16">
        <f t="shared" si="59"/>
        <v>0</v>
      </c>
      <c r="V1898" s="133"/>
    </row>
    <row r="1899" spans="1:22" s="56" customFormat="1">
      <c r="A1899" s="58"/>
      <c r="B1899" s="36"/>
      <c r="C1899" s="58"/>
      <c r="D1899" s="57"/>
      <c r="E1899" s="57"/>
      <c r="F1899" s="41"/>
      <c r="G1899" s="41"/>
      <c r="H1899" s="41"/>
      <c r="I1899" s="57"/>
      <c r="J1899" s="36"/>
      <c r="K1899" s="57"/>
      <c r="L1899" s="57"/>
      <c r="M1899" s="57"/>
      <c r="N1899" s="42"/>
      <c r="O1899" s="57"/>
      <c r="P1899" s="43"/>
      <c r="Q1899" s="41"/>
      <c r="R1899" s="43"/>
      <c r="S1899" s="36"/>
      <c r="T1899" s="16">
        <f t="shared" si="58"/>
        <v>0</v>
      </c>
      <c r="U1899" s="16">
        <f t="shared" si="59"/>
        <v>0</v>
      </c>
      <c r="V1899" s="133"/>
    </row>
    <row r="1900" spans="1:22" s="56" customFormat="1">
      <c r="A1900" s="58"/>
      <c r="B1900" s="36"/>
      <c r="C1900" s="58"/>
      <c r="D1900" s="57"/>
      <c r="E1900" s="57"/>
      <c r="F1900" s="41"/>
      <c r="G1900" s="41"/>
      <c r="H1900" s="41"/>
      <c r="I1900" s="57"/>
      <c r="J1900" s="36"/>
      <c r="K1900" s="57"/>
      <c r="L1900" s="57"/>
      <c r="M1900" s="57"/>
      <c r="N1900" s="42"/>
      <c r="O1900" s="57"/>
      <c r="P1900" s="43"/>
      <c r="Q1900" s="41"/>
      <c r="R1900" s="43"/>
      <c r="S1900" s="36"/>
      <c r="T1900" s="16">
        <f t="shared" si="58"/>
        <v>0</v>
      </c>
      <c r="U1900" s="16">
        <f t="shared" si="59"/>
        <v>0</v>
      </c>
      <c r="V1900" s="133"/>
    </row>
    <row r="1901" spans="1:22" s="56" customFormat="1">
      <c r="A1901" s="58"/>
      <c r="B1901" s="36"/>
      <c r="C1901" s="58"/>
      <c r="D1901" s="57"/>
      <c r="E1901" s="57"/>
      <c r="F1901" s="41"/>
      <c r="G1901" s="41"/>
      <c r="H1901" s="41"/>
      <c r="I1901" s="57"/>
      <c r="J1901" s="36"/>
      <c r="K1901" s="57"/>
      <c r="L1901" s="57"/>
      <c r="M1901" s="57"/>
      <c r="N1901" s="42"/>
      <c r="O1901" s="57"/>
      <c r="P1901" s="43"/>
      <c r="Q1901" s="41"/>
      <c r="R1901" s="43"/>
      <c r="S1901" s="36"/>
      <c r="T1901" s="16">
        <f t="shared" si="58"/>
        <v>0</v>
      </c>
      <c r="U1901" s="16">
        <f t="shared" si="59"/>
        <v>0</v>
      </c>
      <c r="V1901" s="133"/>
    </row>
    <row r="1902" spans="1:22" s="56" customFormat="1">
      <c r="A1902" s="58"/>
      <c r="B1902" s="36"/>
      <c r="C1902" s="58"/>
      <c r="D1902" s="57"/>
      <c r="E1902" s="57"/>
      <c r="F1902" s="41"/>
      <c r="G1902" s="41"/>
      <c r="H1902" s="41"/>
      <c r="I1902" s="57"/>
      <c r="J1902" s="36"/>
      <c r="K1902" s="57"/>
      <c r="L1902" s="57"/>
      <c r="M1902" s="57"/>
      <c r="N1902" s="42"/>
      <c r="O1902" s="57"/>
      <c r="P1902" s="43"/>
      <c r="Q1902" s="41"/>
      <c r="R1902" s="43"/>
      <c r="S1902" s="36"/>
      <c r="T1902" s="16">
        <f t="shared" si="58"/>
        <v>0</v>
      </c>
      <c r="U1902" s="16">
        <f t="shared" si="59"/>
        <v>0</v>
      </c>
      <c r="V1902" s="133"/>
    </row>
    <row r="1903" spans="1:22" s="56" customFormat="1">
      <c r="A1903" s="58"/>
      <c r="B1903" s="36"/>
      <c r="C1903" s="58"/>
      <c r="D1903" s="57"/>
      <c r="E1903" s="57"/>
      <c r="F1903" s="41"/>
      <c r="G1903" s="41"/>
      <c r="H1903" s="41"/>
      <c r="I1903" s="57"/>
      <c r="J1903" s="36"/>
      <c r="K1903" s="57"/>
      <c r="L1903" s="57"/>
      <c r="M1903" s="57"/>
      <c r="N1903" s="42"/>
      <c r="O1903" s="57"/>
      <c r="P1903" s="43"/>
      <c r="Q1903" s="41"/>
      <c r="R1903" s="43"/>
      <c r="S1903" s="36"/>
      <c r="T1903" s="16">
        <f t="shared" si="58"/>
        <v>0</v>
      </c>
      <c r="U1903" s="16">
        <f t="shared" si="59"/>
        <v>0</v>
      </c>
      <c r="V1903" s="133"/>
    </row>
    <row r="1904" spans="1:22" s="56" customFormat="1">
      <c r="A1904" s="58"/>
      <c r="B1904" s="36"/>
      <c r="C1904" s="58"/>
      <c r="D1904" s="57"/>
      <c r="E1904" s="57"/>
      <c r="F1904" s="41"/>
      <c r="G1904" s="41"/>
      <c r="H1904" s="41"/>
      <c r="I1904" s="57"/>
      <c r="J1904" s="36"/>
      <c r="K1904" s="57"/>
      <c r="L1904" s="57"/>
      <c r="M1904" s="57"/>
      <c r="N1904" s="42"/>
      <c r="O1904" s="57"/>
      <c r="P1904" s="43"/>
      <c r="Q1904" s="41"/>
      <c r="R1904" s="43"/>
      <c r="S1904" s="36"/>
      <c r="T1904" s="16">
        <f t="shared" si="58"/>
        <v>0</v>
      </c>
      <c r="U1904" s="16">
        <f t="shared" si="59"/>
        <v>0</v>
      </c>
      <c r="V1904" s="133"/>
    </row>
    <row r="1905" spans="1:22" s="56" customFormat="1">
      <c r="A1905" s="58"/>
      <c r="B1905" s="36"/>
      <c r="C1905" s="58"/>
      <c r="D1905" s="57"/>
      <c r="E1905" s="57"/>
      <c r="F1905" s="41"/>
      <c r="G1905" s="41"/>
      <c r="H1905" s="41"/>
      <c r="I1905" s="57"/>
      <c r="J1905" s="36"/>
      <c r="K1905" s="57"/>
      <c r="L1905" s="57"/>
      <c r="M1905" s="57"/>
      <c r="N1905" s="42"/>
      <c r="O1905" s="57"/>
      <c r="P1905" s="43"/>
      <c r="Q1905" s="41"/>
      <c r="R1905" s="43"/>
      <c r="S1905" s="36"/>
      <c r="T1905" s="16">
        <f t="shared" si="58"/>
        <v>0</v>
      </c>
      <c r="U1905" s="16">
        <f t="shared" si="59"/>
        <v>0</v>
      </c>
      <c r="V1905" s="133"/>
    </row>
    <row r="1906" spans="1:22" s="56" customFormat="1">
      <c r="A1906" s="58"/>
      <c r="B1906" s="36"/>
      <c r="C1906" s="58"/>
      <c r="D1906" s="57"/>
      <c r="E1906" s="57"/>
      <c r="F1906" s="41"/>
      <c r="G1906" s="41"/>
      <c r="H1906" s="41"/>
      <c r="I1906" s="57"/>
      <c r="J1906" s="36"/>
      <c r="K1906" s="57"/>
      <c r="L1906" s="57"/>
      <c r="M1906" s="57"/>
      <c r="N1906" s="42"/>
      <c r="O1906" s="57"/>
      <c r="P1906" s="43"/>
      <c r="Q1906" s="41"/>
      <c r="R1906" s="43"/>
      <c r="S1906" s="36"/>
      <c r="T1906" s="16">
        <f t="shared" si="58"/>
        <v>0</v>
      </c>
      <c r="U1906" s="16">
        <f t="shared" si="59"/>
        <v>0</v>
      </c>
      <c r="V1906" s="133"/>
    </row>
    <row r="1907" spans="1:22" s="56" customFormat="1">
      <c r="A1907" s="58"/>
      <c r="B1907" s="36"/>
      <c r="C1907" s="58"/>
      <c r="D1907" s="57"/>
      <c r="E1907" s="57"/>
      <c r="F1907" s="41"/>
      <c r="G1907" s="41"/>
      <c r="H1907" s="41"/>
      <c r="I1907" s="57"/>
      <c r="J1907" s="36"/>
      <c r="K1907" s="57"/>
      <c r="L1907" s="57"/>
      <c r="M1907" s="57"/>
      <c r="N1907" s="42"/>
      <c r="O1907" s="57"/>
      <c r="P1907" s="43"/>
      <c r="Q1907" s="41"/>
      <c r="R1907" s="43"/>
      <c r="S1907" s="36"/>
      <c r="T1907" s="16">
        <f t="shared" si="58"/>
        <v>0</v>
      </c>
      <c r="U1907" s="16">
        <f t="shared" si="59"/>
        <v>0</v>
      </c>
      <c r="V1907" s="133"/>
    </row>
    <row r="1908" spans="1:22" s="56" customFormat="1">
      <c r="A1908" s="58"/>
      <c r="B1908" s="36"/>
      <c r="C1908" s="58"/>
      <c r="D1908" s="57"/>
      <c r="E1908" s="57"/>
      <c r="F1908" s="41"/>
      <c r="G1908" s="41"/>
      <c r="H1908" s="41"/>
      <c r="I1908" s="57"/>
      <c r="J1908" s="36"/>
      <c r="K1908" s="57"/>
      <c r="L1908" s="57"/>
      <c r="M1908" s="57"/>
      <c r="N1908" s="42"/>
      <c r="O1908" s="57"/>
      <c r="P1908" s="43"/>
      <c r="Q1908" s="41"/>
      <c r="R1908" s="43"/>
      <c r="S1908" s="36"/>
      <c r="T1908" s="16">
        <f t="shared" si="58"/>
        <v>0</v>
      </c>
      <c r="U1908" s="16">
        <f t="shared" si="59"/>
        <v>0</v>
      </c>
      <c r="V1908" s="133"/>
    </row>
    <row r="1909" spans="1:22" s="56" customFormat="1">
      <c r="A1909" s="58"/>
      <c r="B1909" s="36"/>
      <c r="C1909" s="58"/>
      <c r="D1909" s="57"/>
      <c r="E1909" s="57"/>
      <c r="F1909" s="41"/>
      <c r="G1909" s="41"/>
      <c r="H1909" s="41"/>
      <c r="I1909" s="57"/>
      <c r="J1909" s="36"/>
      <c r="K1909" s="57"/>
      <c r="L1909" s="57"/>
      <c r="M1909" s="57"/>
      <c r="N1909" s="42"/>
      <c r="O1909" s="57"/>
      <c r="P1909" s="43"/>
      <c r="Q1909" s="41"/>
      <c r="R1909" s="43"/>
      <c r="S1909" s="36"/>
      <c r="T1909" s="16">
        <f t="shared" si="58"/>
        <v>0</v>
      </c>
      <c r="U1909" s="16">
        <f t="shared" si="59"/>
        <v>0</v>
      </c>
      <c r="V1909" s="133"/>
    </row>
    <row r="1910" spans="1:22" s="56" customFormat="1">
      <c r="A1910" s="58"/>
      <c r="B1910" s="36"/>
      <c r="C1910" s="58"/>
      <c r="D1910" s="57"/>
      <c r="E1910" s="57"/>
      <c r="F1910" s="41"/>
      <c r="G1910" s="41"/>
      <c r="H1910" s="41"/>
      <c r="I1910" s="57"/>
      <c r="J1910" s="36"/>
      <c r="K1910" s="57"/>
      <c r="L1910" s="57"/>
      <c r="M1910" s="57"/>
      <c r="N1910" s="42"/>
      <c r="O1910" s="57"/>
      <c r="P1910" s="43"/>
      <c r="Q1910" s="41"/>
      <c r="R1910" s="43"/>
      <c r="S1910" s="36"/>
      <c r="T1910" s="16">
        <f t="shared" si="58"/>
        <v>0</v>
      </c>
      <c r="U1910" s="16">
        <f t="shared" si="59"/>
        <v>0</v>
      </c>
      <c r="V1910" s="133"/>
    </row>
    <row r="1911" spans="1:22" s="56" customFormat="1">
      <c r="A1911" s="58"/>
      <c r="B1911" s="36"/>
      <c r="C1911" s="58"/>
      <c r="D1911" s="57"/>
      <c r="E1911" s="57"/>
      <c r="F1911" s="41"/>
      <c r="G1911" s="41"/>
      <c r="H1911" s="41"/>
      <c r="I1911" s="57"/>
      <c r="J1911" s="36"/>
      <c r="K1911" s="57"/>
      <c r="L1911" s="57"/>
      <c r="M1911" s="57"/>
      <c r="N1911" s="42"/>
      <c r="O1911" s="57"/>
      <c r="P1911" s="43"/>
      <c r="Q1911" s="41"/>
      <c r="R1911" s="43"/>
      <c r="S1911" s="36"/>
      <c r="T1911" s="16">
        <f t="shared" si="58"/>
        <v>0</v>
      </c>
      <c r="U1911" s="16">
        <f t="shared" si="59"/>
        <v>0</v>
      </c>
      <c r="V1911" s="133"/>
    </row>
    <row r="1912" spans="1:22" s="56" customFormat="1">
      <c r="A1912" s="58"/>
      <c r="B1912" s="36"/>
      <c r="C1912" s="58"/>
      <c r="D1912" s="57"/>
      <c r="E1912" s="57"/>
      <c r="F1912" s="41"/>
      <c r="G1912" s="41"/>
      <c r="H1912" s="41"/>
      <c r="I1912" s="57"/>
      <c r="J1912" s="36"/>
      <c r="K1912" s="57"/>
      <c r="L1912" s="57"/>
      <c r="M1912" s="57"/>
      <c r="N1912" s="42"/>
      <c r="O1912" s="57"/>
      <c r="P1912" s="43"/>
      <c r="Q1912" s="41"/>
      <c r="R1912" s="43"/>
      <c r="S1912" s="36"/>
      <c r="T1912" s="16">
        <f t="shared" si="58"/>
        <v>0</v>
      </c>
      <c r="U1912" s="16">
        <f t="shared" si="59"/>
        <v>0</v>
      </c>
      <c r="V1912" s="133"/>
    </row>
    <row r="1913" spans="1:22" s="56" customFormat="1">
      <c r="A1913" s="58"/>
      <c r="B1913" s="36"/>
      <c r="C1913" s="58"/>
      <c r="D1913" s="57"/>
      <c r="E1913" s="57"/>
      <c r="F1913" s="41"/>
      <c r="G1913" s="41"/>
      <c r="H1913" s="41"/>
      <c r="I1913" s="57"/>
      <c r="J1913" s="36"/>
      <c r="K1913" s="57"/>
      <c r="L1913" s="57"/>
      <c r="M1913" s="57"/>
      <c r="N1913" s="42"/>
      <c r="O1913" s="57"/>
      <c r="P1913" s="43"/>
      <c r="Q1913" s="41"/>
      <c r="R1913" s="43"/>
      <c r="S1913" s="36"/>
      <c r="T1913" s="16">
        <f t="shared" si="58"/>
        <v>0</v>
      </c>
      <c r="U1913" s="16">
        <f t="shared" si="59"/>
        <v>0</v>
      </c>
      <c r="V1913" s="133"/>
    </row>
    <row r="1914" spans="1:22" s="56" customFormat="1">
      <c r="A1914" s="58"/>
      <c r="B1914" s="36"/>
      <c r="C1914" s="58"/>
      <c r="D1914" s="57"/>
      <c r="E1914" s="57"/>
      <c r="F1914" s="41"/>
      <c r="G1914" s="41"/>
      <c r="H1914" s="41"/>
      <c r="I1914" s="57"/>
      <c r="J1914" s="36"/>
      <c r="K1914" s="57"/>
      <c r="L1914" s="57"/>
      <c r="M1914" s="57"/>
      <c r="N1914" s="42"/>
      <c r="O1914" s="57"/>
      <c r="P1914" s="43"/>
      <c r="Q1914" s="41"/>
      <c r="R1914" s="43"/>
      <c r="S1914" s="36"/>
      <c r="T1914" s="16">
        <f t="shared" si="58"/>
        <v>0</v>
      </c>
      <c r="U1914" s="16">
        <f t="shared" si="59"/>
        <v>0</v>
      </c>
      <c r="V1914" s="133"/>
    </row>
    <row r="1915" spans="1:22" s="56" customFormat="1">
      <c r="A1915" s="58"/>
      <c r="B1915" s="36"/>
      <c r="C1915" s="58"/>
      <c r="D1915" s="57"/>
      <c r="E1915" s="57"/>
      <c r="F1915" s="41"/>
      <c r="G1915" s="41"/>
      <c r="H1915" s="41"/>
      <c r="I1915" s="57"/>
      <c r="J1915" s="36"/>
      <c r="K1915" s="57"/>
      <c r="L1915" s="57"/>
      <c r="M1915" s="57"/>
      <c r="N1915" s="42"/>
      <c r="O1915" s="57"/>
      <c r="P1915" s="43"/>
      <c r="Q1915" s="41"/>
      <c r="R1915" s="43"/>
      <c r="S1915" s="36"/>
      <c r="T1915" s="16">
        <f t="shared" si="58"/>
        <v>0</v>
      </c>
      <c r="U1915" s="16">
        <f t="shared" si="59"/>
        <v>0</v>
      </c>
      <c r="V1915" s="133"/>
    </row>
    <row r="1916" spans="1:22" s="56" customFormat="1">
      <c r="A1916" s="58"/>
      <c r="B1916" s="36"/>
      <c r="C1916" s="58"/>
      <c r="D1916" s="57"/>
      <c r="E1916" s="57"/>
      <c r="F1916" s="41"/>
      <c r="G1916" s="41"/>
      <c r="H1916" s="41"/>
      <c r="I1916" s="57"/>
      <c r="J1916" s="36"/>
      <c r="K1916" s="57"/>
      <c r="L1916" s="57"/>
      <c r="M1916" s="57"/>
      <c r="N1916" s="42"/>
      <c r="O1916" s="57"/>
      <c r="P1916" s="43"/>
      <c r="Q1916" s="41"/>
      <c r="R1916" s="43"/>
      <c r="S1916" s="36"/>
      <c r="T1916" s="16">
        <f t="shared" si="58"/>
        <v>0</v>
      </c>
      <c r="U1916" s="16">
        <f t="shared" si="59"/>
        <v>0</v>
      </c>
      <c r="V1916" s="133"/>
    </row>
    <row r="1917" spans="1:22" s="56" customFormat="1">
      <c r="A1917" s="58"/>
      <c r="B1917" s="36"/>
      <c r="C1917" s="58"/>
      <c r="D1917" s="57"/>
      <c r="E1917" s="57"/>
      <c r="F1917" s="41"/>
      <c r="G1917" s="41"/>
      <c r="H1917" s="41"/>
      <c r="I1917" s="57"/>
      <c r="J1917" s="36"/>
      <c r="K1917" s="57"/>
      <c r="L1917" s="57"/>
      <c r="M1917" s="57"/>
      <c r="N1917" s="42"/>
      <c r="O1917" s="57"/>
      <c r="P1917" s="43"/>
      <c r="Q1917" s="41"/>
      <c r="R1917" s="43"/>
      <c r="S1917" s="36"/>
      <c r="T1917" s="16">
        <f t="shared" si="58"/>
        <v>0</v>
      </c>
      <c r="U1917" s="16">
        <f t="shared" si="59"/>
        <v>0</v>
      </c>
      <c r="V1917" s="133"/>
    </row>
    <row r="1918" spans="1:22" s="56" customFormat="1">
      <c r="A1918" s="58"/>
      <c r="B1918" s="36"/>
      <c r="C1918" s="58"/>
      <c r="D1918" s="57"/>
      <c r="E1918" s="57"/>
      <c r="F1918" s="41"/>
      <c r="G1918" s="41"/>
      <c r="H1918" s="41"/>
      <c r="I1918" s="57"/>
      <c r="J1918" s="36"/>
      <c r="K1918" s="57"/>
      <c r="L1918" s="57"/>
      <c r="M1918" s="57"/>
      <c r="N1918" s="42"/>
      <c r="O1918" s="57"/>
      <c r="P1918" s="43"/>
      <c r="Q1918" s="41"/>
      <c r="R1918" s="43"/>
      <c r="S1918" s="36"/>
      <c r="T1918" s="16">
        <f t="shared" si="58"/>
        <v>0</v>
      </c>
      <c r="U1918" s="16">
        <f t="shared" si="59"/>
        <v>0</v>
      </c>
      <c r="V1918" s="133"/>
    </row>
    <row r="1919" spans="1:22" s="56" customFormat="1">
      <c r="A1919" s="58"/>
      <c r="B1919" s="36"/>
      <c r="C1919" s="58"/>
      <c r="D1919" s="57"/>
      <c r="E1919" s="57"/>
      <c r="F1919" s="41"/>
      <c r="G1919" s="41"/>
      <c r="H1919" s="41"/>
      <c r="I1919" s="57"/>
      <c r="J1919" s="36"/>
      <c r="K1919" s="57"/>
      <c r="L1919" s="57"/>
      <c r="M1919" s="57"/>
      <c r="N1919" s="42"/>
      <c r="O1919" s="57"/>
      <c r="P1919" s="43"/>
      <c r="Q1919" s="41"/>
      <c r="R1919" s="43"/>
      <c r="S1919" s="36"/>
      <c r="T1919" s="16">
        <f t="shared" si="58"/>
        <v>0</v>
      </c>
      <c r="U1919" s="16">
        <f t="shared" si="59"/>
        <v>0</v>
      </c>
      <c r="V1919" s="133"/>
    </row>
    <row r="1920" spans="1:22" s="56" customFormat="1">
      <c r="A1920" s="58"/>
      <c r="B1920" s="36"/>
      <c r="C1920" s="58"/>
      <c r="D1920" s="57"/>
      <c r="E1920" s="57"/>
      <c r="F1920" s="41"/>
      <c r="G1920" s="41"/>
      <c r="H1920" s="41"/>
      <c r="I1920" s="57"/>
      <c r="J1920" s="36"/>
      <c r="K1920" s="57"/>
      <c r="L1920" s="57"/>
      <c r="M1920" s="57"/>
      <c r="N1920" s="42"/>
      <c r="O1920" s="57"/>
      <c r="P1920" s="43"/>
      <c r="Q1920" s="41"/>
      <c r="R1920" s="43"/>
      <c r="S1920" s="36"/>
      <c r="T1920" s="16">
        <f t="shared" si="58"/>
        <v>0</v>
      </c>
      <c r="U1920" s="16">
        <f t="shared" si="59"/>
        <v>0</v>
      </c>
      <c r="V1920" s="133"/>
    </row>
    <row r="1921" spans="1:22" s="56" customFormat="1">
      <c r="A1921" s="58"/>
      <c r="B1921" s="36"/>
      <c r="C1921" s="58"/>
      <c r="D1921" s="57"/>
      <c r="E1921" s="57"/>
      <c r="F1921" s="41"/>
      <c r="G1921" s="41"/>
      <c r="H1921" s="41"/>
      <c r="I1921" s="57"/>
      <c r="J1921" s="36"/>
      <c r="K1921" s="57"/>
      <c r="L1921" s="57"/>
      <c r="M1921" s="57"/>
      <c r="N1921" s="42"/>
      <c r="O1921" s="57"/>
      <c r="P1921" s="43"/>
      <c r="Q1921" s="41"/>
      <c r="R1921" s="43"/>
      <c r="S1921" s="36"/>
      <c r="T1921" s="16">
        <f t="shared" si="58"/>
        <v>0</v>
      </c>
      <c r="U1921" s="16">
        <f t="shared" si="59"/>
        <v>0</v>
      </c>
      <c r="V1921" s="133"/>
    </row>
    <row r="1922" spans="1:22" s="56" customFormat="1">
      <c r="A1922" s="58"/>
      <c r="B1922" s="36"/>
      <c r="C1922" s="58"/>
      <c r="D1922" s="57"/>
      <c r="E1922" s="57"/>
      <c r="F1922" s="41"/>
      <c r="G1922" s="41"/>
      <c r="H1922" s="41"/>
      <c r="I1922" s="57"/>
      <c r="J1922" s="36"/>
      <c r="K1922" s="57"/>
      <c r="L1922" s="57"/>
      <c r="M1922" s="57"/>
      <c r="N1922" s="42"/>
      <c r="O1922" s="57"/>
      <c r="P1922" s="43"/>
      <c r="Q1922" s="41"/>
      <c r="R1922" s="43"/>
      <c r="S1922" s="36"/>
      <c r="T1922" s="16">
        <f t="shared" si="58"/>
        <v>0</v>
      </c>
      <c r="U1922" s="16">
        <f t="shared" si="59"/>
        <v>0</v>
      </c>
      <c r="V1922" s="133"/>
    </row>
    <row r="1923" spans="1:22" s="56" customFormat="1">
      <c r="A1923" s="58"/>
      <c r="B1923" s="36"/>
      <c r="C1923" s="58"/>
      <c r="D1923" s="57"/>
      <c r="E1923" s="57"/>
      <c r="F1923" s="41"/>
      <c r="G1923" s="41"/>
      <c r="H1923" s="41"/>
      <c r="I1923" s="57"/>
      <c r="J1923" s="36"/>
      <c r="K1923" s="57"/>
      <c r="L1923" s="57"/>
      <c r="M1923" s="57"/>
      <c r="N1923" s="42"/>
      <c r="O1923" s="57"/>
      <c r="P1923" s="43"/>
      <c r="Q1923" s="41"/>
      <c r="R1923" s="43"/>
      <c r="S1923" s="36"/>
      <c r="T1923" s="16">
        <f t="shared" si="58"/>
        <v>0</v>
      </c>
      <c r="U1923" s="16">
        <f t="shared" si="59"/>
        <v>0</v>
      </c>
      <c r="V1923" s="133"/>
    </row>
    <row r="1924" spans="1:22" s="56" customFormat="1">
      <c r="A1924" s="58"/>
      <c r="B1924" s="36"/>
      <c r="C1924" s="58"/>
      <c r="D1924" s="57"/>
      <c r="E1924" s="57"/>
      <c r="F1924" s="41"/>
      <c r="G1924" s="41"/>
      <c r="H1924" s="41"/>
      <c r="I1924" s="57"/>
      <c r="J1924" s="36"/>
      <c r="K1924" s="57"/>
      <c r="L1924" s="57"/>
      <c r="M1924" s="57"/>
      <c r="N1924" s="42"/>
      <c r="O1924" s="57"/>
      <c r="P1924" s="43"/>
      <c r="Q1924" s="41"/>
      <c r="R1924" s="43"/>
      <c r="S1924" s="36"/>
      <c r="T1924" s="16">
        <f t="shared" si="58"/>
        <v>0</v>
      </c>
      <c r="U1924" s="16">
        <f t="shared" si="59"/>
        <v>0</v>
      </c>
      <c r="V1924" s="133"/>
    </row>
    <row r="1925" spans="1:22" s="56" customFormat="1">
      <c r="A1925" s="58"/>
      <c r="B1925" s="36"/>
      <c r="C1925" s="58"/>
      <c r="D1925" s="57"/>
      <c r="E1925" s="57"/>
      <c r="F1925" s="41"/>
      <c r="G1925" s="41"/>
      <c r="H1925" s="41"/>
      <c r="I1925" s="57"/>
      <c r="J1925" s="36"/>
      <c r="K1925" s="57"/>
      <c r="L1925" s="57"/>
      <c r="M1925" s="57"/>
      <c r="N1925" s="42"/>
      <c r="O1925" s="57"/>
      <c r="P1925" s="43"/>
      <c r="Q1925" s="41"/>
      <c r="R1925" s="43"/>
      <c r="S1925" s="36"/>
      <c r="T1925" s="16">
        <f t="shared" ref="T1925:T1988" si="60">IF(OR($J1925="Accepted",ISBLANK($J1925)),IF(AND($G1925="Legacy Data",$Q1925="Legacy Data"),1,IF(OR($G1925="Legacy Data",$Q1925="Legacy Data"),1,0)),IF(OR($N1925="Agree with original translator",ISBLANK($N1925)),IF(AND($G1925="Source Text Data",$Q1925="Legacy Data"),1,IF(AND($G1925="Legacy Data",$Q1925="Legacy Data"),1,IF($Q1925="Legacy Data",1,0))),IF(AND($G1925="Legacy Data",$Q1925="Legacy Data"),1,IF(OR($Q1925="Legacy Data",ISBLANK($Q1925)),IF($G1925&lt;&gt;"Legacy Data",IF(AND($G1925="Source Text Data",$Q1925="Legacy Data"),1,0),1),0))))</f>
        <v>0</v>
      </c>
      <c r="U1925" s="16">
        <f t="shared" ref="U1925:U1988" si="61">IF(OR($J1925="Accepted",ISBLANK($J1925)),IF(AND($G1925="Source Text Data",$Q1925="Source Text Data"),1,IF(OR($G1925="Source Text Data",$Q1925="Source Text Data"),1,0)),IF(OR($N1925="Agree with original translator",ISBLANK($N1925)),IF(AND($G1925="Legacy Data",$Q1925="Source Text Data"),1,IF(AND($G1925="Source Text Data",$Q1925="Source Text Data"),1,IF($Q1925="Source Text Data",1,0))),IF(AND($G1925="Source Text Data",$Q1925="Source Text Data"),1,IF(OR($Q1925="Source Text Data",ISBLANK($Q1925)),IF($G1925&lt;&gt;"Source Text Data",IF(AND($G1925="Legacy Data",$Q1925="Source Text Data"),1,0),1),0))))</f>
        <v>0</v>
      </c>
      <c r="V1925" s="133"/>
    </row>
    <row r="1926" spans="1:22" s="56" customFormat="1">
      <c r="A1926" s="58"/>
      <c r="B1926" s="36"/>
      <c r="C1926" s="58"/>
      <c r="D1926" s="57"/>
      <c r="E1926" s="57"/>
      <c r="F1926" s="41"/>
      <c r="G1926" s="41"/>
      <c r="H1926" s="41"/>
      <c r="I1926" s="57"/>
      <c r="J1926" s="36"/>
      <c r="K1926" s="57"/>
      <c r="L1926" s="57"/>
      <c r="M1926" s="57"/>
      <c r="N1926" s="42"/>
      <c r="O1926" s="57"/>
      <c r="P1926" s="43"/>
      <c r="Q1926" s="41"/>
      <c r="R1926" s="43"/>
      <c r="S1926" s="36"/>
      <c r="T1926" s="16">
        <f t="shared" si="60"/>
        <v>0</v>
      </c>
      <c r="U1926" s="16">
        <f t="shared" si="61"/>
        <v>0</v>
      </c>
      <c r="V1926" s="133"/>
    </row>
    <row r="1927" spans="1:22" s="56" customFormat="1">
      <c r="A1927" s="58"/>
      <c r="B1927" s="36"/>
      <c r="C1927" s="58"/>
      <c r="D1927" s="57"/>
      <c r="E1927" s="57"/>
      <c r="F1927" s="41"/>
      <c r="G1927" s="41"/>
      <c r="H1927" s="41"/>
      <c r="I1927" s="57"/>
      <c r="J1927" s="36"/>
      <c r="K1927" s="57"/>
      <c r="L1927" s="57"/>
      <c r="M1927" s="57"/>
      <c r="N1927" s="42"/>
      <c r="O1927" s="57"/>
      <c r="P1927" s="43"/>
      <c r="Q1927" s="41"/>
      <c r="R1927" s="43"/>
      <c r="S1927" s="36"/>
      <c r="T1927" s="16">
        <f t="shared" si="60"/>
        <v>0</v>
      </c>
      <c r="U1927" s="16">
        <f t="shared" si="61"/>
        <v>0</v>
      </c>
      <c r="V1927" s="133"/>
    </row>
    <row r="1928" spans="1:22" s="56" customFormat="1">
      <c r="A1928" s="58"/>
      <c r="B1928" s="36"/>
      <c r="C1928" s="58"/>
      <c r="D1928" s="57"/>
      <c r="E1928" s="57"/>
      <c r="F1928" s="41"/>
      <c r="G1928" s="41"/>
      <c r="H1928" s="41"/>
      <c r="I1928" s="57"/>
      <c r="J1928" s="36"/>
      <c r="K1928" s="57"/>
      <c r="L1928" s="57"/>
      <c r="M1928" s="57"/>
      <c r="N1928" s="42"/>
      <c r="O1928" s="57"/>
      <c r="P1928" s="43"/>
      <c r="Q1928" s="41"/>
      <c r="R1928" s="43"/>
      <c r="S1928" s="36"/>
      <c r="T1928" s="16">
        <f t="shared" si="60"/>
        <v>0</v>
      </c>
      <c r="U1928" s="16">
        <f t="shared" si="61"/>
        <v>0</v>
      </c>
      <c r="V1928" s="133"/>
    </row>
    <row r="1929" spans="1:22" s="56" customFormat="1">
      <c r="A1929" s="58"/>
      <c r="B1929" s="36"/>
      <c r="C1929" s="58"/>
      <c r="D1929" s="57"/>
      <c r="E1929" s="57"/>
      <c r="F1929" s="41"/>
      <c r="G1929" s="41"/>
      <c r="H1929" s="41"/>
      <c r="I1929" s="57"/>
      <c r="J1929" s="36"/>
      <c r="K1929" s="57"/>
      <c r="L1929" s="57"/>
      <c r="M1929" s="57"/>
      <c r="N1929" s="42"/>
      <c r="O1929" s="57"/>
      <c r="P1929" s="43"/>
      <c r="Q1929" s="41"/>
      <c r="R1929" s="43"/>
      <c r="S1929" s="36"/>
      <c r="T1929" s="16">
        <f t="shared" si="60"/>
        <v>0</v>
      </c>
      <c r="U1929" s="16">
        <f t="shared" si="61"/>
        <v>0</v>
      </c>
      <c r="V1929" s="133"/>
    </row>
    <row r="1930" spans="1:22" s="56" customFormat="1">
      <c r="A1930" s="58"/>
      <c r="B1930" s="36"/>
      <c r="C1930" s="58"/>
      <c r="D1930" s="57"/>
      <c r="E1930" s="57"/>
      <c r="F1930" s="41"/>
      <c r="G1930" s="41"/>
      <c r="H1930" s="41"/>
      <c r="I1930" s="57"/>
      <c r="J1930" s="36"/>
      <c r="K1930" s="57"/>
      <c r="L1930" s="57"/>
      <c r="M1930" s="57"/>
      <c r="N1930" s="42"/>
      <c r="O1930" s="57"/>
      <c r="P1930" s="43"/>
      <c r="Q1930" s="41"/>
      <c r="R1930" s="43"/>
      <c r="S1930" s="36"/>
      <c r="T1930" s="16">
        <f t="shared" si="60"/>
        <v>0</v>
      </c>
      <c r="U1930" s="16">
        <f t="shared" si="61"/>
        <v>0</v>
      </c>
      <c r="V1930" s="133"/>
    </row>
    <row r="1931" spans="1:22" s="56" customFormat="1">
      <c r="A1931" s="58"/>
      <c r="B1931" s="36"/>
      <c r="C1931" s="58"/>
      <c r="D1931" s="57"/>
      <c r="E1931" s="57"/>
      <c r="F1931" s="41"/>
      <c r="G1931" s="41"/>
      <c r="H1931" s="41"/>
      <c r="I1931" s="57"/>
      <c r="J1931" s="36"/>
      <c r="K1931" s="57"/>
      <c r="L1931" s="57"/>
      <c r="M1931" s="57"/>
      <c r="N1931" s="42"/>
      <c r="O1931" s="57"/>
      <c r="P1931" s="43"/>
      <c r="Q1931" s="41"/>
      <c r="R1931" s="43"/>
      <c r="S1931" s="36"/>
      <c r="T1931" s="16">
        <f t="shared" si="60"/>
        <v>0</v>
      </c>
      <c r="U1931" s="16">
        <f t="shared" si="61"/>
        <v>0</v>
      </c>
      <c r="V1931" s="133"/>
    </row>
    <row r="1932" spans="1:22" s="56" customFormat="1">
      <c r="A1932" s="58"/>
      <c r="B1932" s="36"/>
      <c r="C1932" s="58"/>
      <c r="D1932" s="57"/>
      <c r="E1932" s="57"/>
      <c r="F1932" s="41"/>
      <c r="G1932" s="41"/>
      <c r="H1932" s="41"/>
      <c r="I1932" s="57"/>
      <c r="J1932" s="36"/>
      <c r="K1932" s="57"/>
      <c r="L1932" s="57"/>
      <c r="M1932" s="57"/>
      <c r="N1932" s="42"/>
      <c r="O1932" s="57"/>
      <c r="P1932" s="43"/>
      <c r="Q1932" s="41"/>
      <c r="R1932" s="43"/>
      <c r="S1932" s="36"/>
      <c r="T1932" s="16">
        <f t="shared" si="60"/>
        <v>0</v>
      </c>
      <c r="U1932" s="16">
        <f t="shared" si="61"/>
        <v>0</v>
      </c>
      <c r="V1932" s="133"/>
    </row>
    <row r="1933" spans="1:22" s="56" customFormat="1">
      <c r="A1933" s="58"/>
      <c r="B1933" s="36"/>
      <c r="C1933" s="58"/>
      <c r="D1933" s="57"/>
      <c r="E1933" s="57"/>
      <c r="F1933" s="41"/>
      <c r="G1933" s="41"/>
      <c r="H1933" s="41"/>
      <c r="I1933" s="57"/>
      <c r="J1933" s="36"/>
      <c r="K1933" s="57"/>
      <c r="L1933" s="57"/>
      <c r="M1933" s="57"/>
      <c r="N1933" s="42"/>
      <c r="O1933" s="57"/>
      <c r="P1933" s="43"/>
      <c r="Q1933" s="41"/>
      <c r="R1933" s="43"/>
      <c r="S1933" s="36"/>
      <c r="T1933" s="16">
        <f t="shared" si="60"/>
        <v>0</v>
      </c>
      <c r="U1933" s="16">
        <f t="shared" si="61"/>
        <v>0</v>
      </c>
      <c r="V1933" s="133"/>
    </row>
    <row r="1934" spans="1:22" s="56" customFormat="1">
      <c r="A1934" s="58"/>
      <c r="B1934" s="36"/>
      <c r="C1934" s="58"/>
      <c r="D1934" s="57"/>
      <c r="E1934" s="57"/>
      <c r="F1934" s="41"/>
      <c r="G1934" s="41"/>
      <c r="H1934" s="41"/>
      <c r="I1934" s="57"/>
      <c r="J1934" s="36"/>
      <c r="K1934" s="57"/>
      <c r="L1934" s="57"/>
      <c r="M1934" s="57"/>
      <c r="N1934" s="42"/>
      <c r="O1934" s="57"/>
      <c r="P1934" s="43"/>
      <c r="Q1934" s="41"/>
      <c r="R1934" s="43"/>
      <c r="S1934" s="36"/>
      <c r="T1934" s="16">
        <f t="shared" si="60"/>
        <v>0</v>
      </c>
      <c r="U1934" s="16">
        <f t="shared" si="61"/>
        <v>0</v>
      </c>
      <c r="V1934" s="133"/>
    </row>
    <row r="1935" spans="1:22" s="56" customFormat="1">
      <c r="A1935" s="58"/>
      <c r="B1935" s="36"/>
      <c r="C1935" s="58"/>
      <c r="D1935" s="57"/>
      <c r="E1935" s="57"/>
      <c r="F1935" s="41"/>
      <c r="G1935" s="41"/>
      <c r="H1935" s="41"/>
      <c r="I1935" s="57"/>
      <c r="J1935" s="36"/>
      <c r="K1935" s="57"/>
      <c r="L1935" s="57"/>
      <c r="M1935" s="57"/>
      <c r="N1935" s="42"/>
      <c r="O1935" s="57"/>
      <c r="P1935" s="43"/>
      <c r="Q1935" s="41"/>
      <c r="R1935" s="43"/>
      <c r="S1935" s="36"/>
      <c r="T1935" s="16">
        <f t="shared" si="60"/>
        <v>0</v>
      </c>
      <c r="U1935" s="16">
        <f t="shared" si="61"/>
        <v>0</v>
      </c>
      <c r="V1935" s="133"/>
    </row>
    <row r="1936" spans="1:22" s="56" customFormat="1">
      <c r="A1936" s="58"/>
      <c r="B1936" s="36"/>
      <c r="C1936" s="58"/>
      <c r="D1936" s="57"/>
      <c r="E1936" s="57"/>
      <c r="F1936" s="41"/>
      <c r="G1936" s="41"/>
      <c r="H1936" s="41"/>
      <c r="I1936" s="57"/>
      <c r="J1936" s="36"/>
      <c r="K1936" s="57"/>
      <c r="L1936" s="57"/>
      <c r="M1936" s="57"/>
      <c r="N1936" s="42"/>
      <c r="O1936" s="57"/>
      <c r="P1936" s="43"/>
      <c r="Q1936" s="41"/>
      <c r="R1936" s="43"/>
      <c r="S1936" s="36"/>
      <c r="T1936" s="16">
        <f t="shared" si="60"/>
        <v>0</v>
      </c>
      <c r="U1936" s="16">
        <f t="shared" si="61"/>
        <v>0</v>
      </c>
      <c r="V1936" s="133"/>
    </row>
    <row r="1937" spans="1:22" s="56" customFormat="1">
      <c r="A1937" s="58"/>
      <c r="B1937" s="36"/>
      <c r="C1937" s="58"/>
      <c r="D1937" s="57"/>
      <c r="E1937" s="57"/>
      <c r="F1937" s="41"/>
      <c r="G1937" s="41"/>
      <c r="H1937" s="41"/>
      <c r="I1937" s="57"/>
      <c r="J1937" s="36"/>
      <c r="K1937" s="57"/>
      <c r="L1937" s="57"/>
      <c r="M1937" s="57"/>
      <c r="N1937" s="42"/>
      <c r="O1937" s="57"/>
      <c r="P1937" s="43"/>
      <c r="Q1937" s="41"/>
      <c r="R1937" s="43"/>
      <c r="S1937" s="36"/>
      <c r="T1937" s="16">
        <f t="shared" si="60"/>
        <v>0</v>
      </c>
      <c r="U1937" s="16">
        <f t="shared" si="61"/>
        <v>0</v>
      </c>
      <c r="V1937" s="133"/>
    </row>
    <row r="1938" spans="1:22" s="56" customFormat="1">
      <c r="A1938" s="58"/>
      <c r="B1938" s="36"/>
      <c r="C1938" s="58"/>
      <c r="D1938" s="57"/>
      <c r="E1938" s="57"/>
      <c r="F1938" s="41"/>
      <c r="G1938" s="41"/>
      <c r="H1938" s="41"/>
      <c r="I1938" s="57"/>
      <c r="J1938" s="36"/>
      <c r="K1938" s="57"/>
      <c r="L1938" s="57"/>
      <c r="M1938" s="57"/>
      <c r="N1938" s="42"/>
      <c r="O1938" s="57"/>
      <c r="P1938" s="43"/>
      <c r="Q1938" s="41"/>
      <c r="R1938" s="43"/>
      <c r="S1938" s="36"/>
      <c r="T1938" s="16">
        <f t="shared" si="60"/>
        <v>0</v>
      </c>
      <c r="U1938" s="16">
        <f t="shared" si="61"/>
        <v>0</v>
      </c>
      <c r="V1938" s="133"/>
    </row>
    <row r="1939" spans="1:22" s="56" customFormat="1">
      <c r="A1939" s="58"/>
      <c r="B1939" s="36"/>
      <c r="C1939" s="58"/>
      <c r="D1939" s="57"/>
      <c r="E1939" s="57"/>
      <c r="F1939" s="41"/>
      <c r="G1939" s="41"/>
      <c r="H1939" s="41"/>
      <c r="I1939" s="57"/>
      <c r="J1939" s="36"/>
      <c r="K1939" s="57"/>
      <c r="L1939" s="57"/>
      <c r="M1939" s="57"/>
      <c r="N1939" s="42"/>
      <c r="O1939" s="57"/>
      <c r="P1939" s="43"/>
      <c r="Q1939" s="41"/>
      <c r="R1939" s="43"/>
      <c r="S1939" s="36"/>
      <c r="T1939" s="16">
        <f t="shared" si="60"/>
        <v>0</v>
      </c>
      <c r="U1939" s="16">
        <f t="shared" si="61"/>
        <v>0</v>
      </c>
      <c r="V1939" s="133"/>
    </row>
    <row r="1940" spans="1:22" s="56" customFormat="1">
      <c r="A1940" s="58"/>
      <c r="B1940" s="36"/>
      <c r="C1940" s="58"/>
      <c r="D1940" s="57"/>
      <c r="E1940" s="57"/>
      <c r="F1940" s="41"/>
      <c r="G1940" s="41"/>
      <c r="H1940" s="41"/>
      <c r="I1940" s="57"/>
      <c r="J1940" s="36"/>
      <c r="K1940" s="57"/>
      <c r="L1940" s="57"/>
      <c r="M1940" s="57"/>
      <c r="N1940" s="42"/>
      <c r="O1940" s="57"/>
      <c r="P1940" s="43"/>
      <c r="Q1940" s="41"/>
      <c r="R1940" s="43"/>
      <c r="S1940" s="36"/>
      <c r="T1940" s="16">
        <f t="shared" si="60"/>
        <v>0</v>
      </c>
      <c r="U1940" s="16">
        <f t="shared" si="61"/>
        <v>0</v>
      </c>
      <c r="V1940" s="133"/>
    </row>
    <row r="1941" spans="1:22" s="56" customFormat="1">
      <c r="A1941" s="58"/>
      <c r="B1941" s="36"/>
      <c r="C1941" s="58"/>
      <c r="D1941" s="57"/>
      <c r="E1941" s="57"/>
      <c r="F1941" s="41"/>
      <c r="G1941" s="41"/>
      <c r="H1941" s="41"/>
      <c r="I1941" s="57"/>
      <c r="J1941" s="36"/>
      <c r="K1941" s="57"/>
      <c r="L1941" s="57"/>
      <c r="M1941" s="57"/>
      <c r="N1941" s="42"/>
      <c r="O1941" s="57"/>
      <c r="P1941" s="43"/>
      <c r="Q1941" s="41"/>
      <c r="R1941" s="43"/>
      <c r="S1941" s="36"/>
      <c r="T1941" s="16">
        <f t="shared" si="60"/>
        <v>0</v>
      </c>
      <c r="U1941" s="16">
        <f t="shared" si="61"/>
        <v>0</v>
      </c>
      <c r="V1941" s="133"/>
    </row>
    <row r="1942" spans="1:22" s="56" customFormat="1">
      <c r="A1942" s="58"/>
      <c r="B1942" s="36"/>
      <c r="C1942" s="58"/>
      <c r="D1942" s="57"/>
      <c r="E1942" s="57"/>
      <c r="F1942" s="41"/>
      <c r="G1942" s="41"/>
      <c r="H1942" s="41"/>
      <c r="I1942" s="57"/>
      <c r="J1942" s="36"/>
      <c r="K1942" s="57"/>
      <c r="L1942" s="57"/>
      <c r="M1942" s="57"/>
      <c r="N1942" s="42"/>
      <c r="O1942" s="57"/>
      <c r="P1942" s="43"/>
      <c r="Q1942" s="41"/>
      <c r="R1942" s="43"/>
      <c r="S1942" s="36"/>
      <c r="T1942" s="16">
        <f t="shared" si="60"/>
        <v>0</v>
      </c>
      <c r="U1942" s="16">
        <f t="shared" si="61"/>
        <v>0</v>
      </c>
      <c r="V1942" s="133"/>
    </row>
    <row r="1943" spans="1:22" s="56" customFormat="1">
      <c r="A1943" s="58"/>
      <c r="B1943" s="36"/>
      <c r="C1943" s="58"/>
      <c r="D1943" s="57"/>
      <c r="E1943" s="57"/>
      <c r="F1943" s="41"/>
      <c r="G1943" s="41"/>
      <c r="H1943" s="41"/>
      <c r="I1943" s="57"/>
      <c r="J1943" s="36"/>
      <c r="K1943" s="57"/>
      <c r="L1943" s="57"/>
      <c r="M1943" s="57"/>
      <c r="N1943" s="42"/>
      <c r="O1943" s="57"/>
      <c r="P1943" s="43"/>
      <c r="Q1943" s="41"/>
      <c r="R1943" s="43"/>
      <c r="S1943" s="36"/>
      <c r="T1943" s="16">
        <f t="shared" si="60"/>
        <v>0</v>
      </c>
      <c r="U1943" s="16">
        <f t="shared" si="61"/>
        <v>0</v>
      </c>
      <c r="V1943" s="133"/>
    </row>
    <row r="1944" spans="1:22" s="56" customFormat="1">
      <c r="A1944" s="58"/>
      <c r="B1944" s="36"/>
      <c r="C1944" s="58"/>
      <c r="D1944" s="57"/>
      <c r="E1944" s="57"/>
      <c r="F1944" s="41"/>
      <c r="G1944" s="41"/>
      <c r="H1944" s="41"/>
      <c r="I1944" s="57"/>
      <c r="J1944" s="36"/>
      <c r="K1944" s="57"/>
      <c r="L1944" s="57"/>
      <c r="M1944" s="57"/>
      <c r="N1944" s="42"/>
      <c r="O1944" s="57"/>
      <c r="P1944" s="43"/>
      <c r="Q1944" s="41"/>
      <c r="R1944" s="43"/>
      <c r="S1944" s="36"/>
      <c r="T1944" s="16">
        <f t="shared" si="60"/>
        <v>0</v>
      </c>
      <c r="U1944" s="16">
        <f t="shared" si="61"/>
        <v>0</v>
      </c>
      <c r="V1944" s="133"/>
    </row>
    <row r="1945" spans="1:22" s="56" customFormat="1">
      <c r="A1945" s="58"/>
      <c r="B1945" s="36"/>
      <c r="C1945" s="58"/>
      <c r="D1945" s="57"/>
      <c r="E1945" s="57"/>
      <c r="F1945" s="41"/>
      <c r="G1945" s="41"/>
      <c r="H1945" s="41"/>
      <c r="I1945" s="57"/>
      <c r="J1945" s="36"/>
      <c r="K1945" s="57"/>
      <c r="L1945" s="57"/>
      <c r="M1945" s="57"/>
      <c r="N1945" s="42"/>
      <c r="O1945" s="57"/>
      <c r="P1945" s="43"/>
      <c r="Q1945" s="41"/>
      <c r="R1945" s="43"/>
      <c r="S1945" s="36"/>
      <c r="T1945" s="16">
        <f t="shared" si="60"/>
        <v>0</v>
      </c>
      <c r="U1945" s="16">
        <f t="shared" si="61"/>
        <v>0</v>
      </c>
      <c r="V1945" s="133"/>
    </row>
    <row r="1946" spans="1:22" s="56" customFormat="1">
      <c r="A1946" s="58"/>
      <c r="B1946" s="36"/>
      <c r="C1946" s="58"/>
      <c r="D1946" s="57"/>
      <c r="E1946" s="57"/>
      <c r="F1946" s="41"/>
      <c r="G1946" s="41"/>
      <c r="H1946" s="41"/>
      <c r="I1946" s="57"/>
      <c r="J1946" s="36"/>
      <c r="K1946" s="57"/>
      <c r="L1946" s="57"/>
      <c r="M1946" s="57"/>
      <c r="N1946" s="42"/>
      <c r="O1946" s="57"/>
      <c r="P1946" s="43"/>
      <c r="Q1946" s="41"/>
      <c r="R1946" s="43"/>
      <c r="S1946" s="36"/>
      <c r="T1946" s="16">
        <f t="shared" si="60"/>
        <v>0</v>
      </c>
      <c r="U1946" s="16">
        <f t="shared" si="61"/>
        <v>0</v>
      </c>
      <c r="V1946" s="133"/>
    </row>
    <row r="1947" spans="1:22" s="56" customFormat="1">
      <c r="A1947" s="58"/>
      <c r="B1947" s="36"/>
      <c r="C1947" s="58"/>
      <c r="D1947" s="57"/>
      <c r="E1947" s="57"/>
      <c r="F1947" s="41"/>
      <c r="G1947" s="41"/>
      <c r="H1947" s="41"/>
      <c r="I1947" s="57"/>
      <c r="J1947" s="36"/>
      <c r="K1947" s="57"/>
      <c r="L1947" s="57"/>
      <c r="M1947" s="57"/>
      <c r="N1947" s="42"/>
      <c r="O1947" s="57"/>
      <c r="P1947" s="43"/>
      <c r="Q1947" s="41"/>
      <c r="R1947" s="43"/>
      <c r="S1947" s="36"/>
      <c r="T1947" s="16">
        <f t="shared" si="60"/>
        <v>0</v>
      </c>
      <c r="U1947" s="16">
        <f t="shared" si="61"/>
        <v>0</v>
      </c>
      <c r="V1947" s="133"/>
    </row>
    <row r="1948" spans="1:22" s="56" customFormat="1">
      <c r="A1948" s="58"/>
      <c r="B1948" s="36"/>
      <c r="C1948" s="58"/>
      <c r="D1948" s="57"/>
      <c r="E1948" s="57"/>
      <c r="F1948" s="41"/>
      <c r="G1948" s="41"/>
      <c r="H1948" s="41"/>
      <c r="I1948" s="57"/>
      <c r="J1948" s="36"/>
      <c r="K1948" s="57"/>
      <c r="L1948" s="57"/>
      <c r="M1948" s="57"/>
      <c r="N1948" s="42"/>
      <c r="O1948" s="57"/>
      <c r="P1948" s="43"/>
      <c r="Q1948" s="41"/>
      <c r="R1948" s="43"/>
      <c r="S1948" s="36"/>
      <c r="T1948" s="16">
        <f t="shared" si="60"/>
        <v>0</v>
      </c>
      <c r="U1948" s="16">
        <f t="shared" si="61"/>
        <v>0</v>
      </c>
      <c r="V1948" s="133"/>
    </row>
    <row r="1949" spans="1:22" s="56" customFormat="1">
      <c r="A1949" s="58"/>
      <c r="B1949" s="36"/>
      <c r="C1949" s="58"/>
      <c r="D1949" s="57"/>
      <c r="E1949" s="57"/>
      <c r="F1949" s="41"/>
      <c r="G1949" s="41"/>
      <c r="H1949" s="41"/>
      <c r="I1949" s="57"/>
      <c r="J1949" s="36"/>
      <c r="K1949" s="57"/>
      <c r="L1949" s="57"/>
      <c r="M1949" s="57"/>
      <c r="N1949" s="42"/>
      <c r="O1949" s="57"/>
      <c r="P1949" s="43"/>
      <c r="Q1949" s="41"/>
      <c r="R1949" s="43"/>
      <c r="S1949" s="36"/>
      <c r="T1949" s="16">
        <f t="shared" si="60"/>
        <v>0</v>
      </c>
      <c r="U1949" s="16">
        <f t="shared" si="61"/>
        <v>0</v>
      </c>
      <c r="V1949" s="133"/>
    </row>
    <row r="1950" spans="1:22" s="56" customFormat="1">
      <c r="A1950" s="58"/>
      <c r="B1950" s="36"/>
      <c r="C1950" s="58"/>
      <c r="D1950" s="57"/>
      <c r="E1950" s="57"/>
      <c r="F1950" s="41"/>
      <c r="G1950" s="41"/>
      <c r="H1950" s="41"/>
      <c r="I1950" s="57"/>
      <c r="J1950" s="36"/>
      <c r="K1950" s="57"/>
      <c r="L1950" s="57"/>
      <c r="M1950" s="57"/>
      <c r="N1950" s="42"/>
      <c r="O1950" s="57"/>
      <c r="P1950" s="43"/>
      <c r="Q1950" s="41"/>
      <c r="R1950" s="43"/>
      <c r="S1950" s="36"/>
      <c r="T1950" s="16">
        <f t="shared" si="60"/>
        <v>0</v>
      </c>
      <c r="U1950" s="16">
        <f t="shared" si="61"/>
        <v>0</v>
      </c>
      <c r="V1950" s="133"/>
    </row>
    <row r="1951" spans="1:22" s="56" customFormat="1">
      <c r="A1951" s="58"/>
      <c r="B1951" s="36"/>
      <c r="C1951" s="58"/>
      <c r="D1951" s="57"/>
      <c r="E1951" s="57"/>
      <c r="F1951" s="41"/>
      <c r="G1951" s="41"/>
      <c r="H1951" s="41"/>
      <c r="I1951" s="57"/>
      <c r="J1951" s="36"/>
      <c r="K1951" s="57"/>
      <c r="L1951" s="57"/>
      <c r="M1951" s="57"/>
      <c r="N1951" s="42"/>
      <c r="O1951" s="57"/>
      <c r="P1951" s="43"/>
      <c r="Q1951" s="41"/>
      <c r="R1951" s="43"/>
      <c r="S1951" s="36"/>
      <c r="T1951" s="16">
        <f t="shared" si="60"/>
        <v>0</v>
      </c>
      <c r="U1951" s="16">
        <f t="shared" si="61"/>
        <v>0</v>
      </c>
      <c r="V1951" s="133"/>
    </row>
    <row r="1952" spans="1:22" s="56" customFormat="1">
      <c r="A1952" s="58"/>
      <c r="B1952" s="36"/>
      <c r="C1952" s="58"/>
      <c r="D1952" s="57"/>
      <c r="E1952" s="57"/>
      <c r="F1952" s="41"/>
      <c r="G1952" s="41"/>
      <c r="H1952" s="41"/>
      <c r="I1952" s="57"/>
      <c r="J1952" s="36"/>
      <c r="K1952" s="57"/>
      <c r="L1952" s="57"/>
      <c r="M1952" s="57"/>
      <c r="N1952" s="42"/>
      <c r="O1952" s="57"/>
      <c r="P1952" s="43"/>
      <c r="Q1952" s="41"/>
      <c r="R1952" s="43"/>
      <c r="S1952" s="36"/>
      <c r="T1952" s="16">
        <f t="shared" si="60"/>
        <v>0</v>
      </c>
      <c r="U1952" s="16">
        <f t="shared" si="61"/>
        <v>0</v>
      </c>
      <c r="V1952" s="133"/>
    </row>
    <row r="1953" spans="1:22" s="56" customFormat="1">
      <c r="A1953" s="58"/>
      <c r="B1953" s="36"/>
      <c r="C1953" s="58"/>
      <c r="D1953" s="57"/>
      <c r="E1953" s="57"/>
      <c r="F1953" s="41"/>
      <c r="G1953" s="41"/>
      <c r="H1953" s="41"/>
      <c r="I1953" s="57"/>
      <c r="J1953" s="36"/>
      <c r="K1953" s="57"/>
      <c r="L1953" s="57"/>
      <c r="M1953" s="57"/>
      <c r="N1953" s="42"/>
      <c r="O1953" s="57"/>
      <c r="P1953" s="43"/>
      <c r="Q1953" s="41"/>
      <c r="R1953" s="43"/>
      <c r="S1953" s="36"/>
      <c r="T1953" s="16">
        <f t="shared" si="60"/>
        <v>0</v>
      </c>
      <c r="U1953" s="16">
        <f t="shared" si="61"/>
        <v>0</v>
      </c>
      <c r="V1953" s="133"/>
    </row>
    <row r="1954" spans="1:22" s="56" customFormat="1">
      <c r="A1954" s="58"/>
      <c r="B1954" s="36"/>
      <c r="C1954" s="58"/>
      <c r="D1954" s="57"/>
      <c r="E1954" s="57"/>
      <c r="F1954" s="41"/>
      <c r="G1954" s="41"/>
      <c r="H1954" s="41"/>
      <c r="I1954" s="57"/>
      <c r="J1954" s="36"/>
      <c r="K1954" s="57"/>
      <c r="L1954" s="57"/>
      <c r="M1954" s="57"/>
      <c r="N1954" s="42"/>
      <c r="O1954" s="57"/>
      <c r="P1954" s="43"/>
      <c r="Q1954" s="41"/>
      <c r="R1954" s="43"/>
      <c r="S1954" s="36"/>
      <c r="T1954" s="16">
        <f t="shared" si="60"/>
        <v>0</v>
      </c>
      <c r="U1954" s="16">
        <f t="shared" si="61"/>
        <v>0</v>
      </c>
      <c r="V1954" s="133"/>
    </row>
    <row r="1955" spans="1:22" s="56" customFormat="1">
      <c r="A1955" s="58"/>
      <c r="B1955" s="36"/>
      <c r="C1955" s="58"/>
      <c r="D1955" s="57"/>
      <c r="E1955" s="57"/>
      <c r="F1955" s="41"/>
      <c r="G1955" s="41"/>
      <c r="H1955" s="41"/>
      <c r="I1955" s="57"/>
      <c r="J1955" s="36"/>
      <c r="K1955" s="57"/>
      <c r="L1955" s="57"/>
      <c r="M1955" s="57"/>
      <c r="N1955" s="42"/>
      <c r="O1955" s="57"/>
      <c r="P1955" s="43"/>
      <c r="Q1955" s="41"/>
      <c r="R1955" s="43"/>
      <c r="S1955" s="36"/>
      <c r="T1955" s="16">
        <f t="shared" si="60"/>
        <v>0</v>
      </c>
      <c r="U1955" s="16">
        <f t="shared" si="61"/>
        <v>0</v>
      </c>
      <c r="V1955" s="133"/>
    </row>
    <row r="1956" spans="1:22" s="56" customFormat="1">
      <c r="A1956" s="58"/>
      <c r="B1956" s="36"/>
      <c r="C1956" s="58"/>
      <c r="D1956" s="57"/>
      <c r="E1956" s="57"/>
      <c r="F1956" s="41"/>
      <c r="G1956" s="41"/>
      <c r="H1956" s="41"/>
      <c r="I1956" s="57"/>
      <c r="J1956" s="36"/>
      <c r="K1956" s="57"/>
      <c r="L1956" s="57"/>
      <c r="M1956" s="57"/>
      <c r="N1956" s="42"/>
      <c r="O1956" s="57"/>
      <c r="P1956" s="43"/>
      <c r="Q1956" s="41"/>
      <c r="R1956" s="43"/>
      <c r="S1956" s="36"/>
      <c r="T1956" s="16">
        <f t="shared" si="60"/>
        <v>0</v>
      </c>
      <c r="U1956" s="16">
        <f t="shared" si="61"/>
        <v>0</v>
      </c>
      <c r="V1956" s="133"/>
    </row>
    <row r="1957" spans="1:22" s="56" customFormat="1">
      <c r="A1957" s="58"/>
      <c r="B1957" s="36"/>
      <c r="C1957" s="58"/>
      <c r="D1957" s="57"/>
      <c r="E1957" s="57"/>
      <c r="F1957" s="41"/>
      <c r="G1957" s="41"/>
      <c r="H1957" s="41"/>
      <c r="I1957" s="57"/>
      <c r="J1957" s="36"/>
      <c r="K1957" s="57"/>
      <c r="L1957" s="57"/>
      <c r="M1957" s="57"/>
      <c r="N1957" s="42"/>
      <c r="O1957" s="57"/>
      <c r="P1957" s="43"/>
      <c r="Q1957" s="41"/>
      <c r="R1957" s="43"/>
      <c r="S1957" s="36"/>
      <c r="T1957" s="16">
        <f t="shared" si="60"/>
        <v>0</v>
      </c>
      <c r="U1957" s="16">
        <f t="shared" si="61"/>
        <v>0</v>
      </c>
      <c r="V1957" s="133"/>
    </row>
    <row r="1958" spans="1:22" s="56" customFormat="1">
      <c r="A1958" s="58"/>
      <c r="B1958" s="36"/>
      <c r="C1958" s="58"/>
      <c r="D1958" s="57"/>
      <c r="E1958" s="57"/>
      <c r="F1958" s="41"/>
      <c r="G1958" s="41"/>
      <c r="H1958" s="41"/>
      <c r="I1958" s="57"/>
      <c r="J1958" s="36"/>
      <c r="K1958" s="57"/>
      <c r="L1958" s="57"/>
      <c r="M1958" s="57"/>
      <c r="N1958" s="42"/>
      <c r="O1958" s="57"/>
      <c r="P1958" s="43"/>
      <c r="Q1958" s="41"/>
      <c r="R1958" s="43"/>
      <c r="S1958" s="36"/>
      <c r="T1958" s="16">
        <f t="shared" si="60"/>
        <v>0</v>
      </c>
      <c r="U1958" s="16">
        <f t="shared" si="61"/>
        <v>0</v>
      </c>
      <c r="V1958" s="133"/>
    </row>
    <row r="1959" spans="1:22" s="56" customFormat="1">
      <c r="A1959" s="58"/>
      <c r="B1959" s="36"/>
      <c r="C1959" s="58"/>
      <c r="D1959" s="57"/>
      <c r="E1959" s="57"/>
      <c r="F1959" s="41"/>
      <c r="G1959" s="41"/>
      <c r="H1959" s="41"/>
      <c r="I1959" s="57"/>
      <c r="J1959" s="36"/>
      <c r="K1959" s="57"/>
      <c r="L1959" s="57"/>
      <c r="M1959" s="57"/>
      <c r="N1959" s="42"/>
      <c r="O1959" s="57"/>
      <c r="P1959" s="43"/>
      <c r="Q1959" s="41"/>
      <c r="R1959" s="43"/>
      <c r="S1959" s="36"/>
      <c r="T1959" s="16">
        <f t="shared" si="60"/>
        <v>0</v>
      </c>
      <c r="U1959" s="16">
        <f t="shared" si="61"/>
        <v>0</v>
      </c>
      <c r="V1959" s="133"/>
    </row>
    <row r="1960" spans="1:22" s="56" customFormat="1">
      <c r="A1960" s="58"/>
      <c r="B1960" s="36"/>
      <c r="C1960" s="58"/>
      <c r="D1960" s="57"/>
      <c r="E1960" s="57"/>
      <c r="F1960" s="41"/>
      <c r="G1960" s="41"/>
      <c r="H1960" s="41"/>
      <c r="I1960" s="57"/>
      <c r="J1960" s="36"/>
      <c r="K1960" s="57"/>
      <c r="L1960" s="57"/>
      <c r="M1960" s="57"/>
      <c r="N1960" s="42"/>
      <c r="O1960" s="57"/>
      <c r="P1960" s="43"/>
      <c r="Q1960" s="41"/>
      <c r="R1960" s="43"/>
      <c r="S1960" s="36"/>
      <c r="T1960" s="16">
        <f t="shared" si="60"/>
        <v>0</v>
      </c>
      <c r="U1960" s="16">
        <f t="shared" si="61"/>
        <v>0</v>
      </c>
      <c r="V1960" s="133"/>
    </row>
    <row r="1961" spans="1:22" s="56" customFormat="1">
      <c r="A1961" s="58"/>
      <c r="B1961" s="36"/>
      <c r="C1961" s="58"/>
      <c r="D1961" s="57"/>
      <c r="E1961" s="57"/>
      <c r="F1961" s="41"/>
      <c r="G1961" s="41"/>
      <c r="H1961" s="41"/>
      <c r="I1961" s="57"/>
      <c r="J1961" s="36"/>
      <c r="K1961" s="57"/>
      <c r="L1961" s="57"/>
      <c r="M1961" s="57"/>
      <c r="N1961" s="42"/>
      <c r="O1961" s="57"/>
      <c r="P1961" s="43"/>
      <c r="Q1961" s="41"/>
      <c r="R1961" s="43"/>
      <c r="S1961" s="36"/>
      <c r="T1961" s="16">
        <f t="shared" si="60"/>
        <v>0</v>
      </c>
      <c r="U1961" s="16">
        <f t="shared" si="61"/>
        <v>0</v>
      </c>
      <c r="V1961" s="133"/>
    </row>
    <row r="1962" spans="1:22" s="56" customFormat="1">
      <c r="A1962" s="58"/>
      <c r="B1962" s="36"/>
      <c r="C1962" s="58"/>
      <c r="D1962" s="57"/>
      <c r="E1962" s="57"/>
      <c r="F1962" s="41"/>
      <c r="G1962" s="41"/>
      <c r="H1962" s="41"/>
      <c r="I1962" s="57"/>
      <c r="J1962" s="36"/>
      <c r="K1962" s="57"/>
      <c r="L1962" s="57"/>
      <c r="M1962" s="57"/>
      <c r="N1962" s="42"/>
      <c r="O1962" s="57"/>
      <c r="P1962" s="43"/>
      <c r="Q1962" s="41"/>
      <c r="R1962" s="43"/>
      <c r="S1962" s="36"/>
      <c r="T1962" s="16">
        <f t="shared" si="60"/>
        <v>0</v>
      </c>
      <c r="U1962" s="16">
        <f t="shared" si="61"/>
        <v>0</v>
      </c>
      <c r="V1962" s="133"/>
    </row>
    <row r="1963" spans="1:22" s="56" customFormat="1">
      <c r="A1963" s="58"/>
      <c r="B1963" s="36"/>
      <c r="C1963" s="58"/>
      <c r="D1963" s="57"/>
      <c r="E1963" s="57"/>
      <c r="F1963" s="41"/>
      <c r="G1963" s="41"/>
      <c r="H1963" s="41"/>
      <c r="I1963" s="57"/>
      <c r="J1963" s="36"/>
      <c r="K1963" s="57"/>
      <c r="L1963" s="57"/>
      <c r="M1963" s="57"/>
      <c r="N1963" s="42"/>
      <c r="O1963" s="57"/>
      <c r="P1963" s="43"/>
      <c r="Q1963" s="41"/>
      <c r="R1963" s="43"/>
      <c r="S1963" s="36"/>
      <c r="T1963" s="16">
        <f t="shared" si="60"/>
        <v>0</v>
      </c>
      <c r="U1963" s="16">
        <f t="shared" si="61"/>
        <v>0</v>
      </c>
      <c r="V1963" s="133"/>
    </row>
    <row r="1964" spans="1:22" s="56" customFormat="1">
      <c r="A1964" s="58"/>
      <c r="B1964" s="36"/>
      <c r="C1964" s="58"/>
      <c r="D1964" s="57"/>
      <c r="E1964" s="57"/>
      <c r="F1964" s="41"/>
      <c r="G1964" s="41"/>
      <c r="H1964" s="41"/>
      <c r="I1964" s="57"/>
      <c r="J1964" s="36"/>
      <c r="K1964" s="57"/>
      <c r="L1964" s="57"/>
      <c r="M1964" s="57"/>
      <c r="N1964" s="42"/>
      <c r="O1964" s="57"/>
      <c r="P1964" s="43"/>
      <c r="Q1964" s="41"/>
      <c r="R1964" s="43"/>
      <c r="S1964" s="36"/>
      <c r="T1964" s="16">
        <f t="shared" si="60"/>
        <v>0</v>
      </c>
      <c r="U1964" s="16">
        <f t="shared" si="61"/>
        <v>0</v>
      </c>
      <c r="V1964" s="133"/>
    </row>
    <row r="1965" spans="1:22" s="56" customFormat="1">
      <c r="A1965" s="58"/>
      <c r="B1965" s="36"/>
      <c r="C1965" s="58"/>
      <c r="D1965" s="57"/>
      <c r="E1965" s="57"/>
      <c r="F1965" s="41"/>
      <c r="G1965" s="41"/>
      <c r="H1965" s="41"/>
      <c r="I1965" s="57"/>
      <c r="J1965" s="36"/>
      <c r="K1965" s="57"/>
      <c r="L1965" s="57"/>
      <c r="M1965" s="57"/>
      <c r="N1965" s="42"/>
      <c r="O1965" s="57"/>
      <c r="P1965" s="43"/>
      <c r="Q1965" s="41"/>
      <c r="R1965" s="43"/>
      <c r="S1965" s="36"/>
      <c r="T1965" s="16">
        <f t="shared" si="60"/>
        <v>0</v>
      </c>
      <c r="U1965" s="16">
        <f t="shared" si="61"/>
        <v>0</v>
      </c>
      <c r="V1965" s="133"/>
    </row>
    <row r="1966" spans="1:22" s="56" customFormat="1">
      <c r="A1966" s="58"/>
      <c r="B1966" s="36"/>
      <c r="C1966" s="58"/>
      <c r="D1966" s="57"/>
      <c r="E1966" s="57"/>
      <c r="F1966" s="41"/>
      <c r="G1966" s="41"/>
      <c r="H1966" s="41"/>
      <c r="I1966" s="57"/>
      <c r="J1966" s="36"/>
      <c r="K1966" s="57"/>
      <c r="L1966" s="57"/>
      <c r="M1966" s="57"/>
      <c r="N1966" s="42"/>
      <c r="O1966" s="57"/>
      <c r="P1966" s="43"/>
      <c r="Q1966" s="41"/>
      <c r="R1966" s="43"/>
      <c r="S1966" s="36"/>
      <c r="T1966" s="16">
        <f t="shared" si="60"/>
        <v>0</v>
      </c>
      <c r="U1966" s="16">
        <f t="shared" si="61"/>
        <v>0</v>
      </c>
      <c r="V1966" s="133"/>
    </row>
    <row r="1967" spans="1:22" s="56" customFormat="1">
      <c r="A1967" s="58"/>
      <c r="B1967" s="36"/>
      <c r="C1967" s="58"/>
      <c r="D1967" s="57"/>
      <c r="E1967" s="57"/>
      <c r="F1967" s="41"/>
      <c r="G1967" s="41"/>
      <c r="H1967" s="41"/>
      <c r="I1967" s="57"/>
      <c r="J1967" s="36"/>
      <c r="K1967" s="57"/>
      <c r="L1967" s="57"/>
      <c r="M1967" s="57"/>
      <c r="N1967" s="42"/>
      <c r="O1967" s="57"/>
      <c r="P1967" s="43"/>
      <c r="Q1967" s="41"/>
      <c r="R1967" s="43"/>
      <c r="S1967" s="36"/>
      <c r="T1967" s="16">
        <f t="shared" si="60"/>
        <v>0</v>
      </c>
      <c r="U1967" s="16">
        <f t="shared" si="61"/>
        <v>0</v>
      </c>
      <c r="V1967" s="133"/>
    </row>
    <row r="1968" spans="1:22" s="56" customFormat="1">
      <c r="A1968" s="58"/>
      <c r="B1968" s="36"/>
      <c r="C1968" s="58"/>
      <c r="D1968" s="57"/>
      <c r="E1968" s="57"/>
      <c r="F1968" s="41"/>
      <c r="G1968" s="41"/>
      <c r="H1968" s="41"/>
      <c r="I1968" s="57"/>
      <c r="J1968" s="36"/>
      <c r="K1968" s="57"/>
      <c r="L1968" s="57"/>
      <c r="M1968" s="57"/>
      <c r="N1968" s="42"/>
      <c r="O1968" s="57"/>
      <c r="P1968" s="43"/>
      <c r="Q1968" s="41"/>
      <c r="R1968" s="43"/>
      <c r="S1968" s="36"/>
      <c r="T1968" s="16">
        <f t="shared" si="60"/>
        <v>0</v>
      </c>
      <c r="U1968" s="16">
        <f t="shared" si="61"/>
        <v>0</v>
      </c>
      <c r="V1968" s="133"/>
    </row>
    <row r="1969" spans="1:22" s="56" customFormat="1">
      <c r="A1969" s="58"/>
      <c r="B1969" s="36"/>
      <c r="C1969" s="58"/>
      <c r="D1969" s="57"/>
      <c r="E1969" s="57"/>
      <c r="F1969" s="41"/>
      <c r="G1969" s="41"/>
      <c r="H1969" s="41"/>
      <c r="I1969" s="57"/>
      <c r="J1969" s="36"/>
      <c r="K1969" s="57"/>
      <c r="L1969" s="57"/>
      <c r="M1969" s="57"/>
      <c r="N1969" s="42"/>
      <c r="O1969" s="57"/>
      <c r="P1969" s="43"/>
      <c r="Q1969" s="41"/>
      <c r="R1969" s="43"/>
      <c r="S1969" s="36"/>
      <c r="T1969" s="16">
        <f t="shared" si="60"/>
        <v>0</v>
      </c>
      <c r="U1969" s="16">
        <f t="shared" si="61"/>
        <v>0</v>
      </c>
      <c r="V1969" s="133"/>
    </row>
    <row r="1970" spans="1:22" s="56" customFormat="1">
      <c r="A1970" s="58"/>
      <c r="B1970" s="36"/>
      <c r="C1970" s="58"/>
      <c r="D1970" s="57"/>
      <c r="E1970" s="57"/>
      <c r="F1970" s="41"/>
      <c r="G1970" s="41"/>
      <c r="H1970" s="41"/>
      <c r="I1970" s="57"/>
      <c r="J1970" s="36"/>
      <c r="K1970" s="57"/>
      <c r="L1970" s="57"/>
      <c r="M1970" s="57"/>
      <c r="N1970" s="42"/>
      <c r="O1970" s="57"/>
      <c r="P1970" s="43"/>
      <c r="Q1970" s="41"/>
      <c r="R1970" s="43"/>
      <c r="S1970" s="36"/>
      <c r="T1970" s="16">
        <f t="shared" si="60"/>
        <v>0</v>
      </c>
      <c r="U1970" s="16">
        <f t="shared" si="61"/>
        <v>0</v>
      </c>
      <c r="V1970" s="133"/>
    </row>
    <row r="1971" spans="1:22" s="56" customFormat="1">
      <c r="A1971" s="58"/>
      <c r="B1971" s="36"/>
      <c r="C1971" s="58"/>
      <c r="D1971" s="57"/>
      <c r="E1971" s="57"/>
      <c r="F1971" s="41"/>
      <c r="G1971" s="41"/>
      <c r="H1971" s="41"/>
      <c r="I1971" s="57"/>
      <c r="J1971" s="36"/>
      <c r="K1971" s="57"/>
      <c r="L1971" s="57"/>
      <c r="M1971" s="57"/>
      <c r="N1971" s="42"/>
      <c r="O1971" s="57"/>
      <c r="P1971" s="43"/>
      <c r="Q1971" s="41"/>
      <c r="R1971" s="43"/>
      <c r="S1971" s="36"/>
      <c r="T1971" s="16">
        <f t="shared" si="60"/>
        <v>0</v>
      </c>
      <c r="U1971" s="16">
        <f t="shared" si="61"/>
        <v>0</v>
      </c>
      <c r="V1971" s="133"/>
    </row>
    <row r="1972" spans="1:22" s="56" customFormat="1">
      <c r="A1972" s="58"/>
      <c r="B1972" s="36"/>
      <c r="C1972" s="58"/>
      <c r="D1972" s="57"/>
      <c r="E1972" s="57"/>
      <c r="F1972" s="41"/>
      <c r="G1972" s="41"/>
      <c r="H1972" s="41"/>
      <c r="I1972" s="57"/>
      <c r="J1972" s="36"/>
      <c r="K1972" s="57"/>
      <c r="L1972" s="57"/>
      <c r="M1972" s="57"/>
      <c r="N1972" s="42"/>
      <c r="O1972" s="57"/>
      <c r="P1972" s="43"/>
      <c r="Q1972" s="41"/>
      <c r="R1972" s="43"/>
      <c r="S1972" s="36"/>
      <c r="T1972" s="16">
        <f t="shared" si="60"/>
        <v>0</v>
      </c>
      <c r="U1972" s="16">
        <f t="shared" si="61"/>
        <v>0</v>
      </c>
      <c r="V1972" s="133"/>
    </row>
    <row r="1973" spans="1:22" s="56" customFormat="1">
      <c r="A1973" s="58"/>
      <c r="B1973" s="36"/>
      <c r="C1973" s="58"/>
      <c r="D1973" s="57"/>
      <c r="E1973" s="57"/>
      <c r="F1973" s="41"/>
      <c r="G1973" s="41"/>
      <c r="H1973" s="41"/>
      <c r="I1973" s="57"/>
      <c r="J1973" s="36"/>
      <c r="K1973" s="57"/>
      <c r="L1973" s="57"/>
      <c r="M1973" s="57"/>
      <c r="N1973" s="42"/>
      <c r="O1973" s="57"/>
      <c r="P1973" s="43"/>
      <c r="Q1973" s="41"/>
      <c r="R1973" s="43"/>
      <c r="S1973" s="36"/>
      <c r="T1973" s="16">
        <f t="shared" si="60"/>
        <v>0</v>
      </c>
      <c r="U1973" s="16">
        <f t="shared" si="61"/>
        <v>0</v>
      </c>
      <c r="V1973" s="133"/>
    </row>
    <row r="1974" spans="1:22" s="56" customFormat="1">
      <c r="A1974" s="58"/>
      <c r="B1974" s="36"/>
      <c r="C1974" s="58"/>
      <c r="D1974" s="57"/>
      <c r="E1974" s="57"/>
      <c r="F1974" s="41"/>
      <c r="G1974" s="41"/>
      <c r="H1974" s="41"/>
      <c r="I1974" s="57"/>
      <c r="J1974" s="36"/>
      <c r="K1974" s="57"/>
      <c r="L1974" s="57"/>
      <c r="M1974" s="57"/>
      <c r="N1974" s="42"/>
      <c r="O1974" s="57"/>
      <c r="P1974" s="43"/>
      <c r="Q1974" s="41"/>
      <c r="R1974" s="43"/>
      <c r="S1974" s="36"/>
      <c r="T1974" s="16">
        <f t="shared" si="60"/>
        <v>0</v>
      </c>
      <c r="U1974" s="16">
        <f t="shared" si="61"/>
        <v>0</v>
      </c>
      <c r="V1974" s="133"/>
    </row>
    <row r="1975" spans="1:22" s="56" customFormat="1">
      <c r="A1975" s="58"/>
      <c r="B1975" s="36"/>
      <c r="C1975" s="58"/>
      <c r="D1975" s="57"/>
      <c r="E1975" s="57"/>
      <c r="F1975" s="41"/>
      <c r="G1975" s="41"/>
      <c r="H1975" s="41"/>
      <c r="I1975" s="57"/>
      <c r="J1975" s="36"/>
      <c r="K1975" s="57"/>
      <c r="L1975" s="57"/>
      <c r="M1975" s="57"/>
      <c r="N1975" s="42"/>
      <c r="O1975" s="57"/>
      <c r="P1975" s="43"/>
      <c r="Q1975" s="41"/>
      <c r="R1975" s="43"/>
      <c r="S1975" s="36"/>
      <c r="T1975" s="16">
        <f t="shared" si="60"/>
        <v>0</v>
      </c>
      <c r="U1975" s="16">
        <f t="shared" si="61"/>
        <v>0</v>
      </c>
      <c r="V1975" s="133"/>
    </row>
    <row r="1976" spans="1:22" s="56" customFormat="1">
      <c r="A1976" s="58"/>
      <c r="B1976" s="36"/>
      <c r="C1976" s="58"/>
      <c r="D1976" s="57"/>
      <c r="E1976" s="57"/>
      <c r="F1976" s="41"/>
      <c r="G1976" s="41"/>
      <c r="H1976" s="41"/>
      <c r="I1976" s="57"/>
      <c r="J1976" s="36"/>
      <c r="K1976" s="57"/>
      <c r="L1976" s="57"/>
      <c r="M1976" s="57"/>
      <c r="N1976" s="42"/>
      <c r="O1976" s="57"/>
      <c r="P1976" s="43"/>
      <c r="Q1976" s="41"/>
      <c r="R1976" s="43"/>
      <c r="S1976" s="36"/>
      <c r="T1976" s="16">
        <f t="shared" si="60"/>
        <v>0</v>
      </c>
      <c r="U1976" s="16">
        <f t="shared" si="61"/>
        <v>0</v>
      </c>
      <c r="V1976" s="133"/>
    </row>
    <row r="1977" spans="1:22" s="56" customFormat="1">
      <c r="A1977" s="58"/>
      <c r="B1977" s="36"/>
      <c r="C1977" s="58"/>
      <c r="D1977" s="57"/>
      <c r="E1977" s="57"/>
      <c r="F1977" s="41"/>
      <c r="G1977" s="41"/>
      <c r="H1977" s="41"/>
      <c r="I1977" s="57"/>
      <c r="J1977" s="36"/>
      <c r="K1977" s="57"/>
      <c r="L1977" s="57"/>
      <c r="M1977" s="57"/>
      <c r="N1977" s="42"/>
      <c r="O1977" s="57"/>
      <c r="P1977" s="43"/>
      <c r="Q1977" s="41"/>
      <c r="R1977" s="43"/>
      <c r="S1977" s="36"/>
      <c r="T1977" s="16">
        <f t="shared" si="60"/>
        <v>0</v>
      </c>
      <c r="U1977" s="16">
        <f t="shared" si="61"/>
        <v>0</v>
      </c>
      <c r="V1977" s="133"/>
    </row>
    <row r="1978" spans="1:22" s="56" customFormat="1">
      <c r="A1978" s="58"/>
      <c r="B1978" s="36"/>
      <c r="C1978" s="58"/>
      <c r="D1978" s="57"/>
      <c r="E1978" s="57"/>
      <c r="F1978" s="41"/>
      <c r="G1978" s="41"/>
      <c r="H1978" s="41"/>
      <c r="I1978" s="57"/>
      <c r="J1978" s="36"/>
      <c r="K1978" s="57"/>
      <c r="L1978" s="57"/>
      <c r="M1978" s="57"/>
      <c r="N1978" s="42"/>
      <c r="O1978" s="57"/>
      <c r="P1978" s="43"/>
      <c r="Q1978" s="41"/>
      <c r="R1978" s="43"/>
      <c r="S1978" s="36"/>
      <c r="T1978" s="16">
        <f t="shared" si="60"/>
        <v>0</v>
      </c>
      <c r="U1978" s="16">
        <f t="shared" si="61"/>
        <v>0</v>
      </c>
      <c r="V1978" s="133"/>
    </row>
    <row r="1979" spans="1:22" s="56" customFormat="1">
      <c r="A1979" s="58"/>
      <c r="B1979" s="36"/>
      <c r="C1979" s="58"/>
      <c r="D1979" s="57"/>
      <c r="E1979" s="57"/>
      <c r="F1979" s="41"/>
      <c r="G1979" s="41"/>
      <c r="H1979" s="41"/>
      <c r="I1979" s="57"/>
      <c r="J1979" s="36"/>
      <c r="K1979" s="57"/>
      <c r="L1979" s="57"/>
      <c r="M1979" s="57"/>
      <c r="N1979" s="42"/>
      <c r="O1979" s="57"/>
      <c r="P1979" s="43"/>
      <c r="Q1979" s="41"/>
      <c r="R1979" s="43"/>
      <c r="S1979" s="36"/>
      <c r="T1979" s="16">
        <f t="shared" si="60"/>
        <v>0</v>
      </c>
      <c r="U1979" s="16">
        <f t="shared" si="61"/>
        <v>0</v>
      </c>
      <c r="V1979" s="133"/>
    </row>
    <row r="1980" spans="1:22" s="56" customFormat="1">
      <c r="A1980" s="58"/>
      <c r="B1980" s="36"/>
      <c r="C1980" s="58"/>
      <c r="D1980" s="57"/>
      <c r="E1980" s="57"/>
      <c r="F1980" s="41"/>
      <c r="G1980" s="41"/>
      <c r="H1980" s="41"/>
      <c r="I1980" s="57"/>
      <c r="J1980" s="36"/>
      <c r="K1980" s="57"/>
      <c r="L1980" s="57"/>
      <c r="M1980" s="57"/>
      <c r="N1980" s="42"/>
      <c r="O1980" s="57"/>
      <c r="P1980" s="43"/>
      <c r="Q1980" s="41"/>
      <c r="R1980" s="43"/>
      <c r="S1980" s="36"/>
      <c r="T1980" s="16">
        <f t="shared" si="60"/>
        <v>0</v>
      </c>
      <c r="U1980" s="16">
        <f t="shared" si="61"/>
        <v>0</v>
      </c>
      <c r="V1980" s="133"/>
    </row>
    <row r="1981" spans="1:22" s="56" customFormat="1">
      <c r="A1981" s="58"/>
      <c r="B1981" s="36"/>
      <c r="C1981" s="58"/>
      <c r="D1981" s="57"/>
      <c r="E1981" s="57"/>
      <c r="F1981" s="41"/>
      <c r="G1981" s="41"/>
      <c r="H1981" s="41"/>
      <c r="I1981" s="57"/>
      <c r="J1981" s="36"/>
      <c r="K1981" s="57"/>
      <c r="L1981" s="57"/>
      <c r="M1981" s="57"/>
      <c r="N1981" s="42"/>
      <c r="O1981" s="57"/>
      <c r="P1981" s="43"/>
      <c r="Q1981" s="41"/>
      <c r="R1981" s="43"/>
      <c r="S1981" s="36"/>
      <c r="T1981" s="16">
        <f t="shared" si="60"/>
        <v>0</v>
      </c>
      <c r="U1981" s="16">
        <f t="shared" si="61"/>
        <v>0</v>
      </c>
      <c r="V1981" s="133"/>
    </row>
    <row r="1982" spans="1:22" s="56" customFormat="1">
      <c r="A1982" s="58"/>
      <c r="B1982" s="36"/>
      <c r="C1982" s="58"/>
      <c r="D1982" s="57"/>
      <c r="E1982" s="57"/>
      <c r="F1982" s="41"/>
      <c r="G1982" s="41"/>
      <c r="H1982" s="41"/>
      <c r="I1982" s="57"/>
      <c r="J1982" s="36"/>
      <c r="K1982" s="57"/>
      <c r="L1982" s="57"/>
      <c r="M1982" s="57"/>
      <c r="N1982" s="42"/>
      <c r="O1982" s="57"/>
      <c r="P1982" s="43"/>
      <c r="Q1982" s="41"/>
      <c r="R1982" s="43"/>
      <c r="S1982" s="36"/>
      <c r="T1982" s="16">
        <f t="shared" si="60"/>
        <v>0</v>
      </c>
      <c r="U1982" s="16">
        <f t="shared" si="61"/>
        <v>0</v>
      </c>
      <c r="V1982" s="133"/>
    </row>
    <row r="1983" spans="1:22" s="56" customFormat="1">
      <c r="A1983" s="58"/>
      <c r="B1983" s="36"/>
      <c r="C1983" s="58"/>
      <c r="D1983" s="57"/>
      <c r="E1983" s="57"/>
      <c r="F1983" s="41"/>
      <c r="G1983" s="41"/>
      <c r="H1983" s="41"/>
      <c r="I1983" s="57"/>
      <c r="J1983" s="36"/>
      <c r="K1983" s="57"/>
      <c r="L1983" s="57"/>
      <c r="M1983" s="57"/>
      <c r="N1983" s="42"/>
      <c r="O1983" s="57"/>
      <c r="P1983" s="43"/>
      <c r="Q1983" s="41"/>
      <c r="R1983" s="43"/>
      <c r="S1983" s="36"/>
      <c r="T1983" s="16">
        <f t="shared" si="60"/>
        <v>0</v>
      </c>
      <c r="U1983" s="16">
        <f t="shared" si="61"/>
        <v>0</v>
      </c>
      <c r="V1983" s="133"/>
    </row>
    <row r="1984" spans="1:22" s="56" customFormat="1">
      <c r="A1984" s="58"/>
      <c r="B1984" s="36"/>
      <c r="C1984" s="58"/>
      <c r="D1984" s="57"/>
      <c r="E1984" s="57"/>
      <c r="F1984" s="41"/>
      <c r="G1984" s="41"/>
      <c r="H1984" s="41"/>
      <c r="I1984" s="57"/>
      <c r="J1984" s="36"/>
      <c r="K1984" s="57"/>
      <c r="L1984" s="57"/>
      <c r="M1984" s="57"/>
      <c r="N1984" s="42"/>
      <c r="O1984" s="57"/>
      <c r="P1984" s="43"/>
      <c r="Q1984" s="41"/>
      <c r="R1984" s="43"/>
      <c r="S1984" s="36"/>
      <c r="T1984" s="16">
        <f t="shared" si="60"/>
        <v>0</v>
      </c>
      <c r="U1984" s="16">
        <f t="shared" si="61"/>
        <v>0</v>
      </c>
      <c r="V1984" s="133"/>
    </row>
    <row r="1985" spans="1:22" s="56" customFormat="1">
      <c r="A1985" s="58"/>
      <c r="B1985" s="36"/>
      <c r="C1985" s="58"/>
      <c r="D1985" s="57"/>
      <c r="E1985" s="57"/>
      <c r="F1985" s="41"/>
      <c r="G1985" s="41"/>
      <c r="H1985" s="41"/>
      <c r="I1985" s="57"/>
      <c r="J1985" s="36"/>
      <c r="K1985" s="57"/>
      <c r="L1985" s="57"/>
      <c r="M1985" s="57"/>
      <c r="N1985" s="42"/>
      <c r="O1985" s="57"/>
      <c r="P1985" s="43"/>
      <c r="Q1985" s="41"/>
      <c r="R1985" s="43"/>
      <c r="S1985" s="36"/>
      <c r="T1985" s="16">
        <f t="shared" si="60"/>
        <v>0</v>
      </c>
      <c r="U1985" s="16">
        <f t="shared" si="61"/>
        <v>0</v>
      </c>
      <c r="V1985" s="133"/>
    </row>
    <row r="1986" spans="1:22" s="56" customFormat="1">
      <c r="A1986" s="58"/>
      <c r="B1986" s="36"/>
      <c r="C1986" s="58"/>
      <c r="D1986" s="57"/>
      <c r="E1986" s="57"/>
      <c r="F1986" s="41"/>
      <c r="G1986" s="41"/>
      <c r="H1986" s="41"/>
      <c r="I1986" s="57"/>
      <c r="J1986" s="36"/>
      <c r="K1986" s="57"/>
      <c r="L1986" s="57"/>
      <c r="M1986" s="57"/>
      <c r="N1986" s="42"/>
      <c r="O1986" s="57"/>
      <c r="P1986" s="43"/>
      <c r="Q1986" s="41"/>
      <c r="R1986" s="43"/>
      <c r="S1986" s="36"/>
      <c r="T1986" s="16">
        <f t="shared" si="60"/>
        <v>0</v>
      </c>
      <c r="U1986" s="16">
        <f t="shared" si="61"/>
        <v>0</v>
      </c>
      <c r="V1986" s="133"/>
    </row>
    <row r="1987" spans="1:22" s="56" customFormat="1">
      <c r="A1987" s="58"/>
      <c r="B1987" s="36"/>
      <c r="C1987" s="58"/>
      <c r="D1987" s="57"/>
      <c r="E1987" s="57"/>
      <c r="F1987" s="41"/>
      <c r="G1987" s="41"/>
      <c r="H1987" s="41"/>
      <c r="I1987" s="57"/>
      <c r="J1987" s="36"/>
      <c r="K1987" s="57"/>
      <c r="L1987" s="57"/>
      <c r="M1987" s="57"/>
      <c r="N1987" s="42"/>
      <c r="O1987" s="57"/>
      <c r="P1987" s="43"/>
      <c r="Q1987" s="41"/>
      <c r="R1987" s="43"/>
      <c r="S1987" s="36"/>
      <c r="T1987" s="16">
        <f t="shared" si="60"/>
        <v>0</v>
      </c>
      <c r="U1987" s="16">
        <f t="shared" si="61"/>
        <v>0</v>
      </c>
      <c r="V1987" s="133"/>
    </row>
    <row r="1988" spans="1:22" s="56" customFormat="1">
      <c r="A1988" s="58"/>
      <c r="B1988" s="36"/>
      <c r="C1988" s="58"/>
      <c r="D1988" s="57"/>
      <c r="E1988" s="57"/>
      <c r="F1988" s="41"/>
      <c r="G1988" s="41"/>
      <c r="H1988" s="41"/>
      <c r="I1988" s="57"/>
      <c r="J1988" s="36"/>
      <c r="K1988" s="57"/>
      <c r="L1988" s="57"/>
      <c r="M1988" s="57"/>
      <c r="N1988" s="42"/>
      <c r="O1988" s="57"/>
      <c r="P1988" s="43"/>
      <c r="Q1988" s="41"/>
      <c r="R1988" s="43"/>
      <c r="S1988" s="36"/>
      <c r="T1988" s="16">
        <f t="shared" si="60"/>
        <v>0</v>
      </c>
      <c r="U1988" s="16">
        <f t="shared" si="61"/>
        <v>0</v>
      </c>
      <c r="V1988" s="133"/>
    </row>
    <row r="1989" spans="1:22" s="56" customFormat="1">
      <c r="A1989" s="58"/>
      <c r="B1989" s="36"/>
      <c r="C1989" s="58"/>
      <c r="D1989" s="57"/>
      <c r="E1989" s="57"/>
      <c r="F1989" s="41"/>
      <c r="G1989" s="41"/>
      <c r="H1989" s="41"/>
      <c r="I1989" s="57"/>
      <c r="J1989" s="36"/>
      <c r="K1989" s="57"/>
      <c r="L1989" s="57"/>
      <c r="M1989" s="57"/>
      <c r="N1989" s="42"/>
      <c r="O1989" s="57"/>
      <c r="P1989" s="43"/>
      <c r="Q1989" s="41"/>
      <c r="R1989" s="43"/>
      <c r="S1989" s="36"/>
      <c r="T1989" s="16">
        <f t="shared" ref="T1989:T2000" si="62">IF(OR($J1989="Accepted",ISBLANK($J1989)),IF(AND($G1989="Legacy Data",$Q1989="Legacy Data"),1,IF(OR($G1989="Legacy Data",$Q1989="Legacy Data"),1,0)),IF(OR($N1989="Agree with original translator",ISBLANK($N1989)),IF(AND($G1989="Source Text Data",$Q1989="Legacy Data"),1,IF(AND($G1989="Legacy Data",$Q1989="Legacy Data"),1,IF($Q1989="Legacy Data",1,0))),IF(AND($G1989="Legacy Data",$Q1989="Legacy Data"),1,IF(OR($Q1989="Legacy Data",ISBLANK($Q1989)),IF($G1989&lt;&gt;"Legacy Data",IF(AND($G1989="Source Text Data",$Q1989="Legacy Data"),1,0),1),0))))</f>
        <v>0</v>
      </c>
      <c r="U1989" s="16">
        <f t="shared" ref="U1989:U2000" si="63">IF(OR($J1989="Accepted",ISBLANK($J1989)),IF(AND($G1989="Source Text Data",$Q1989="Source Text Data"),1,IF(OR($G1989="Source Text Data",$Q1989="Source Text Data"),1,0)),IF(OR($N1989="Agree with original translator",ISBLANK($N1989)),IF(AND($G1989="Legacy Data",$Q1989="Source Text Data"),1,IF(AND($G1989="Source Text Data",$Q1989="Source Text Data"),1,IF($Q1989="Source Text Data",1,0))),IF(AND($G1989="Source Text Data",$Q1989="Source Text Data"),1,IF(OR($Q1989="Source Text Data",ISBLANK($Q1989)),IF($G1989&lt;&gt;"Source Text Data",IF(AND($G1989="Legacy Data",$Q1989="Source Text Data"),1,0),1),0))))</f>
        <v>0</v>
      </c>
      <c r="V1989" s="133"/>
    </row>
    <row r="1990" spans="1:22" s="56" customFormat="1">
      <c r="A1990" s="58"/>
      <c r="B1990" s="36"/>
      <c r="C1990" s="58"/>
      <c r="D1990" s="57"/>
      <c r="E1990" s="57"/>
      <c r="F1990" s="41"/>
      <c r="G1990" s="41"/>
      <c r="H1990" s="41"/>
      <c r="I1990" s="57"/>
      <c r="J1990" s="36"/>
      <c r="K1990" s="57"/>
      <c r="L1990" s="57"/>
      <c r="M1990" s="57"/>
      <c r="N1990" s="42"/>
      <c r="O1990" s="57"/>
      <c r="P1990" s="43"/>
      <c r="Q1990" s="41"/>
      <c r="R1990" s="43"/>
      <c r="S1990" s="36"/>
      <c r="T1990" s="16">
        <f t="shared" si="62"/>
        <v>0</v>
      </c>
      <c r="U1990" s="16">
        <f t="shared" si="63"/>
        <v>0</v>
      </c>
      <c r="V1990" s="133"/>
    </row>
    <row r="1991" spans="1:22" s="56" customFormat="1">
      <c r="A1991" s="58"/>
      <c r="B1991" s="36"/>
      <c r="C1991" s="58"/>
      <c r="D1991" s="57"/>
      <c r="E1991" s="57"/>
      <c r="F1991" s="41"/>
      <c r="G1991" s="41"/>
      <c r="H1991" s="41"/>
      <c r="I1991" s="57"/>
      <c r="J1991" s="36"/>
      <c r="K1991" s="57"/>
      <c r="L1991" s="57"/>
      <c r="M1991" s="57"/>
      <c r="N1991" s="42"/>
      <c r="O1991" s="57"/>
      <c r="P1991" s="43"/>
      <c r="Q1991" s="41"/>
      <c r="R1991" s="43"/>
      <c r="S1991" s="36"/>
      <c r="T1991" s="16">
        <f t="shared" si="62"/>
        <v>0</v>
      </c>
      <c r="U1991" s="16">
        <f t="shared" si="63"/>
        <v>0</v>
      </c>
      <c r="V1991" s="133"/>
    </row>
    <row r="1992" spans="1:22" s="56" customFormat="1">
      <c r="A1992" s="58"/>
      <c r="B1992" s="36"/>
      <c r="C1992" s="58"/>
      <c r="D1992" s="57"/>
      <c r="E1992" s="57"/>
      <c r="F1992" s="41"/>
      <c r="G1992" s="41"/>
      <c r="H1992" s="41"/>
      <c r="I1992" s="57"/>
      <c r="J1992" s="36"/>
      <c r="K1992" s="57"/>
      <c r="L1992" s="57"/>
      <c r="M1992" s="57"/>
      <c r="N1992" s="42"/>
      <c r="O1992" s="57"/>
      <c r="P1992" s="43"/>
      <c r="Q1992" s="41"/>
      <c r="R1992" s="43"/>
      <c r="S1992" s="36"/>
      <c r="T1992" s="16">
        <f t="shared" si="62"/>
        <v>0</v>
      </c>
      <c r="U1992" s="16">
        <f t="shared" si="63"/>
        <v>0</v>
      </c>
      <c r="V1992" s="133"/>
    </row>
    <row r="1993" spans="1:22" s="56" customFormat="1">
      <c r="A1993" s="58"/>
      <c r="B1993" s="36"/>
      <c r="C1993" s="58"/>
      <c r="D1993" s="57"/>
      <c r="E1993" s="57"/>
      <c r="F1993" s="41"/>
      <c r="G1993" s="41"/>
      <c r="H1993" s="41"/>
      <c r="I1993" s="57"/>
      <c r="J1993" s="36"/>
      <c r="K1993" s="57"/>
      <c r="L1993" s="57"/>
      <c r="M1993" s="57"/>
      <c r="N1993" s="42"/>
      <c r="O1993" s="57"/>
      <c r="P1993" s="43"/>
      <c r="Q1993" s="41"/>
      <c r="R1993" s="43"/>
      <c r="S1993" s="36"/>
      <c r="T1993" s="16">
        <f t="shared" si="62"/>
        <v>0</v>
      </c>
      <c r="U1993" s="16">
        <f t="shared" si="63"/>
        <v>0</v>
      </c>
      <c r="V1993" s="133"/>
    </row>
    <row r="1994" spans="1:22" s="56" customFormat="1">
      <c r="A1994" s="58"/>
      <c r="B1994" s="36"/>
      <c r="C1994" s="58"/>
      <c r="D1994" s="57"/>
      <c r="E1994" s="57"/>
      <c r="F1994" s="41"/>
      <c r="G1994" s="41"/>
      <c r="H1994" s="41"/>
      <c r="I1994" s="57"/>
      <c r="J1994" s="36"/>
      <c r="K1994" s="57"/>
      <c r="L1994" s="57"/>
      <c r="M1994" s="57"/>
      <c r="N1994" s="42"/>
      <c r="O1994" s="57"/>
      <c r="P1994" s="43"/>
      <c r="Q1994" s="41"/>
      <c r="R1994" s="43"/>
      <c r="S1994" s="36"/>
      <c r="T1994" s="16">
        <f t="shared" si="62"/>
        <v>0</v>
      </c>
      <c r="U1994" s="16">
        <f t="shared" si="63"/>
        <v>0</v>
      </c>
      <c r="V1994" s="133"/>
    </row>
    <row r="1995" spans="1:22" s="56" customFormat="1">
      <c r="A1995" s="58"/>
      <c r="B1995" s="36"/>
      <c r="C1995" s="58"/>
      <c r="D1995" s="57"/>
      <c r="E1995" s="57"/>
      <c r="F1995" s="41"/>
      <c r="G1995" s="41"/>
      <c r="H1995" s="41"/>
      <c r="I1995" s="57"/>
      <c r="J1995" s="36"/>
      <c r="K1995" s="57"/>
      <c r="L1995" s="57"/>
      <c r="M1995" s="57"/>
      <c r="N1995" s="42"/>
      <c r="O1995" s="57"/>
      <c r="P1995" s="43"/>
      <c r="Q1995" s="41"/>
      <c r="R1995" s="43"/>
      <c r="S1995" s="36"/>
      <c r="T1995" s="16">
        <f t="shared" si="62"/>
        <v>0</v>
      </c>
      <c r="U1995" s="16">
        <f t="shared" si="63"/>
        <v>0</v>
      </c>
      <c r="V1995" s="133"/>
    </row>
    <row r="1996" spans="1:22" s="56" customFormat="1">
      <c r="A1996" s="58"/>
      <c r="B1996" s="36"/>
      <c r="C1996" s="58"/>
      <c r="D1996" s="57"/>
      <c r="E1996" s="57"/>
      <c r="F1996" s="41"/>
      <c r="G1996" s="41"/>
      <c r="H1996" s="41"/>
      <c r="I1996" s="57"/>
      <c r="J1996" s="36"/>
      <c r="K1996" s="57"/>
      <c r="L1996" s="57"/>
      <c r="M1996" s="57"/>
      <c r="N1996" s="42"/>
      <c r="O1996" s="57"/>
      <c r="P1996" s="43"/>
      <c r="Q1996" s="41"/>
      <c r="R1996" s="43"/>
      <c r="S1996" s="36"/>
      <c r="T1996" s="16">
        <f t="shared" si="62"/>
        <v>0</v>
      </c>
      <c r="U1996" s="16">
        <f t="shared" si="63"/>
        <v>0</v>
      </c>
      <c r="V1996" s="133"/>
    </row>
    <row r="1997" spans="1:22" s="56" customFormat="1">
      <c r="A1997" s="58"/>
      <c r="B1997" s="36"/>
      <c r="C1997" s="58"/>
      <c r="D1997" s="57"/>
      <c r="E1997" s="57"/>
      <c r="F1997" s="41"/>
      <c r="G1997" s="41"/>
      <c r="H1997" s="41"/>
      <c r="I1997" s="57"/>
      <c r="J1997" s="36"/>
      <c r="K1997" s="57"/>
      <c r="L1997" s="57"/>
      <c r="M1997" s="57"/>
      <c r="N1997" s="42"/>
      <c r="O1997" s="57"/>
      <c r="P1997" s="43"/>
      <c r="Q1997" s="41"/>
      <c r="R1997" s="43"/>
      <c r="S1997" s="36"/>
      <c r="T1997" s="16">
        <f t="shared" si="62"/>
        <v>0</v>
      </c>
      <c r="U1997" s="16">
        <f t="shared" si="63"/>
        <v>0</v>
      </c>
      <c r="V1997" s="133"/>
    </row>
    <row r="1998" spans="1:22" s="56" customFormat="1">
      <c r="A1998" s="58"/>
      <c r="B1998" s="36"/>
      <c r="C1998" s="58"/>
      <c r="D1998" s="57"/>
      <c r="E1998" s="57"/>
      <c r="F1998" s="41"/>
      <c r="G1998" s="41"/>
      <c r="H1998" s="41"/>
      <c r="I1998" s="57"/>
      <c r="J1998" s="36"/>
      <c r="K1998" s="57"/>
      <c r="L1998" s="57"/>
      <c r="M1998" s="57"/>
      <c r="N1998" s="42"/>
      <c r="O1998" s="57"/>
      <c r="P1998" s="43"/>
      <c r="Q1998" s="41"/>
      <c r="R1998" s="43"/>
      <c r="S1998" s="36"/>
      <c r="T1998" s="16">
        <f t="shared" si="62"/>
        <v>0</v>
      </c>
      <c r="U1998" s="16">
        <f t="shared" si="63"/>
        <v>0</v>
      </c>
      <c r="V1998" s="133"/>
    </row>
    <row r="1999" spans="1:22" s="56" customFormat="1">
      <c r="A1999" s="58"/>
      <c r="B1999" s="36"/>
      <c r="C1999" s="58"/>
      <c r="D1999" s="57"/>
      <c r="E1999" s="57"/>
      <c r="F1999" s="41"/>
      <c r="G1999" s="41"/>
      <c r="H1999" s="41"/>
      <c r="I1999" s="57"/>
      <c r="J1999" s="36"/>
      <c r="K1999" s="57"/>
      <c r="L1999" s="57"/>
      <c r="M1999" s="57"/>
      <c r="N1999" s="42"/>
      <c r="O1999" s="57"/>
      <c r="P1999" s="43"/>
      <c r="Q1999" s="41"/>
      <c r="R1999" s="43"/>
      <c r="S1999" s="36"/>
      <c r="T1999" s="16">
        <f t="shared" si="62"/>
        <v>0</v>
      </c>
      <c r="U1999" s="16">
        <f t="shared" si="63"/>
        <v>0</v>
      </c>
      <c r="V1999" s="133"/>
    </row>
    <row r="2000" spans="1:22" s="56" customFormat="1">
      <c r="A2000" s="58"/>
      <c r="B2000" s="36"/>
      <c r="C2000" s="58"/>
      <c r="D2000" s="57"/>
      <c r="E2000" s="57"/>
      <c r="F2000" s="41"/>
      <c r="G2000" s="41"/>
      <c r="H2000" s="41"/>
      <c r="I2000" s="57"/>
      <c r="J2000" s="36"/>
      <c r="K2000" s="57"/>
      <c r="L2000" s="57"/>
      <c r="M2000" s="57"/>
      <c r="N2000" s="42"/>
      <c r="O2000" s="57"/>
      <c r="P2000" s="43"/>
      <c r="Q2000" s="41"/>
      <c r="R2000" s="43"/>
      <c r="S2000" s="36"/>
      <c r="T2000" s="16">
        <f t="shared" si="62"/>
        <v>0</v>
      </c>
      <c r="U2000" s="16">
        <f t="shared" si="63"/>
        <v>0</v>
      </c>
      <c r="V2000" s="133"/>
    </row>
  </sheetData>
  <dataConsolidate link="1"/>
  <mergeCells count="2">
    <mergeCell ref="P2:R2"/>
    <mergeCell ref="A1:V1"/>
  </mergeCells>
  <conditionalFormatting sqref="I4:I2000">
    <cfRule type="containsBlanks" dxfId="57" priority="300">
      <formula>LEN(TRIM(I4))=0</formula>
    </cfRule>
  </conditionalFormatting>
  <conditionalFormatting sqref="O13:P14 I13:M14 I15:P31 H32:P2000 A27:G2000 A4:V4 Q5:V2000 I5:P12 A5:E26">
    <cfRule type="expression" dxfId="56" priority="287">
      <formula>$P4="Formatting / non-linguistic"</formula>
    </cfRule>
    <cfRule type="expression" dxfId="55" priority="288">
      <formula>$P4="Legacy Data Error"</formula>
    </cfRule>
    <cfRule type="expression" dxfId="54" priority="289">
      <formula>$P4="Source Text Error"</formula>
    </cfRule>
    <cfRule type="expression" dxfId="53" priority="290">
      <formula>$F4="Legacy Data Error"</formula>
    </cfRule>
    <cfRule type="expression" dxfId="52" priority="291">
      <formula>$F4="Formatting / non-linguistic"</formula>
    </cfRule>
    <cfRule type="expression" dxfId="51" priority="292">
      <formula>$F4="Source Text Error"</formula>
    </cfRule>
    <cfRule type="expression" dxfId="50" priority="293">
      <formula>$R4="Repeated"</formula>
    </cfRule>
    <cfRule type="expression" dxfId="49" priority="294">
      <formula>$R4="Neutral"</formula>
    </cfRule>
    <cfRule type="expression" dxfId="48" priority="295">
      <formula>$S4="Invalid"</formula>
    </cfRule>
    <cfRule type="expression" dxfId="47" priority="296">
      <formula>$H4="Repeated"</formula>
    </cfRule>
    <cfRule type="expression" dxfId="46" priority="297">
      <formula>$H4="Neutral"</formula>
    </cfRule>
  </conditionalFormatting>
  <conditionalFormatting sqref="N13">
    <cfRule type="expression" dxfId="45" priority="365">
      <formula>$P14="Formatting / non-linguistic"</formula>
    </cfRule>
    <cfRule type="expression" dxfId="44" priority="366">
      <formula>$P14="Legacy Data Error"</formula>
    </cfRule>
    <cfRule type="expression" dxfId="43" priority="367">
      <formula>$P14="Source Text Error"</formula>
    </cfRule>
    <cfRule type="expression" dxfId="42" priority="368">
      <formula>$F14="Legacy Data Error"</formula>
    </cfRule>
    <cfRule type="expression" dxfId="41" priority="369">
      <formula>$F14="Formatting / non-linguistic"</formula>
    </cfRule>
    <cfRule type="expression" dxfId="40" priority="370">
      <formula>$F14="Source Text Error"</formula>
    </cfRule>
    <cfRule type="expression" dxfId="39" priority="371">
      <formula>$R14="Repeated"</formula>
    </cfRule>
    <cfRule type="expression" dxfId="38" priority="372">
      <formula>$R14="Preferential improvement"</formula>
    </cfRule>
    <cfRule type="expression" dxfId="37" priority="373">
      <formula>$S14="Invalid"</formula>
    </cfRule>
    <cfRule type="expression" dxfId="36" priority="374">
      <formula>$H14="Repeated"</formula>
    </cfRule>
    <cfRule type="expression" dxfId="35" priority="375">
      <formula>$H14="Preferential improvement"</formula>
    </cfRule>
  </conditionalFormatting>
  <conditionalFormatting sqref="H27">
    <cfRule type="expression" dxfId="34" priority="243">
      <formula>$P27="Formatting / non-linguistic"</formula>
    </cfRule>
    <cfRule type="expression" dxfId="33" priority="244">
      <formula>$P27="Legacy Data Error"</formula>
    </cfRule>
    <cfRule type="expression" dxfId="32" priority="245">
      <formula>$P27="Source Text Error"</formula>
    </cfRule>
    <cfRule type="expression" dxfId="31" priority="246">
      <formula>$F27="Legacy Data Error"</formula>
    </cfRule>
    <cfRule type="expression" dxfId="30" priority="247">
      <formula>$F27="Formatting / non-linguistic"</formula>
    </cfRule>
    <cfRule type="expression" dxfId="29" priority="248">
      <formula>$F27="Source Text Error"</formula>
    </cfRule>
    <cfRule type="expression" dxfId="28" priority="249">
      <formula>$R27="Repeated"</formula>
    </cfRule>
    <cfRule type="expression" dxfId="27" priority="250">
      <formula>$R27="Preferential improvement"</formula>
    </cfRule>
    <cfRule type="expression" dxfId="26" priority="251">
      <formula>$S27="Invalid"</formula>
    </cfRule>
    <cfRule type="expression" dxfId="25" priority="252">
      <formula>$H27="Repeated"</formula>
    </cfRule>
    <cfRule type="expression" dxfId="24" priority="253">
      <formula>$H27="Preferential improvement"</formula>
    </cfRule>
  </conditionalFormatting>
  <conditionalFormatting sqref="H28:H31">
    <cfRule type="expression" dxfId="23" priority="232">
      <formula>$P28="Formatting / non-linguistic"</formula>
    </cfRule>
    <cfRule type="expression" dxfId="22" priority="233">
      <formula>$P28="Legacy Data Error"</formula>
    </cfRule>
    <cfRule type="expression" dxfId="21" priority="234">
      <formula>$P28="Source Text Error"</formula>
    </cfRule>
    <cfRule type="expression" dxfId="20" priority="235">
      <formula>$F28="Legacy Data Error"</formula>
    </cfRule>
    <cfRule type="expression" dxfId="19" priority="236">
      <formula>$F28="Formatting / non-linguistic"</formula>
    </cfRule>
    <cfRule type="expression" dxfId="18" priority="237">
      <formula>$F28="Source Text Error"</formula>
    </cfRule>
    <cfRule type="expression" dxfId="17" priority="238">
      <formula>$R28="Repeated"</formula>
    </cfRule>
    <cfRule type="expression" dxfId="16" priority="239">
      <formula>$R28="Preferential improvement"</formula>
    </cfRule>
    <cfRule type="expression" dxfId="15" priority="240">
      <formula>$S28="Invalid"</formula>
    </cfRule>
    <cfRule type="expression" dxfId="14" priority="241">
      <formula>$H28="Repeated"</formula>
    </cfRule>
    <cfRule type="expression" dxfId="13" priority="242">
      <formula>$H28="Preferential improvement"</formula>
    </cfRule>
  </conditionalFormatting>
  <conditionalFormatting sqref="F5:H26">
    <cfRule type="expression" dxfId="12" priority="1">
      <formula>$P5="Formatting / non-linguistic"</formula>
    </cfRule>
    <cfRule type="expression" dxfId="11" priority="2">
      <formula>$P5="Legacy Data Error"</formula>
    </cfRule>
    <cfRule type="expression" dxfId="10" priority="3">
      <formula>$P5="Source Text Error"</formula>
    </cfRule>
    <cfRule type="expression" dxfId="9" priority="4">
      <formula>$F5="Legacy Data Error"</formula>
    </cfRule>
    <cfRule type="expression" dxfId="8" priority="5">
      <formula>$F5="Formatting / non-linguistic"</formula>
    </cfRule>
    <cfRule type="expression" dxfId="7" priority="6">
      <formula>$F5="Source Text Error"</formula>
    </cfRule>
    <cfRule type="expression" dxfId="6" priority="7">
      <formula>$R5="Repeated"</formula>
    </cfRule>
    <cfRule type="expression" dxfId="5" priority="8">
      <formula>$R5="Neutral"</formula>
    </cfRule>
    <cfRule type="expression" dxfId="4" priority="9">
      <formula>$S5="Invalid"</formula>
    </cfRule>
    <cfRule type="expression" dxfId="3" priority="10">
      <formula>$H5="Repeated"</formula>
    </cfRule>
    <cfRule type="expression" dxfId="2" priority="11">
      <formula>$H5="Neutral"</formula>
    </cfRule>
  </conditionalFormatting>
  <dataValidations disablePrompts="1" count="7">
    <dataValidation type="list" allowBlank="1" showInputMessage="1" showErrorMessage="1" sqref="S4:S2000">
      <formula1>"Implemented, Not implemented, Invalid"</formula1>
    </dataValidation>
    <dataValidation type="list" allowBlank="1" showInputMessage="1" showErrorMessage="1" sqref="N4:N13 N15:N2000">
      <formula1>"Agree with original translator,Disagree with original translator"</formula1>
    </dataValidation>
    <dataValidation type="list" allowBlank="1" showInputMessage="1" showErrorMessage="1" sqref="J4:J2000">
      <formula1>"Accepted,Not accepted"</formula1>
    </dataValidation>
    <dataValidation type="list" allowBlank="1" showInputMessage="1" showErrorMessage="1" sqref="F4:F2000">
      <formula1>aLevel2</formula1>
    </dataValidation>
    <dataValidation type="list" allowBlank="1" showInputMessage="1" showErrorMessage="1" sqref="P4:P2000">
      <formula1>IF($J4="Accepted",BlankList,aLevel2)</formula1>
    </dataValidation>
    <dataValidation type="list" allowBlank="1" showInputMessage="1" showErrorMessage="1" sqref="R4:R2000">
      <formula1>IF($J4="Accepted",BlankList,Error_categories)</formula1>
    </dataValidation>
    <dataValidation type="list" allowBlank="1" showInputMessage="1" showErrorMessage="1" sqref="V4:V2000">
      <formula1>IF($S4="Not Implemented",NotImp,"")</formula1>
    </dataValidation>
  </dataValidations>
  <printOptions horizontalCentered="1"/>
  <pageMargins left="0.59055118110236227" right="0.47244094488188981" top="0.70866141732283472" bottom="0.55118110236220474" header="0.31496062992125984" footer="0.19685039370078741"/>
  <pageSetup paperSize="9" scale="27" fitToHeight="0" orientation="landscape" r:id="rId1"/>
  <headerFooter alignWithMargins="0">
    <oddFooter>&amp;L&amp;"Noto Sans,Regular"&amp;9
Uncontrolled when in use&amp;C&amp;"Noto Sans,Regular"&amp;9Page &amp;P of &amp;N
&amp;F&amp;R&amp;"Noto Sans,Regular"&amp;9Ver.: 1
Approved: 15-Jun-22</oddFooter>
  </headerFooter>
  <drawing r:id="rId2"/>
  <legacyDrawing r:id="rId3"/>
  <controls>
    <mc:AlternateContent xmlns:mc="http://schemas.openxmlformats.org/markup-compatibility/2006">
      <mc:Choice Requires="x14">
        <control shapeId="11281" r:id="rId4" name="ComboBox2">
          <controlPr defaultSize="0" autoLine="0" autoPict="0" r:id="rId5">
            <anchor moveWithCells="1">
              <from>
                <xdr:col>13</xdr:col>
                <xdr:colOff>438150</xdr:colOff>
                <xdr:row>1</xdr:row>
                <xdr:rowOff>676275</xdr:rowOff>
              </from>
              <to>
                <xdr:col>13</xdr:col>
                <xdr:colOff>2009775</xdr:colOff>
                <xdr:row>1</xdr:row>
                <xdr:rowOff>895350</xdr:rowOff>
              </to>
            </anchor>
          </controlPr>
        </control>
      </mc:Choice>
      <mc:Fallback>
        <control shapeId="11281" r:id="rId4" name="ComboBox2"/>
      </mc:Fallback>
    </mc:AlternateContent>
  </control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IF('Evaluation Report_Initial'!$M$12="Economy",IF(OR($F4="Punctuation",$F4="Style",$F4="Miscellaneous"),Setup!$E$8,Error_categories),Error_categories)</xm:f>
          </x14:formula1>
          <xm:sqref>H4:H2000</xm:sqref>
        </x14:dataValidation>
        <x14:dataValidation type="list" allowBlank="1" showInputMessage="1" showErrorMessage="1">
          <x14:formula1>
            <xm:f>IF($F4=Setup!$K$2,Acc,IF($F4=Setup!$L$2,Conventions,IF($F4=Setup!$N$2,Locale,IF($F4=Setup!$M$2,Style,IF($F4=Setup!$P$2,Design,IF($F4=Setup!$Q$2,Other,IF($F4=Setup!$J$2,Terminology,IF($F4=Setup!$O$2,Audience,""))))))))</xm:f>
          </x14:formula1>
          <xm:sqref>G4:G2000</xm:sqref>
        </x14:dataValidation>
        <x14:dataValidation type="list" allowBlank="1" showInputMessage="1" showErrorMessage="1">
          <x14:formula1>
            <xm:f>IF($P4=Setup!$K$2,Acc,IF($P4=Setup!$L$2,Conventions,IF($P4=Setup!$N$2,Locale,IF($P4=Setup!$M$2,Style,IF($P4=Setup!$P$2,Design,IF($P4=Setup!$Q$2,Other,IF($P4=Setup!$J$2,Terminology,IF($P4=Setup!$O$2,Audience,""))))))))</xm:f>
          </x14:formula1>
          <xm:sqref>Q4:Q2000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0" tint="-0.34998626667073579"/>
    <pageSetUpPr fitToPage="1"/>
  </sheetPr>
  <dimension ref="A1:G399"/>
  <sheetViews>
    <sheetView showGridLines="0" topLeftCell="B1" zoomScaleNormal="100" zoomScaleSheetLayoutView="50" workbookViewId="0">
      <selection activeCell="G32" sqref="G32"/>
    </sheetView>
  </sheetViews>
  <sheetFormatPr defaultColWidth="9.140625" defaultRowHeight="12.75"/>
  <cols>
    <col min="1" max="1" width="3.28515625" style="29" hidden="1" customWidth="1"/>
    <col min="2" max="2" width="9.140625" style="29" customWidth="1"/>
    <col min="3" max="3" width="20" style="29" customWidth="1"/>
    <col min="4" max="5" width="16" style="29" customWidth="1"/>
    <col min="6" max="6" width="55.5703125" style="29" customWidth="1"/>
    <col min="7" max="7" width="27" style="29" customWidth="1"/>
    <col min="8" max="16384" width="9.140625" style="29"/>
  </cols>
  <sheetData>
    <row r="1" spans="1:7" s="30" customFormat="1" ht="54" customHeight="1" thickTop="1" thickBot="1">
      <c r="A1" s="145"/>
      <c r="B1" s="563" t="s">
        <v>2633</v>
      </c>
      <c r="C1" s="564"/>
      <c r="D1" s="564"/>
      <c r="E1" s="564"/>
      <c r="F1" s="564"/>
      <c r="G1" s="29"/>
    </row>
    <row r="2" spans="1:7" ht="13.5" thickTop="1"/>
    <row r="3" spans="1:7" ht="47.45" customHeight="1">
      <c r="B3" s="565" t="s">
        <v>2464</v>
      </c>
      <c r="C3" s="565"/>
      <c r="D3" s="565"/>
      <c r="E3" s="565"/>
      <c r="F3" s="565"/>
    </row>
    <row r="5" spans="1:7" ht="15.75">
      <c r="B5" s="562" t="s">
        <v>2424</v>
      </c>
      <c r="C5" s="562"/>
      <c r="D5" s="562"/>
      <c r="E5" s="562"/>
      <c r="F5" s="562"/>
    </row>
    <row r="6" spans="1:7" ht="15.75">
      <c r="B6" s="584" t="s">
        <v>2629</v>
      </c>
      <c r="C6" s="584"/>
      <c r="D6" s="584"/>
      <c r="E6" s="161"/>
      <c r="F6" s="161"/>
    </row>
    <row r="7" spans="1:7" ht="15.75" customHeight="1">
      <c r="B7" s="553" t="str">
        <f>"A. " &amp;Setup!J2</f>
        <v>A. Terminology</v>
      </c>
      <c r="C7" s="553"/>
      <c r="D7" s="553"/>
      <c r="E7" s="161"/>
      <c r="F7" s="161"/>
    </row>
    <row r="8" spans="1:7" ht="15.75">
      <c r="B8" s="554" t="str">
        <f>Setup!J3</f>
        <v>Inconsistent with terminology resource</v>
      </c>
      <c r="C8" s="554"/>
      <c r="D8" s="554"/>
      <c r="E8" s="161"/>
      <c r="F8" s="161"/>
    </row>
    <row r="9" spans="1:7" ht="15.75">
      <c r="B9" s="554" t="str">
        <f>Setup!J4</f>
        <v>Inconsistent use of terminology</v>
      </c>
      <c r="C9" s="554"/>
      <c r="D9" s="554"/>
      <c r="E9" s="161"/>
      <c r="F9" s="161"/>
    </row>
    <row r="10" spans="1:7" ht="15.75">
      <c r="B10" s="554" t="str">
        <f xml:space="preserve"> Setup!J5</f>
        <v>Wrong term</v>
      </c>
      <c r="C10" s="554"/>
      <c r="D10" s="554"/>
      <c r="E10" s="161"/>
      <c r="F10" s="161"/>
    </row>
    <row r="11" spans="1:7" ht="15.75">
      <c r="B11" s="554" t="str">
        <f>Setup!J6</f>
        <v>Other</v>
      </c>
      <c r="C11" s="554"/>
      <c r="D11" s="554"/>
      <c r="E11" s="161"/>
      <c r="F11" s="161"/>
    </row>
    <row r="12" spans="1:7" ht="15.6" customHeight="1">
      <c r="B12" s="553" t="str">
        <f>"B. " &amp;Setup!K2</f>
        <v>B. Accuracy</v>
      </c>
      <c r="C12" s="553"/>
      <c r="D12" s="553"/>
      <c r="E12" s="62"/>
      <c r="F12" s="62"/>
    </row>
    <row r="13" spans="1:7" ht="15.75">
      <c r="B13" s="554" t="str">
        <f>Setup!K3</f>
        <v>Mistranslation</v>
      </c>
      <c r="C13" s="554"/>
      <c r="D13" s="554"/>
      <c r="E13" s="62"/>
      <c r="F13" s="62"/>
    </row>
    <row r="14" spans="1:7" ht="15.75">
      <c r="B14" s="554" t="str">
        <f>Setup!K4</f>
        <v>Over-translation</v>
      </c>
      <c r="C14" s="554"/>
      <c r="D14" s="554"/>
      <c r="E14" s="62"/>
      <c r="F14" s="62"/>
    </row>
    <row r="15" spans="1:7" ht="15.75">
      <c r="B15" s="554" t="str">
        <f>Setup!K5</f>
        <v>Under-translation</v>
      </c>
      <c r="C15" s="554"/>
      <c r="D15" s="554"/>
      <c r="E15" s="256"/>
      <c r="F15" s="256"/>
    </row>
    <row r="16" spans="1:7" ht="15.75">
      <c r="B16" s="554" t="str">
        <f>Setup!K6</f>
        <v>Addition</v>
      </c>
      <c r="C16" s="554"/>
      <c r="D16" s="554"/>
      <c r="E16" s="256"/>
      <c r="F16" s="256"/>
    </row>
    <row r="17" spans="2:6" ht="15.75">
      <c r="B17" s="554" t="str">
        <f>Setup!K7</f>
        <v>Omission</v>
      </c>
      <c r="C17" s="554"/>
      <c r="D17" s="554"/>
      <c r="E17" s="256"/>
      <c r="F17" s="256"/>
    </row>
    <row r="18" spans="2:6" ht="15.75">
      <c r="B18" s="554" t="str">
        <f>Setup!K8</f>
        <v>Do not translate (DNT)</v>
      </c>
      <c r="C18" s="554"/>
      <c r="D18" s="554"/>
      <c r="E18" s="62"/>
      <c r="F18" s="62"/>
    </row>
    <row r="19" spans="2:6" ht="15.75">
      <c r="B19" s="554" t="str">
        <f>Setup!K9</f>
        <v>Untranslated</v>
      </c>
      <c r="C19" s="554"/>
      <c r="D19" s="554"/>
      <c r="E19" s="62"/>
      <c r="F19" s="62"/>
    </row>
    <row r="20" spans="2:6" ht="15.75">
      <c r="B20" s="554" t="str">
        <f>Setup!K10</f>
        <v>Other</v>
      </c>
      <c r="C20" s="554"/>
      <c r="D20" s="554"/>
      <c r="E20" s="62"/>
      <c r="F20" s="62"/>
    </row>
    <row r="21" spans="2:6" ht="15.6" customHeight="1">
      <c r="B21" s="553" t="str">
        <f>"C. " &amp;Setup!L2</f>
        <v>C. Linguistic conventions</v>
      </c>
      <c r="C21" s="553"/>
      <c r="D21" s="553"/>
      <c r="E21" s="62"/>
      <c r="F21" s="62"/>
    </row>
    <row r="22" spans="2:6" ht="15.75">
      <c r="B22" s="554" t="str">
        <f>Setup!L3</f>
        <v>Grammar</v>
      </c>
      <c r="C22" s="554"/>
      <c r="D22" s="554"/>
      <c r="E22" s="160"/>
      <c r="F22" s="160"/>
    </row>
    <row r="23" spans="2:6" ht="15.75">
      <c r="B23" s="554" t="str">
        <f>Setup!L4</f>
        <v>Punctuation</v>
      </c>
      <c r="C23" s="554"/>
      <c r="D23" s="554"/>
      <c r="E23" s="160"/>
      <c r="F23" s="160"/>
    </row>
    <row r="24" spans="2:6" ht="15.75">
      <c r="B24" s="554" t="str">
        <f>Setup!L5</f>
        <v>Spelling</v>
      </c>
      <c r="C24" s="554"/>
      <c r="D24" s="554"/>
      <c r="E24" s="160"/>
      <c r="F24" s="160"/>
    </row>
    <row r="25" spans="2:6" ht="15.75">
      <c r="B25" s="554" t="str">
        <f>Setup!L6</f>
        <v>Unintelligible</v>
      </c>
      <c r="C25" s="554"/>
      <c r="D25" s="554"/>
      <c r="E25" s="160"/>
      <c r="F25" s="160"/>
    </row>
    <row r="26" spans="2:6" ht="15.75">
      <c r="B26" s="554" t="str">
        <f>Setup!L7</f>
        <v>Character encoding</v>
      </c>
      <c r="C26" s="554"/>
      <c r="D26" s="554"/>
      <c r="E26" s="160"/>
      <c r="F26" s="160"/>
    </row>
    <row r="27" spans="2:6" ht="15.75">
      <c r="B27" s="554" t="str">
        <f>Setup!L8</f>
        <v>Other</v>
      </c>
      <c r="C27" s="554"/>
      <c r="D27" s="554"/>
      <c r="E27" s="160"/>
      <c r="F27" s="160"/>
    </row>
    <row r="28" spans="2:6" ht="15.75">
      <c r="B28" s="553" t="str">
        <f>"D. " &amp;Setup!M2</f>
        <v>D. Style</v>
      </c>
      <c r="C28" s="553"/>
      <c r="D28" s="553"/>
      <c r="E28" s="160"/>
      <c r="F28" s="160"/>
    </row>
    <row r="29" spans="2:6" ht="15.75">
      <c r="B29" s="554" t="str">
        <f>Setup!M3</f>
        <v>Organizational style</v>
      </c>
      <c r="C29" s="554"/>
      <c r="D29" s="554"/>
      <c r="E29" s="160"/>
      <c r="F29" s="160"/>
    </row>
    <row r="30" spans="2:6" ht="15.75">
      <c r="B30" s="554" t="str">
        <f>Setup!M4</f>
        <v>Third-party style</v>
      </c>
      <c r="C30" s="554"/>
      <c r="D30" s="554"/>
      <c r="E30" s="160"/>
      <c r="F30" s="160"/>
    </row>
    <row r="31" spans="2:6" ht="15.75">
      <c r="B31" s="554" t="str">
        <f>Setup!M5</f>
        <v>Inconsistent with external reference</v>
      </c>
      <c r="C31" s="554"/>
      <c r="D31" s="554"/>
      <c r="E31" s="256"/>
      <c r="F31" s="256"/>
    </row>
    <row r="32" spans="2:6" ht="15.75">
      <c r="B32" s="554" t="str">
        <f>Setup!M6</f>
        <v>Register</v>
      </c>
      <c r="C32" s="554"/>
      <c r="D32" s="554"/>
      <c r="E32" s="160"/>
      <c r="F32" s="160"/>
    </row>
    <row r="33" spans="2:6" ht="15.75">
      <c r="B33" s="554" t="str">
        <f>Setup!M7</f>
        <v>Awkward style</v>
      </c>
      <c r="C33" s="554"/>
      <c r="D33" s="554"/>
      <c r="E33" s="160"/>
      <c r="F33" s="160"/>
    </row>
    <row r="34" spans="2:6" ht="15.75">
      <c r="B34" s="554" t="str">
        <f>Setup!M8</f>
        <v>Unidiomatic style</v>
      </c>
      <c r="C34" s="554"/>
      <c r="D34" s="554"/>
      <c r="E34" s="256"/>
      <c r="F34" s="256"/>
    </row>
    <row r="35" spans="2:6" ht="15.75">
      <c r="B35" s="554" t="str">
        <f>Setup!M9</f>
        <v>Inconsistent style</v>
      </c>
      <c r="C35" s="554"/>
      <c r="D35" s="554"/>
      <c r="E35" s="256"/>
      <c r="F35" s="256"/>
    </row>
    <row r="36" spans="2:6" ht="15.75">
      <c r="B36" s="554" t="str">
        <f>Setup!M10</f>
        <v>Other</v>
      </c>
      <c r="C36" s="554"/>
      <c r="D36" s="554"/>
      <c r="E36" s="160"/>
      <c r="F36" s="160"/>
    </row>
    <row r="37" spans="2:6" ht="15.6" customHeight="1">
      <c r="B37" s="553" t="str">
        <f>"E. "&amp;Setup!N2</f>
        <v>E. Locale conventions</v>
      </c>
      <c r="C37" s="553"/>
      <c r="D37" s="553"/>
      <c r="E37" s="160"/>
      <c r="F37" s="160"/>
    </row>
    <row r="38" spans="2:6" ht="15.75">
      <c r="B38" s="554" t="str">
        <f>Setup!N3</f>
        <v>Number format</v>
      </c>
      <c r="C38" s="554"/>
      <c r="D38" s="554"/>
      <c r="E38" s="160"/>
      <c r="F38" s="160"/>
    </row>
    <row r="39" spans="2:6" ht="15.75">
      <c r="B39" s="554" t="str">
        <f>Setup!N4</f>
        <v>Currency format</v>
      </c>
      <c r="C39" s="554"/>
      <c r="D39" s="554"/>
      <c r="E39" s="160"/>
      <c r="F39" s="160"/>
    </row>
    <row r="40" spans="2:6" ht="15.75">
      <c r="B40" s="554" t="str">
        <f>Setup!N5</f>
        <v>Measurement format</v>
      </c>
      <c r="C40" s="554"/>
      <c r="D40" s="554"/>
      <c r="E40" s="160"/>
      <c r="F40" s="160"/>
    </row>
    <row r="41" spans="2:6" ht="15.75">
      <c r="B41" s="554" t="str">
        <f>Setup!N6</f>
        <v>Time format</v>
      </c>
      <c r="C41" s="554"/>
      <c r="D41" s="554"/>
      <c r="E41" s="160"/>
      <c r="F41" s="160"/>
    </row>
    <row r="42" spans="2:6" ht="15.75">
      <c r="B42" s="554" t="str">
        <f>Setup!N7</f>
        <v>Date format</v>
      </c>
      <c r="C42" s="554"/>
      <c r="D42" s="554"/>
      <c r="E42" s="256"/>
      <c r="F42" s="256"/>
    </row>
    <row r="43" spans="2:6" ht="15.75">
      <c r="B43" s="554" t="str">
        <f>Setup!N8</f>
        <v>Address format</v>
      </c>
      <c r="C43" s="554"/>
      <c r="D43" s="554"/>
      <c r="E43" s="256"/>
      <c r="F43" s="256"/>
    </row>
    <row r="44" spans="2:6" ht="15.75">
      <c r="B44" s="554" t="str">
        <f>Setup!N9</f>
        <v>Telephone format</v>
      </c>
      <c r="C44" s="554"/>
      <c r="D44" s="554"/>
      <c r="E44" s="256"/>
      <c r="F44" s="256"/>
    </row>
    <row r="45" spans="2:6" ht="15.75">
      <c r="B45" s="554" t="str">
        <f>Setup!N10</f>
        <v>Shortcut key</v>
      </c>
      <c r="C45" s="554"/>
      <c r="D45" s="554"/>
      <c r="E45" s="160"/>
      <c r="F45" s="160"/>
    </row>
    <row r="46" spans="2:6" ht="15.75">
      <c r="B46" s="554" t="str">
        <f>Setup!N11</f>
        <v>Other</v>
      </c>
      <c r="C46" s="554"/>
      <c r="D46" s="554"/>
      <c r="E46" s="160"/>
      <c r="F46" s="160"/>
    </row>
    <row r="47" spans="2:6" ht="15.6" customHeight="1">
      <c r="B47" s="553" t="str">
        <f>"F. " &amp;Setup!O2</f>
        <v>F. Audience appropriateness</v>
      </c>
      <c r="C47" s="553"/>
      <c r="D47" s="553"/>
      <c r="E47" s="160"/>
      <c r="F47" s="160"/>
    </row>
    <row r="48" spans="2:6" ht="15.75">
      <c r="B48" s="554" t="str">
        <f>Setup!O3</f>
        <v>Culture-specific reference</v>
      </c>
      <c r="C48" s="554"/>
      <c r="D48" s="554"/>
      <c r="E48" s="160"/>
      <c r="F48" s="160"/>
    </row>
    <row r="49" spans="2:6" ht="15.75">
      <c r="B49" s="554" t="str">
        <f>Setup!O4</f>
        <v>Other</v>
      </c>
      <c r="C49" s="554"/>
      <c r="D49" s="554"/>
      <c r="E49" s="160"/>
      <c r="F49" s="160"/>
    </row>
    <row r="50" spans="2:6" ht="15.6" customHeight="1">
      <c r="B50" s="553" t="str">
        <f>"G. " &amp;Setup!P2</f>
        <v>G. Design and markup</v>
      </c>
      <c r="C50" s="553"/>
      <c r="D50" s="553"/>
      <c r="E50" s="160"/>
      <c r="F50" s="160"/>
    </row>
    <row r="51" spans="2:6" ht="15.6" customHeight="1">
      <c r="B51" s="554" t="str">
        <f>Setup!P3</f>
        <v>Character formatting</v>
      </c>
      <c r="C51" s="554"/>
      <c r="D51" s="554"/>
      <c r="E51" s="256"/>
      <c r="F51" s="256"/>
    </row>
    <row r="52" spans="2:6" ht="15.6" customHeight="1">
      <c r="B52" s="554" t="str">
        <f>Setup!P4</f>
        <v>Layout</v>
      </c>
      <c r="C52" s="554"/>
      <c r="D52" s="554"/>
      <c r="E52" s="256"/>
      <c r="F52" s="256"/>
    </row>
    <row r="53" spans="2:6" ht="15.6" customHeight="1">
      <c r="B53" s="554" t="str">
        <f>Setup!P5</f>
        <v>Markup tag</v>
      </c>
      <c r="C53" s="554"/>
      <c r="D53" s="554"/>
      <c r="E53" s="256"/>
      <c r="F53" s="256"/>
    </row>
    <row r="54" spans="2:6" ht="15.6" customHeight="1">
      <c r="B54" s="554" t="str">
        <f>Setup!P6</f>
        <v>Truncation/text expansion</v>
      </c>
      <c r="C54" s="554"/>
      <c r="D54" s="554"/>
      <c r="E54" s="256"/>
      <c r="F54" s="256"/>
    </row>
    <row r="55" spans="2:6" ht="15.6" customHeight="1">
      <c r="B55" s="554" t="str">
        <f>Setup!P7</f>
        <v>Missing text</v>
      </c>
      <c r="C55" s="554"/>
      <c r="D55" s="554"/>
      <c r="E55" s="256"/>
      <c r="F55" s="256"/>
    </row>
    <row r="56" spans="2:6" ht="15.6" customHeight="1">
      <c r="B56" s="554" t="str">
        <f>Setup!P8</f>
        <v>Link/cross-reference</v>
      </c>
      <c r="C56" s="554"/>
      <c r="D56" s="554"/>
      <c r="E56" s="256"/>
      <c r="F56" s="256"/>
    </row>
    <row r="57" spans="2:6" ht="15.75">
      <c r="B57" s="554" t="str">
        <f>Setup!P9</f>
        <v>Other</v>
      </c>
      <c r="C57" s="554"/>
      <c r="D57" s="554"/>
      <c r="E57" s="160"/>
      <c r="F57" s="160"/>
    </row>
    <row r="58" spans="2:6" ht="15.75">
      <c r="B58" s="553" t="str">
        <f>"H. " &amp;Setup!Q2</f>
        <v>H. Other</v>
      </c>
      <c r="C58" s="553"/>
      <c r="D58" s="553"/>
      <c r="E58" s="252"/>
      <c r="F58" s="252"/>
    </row>
    <row r="59" spans="2:6" ht="15.75">
      <c r="B59" s="554" t="str">
        <f>Setup!Q3</f>
        <v>Legacy data</v>
      </c>
      <c r="C59" s="554"/>
      <c r="D59" s="554"/>
      <c r="E59" s="252"/>
      <c r="F59" s="252"/>
    </row>
    <row r="60" spans="2:6" ht="15.75">
      <c r="B60" s="554" t="str">
        <f>Setup!Q4</f>
        <v>Source text data</v>
      </c>
      <c r="C60" s="554"/>
      <c r="D60" s="554"/>
      <c r="E60" s="160"/>
      <c r="F60" s="160"/>
    </row>
    <row r="61" spans="2:6" ht="15.75">
      <c r="B61" s="554" t="str">
        <f>Setup!Q5</f>
        <v>Other</v>
      </c>
      <c r="C61" s="554"/>
      <c r="D61" s="554"/>
      <c r="E61" s="252"/>
      <c r="F61" s="252"/>
    </row>
    <row r="62" spans="2:6" ht="15.75">
      <c r="B62" s="159"/>
      <c r="C62" s="165"/>
      <c r="D62" s="165"/>
      <c r="E62" s="252"/>
      <c r="F62" s="252"/>
    </row>
    <row r="63" spans="2:6" s="59" customFormat="1" ht="15.75">
      <c r="B63" s="86"/>
      <c r="C63" s="86"/>
      <c r="D63" s="86"/>
      <c r="E63" s="86"/>
      <c r="F63" s="86"/>
    </row>
    <row r="64" spans="2:6" s="59" customFormat="1" ht="15.75">
      <c r="B64" s="562" t="s">
        <v>584</v>
      </c>
      <c r="C64" s="562"/>
      <c r="D64" s="562"/>
      <c r="E64" s="562"/>
      <c r="F64" s="562"/>
    </row>
    <row r="65" spans="2:7" s="59" customFormat="1" ht="15.75">
      <c r="B65" s="583" t="s">
        <v>2630</v>
      </c>
      <c r="C65" s="583"/>
      <c r="D65" s="583"/>
      <c r="E65" s="86"/>
      <c r="F65" s="86"/>
      <c r="G65" s="86"/>
    </row>
    <row r="66" spans="2:7" s="59" customFormat="1" ht="15.75">
      <c r="B66" s="567" t="s">
        <v>32</v>
      </c>
      <c r="C66" s="567"/>
      <c r="D66" s="567"/>
      <c r="E66" s="86"/>
      <c r="F66" s="86"/>
    </row>
    <row r="67" spans="2:7" s="59" customFormat="1" ht="15.75">
      <c r="B67" s="567" t="s">
        <v>2404</v>
      </c>
      <c r="C67" s="567"/>
      <c r="D67" s="567"/>
      <c r="E67" s="86"/>
      <c r="F67" s="86"/>
    </row>
    <row r="68" spans="2:7" s="59" customFormat="1" ht="15.75">
      <c r="B68" s="567" t="s">
        <v>579</v>
      </c>
      <c r="C68" s="567"/>
      <c r="D68" s="567"/>
      <c r="E68" s="86"/>
      <c r="F68" s="86"/>
    </row>
    <row r="69" spans="2:7" s="59" customFormat="1" ht="15.75">
      <c r="B69" s="567" t="s">
        <v>2444</v>
      </c>
      <c r="C69" s="567"/>
      <c r="D69" s="567"/>
      <c r="E69" s="86"/>
      <c r="F69" s="86"/>
    </row>
    <row r="70" spans="2:7" s="59" customFormat="1" ht="15.75">
      <c r="B70" s="567" t="s">
        <v>585</v>
      </c>
      <c r="C70" s="567"/>
      <c r="D70" s="567"/>
      <c r="E70" s="86"/>
      <c r="F70" s="86"/>
    </row>
    <row r="71" spans="2:7" s="59" customFormat="1" ht="15.75">
      <c r="E71" s="86"/>
      <c r="F71" s="86"/>
    </row>
    <row r="72" spans="2:7" s="59" customFormat="1" ht="15.75">
      <c r="B72" s="86"/>
      <c r="C72" s="86"/>
      <c r="D72" s="86"/>
      <c r="E72" s="86"/>
      <c r="F72" s="86"/>
    </row>
    <row r="73" spans="2:7" s="61" customFormat="1" ht="20.100000000000001" customHeight="1">
      <c r="B73" s="562" t="s">
        <v>2424</v>
      </c>
      <c r="C73" s="562"/>
      <c r="D73" s="562"/>
      <c r="E73" s="562"/>
      <c r="F73" s="562"/>
    </row>
    <row r="74" spans="2:7" ht="15.75">
      <c r="B74" s="62"/>
      <c r="C74" s="62"/>
      <c r="D74" s="62"/>
      <c r="E74" s="62"/>
      <c r="F74" s="62"/>
    </row>
    <row r="75" spans="2:7" s="59" customFormat="1" ht="15.75" customHeight="1">
      <c r="B75" s="568" t="str">
        <f>B7&amp;":"</f>
        <v>A. Terminology:</v>
      </c>
      <c r="C75" s="569"/>
      <c r="D75" s="569"/>
      <c r="E75" s="569"/>
      <c r="F75" s="569"/>
    </row>
    <row r="76" spans="2:7" s="59" customFormat="1">
      <c r="D76" s="60"/>
    </row>
    <row r="77" spans="2:7" s="59" customFormat="1" ht="14.1" customHeight="1">
      <c r="B77" s="555" t="s">
        <v>2498</v>
      </c>
      <c r="C77" s="555"/>
      <c r="D77" s="555"/>
      <c r="E77" s="555"/>
      <c r="F77" s="555"/>
    </row>
    <row r="78" spans="2:7" s="59" customFormat="1" ht="14.1" customHeight="1">
      <c r="B78" s="555"/>
      <c r="C78" s="555"/>
      <c r="D78" s="555"/>
      <c r="E78" s="555"/>
      <c r="F78" s="555"/>
    </row>
    <row r="79" spans="2:7" s="59" customFormat="1" ht="15">
      <c r="B79" s="164"/>
      <c r="C79" s="164"/>
      <c r="D79" s="164"/>
      <c r="E79" s="164"/>
      <c r="F79" s="164"/>
    </row>
    <row r="80" spans="2:7" s="59" customFormat="1" ht="15.75">
      <c r="B80" s="553" t="s">
        <v>2499</v>
      </c>
      <c r="C80" s="558"/>
      <c r="D80" s="558"/>
      <c r="E80" s="558"/>
      <c r="F80" s="558"/>
    </row>
    <row r="81" spans="2:6" s="59" customFormat="1">
      <c r="B81" s="559" t="s">
        <v>2500</v>
      </c>
      <c r="C81" s="559"/>
      <c r="D81" s="559"/>
      <c r="E81" s="559"/>
      <c r="F81" s="559"/>
    </row>
    <row r="82" spans="2:6" s="59" customFormat="1" ht="12.75" customHeight="1">
      <c r="B82" s="556" t="s">
        <v>2501</v>
      </c>
      <c r="C82" s="557"/>
      <c r="D82" s="557"/>
      <c r="E82" s="557"/>
      <c r="F82" s="557"/>
    </row>
    <row r="83" spans="2:6" s="59" customFormat="1">
      <c r="B83" s="557"/>
      <c r="C83" s="557"/>
      <c r="D83" s="557"/>
      <c r="E83" s="557"/>
      <c r="F83" s="557"/>
    </row>
    <row r="84" spans="2:6" s="59" customFormat="1">
      <c r="B84" s="557"/>
      <c r="C84" s="557"/>
      <c r="D84" s="557"/>
      <c r="E84" s="557"/>
      <c r="F84" s="557"/>
    </row>
    <row r="85" spans="2:6" s="59" customFormat="1">
      <c r="B85" s="557"/>
      <c r="C85" s="557"/>
      <c r="D85" s="557"/>
      <c r="E85" s="557"/>
      <c r="F85" s="557"/>
    </row>
    <row r="86" spans="2:6" s="59" customFormat="1" ht="15">
      <c r="B86" s="164"/>
      <c r="C86" s="164"/>
      <c r="D86" s="164"/>
      <c r="E86" s="164"/>
      <c r="F86" s="164"/>
    </row>
    <row r="87" spans="2:6" s="59" customFormat="1" ht="15.75">
      <c r="B87" s="553" t="s">
        <v>2502</v>
      </c>
      <c r="C87" s="558"/>
      <c r="D87" s="558"/>
      <c r="E87" s="558"/>
      <c r="F87" s="558"/>
    </row>
    <row r="88" spans="2:6" s="59" customFormat="1">
      <c r="B88" s="559" t="s">
        <v>2503</v>
      </c>
      <c r="C88" s="559"/>
      <c r="D88" s="559"/>
      <c r="E88" s="559"/>
      <c r="F88" s="559"/>
    </row>
    <row r="89" spans="2:6" s="60" customFormat="1" ht="25.5" customHeight="1">
      <c r="B89" s="556" t="s">
        <v>2504</v>
      </c>
      <c r="C89" s="557"/>
      <c r="D89" s="557"/>
      <c r="E89" s="557"/>
      <c r="F89" s="557"/>
    </row>
    <row r="90" spans="2:6" s="59" customFormat="1" ht="15">
      <c r="B90" s="164"/>
      <c r="C90" s="164"/>
      <c r="D90" s="164"/>
      <c r="E90" s="164"/>
      <c r="F90" s="164"/>
    </row>
    <row r="91" spans="2:6" s="59" customFormat="1" ht="15.75">
      <c r="B91" s="553" t="s">
        <v>2505</v>
      </c>
      <c r="C91" s="558"/>
      <c r="D91" s="558"/>
      <c r="E91" s="558"/>
      <c r="F91" s="558"/>
    </row>
    <row r="92" spans="2:6" s="59" customFormat="1">
      <c r="B92" s="559" t="s">
        <v>2506</v>
      </c>
      <c r="C92" s="559"/>
      <c r="D92" s="559"/>
      <c r="E92" s="559"/>
      <c r="F92" s="559"/>
    </row>
    <row r="93" spans="2:6" s="59" customFormat="1" ht="26.1" customHeight="1">
      <c r="B93" s="556" t="s">
        <v>2507</v>
      </c>
      <c r="C93" s="557"/>
      <c r="D93" s="557"/>
      <c r="E93" s="557"/>
      <c r="F93" s="557"/>
    </row>
    <row r="94" spans="2:6" s="59" customFormat="1" ht="14.25" customHeight="1">
      <c r="B94" s="164"/>
      <c r="C94" s="164"/>
      <c r="D94" s="164"/>
      <c r="E94" s="164"/>
      <c r="F94" s="164"/>
    </row>
    <row r="95" spans="2:6" s="59" customFormat="1" ht="14.25" customHeight="1">
      <c r="B95" s="553" t="s">
        <v>2432</v>
      </c>
      <c r="C95" s="558"/>
      <c r="D95" s="558"/>
      <c r="E95" s="558"/>
      <c r="F95" s="558"/>
    </row>
    <row r="96" spans="2:6" s="59" customFormat="1">
      <c r="B96" s="559" t="s">
        <v>2508</v>
      </c>
      <c r="C96" s="559"/>
      <c r="D96" s="559"/>
      <c r="E96" s="559"/>
      <c r="F96" s="559"/>
    </row>
    <row r="97" spans="2:6" s="59" customFormat="1" ht="14.25" customHeight="1">
      <c r="B97" s="557"/>
      <c r="C97" s="557"/>
      <c r="D97" s="557"/>
      <c r="E97" s="557"/>
      <c r="F97" s="557"/>
    </row>
    <row r="98" spans="2:6" s="59" customFormat="1" ht="14.25" customHeight="1">
      <c r="B98" s="560" t="s">
        <v>586</v>
      </c>
      <c r="C98" s="560"/>
      <c r="D98" s="560"/>
      <c r="E98" s="560"/>
      <c r="F98" s="560"/>
    </row>
    <row r="99" spans="2:6" s="59" customFormat="1" ht="14.25" customHeight="1">
      <c r="B99" s="164"/>
      <c r="C99" s="164"/>
      <c r="D99" s="164"/>
      <c r="E99" s="164"/>
      <c r="F99" s="164"/>
    </row>
    <row r="100" spans="2:6" s="59" customFormat="1" ht="14.25" customHeight="1">
      <c r="B100" s="568" t="str">
        <f>B12&amp;":"</f>
        <v>B. Accuracy:</v>
      </c>
      <c r="C100" s="569"/>
      <c r="D100" s="569"/>
      <c r="E100" s="569"/>
      <c r="F100" s="569"/>
    </row>
    <row r="101" spans="2:6" s="59" customFormat="1" ht="14.25" customHeight="1">
      <c r="B101" s="166"/>
      <c r="C101" s="162"/>
      <c r="D101" s="162"/>
      <c r="E101" s="162"/>
      <c r="F101" s="162"/>
    </row>
    <row r="102" spans="2:6" s="59" customFormat="1" ht="14.25" customHeight="1">
      <c r="B102" s="555" t="s">
        <v>2509</v>
      </c>
      <c r="C102" s="555"/>
      <c r="D102" s="555"/>
      <c r="E102" s="555"/>
      <c r="F102" s="555"/>
    </row>
    <row r="103" spans="2:6" s="59" customFormat="1" ht="14.25" customHeight="1">
      <c r="B103" s="555"/>
      <c r="C103" s="555"/>
      <c r="D103" s="555"/>
      <c r="E103" s="555"/>
      <c r="F103" s="555"/>
    </row>
    <row r="104" spans="2:6" s="59" customFormat="1" ht="14.25" customHeight="1">
      <c r="B104" s="254"/>
      <c r="C104" s="256"/>
      <c r="D104" s="256"/>
      <c r="E104" s="256"/>
      <c r="F104" s="256"/>
    </row>
    <row r="105" spans="2:6" s="59" customFormat="1" ht="14.25" customHeight="1">
      <c r="B105" s="553" t="s">
        <v>2510</v>
      </c>
      <c r="C105" s="558"/>
      <c r="D105" s="558"/>
      <c r="E105" s="558"/>
      <c r="F105" s="558"/>
    </row>
    <row r="106" spans="2:6" s="59" customFormat="1" ht="14.25" customHeight="1">
      <c r="B106" s="559" t="s">
        <v>2511</v>
      </c>
      <c r="C106" s="559"/>
      <c r="D106" s="559"/>
      <c r="E106" s="559"/>
      <c r="F106" s="559"/>
    </row>
    <row r="107" spans="2:6" s="59" customFormat="1" ht="26.45" customHeight="1">
      <c r="B107" s="556" t="s">
        <v>2512</v>
      </c>
      <c r="C107" s="557"/>
      <c r="D107" s="557"/>
      <c r="E107" s="557"/>
      <c r="F107" s="557"/>
    </row>
    <row r="108" spans="2:6" s="59" customFormat="1" ht="14.25" customHeight="1"/>
    <row r="109" spans="2:6" s="59" customFormat="1" ht="14.25" customHeight="1">
      <c r="B109" s="553" t="s">
        <v>2513</v>
      </c>
      <c r="C109" s="558"/>
      <c r="D109" s="558"/>
      <c r="E109" s="558"/>
      <c r="F109" s="558"/>
    </row>
    <row r="110" spans="2:6" s="59" customFormat="1" ht="14.25" customHeight="1">
      <c r="B110" s="559" t="s">
        <v>2514</v>
      </c>
      <c r="C110" s="559"/>
      <c r="D110" s="559"/>
      <c r="E110" s="559"/>
      <c r="F110" s="559"/>
    </row>
    <row r="111" spans="2:6" s="59" customFormat="1" ht="25.5" customHeight="1">
      <c r="B111" s="556" t="s">
        <v>2515</v>
      </c>
      <c r="C111" s="557"/>
      <c r="D111" s="557"/>
      <c r="E111" s="557"/>
      <c r="F111" s="557"/>
    </row>
    <row r="112" spans="2:6" s="59" customFormat="1" ht="14.25" customHeight="1"/>
    <row r="113" spans="2:6" s="59" customFormat="1" ht="14.25" customHeight="1">
      <c r="B113" s="553" t="s">
        <v>2516</v>
      </c>
      <c r="C113" s="558"/>
      <c r="D113" s="558"/>
      <c r="E113" s="558"/>
      <c r="F113" s="558"/>
    </row>
    <row r="114" spans="2:6" s="59" customFormat="1" ht="14.25" customHeight="1">
      <c r="B114" s="559" t="s">
        <v>2517</v>
      </c>
      <c r="C114" s="559"/>
      <c r="D114" s="559"/>
      <c r="E114" s="559"/>
      <c r="F114" s="559"/>
    </row>
    <row r="115" spans="2:6" s="59" customFormat="1" ht="12.75" customHeight="1">
      <c r="B115" s="556" t="s">
        <v>2518</v>
      </c>
      <c r="C115" s="556"/>
      <c r="D115" s="556"/>
      <c r="E115" s="556"/>
      <c r="F115" s="556"/>
    </row>
    <row r="116" spans="2:6" s="59" customFormat="1">
      <c r="B116" s="556"/>
      <c r="C116" s="556"/>
      <c r="D116" s="556"/>
      <c r="E116" s="556"/>
      <c r="F116" s="556"/>
    </row>
    <row r="117" spans="2:6" s="59" customFormat="1">
      <c r="B117" s="566"/>
      <c r="C117" s="566"/>
      <c r="D117" s="74"/>
      <c r="E117" s="65"/>
      <c r="F117" s="65"/>
    </row>
    <row r="118" spans="2:6" s="59" customFormat="1" ht="15.75">
      <c r="B118" s="553" t="s">
        <v>2519</v>
      </c>
      <c r="C118" s="558"/>
      <c r="D118" s="558"/>
      <c r="E118" s="558"/>
      <c r="F118" s="558"/>
    </row>
    <row r="119" spans="2:6" s="59" customFormat="1">
      <c r="B119" s="559" t="s">
        <v>2520</v>
      </c>
      <c r="C119" s="559"/>
      <c r="D119" s="559"/>
      <c r="E119" s="559"/>
      <c r="F119" s="559"/>
    </row>
    <row r="120" spans="2:6" s="59" customFormat="1">
      <c r="B120" s="556" t="s">
        <v>2521</v>
      </c>
      <c r="C120" s="557"/>
      <c r="D120" s="557"/>
      <c r="E120" s="557"/>
      <c r="F120" s="557"/>
    </row>
    <row r="121" spans="2:6" s="59" customFormat="1">
      <c r="B121" s="566"/>
      <c r="C121" s="566"/>
      <c r="D121" s="74"/>
      <c r="E121" s="65"/>
      <c r="F121" s="65"/>
    </row>
    <row r="122" spans="2:6" s="59" customFormat="1" ht="15.75">
      <c r="B122" s="553" t="s">
        <v>2522</v>
      </c>
      <c r="C122" s="558"/>
      <c r="D122" s="558"/>
      <c r="E122" s="558"/>
      <c r="F122" s="558"/>
    </row>
    <row r="123" spans="2:6" s="59" customFormat="1">
      <c r="B123" s="559" t="s">
        <v>2523</v>
      </c>
      <c r="C123" s="559"/>
      <c r="D123" s="559"/>
      <c r="E123" s="559"/>
      <c r="F123" s="559"/>
    </row>
    <row r="124" spans="2:6" s="59" customFormat="1">
      <c r="B124" s="556" t="s">
        <v>2524</v>
      </c>
      <c r="C124" s="557"/>
      <c r="D124" s="557"/>
      <c r="E124" s="557"/>
      <c r="F124" s="557"/>
    </row>
    <row r="125" spans="2:6" s="59" customFormat="1">
      <c r="B125" s="566"/>
      <c r="C125" s="566"/>
      <c r="D125" s="74"/>
      <c r="E125" s="65"/>
      <c r="F125" s="65"/>
    </row>
    <row r="126" spans="2:6" s="59" customFormat="1" ht="15.75">
      <c r="B126" s="553" t="s">
        <v>2525</v>
      </c>
      <c r="C126" s="558"/>
      <c r="D126" s="558"/>
      <c r="E126" s="558"/>
      <c r="F126" s="558"/>
    </row>
    <row r="127" spans="2:6" s="59" customFormat="1">
      <c r="B127" s="557" t="s">
        <v>2526</v>
      </c>
      <c r="C127" s="557"/>
      <c r="D127" s="557"/>
      <c r="E127" s="557"/>
      <c r="F127" s="557"/>
    </row>
    <row r="128" spans="2:6" s="59" customFormat="1">
      <c r="B128" s="557"/>
      <c r="C128" s="557"/>
      <c r="D128" s="557"/>
      <c r="E128" s="557"/>
      <c r="F128" s="557"/>
    </row>
    <row r="129" spans="2:6" s="59" customFormat="1" ht="26.1" customHeight="1">
      <c r="B129" s="556" t="s">
        <v>2527</v>
      </c>
      <c r="C129" s="557"/>
      <c r="D129" s="557"/>
      <c r="E129" s="557"/>
      <c r="F129" s="557"/>
    </row>
    <row r="130" spans="2:6" s="59" customFormat="1" ht="15.75">
      <c r="B130" s="553" t="s">
        <v>2528</v>
      </c>
      <c r="C130" s="558"/>
      <c r="D130" s="558"/>
      <c r="E130" s="558"/>
      <c r="F130" s="558"/>
    </row>
    <row r="131" spans="2:6" s="59" customFormat="1">
      <c r="B131" s="559" t="s">
        <v>2529</v>
      </c>
      <c r="C131" s="559"/>
      <c r="D131" s="559"/>
      <c r="E131" s="559"/>
      <c r="F131" s="559"/>
    </row>
    <row r="132" spans="2:6" s="59" customFormat="1">
      <c r="B132" s="556" t="s">
        <v>2530</v>
      </c>
      <c r="C132" s="557"/>
      <c r="D132" s="557"/>
      <c r="E132" s="557"/>
      <c r="F132" s="557"/>
    </row>
    <row r="133" spans="2:6" s="59" customFormat="1">
      <c r="B133" s="261"/>
      <c r="C133" s="253"/>
      <c r="D133" s="253"/>
      <c r="E133" s="253"/>
      <c r="F133" s="253"/>
    </row>
    <row r="134" spans="2:6" s="59" customFormat="1" ht="15.75">
      <c r="B134" s="553" t="s">
        <v>2432</v>
      </c>
      <c r="C134" s="558"/>
      <c r="D134" s="558"/>
      <c r="E134" s="558"/>
      <c r="F134" s="558"/>
    </row>
    <row r="135" spans="2:6" s="59" customFormat="1">
      <c r="B135" s="559" t="s">
        <v>2531</v>
      </c>
      <c r="C135" s="559"/>
      <c r="D135" s="559"/>
      <c r="E135" s="559"/>
      <c r="F135" s="559"/>
    </row>
    <row r="136" spans="2:6" s="59" customFormat="1">
      <c r="B136" s="556"/>
      <c r="C136" s="557"/>
      <c r="D136" s="557"/>
      <c r="E136" s="557"/>
      <c r="F136" s="557"/>
    </row>
    <row r="137" spans="2:6" s="59" customFormat="1" ht="15">
      <c r="B137" s="560" t="s">
        <v>586</v>
      </c>
      <c r="C137" s="560"/>
      <c r="D137" s="560"/>
      <c r="E137" s="560"/>
      <c r="F137" s="560"/>
    </row>
    <row r="138" spans="2:6" s="59" customFormat="1"/>
    <row r="139" spans="2:6" s="59" customFormat="1" ht="15.75">
      <c r="B139" s="568" t="str">
        <f>B21&amp;":"</f>
        <v>C. Linguistic conventions:</v>
      </c>
      <c r="C139" s="569"/>
      <c r="D139" s="569"/>
      <c r="E139" s="569"/>
      <c r="F139" s="569"/>
    </row>
    <row r="140" spans="2:6" s="59" customFormat="1">
      <c r="B140" s="585"/>
      <c r="C140" s="585"/>
      <c r="D140" s="585"/>
      <c r="E140" s="585"/>
      <c r="F140" s="585"/>
    </row>
    <row r="141" spans="2:6" s="59" customFormat="1">
      <c r="B141" s="571" t="s">
        <v>2532</v>
      </c>
      <c r="C141" s="571"/>
      <c r="D141" s="571"/>
      <c r="E141" s="571"/>
      <c r="F141" s="571"/>
    </row>
    <row r="142" spans="2:6" s="59" customFormat="1">
      <c r="B142" s="258"/>
      <c r="C142" s="258"/>
      <c r="D142" s="258"/>
      <c r="E142" s="258"/>
      <c r="F142" s="258"/>
    </row>
    <row r="143" spans="2:6" s="59" customFormat="1" ht="15.75">
      <c r="B143" s="553" t="s">
        <v>2533</v>
      </c>
      <c r="C143" s="558"/>
      <c r="D143" s="558"/>
      <c r="E143" s="558"/>
      <c r="F143" s="558"/>
    </row>
    <row r="144" spans="2:6" s="59" customFormat="1">
      <c r="B144" s="559" t="s">
        <v>2534</v>
      </c>
      <c r="C144" s="559"/>
      <c r="D144" s="559"/>
      <c r="E144" s="559"/>
      <c r="F144" s="559"/>
    </row>
    <row r="145" spans="1:7" s="59" customFormat="1">
      <c r="B145" s="556" t="s">
        <v>2535</v>
      </c>
      <c r="C145" s="557"/>
      <c r="D145" s="557"/>
      <c r="E145" s="557"/>
      <c r="F145" s="557"/>
    </row>
    <row r="146" spans="1:7" s="59" customFormat="1">
      <c r="B146" s="557"/>
      <c r="C146" s="557"/>
      <c r="D146" s="557"/>
      <c r="E146" s="557"/>
      <c r="F146" s="557"/>
    </row>
    <row r="147" spans="1:7" s="59" customFormat="1" ht="15.75">
      <c r="B147" s="553" t="s">
        <v>2536</v>
      </c>
      <c r="C147" s="558"/>
      <c r="D147" s="558"/>
      <c r="E147" s="558"/>
      <c r="F147" s="558"/>
    </row>
    <row r="148" spans="1:7" s="59" customFormat="1">
      <c r="B148" s="559" t="s">
        <v>2537</v>
      </c>
      <c r="C148" s="559"/>
      <c r="D148" s="559"/>
      <c r="E148" s="559"/>
      <c r="F148" s="559"/>
    </row>
    <row r="149" spans="1:7" s="59" customFormat="1" ht="15.6" customHeight="1">
      <c r="B149" s="556" t="s">
        <v>2538</v>
      </c>
      <c r="C149" s="557"/>
      <c r="D149" s="557"/>
      <c r="E149" s="557"/>
      <c r="F149" s="557"/>
    </row>
    <row r="150" spans="1:7" s="59" customFormat="1">
      <c r="B150" s="566"/>
      <c r="C150" s="566"/>
      <c r="D150" s="74"/>
      <c r="E150" s="65"/>
      <c r="F150" s="65"/>
    </row>
    <row r="151" spans="1:7" s="59" customFormat="1" ht="15.75">
      <c r="B151" s="553" t="s">
        <v>2539</v>
      </c>
      <c r="C151" s="558"/>
      <c r="D151" s="558"/>
      <c r="E151" s="558"/>
      <c r="F151" s="558"/>
    </row>
    <row r="152" spans="1:7" s="59" customFormat="1" ht="12.6" customHeight="1">
      <c r="B152" s="559" t="s">
        <v>2540</v>
      </c>
      <c r="C152" s="559"/>
      <c r="D152" s="559"/>
      <c r="E152" s="559"/>
      <c r="F152" s="559"/>
    </row>
    <row r="153" spans="1:7" s="59" customFormat="1">
      <c r="B153" s="556" t="s">
        <v>2541</v>
      </c>
      <c r="C153" s="557"/>
      <c r="D153" s="557"/>
      <c r="E153" s="557"/>
      <c r="F153" s="557"/>
      <c r="G153" s="63"/>
    </row>
    <row r="154" spans="1:7" s="59" customFormat="1">
      <c r="B154" s="163"/>
      <c r="C154" s="163"/>
      <c r="D154" s="163"/>
      <c r="E154" s="163"/>
      <c r="F154" s="163"/>
    </row>
    <row r="155" spans="1:7" s="85" customFormat="1" ht="15.75">
      <c r="A155" s="144"/>
      <c r="B155" s="553" t="s">
        <v>2542</v>
      </c>
      <c r="C155" s="558"/>
      <c r="D155" s="558"/>
      <c r="E155" s="558"/>
      <c r="F155" s="558"/>
      <c r="G155" s="64"/>
    </row>
    <row r="156" spans="1:7" s="59" customFormat="1">
      <c r="B156" s="559" t="s">
        <v>2543</v>
      </c>
      <c r="C156" s="559"/>
      <c r="D156" s="559"/>
      <c r="E156" s="559"/>
      <c r="F156" s="559"/>
    </row>
    <row r="157" spans="1:7" s="59" customFormat="1">
      <c r="B157" s="556" t="s">
        <v>2544</v>
      </c>
      <c r="C157" s="557"/>
      <c r="D157" s="557"/>
      <c r="E157" s="557"/>
      <c r="F157" s="557"/>
    </row>
    <row r="158" spans="1:7" s="59" customFormat="1">
      <c r="B158" s="566"/>
      <c r="C158" s="566"/>
      <c r="D158" s="74"/>
      <c r="E158" s="65"/>
      <c r="F158" s="65"/>
      <c r="G158" s="63"/>
    </row>
    <row r="159" spans="1:7" s="59" customFormat="1" ht="15.75">
      <c r="B159" s="553" t="s">
        <v>2545</v>
      </c>
      <c r="C159" s="558"/>
      <c r="D159" s="558"/>
      <c r="E159" s="558"/>
      <c r="F159" s="558"/>
      <c r="G159" s="63"/>
    </row>
    <row r="160" spans="1:7" s="59" customFormat="1">
      <c r="B160" s="559" t="s">
        <v>2546</v>
      </c>
      <c r="C160" s="559"/>
      <c r="D160" s="559"/>
      <c r="E160" s="559"/>
      <c r="F160" s="559"/>
      <c r="G160" s="63"/>
    </row>
    <row r="161" spans="2:7" s="59" customFormat="1">
      <c r="B161" s="556" t="s">
        <v>2547</v>
      </c>
      <c r="C161" s="557"/>
      <c r="D161" s="557"/>
      <c r="E161" s="557"/>
      <c r="F161" s="557"/>
    </row>
    <row r="162" spans="2:7" s="59" customFormat="1">
      <c r="B162" s="261"/>
      <c r="C162" s="253"/>
      <c r="D162" s="253"/>
      <c r="E162" s="253"/>
      <c r="F162" s="253"/>
    </row>
    <row r="163" spans="2:7" s="59" customFormat="1" ht="15.75">
      <c r="B163" s="553" t="s">
        <v>2432</v>
      </c>
      <c r="C163" s="558"/>
      <c r="D163" s="558"/>
      <c r="E163" s="558"/>
      <c r="F163" s="558"/>
    </row>
    <row r="164" spans="2:7" s="59" customFormat="1">
      <c r="B164" s="559" t="s">
        <v>2548</v>
      </c>
      <c r="C164" s="559"/>
      <c r="D164" s="559"/>
      <c r="E164" s="559"/>
      <c r="F164" s="559"/>
    </row>
    <row r="165" spans="2:7" s="59" customFormat="1">
      <c r="B165" s="261"/>
      <c r="C165" s="253"/>
      <c r="D165" s="253"/>
      <c r="E165" s="253"/>
      <c r="F165" s="253"/>
    </row>
    <row r="166" spans="2:7" s="59" customFormat="1" ht="15">
      <c r="B166" s="560" t="s">
        <v>586</v>
      </c>
      <c r="C166" s="560"/>
      <c r="D166" s="560"/>
      <c r="E166" s="560"/>
      <c r="F166" s="560"/>
      <c r="G166" s="63"/>
    </row>
    <row r="167" spans="2:7" s="59" customFormat="1">
      <c r="B167" s="84"/>
      <c r="C167" s="84"/>
      <c r="D167" s="84"/>
      <c r="E167" s="84"/>
      <c r="F167" s="84"/>
    </row>
    <row r="168" spans="2:7" s="59" customFormat="1" ht="15.75">
      <c r="B168" s="568" t="str">
        <f>B28&amp;":"</f>
        <v>D. Style:</v>
      </c>
      <c r="C168" s="569"/>
      <c r="D168" s="569"/>
      <c r="E168" s="569"/>
      <c r="F168" s="569"/>
    </row>
    <row r="169" spans="2:7" s="59" customFormat="1" ht="15.75">
      <c r="B169" s="166"/>
      <c r="C169" s="162"/>
      <c r="D169" s="162"/>
      <c r="E169" s="162"/>
      <c r="F169" s="162"/>
    </row>
    <row r="170" spans="2:7" s="59" customFormat="1" ht="15.75" customHeight="1">
      <c r="B170" s="555" t="s">
        <v>2549</v>
      </c>
      <c r="C170" s="555"/>
      <c r="D170" s="555"/>
      <c r="E170" s="555"/>
      <c r="F170" s="555"/>
    </row>
    <row r="171" spans="2:7" s="59" customFormat="1" ht="15.75" customHeight="1">
      <c r="B171" s="555"/>
      <c r="C171" s="555"/>
      <c r="D171" s="555"/>
      <c r="E171" s="555"/>
      <c r="F171" s="555"/>
    </row>
    <row r="172" spans="2:7" s="59" customFormat="1" ht="15.75">
      <c r="B172" s="254"/>
      <c r="C172" s="256"/>
      <c r="D172" s="256"/>
      <c r="E172" s="256"/>
      <c r="F172" s="256"/>
    </row>
    <row r="173" spans="2:7" s="59" customFormat="1" ht="15.75">
      <c r="B173" s="553" t="s">
        <v>2550</v>
      </c>
      <c r="C173" s="558"/>
      <c r="D173" s="558"/>
      <c r="E173" s="558"/>
      <c r="F173" s="558"/>
    </row>
    <row r="174" spans="2:7" s="59" customFormat="1">
      <c r="B174" s="559" t="s">
        <v>2551</v>
      </c>
      <c r="C174" s="559"/>
      <c r="D174" s="559"/>
      <c r="E174" s="559"/>
      <c r="F174" s="559"/>
    </row>
    <row r="175" spans="2:7" s="59" customFormat="1">
      <c r="B175" s="556" t="s">
        <v>2552</v>
      </c>
      <c r="C175" s="557"/>
      <c r="D175" s="557"/>
      <c r="E175" s="557"/>
      <c r="F175" s="557"/>
    </row>
    <row r="176" spans="2:7" s="59" customFormat="1">
      <c r="B176" s="91"/>
      <c r="C176" s="90"/>
      <c r="D176" s="74"/>
      <c r="E176" s="65"/>
      <c r="F176" s="65"/>
    </row>
    <row r="177" spans="2:7" s="59" customFormat="1" ht="15.75">
      <c r="B177" s="553" t="s">
        <v>2553</v>
      </c>
      <c r="C177" s="558"/>
      <c r="D177" s="558"/>
      <c r="E177" s="558"/>
      <c r="F177" s="558"/>
    </row>
    <row r="178" spans="2:7" s="59" customFormat="1">
      <c r="B178" s="559" t="s">
        <v>2554</v>
      </c>
      <c r="C178" s="559"/>
      <c r="D178" s="559"/>
      <c r="E178" s="559"/>
      <c r="F178" s="559"/>
    </row>
    <row r="179" spans="2:7" s="59" customFormat="1">
      <c r="B179" s="556" t="s">
        <v>2555</v>
      </c>
      <c r="C179" s="557"/>
      <c r="D179" s="557"/>
      <c r="E179" s="557"/>
      <c r="F179" s="557"/>
    </row>
    <row r="180" spans="2:7" s="59" customFormat="1">
      <c r="B180" s="91"/>
      <c r="C180" s="90"/>
      <c r="D180" s="74"/>
      <c r="E180" s="65"/>
      <c r="F180" s="65"/>
    </row>
    <row r="181" spans="2:7" s="59" customFormat="1" ht="15.75">
      <c r="B181" s="553" t="s">
        <v>2556</v>
      </c>
      <c r="C181" s="558"/>
      <c r="D181" s="558"/>
      <c r="E181" s="558"/>
      <c r="F181" s="558"/>
    </row>
    <row r="182" spans="2:7" s="59" customFormat="1">
      <c r="B182" s="559" t="s">
        <v>2557</v>
      </c>
      <c r="C182" s="559"/>
      <c r="D182" s="559"/>
      <c r="E182" s="559"/>
      <c r="F182" s="559"/>
    </row>
    <row r="183" spans="2:7" s="59" customFormat="1" ht="12.75" customHeight="1">
      <c r="B183" s="556" t="s">
        <v>2634</v>
      </c>
      <c r="C183" s="556"/>
      <c r="D183" s="556"/>
      <c r="E183" s="556"/>
      <c r="F183" s="556"/>
      <c r="G183" s="66"/>
    </row>
    <row r="184" spans="2:7" s="59" customFormat="1">
      <c r="B184" s="66"/>
      <c r="C184" s="66"/>
      <c r="D184" s="66"/>
      <c r="E184" s="66"/>
      <c r="F184" s="66"/>
      <c r="G184" s="66"/>
    </row>
    <row r="185" spans="2:7" s="59" customFormat="1" ht="15.75">
      <c r="B185" s="553" t="s">
        <v>2558</v>
      </c>
      <c r="C185" s="558"/>
      <c r="D185" s="558"/>
      <c r="E185" s="558"/>
      <c r="F185" s="558"/>
      <c r="G185" s="66"/>
    </row>
    <row r="186" spans="2:7" s="59" customFormat="1">
      <c r="B186" s="557" t="s">
        <v>2559</v>
      </c>
      <c r="C186" s="557"/>
      <c r="D186" s="557"/>
      <c r="E186" s="557"/>
      <c r="F186" s="557"/>
      <c r="G186" s="66"/>
    </row>
    <row r="187" spans="2:7" s="59" customFormat="1">
      <c r="B187" s="557"/>
      <c r="C187" s="557"/>
      <c r="D187" s="557"/>
      <c r="E187" s="557"/>
      <c r="F187" s="557"/>
      <c r="G187" s="66"/>
    </row>
    <row r="188" spans="2:7" s="59" customFormat="1" ht="26.45" customHeight="1">
      <c r="B188" s="556" t="s">
        <v>2560</v>
      </c>
      <c r="C188" s="557"/>
      <c r="D188" s="557"/>
      <c r="E188" s="557"/>
      <c r="F188" s="557"/>
      <c r="G188" s="66"/>
    </row>
    <row r="189" spans="2:7" s="59" customFormat="1">
      <c r="B189" s="561"/>
      <c r="C189" s="561"/>
      <c r="D189" s="561"/>
      <c r="E189" s="561"/>
      <c r="F189" s="561"/>
      <c r="G189" s="66"/>
    </row>
    <row r="190" spans="2:7" s="59" customFormat="1" ht="15.75">
      <c r="B190" s="553" t="s">
        <v>2561</v>
      </c>
      <c r="C190" s="558"/>
      <c r="D190" s="558"/>
      <c r="E190" s="558"/>
      <c r="F190" s="558"/>
      <c r="G190" s="66"/>
    </row>
    <row r="191" spans="2:7" s="59" customFormat="1">
      <c r="B191" s="557" t="s">
        <v>2562</v>
      </c>
      <c r="C191" s="557"/>
      <c r="D191" s="557"/>
      <c r="E191" s="557"/>
      <c r="F191" s="557"/>
      <c r="G191" s="66"/>
    </row>
    <row r="192" spans="2:7" s="59" customFormat="1">
      <c r="B192" s="557"/>
      <c r="C192" s="557"/>
      <c r="D192" s="557"/>
      <c r="E192" s="557"/>
      <c r="F192" s="557"/>
      <c r="G192" s="66"/>
    </row>
    <row r="193" spans="2:7" s="59" customFormat="1" ht="12.6" customHeight="1">
      <c r="B193" s="556" t="s">
        <v>2563</v>
      </c>
      <c r="C193" s="556"/>
      <c r="D193" s="556"/>
      <c r="E193" s="556"/>
      <c r="F193" s="556"/>
      <c r="G193" s="66"/>
    </row>
    <row r="194" spans="2:7" s="59" customFormat="1" ht="12.6" customHeight="1">
      <c r="B194" s="556"/>
      <c r="C194" s="556"/>
      <c r="D194" s="556"/>
      <c r="E194" s="556"/>
      <c r="F194" s="556"/>
      <c r="G194" s="66"/>
    </row>
    <row r="195" spans="2:7" s="59" customFormat="1">
      <c r="B195" s="66"/>
      <c r="C195" s="66"/>
      <c r="D195" s="66"/>
      <c r="E195" s="66"/>
      <c r="F195" s="66"/>
      <c r="G195" s="66"/>
    </row>
    <row r="196" spans="2:7" s="59" customFormat="1" ht="15.75">
      <c r="B196" s="553" t="s">
        <v>2564</v>
      </c>
      <c r="C196" s="558"/>
      <c r="D196" s="558"/>
      <c r="E196" s="558"/>
      <c r="F196" s="558"/>
      <c r="G196" s="66"/>
    </row>
    <row r="197" spans="2:7" s="59" customFormat="1">
      <c r="B197" s="559" t="s">
        <v>2565</v>
      </c>
      <c r="C197" s="559"/>
      <c r="D197" s="559"/>
      <c r="E197" s="559"/>
      <c r="F197" s="559"/>
      <c r="G197" s="66"/>
    </row>
    <row r="198" spans="2:7" s="59" customFormat="1" ht="12.75" customHeight="1">
      <c r="B198" s="556" t="s">
        <v>2566</v>
      </c>
      <c r="C198" s="556"/>
      <c r="D198" s="556"/>
      <c r="E198" s="556"/>
      <c r="F198" s="556"/>
      <c r="G198" s="66"/>
    </row>
    <row r="199" spans="2:7" s="59" customFormat="1">
      <c r="B199" s="556"/>
      <c r="C199" s="556"/>
      <c r="D199" s="556"/>
      <c r="E199" s="556"/>
      <c r="F199" s="556"/>
      <c r="G199" s="66"/>
    </row>
    <row r="200" spans="2:7" s="59" customFormat="1">
      <c r="B200" s="261"/>
      <c r="C200" s="261"/>
      <c r="D200" s="261"/>
      <c r="E200" s="261"/>
      <c r="F200" s="261"/>
      <c r="G200" s="66"/>
    </row>
    <row r="201" spans="2:7" s="59" customFormat="1" ht="15.75">
      <c r="B201" s="553" t="s">
        <v>2567</v>
      </c>
      <c r="C201" s="558"/>
      <c r="D201" s="558"/>
      <c r="E201" s="558"/>
      <c r="F201" s="558"/>
      <c r="G201" s="66"/>
    </row>
    <row r="202" spans="2:7" s="59" customFormat="1">
      <c r="B202" s="559" t="s">
        <v>2568</v>
      </c>
      <c r="C202" s="559"/>
      <c r="D202" s="559"/>
      <c r="E202" s="559"/>
      <c r="F202" s="559"/>
      <c r="G202" s="66"/>
    </row>
    <row r="203" spans="2:7" s="59" customFormat="1">
      <c r="B203" s="556" t="s">
        <v>2569</v>
      </c>
      <c r="C203" s="557"/>
      <c r="D203" s="557"/>
      <c r="E203" s="557"/>
      <c r="F203" s="557"/>
      <c r="G203" s="66"/>
    </row>
    <row r="204" spans="2:7" s="59" customFormat="1">
      <c r="B204" s="66"/>
      <c r="C204" s="66"/>
      <c r="D204" s="66"/>
      <c r="E204" s="66"/>
      <c r="F204" s="66"/>
      <c r="G204" s="66"/>
    </row>
    <row r="205" spans="2:7" s="59" customFormat="1" ht="15.75">
      <c r="B205" s="553" t="s">
        <v>2432</v>
      </c>
      <c r="C205" s="558"/>
      <c r="D205" s="558"/>
      <c r="E205" s="558"/>
      <c r="F205" s="558"/>
      <c r="G205" s="66"/>
    </row>
    <row r="206" spans="2:7" s="59" customFormat="1">
      <c r="B206" s="559" t="s">
        <v>2570</v>
      </c>
      <c r="C206" s="559"/>
      <c r="D206" s="559"/>
      <c r="E206" s="559"/>
      <c r="F206" s="559"/>
      <c r="G206" s="66"/>
    </row>
    <row r="207" spans="2:7" s="59" customFormat="1">
      <c r="B207" s="557"/>
      <c r="C207" s="557"/>
      <c r="D207" s="557"/>
      <c r="E207" s="557"/>
      <c r="F207" s="557"/>
      <c r="G207" s="66"/>
    </row>
    <row r="208" spans="2:7" s="59" customFormat="1" ht="15">
      <c r="B208" s="560" t="s">
        <v>586</v>
      </c>
      <c r="C208" s="560"/>
      <c r="D208" s="560"/>
      <c r="E208" s="560"/>
      <c r="F208" s="560"/>
      <c r="G208" s="66"/>
    </row>
    <row r="209" spans="1:7" s="59" customFormat="1">
      <c r="B209" s="566"/>
      <c r="C209" s="566"/>
      <c r="D209" s="74"/>
      <c r="E209" s="65"/>
      <c r="F209" s="65"/>
      <c r="G209" s="66"/>
    </row>
    <row r="210" spans="1:7" s="59" customFormat="1" ht="15.6" customHeight="1">
      <c r="B210" s="568" t="str">
        <f>B37&amp;":"</f>
        <v>E. Locale conventions:</v>
      </c>
      <c r="C210" s="568"/>
      <c r="D210" s="568"/>
      <c r="E210" s="568"/>
      <c r="F210" s="568"/>
      <c r="G210" s="66"/>
    </row>
    <row r="211" spans="1:7" s="59" customFormat="1" ht="15.75">
      <c r="B211" s="166"/>
      <c r="C211" s="166"/>
      <c r="D211" s="166"/>
      <c r="E211" s="166"/>
      <c r="F211" s="166"/>
      <c r="G211" s="66"/>
    </row>
    <row r="212" spans="1:7" s="59" customFormat="1">
      <c r="B212" s="582" t="s">
        <v>2571</v>
      </c>
      <c r="C212" s="582"/>
      <c r="D212" s="582"/>
      <c r="E212" s="582"/>
      <c r="F212" s="582"/>
      <c r="G212" s="66"/>
    </row>
    <row r="213" spans="1:7" s="59" customFormat="1" ht="15.75" customHeight="1">
      <c r="B213" s="163"/>
      <c r="C213" s="163"/>
      <c r="D213" s="163"/>
      <c r="E213" s="163"/>
      <c r="F213" s="163"/>
      <c r="G213" s="66"/>
    </row>
    <row r="214" spans="1:7" s="59" customFormat="1" ht="15.6" customHeight="1">
      <c r="B214" s="553" t="s">
        <v>2572</v>
      </c>
      <c r="C214" s="553"/>
      <c r="D214" s="553"/>
      <c r="E214" s="553"/>
      <c r="F214" s="553"/>
      <c r="G214" s="66"/>
    </row>
    <row r="215" spans="1:7" s="59" customFormat="1">
      <c r="B215" s="559" t="s">
        <v>2573</v>
      </c>
      <c r="C215" s="559"/>
      <c r="D215" s="559"/>
      <c r="E215" s="559"/>
      <c r="F215" s="559"/>
      <c r="G215" s="66"/>
    </row>
    <row r="216" spans="1:7" s="59" customFormat="1">
      <c r="B216" s="556" t="s">
        <v>2574</v>
      </c>
      <c r="C216" s="557"/>
      <c r="D216" s="557"/>
      <c r="E216" s="557"/>
      <c r="F216" s="557"/>
      <c r="G216" s="66"/>
    </row>
    <row r="217" spans="1:7" s="59" customFormat="1" ht="15">
      <c r="B217" s="164"/>
      <c r="C217" s="164"/>
      <c r="D217" s="164"/>
      <c r="E217" s="164"/>
      <c r="F217" s="164"/>
      <c r="G217" s="66"/>
    </row>
    <row r="218" spans="1:7" s="59" customFormat="1" ht="15.6" customHeight="1">
      <c r="B218" s="553" t="s">
        <v>2426</v>
      </c>
      <c r="C218" s="553"/>
      <c r="D218" s="553"/>
      <c r="E218" s="553"/>
      <c r="F218" s="553"/>
      <c r="G218" s="66"/>
    </row>
    <row r="219" spans="1:7" s="59" customFormat="1">
      <c r="B219" s="559" t="s">
        <v>2575</v>
      </c>
      <c r="C219" s="559"/>
      <c r="D219" s="559"/>
      <c r="E219" s="559"/>
      <c r="F219" s="559"/>
      <c r="G219" s="66"/>
    </row>
    <row r="220" spans="1:7" s="85" customFormat="1" ht="12.6" customHeight="1">
      <c r="A220" s="144"/>
      <c r="B220" s="556" t="s">
        <v>2576</v>
      </c>
      <c r="C220" s="556"/>
      <c r="D220" s="556"/>
      <c r="E220" s="556"/>
      <c r="F220" s="556"/>
      <c r="G220" s="68"/>
    </row>
    <row r="221" spans="1:7" s="255" customFormat="1" ht="12.6" customHeight="1">
      <c r="B221" s="556"/>
      <c r="C221" s="556"/>
      <c r="D221" s="556"/>
      <c r="E221" s="556"/>
      <c r="F221" s="556"/>
      <c r="G221" s="68"/>
    </row>
    <row r="222" spans="1:7" s="85" customFormat="1" ht="15">
      <c r="A222" s="144"/>
      <c r="B222" s="164"/>
      <c r="C222" s="164"/>
      <c r="D222" s="164"/>
      <c r="E222" s="164"/>
      <c r="F222" s="164"/>
      <c r="G222" s="68"/>
    </row>
    <row r="223" spans="1:7" s="59" customFormat="1" ht="15.6" customHeight="1">
      <c r="B223" s="553" t="s">
        <v>2428</v>
      </c>
      <c r="C223" s="553"/>
      <c r="D223" s="553"/>
      <c r="E223" s="553"/>
      <c r="F223" s="553"/>
      <c r="G223" s="66"/>
    </row>
    <row r="224" spans="1:7" s="59" customFormat="1">
      <c r="B224" s="559" t="s">
        <v>2577</v>
      </c>
      <c r="C224" s="559"/>
      <c r="D224" s="559"/>
      <c r="E224" s="559"/>
      <c r="F224" s="559"/>
      <c r="G224" s="66"/>
    </row>
    <row r="225" spans="2:7" s="59" customFormat="1" ht="12.6" customHeight="1">
      <c r="B225" s="556" t="s">
        <v>2578</v>
      </c>
      <c r="C225" s="557"/>
      <c r="D225" s="557"/>
      <c r="E225" s="557"/>
      <c r="F225" s="557"/>
      <c r="G225" s="66"/>
    </row>
    <row r="226" spans="2:7" s="59" customFormat="1" ht="15">
      <c r="B226" s="164"/>
      <c r="C226" s="164"/>
      <c r="D226" s="164"/>
      <c r="E226" s="164"/>
      <c r="F226" s="164"/>
      <c r="G226" s="66"/>
    </row>
    <row r="227" spans="2:7" s="59" customFormat="1" ht="15.6" customHeight="1">
      <c r="B227" s="553" t="s">
        <v>2579</v>
      </c>
      <c r="C227" s="553"/>
      <c r="D227" s="553"/>
      <c r="E227" s="553"/>
      <c r="F227" s="553"/>
      <c r="G227" s="66"/>
    </row>
    <row r="228" spans="2:7" s="59" customFormat="1">
      <c r="B228" s="559" t="s">
        <v>2580</v>
      </c>
      <c r="C228" s="559"/>
      <c r="D228" s="559"/>
      <c r="E228" s="559"/>
      <c r="F228" s="559"/>
      <c r="G228" s="66"/>
    </row>
    <row r="229" spans="2:7" s="59" customFormat="1" ht="27" customHeight="1">
      <c r="B229" s="556" t="s">
        <v>2581</v>
      </c>
      <c r="C229" s="557"/>
      <c r="D229" s="557"/>
      <c r="E229" s="557"/>
      <c r="F229" s="557"/>
      <c r="G229" s="66"/>
    </row>
    <row r="230" spans="2:7" s="59" customFormat="1" ht="15">
      <c r="B230" s="164"/>
      <c r="C230" s="164"/>
      <c r="D230" s="164"/>
      <c r="E230" s="164"/>
      <c r="F230" s="164"/>
      <c r="G230" s="66"/>
    </row>
    <row r="231" spans="2:7" s="59" customFormat="1" ht="15.6" customHeight="1">
      <c r="B231" s="553" t="s">
        <v>2427</v>
      </c>
      <c r="C231" s="553"/>
      <c r="D231" s="553"/>
      <c r="E231" s="553"/>
      <c r="F231" s="553"/>
      <c r="G231" s="66"/>
    </row>
    <row r="232" spans="2:7" s="59" customFormat="1">
      <c r="B232" s="559" t="s">
        <v>2582</v>
      </c>
      <c r="C232" s="559"/>
      <c r="D232" s="559"/>
      <c r="E232" s="559"/>
      <c r="F232" s="559"/>
      <c r="G232" s="66"/>
    </row>
    <row r="233" spans="2:7" s="59" customFormat="1" ht="12.6" customHeight="1">
      <c r="B233" s="556" t="s">
        <v>2583</v>
      </c>
      <c r="C233" s="557"/>
      <c r="D233" s="557"/>
      <c r="E233" s="557"/>
      <c r="F233" s="557"/>
      <c r="G233" s="66"/>
    </row>
    <row r="234" spans="2:7" s="59" customFormat="1" ht="12.6" customHeight="1">
      <c r="B234" s="261"/>
      <c r="C234" s="253"/>
      <c r="D234" s="253"/>
      <c r="E234" s="253"/>
      <c r="F234" s="253"/>
      <c r="G234" s="66"/>
    </row>
    <row r="235" spans="2:7" s="59" customFormat="1" ht="15.75">
      <c r="B235" s="553" t="s">
        <v>2425</v>
      </c>
      <c r="C235" s="553"/>
      <c r="D235" s="553"/>
      <c r="E235" s="553"/>
      <c r="F235" s="553"/>
      <c r="G235" s="66"/>
    </row>
    <row r="236" spans="2:7" s="59" customFormat="1" ht="12.6" customHeight="1">
      <c r="B236" s="559" t="s">
        <v>2584</v>
      </c>
      <c r="C236" s="559"/>
      <c r="D236" s="559"/>
      <c r="E236" s="559"/>
      <c r="F236" s="559"/>
      <c r="G236" s="66"/>
    </row>
    <row r="237" spans="2:7" s="59" customFormat="1" ht="12.6" customHeight="1">
      <c r="B237" s="556" t="s">
        <v>2585</v>
      </c>
      <c r="C237" s="556"/>
      <c r="D237" s="556"/>
      <c r="E237" s="556"/>
      <c r="F237" s="556"/>
      <c r="G237" s="66"/>
    </row>
    <row r="238" spans="2:7" s="59" customFormat="1" ht="15" customHeight="1">
      <c r="B238" s="556"/>
      <c r="C238" s="556"/>
      <c r="D238" s="556"/>
      <c r="E238" s="556"/>
      <c r="F238" s="556"/>
      <c r="G238" s="66"/>
    </row>
    <row r="239" spans="2:7" s="59" customFormat="1" ht="15" customHeight="1">
      <c r="B239" s="261"/>
      <c r="C239" s="261"/>
      <c r="D239" s="261"/>
      <c r="E239" s="261"/>
      <c r="F239" s="261"/>
      <c r="G239" s="66"/>
    </row>
    <row r="240" spans="2:7" s="59" customFormat="1" ht="15" customHeight="1">
      <c r="B240" s="553" t="s">
        <v>2586</v>
      </c>
      <c r="C240" s="553"/>
      <c r="D240" s="553"/>
      <c r="E240" s="553"/>
      <c r="F240" s="553"/>
      <c r="G240" s="66"/>
    </row>
    <row r="241" spans="2:7" s="59" customFormat="1" ht="15" customHeight="1">
      <c r="B241" s="559" t="s">
        <v>2587</v>
      </c>
      <c r="C241" s="559"/>
      <c r="D241" s="559"/>
      <c r="E241" s="559"/>
      <c r="F241" s="559"/>
      <c r="G241" s="66"/>
    </row>
    <row r="242" spans="2:7" s="59" customFormat="1" ht="15" customHeight="1">
      <c r="B242" s="556" t="s">
        <v>2588</v>
      </c>
      <c r="C242" s="556"/>
      <c r="D242" s="556"/>
      <c r="E242" s="556"/>
      <c r="F242" s="556"/>
      <c r="G242" s="66"/>
    </row>
    <row r="243" spans="2:7" s="59" customFormat="1" ht="15" customHeight="1">
      <c r="B243" s="556"/>
      <c r="C243" s="556"/>
      <c r="D243" s="556"/>
      <c r="E243" s="556"/>
      <c r="F243" s="556"/>
      <c r="G243" s="66"/>
    </row>
    <row r="244" spans="2:7" s="59" customFormat="1" ht="15" customHeight="1">
      <c r="B244" s="253"/>
      <c r="C244" s="253"/>
      <c r="D244" s="253"/>
      <c r="E244" s="253"/>
      <c r="F244" s="253"/>
      <c r="G244" s="66"/>
    </row>
    <row r="245" spans="2:7" s="59" customFormat="1" ht="15" customHeight="1">
      <c r="B245" s="553" t="s">
        <v>2589</v>
      </c>
      <c r="C245" s="553"/>
      <c r="D245" s="553"/>
      <c r="E245" s="553"/>
      <c r="F245" s="553"/>
      <c r="G245" s="66"/>
    </row>
    <row r="246" spans="2:7" s="59" customFormat="1" ht="15" customHeight="1">
      <c r="B246" s="559" t="s">
        <v>2590</v>
      </c>
      <c r="C246" s="559"/>
      <c r="D246" s="559"/>
      <c r="E246" s="559"/>
      <c r="F246" s="559"/>
      <c r="G246" s="66"/>
    </row>
    <row r="247" spans="2:7" s="59" customFormat="1" ht="15" customHeight="1">
      <c r="B247" s="556" t="s">
        <v>2591</v>
      </c>
      <c r="C247" s="557"/>
      <c r="D247" s="557"/>
      <c r="E247" s="557"/>
      <c r="F247" s="557"/>
      <c r="G247" s="66"/>
    </row>
    <row r="248" spans="2:7" s="59" customFormat="1" ht="15">
      <c r="B248" s="164"/>
      <c r="C248" s="164"/>
      <c r="D248" s="164"/>
      <c r="E248" s="164"/>
      <c r="F248" s="164"/>
      <c r="G248" s="66"/>
    </row>
    <row r="249" spans="2:7" s="59" customFormat="1" ht="15.6" customHeight="1">
      <c r="B249" s="553" t="s">
        <v>2432</v>
      </c>
      <c r="C249" s="553"/>
      <c r="D249" s="553"/>
      <c r="E249" s="553"/>
      <c r="F249" s="553"/>
      <c r="G249" s="66"/>
    </row>
    <row r="250" spans="2:7" s="59" customFormat="1">
      <c r="B250" s="559" t="s">
        <v>2592</v>
      </c>
      <c r="C250" s="559"/>
      <c r="D250" s="559"/>
      <c r="E250" s="559"/>
      <c r="F250" s="559"/>
      <c r="G250" s="66"/>
    </row>
    <row r="251" spans="2:7" s="59" customFormat="1" ht="12.95" customHeight="1">
      <c r="B251" s="557"/>
      <c r="C251" s="557"/>
      <c r="D251" s="557"/>
      <c r="E251" s="557"/>
      <c r="F251" s="557"/>
      <c r="G251" s="66"/>
    </row>
    <row r="252" spans="2:7" s="59" customFormat="1" ht="12.95" customHeight="1">
      <c r="B252" s="560" t="s">
        <v>586</v>
      </c>
      <c r="C252" s="560"/>
      <c r="D252" s="560"/>
      <c r="E252" s="560"/>
      <c r="F252" s="560"/>
      <c r="G252" s="66"/>
    </row>
    <row r="253" spans="2:7" s="59" customFormat="1" ht="12.95" customHeight="1">
      <c r="B253" s="164"/>
      <c r="C253" s="164"/>
      <c r="D253" s="164"/>
      <c r="E253" s="164"/>
      <c r="F253" s="164"/>
      <c r="G253" s="66"/>
    </row>
    <row r="254" spans="2:7" s="59" customFormat="1" ht="12.95" customHeight="1">
      <c r="B254" s="568" t="str">
        <f>B47&amp;":"</f>
        <v>F. Audience appropriateness:</v>
      </c>
      <c r="C254" s="568"/>
      <c r="D254" s="568"/>
      <c r="E254" s="568"/>
      <c r="F254" s="568"/>
      <c r="G254" s="66"/>
    </row>
    <row r="255" spans="2:7" s="59" customFormat="1" ht="12.95" customHeight="1">
      <c r="B255" s="164"/>
      <c r="C255" s="164"/>
      <c r="D255" s="164"/>
      <c r="E255" s="164"/>
      <c r="F255" s="164"/>
      <c r="G255" s="66"/>
    </row>
    <row r="256" spans="2:7" s="59" customFormat="1" ht="12.95" customHeight="1">
      <c r="B256" s="572" t="s">
        <v>2593</v>
      </c>
      <c r="C256" s="572"/>
      <c r="D256" s="572"/>
      <c r="E256" s="572"/>
      <c r="F256" s="572"/>
      <c r="G256" s="66"/>
    </row>
    <row r="257" spans="2:7" s="59" customFormat="1" ht="12.95" customHeight="1">
      <c r="B257" s="257"/>
      <c r="C257" s="257"/>
      <c r="D257" s="257"/>
      <c r="E257" s="257"/>
      <c r="F257" s="257"/>
      <c r="G257" s="66"/>
    </row>
    <row r="258" spans="2:7" s="59" customFormat="1" ht="12.95" customHeight="1">
      <c r="B258" s="553" t="s">
        <v>2594</v>
      </c>
      <c r="C258" s="553"/>
      <c r="D258" s="553"/>
      <c r="E258" s="553"/>
      <c r="F258" s="553"/>
      <c r="G258" s="66"/>
    </row>
    <row r="259" spans="2:7" s="59" customFormat="1" ht="12.95" customHeight="1">
      <c r="B259" s="559" t="s">
        <v>2595</v>
      </c>
      <c r="C259" s="559"/>
      <c r="D259" s="559"/>
      <c r="E259" s="559"/>
      <c r="F259" s="559"/>
      <c r="G259" s="66"/>
    </row>
    <row r="260" spans="2:7" s="59" customFormat="1" ht="12.75" customHeight="1">
      <c r="B260" s="556" t="s">
        <v>2596</v>
      </c>
      <c r="C260" s="556"/>
      <c r="D260" s="556"/>
      <c r="E260" s="556"/>
      <c r="F260" s="556"/>
      <c r="G260" s="66"/>
    </row>
    <row r="261" spans="2:7" s="59" customFormat="1">
      <c r="B261" s="556"/>
      <c r="C261" s="556"/>
      <c r="D261" s="556"/>
      <c r="E261" s="556"/>
      <c r="F261" s="556"/>
      <c r="G261" s="66"/>
    </row>
    <row r="262" spans="2:7" s="59" customFormat="1" ht="12.95" customHeight="1">
      <c r="B262" s="164"/>
      <c r="C262" s="164"/>
      <c r="D262" s="164"/>
      <c r="E262" s="164"/>
      <c r="F262" s="164"/>
      <c r="G262" s="66"/>
    </row>
    <row r="263" spans="2:7" s="59" customFormat="1" ht="12.95" customHeight="1">
      <c r="B263" s="553" t="s">
        <v>2432</v>
      </c>
      <c r="C263" s="553"/>
      <c r="D263" s="553"/>
      <c r="E263" s="553"/>
      <c r="F263" s="553"/>
      <c r="G263" s="66"/>
    </row>
    <row r="264" spans="2:7" s="59" customFormat="1" ht="12.95" customHeight="1">
      <c r="B264" s="559" t="s">
        <v>2597</v>
      </c>
      <c r="C264" s="559"/>
      <c r="D264" s="559"/>
      <c r="E264" s="559"/>
      <c r="F264" s="559"/>
      <c r="G264" s="66"/>
    </row>
    <row r="265" spans="2:7" s="59" customFormat="1">
      <c r="B265" s="557"/>
      <c r="C265" s="557"/>
      <c r="D265" s="557"/>
      <c r="E265" s="557"/>
      <c r="F265" s="557"/>
      <c r="G265" s="66"/>
    </row>
    <row r="266" spans="2:7" s="59" customFormat="1" ht="15">
      <c r="B266" s="560" t="s">
        <v>586</v>
      </c>
      <c r="C266" s="560"/>
      <c r="D266" s="560"/>
      <c r="E266" s="560"/>
      <c r="F266" s="560"/>
      <c r="G266" s="66"/>
    </row>
    <row r="267" spans="2:7" s="59" customFormat="1" ht="12.95" customHeight="1">
      <c r="B267" s="164"/>
      <c r="C267" s="164"/>
      <c r="D267" s="164"/>
      <c r="E267" s="164"/>
      <c r="F267" s="164"/>
      <c r="G267" s="66"/>
    </row>
    <row r="268" spans="2:7" s="59" customFormat="1" ht="12.95" customHeight="1">
      <c r="B268" s="568" t="str">
        <f>B50&amp;":"</f>
        <v>G. Design and markup:</v>
      </c>
      <c r="C268" s="568"/>
      <c r="D268" s="568"/>
      <c r="E268" s="568"/>
      <c r="F268" s="568"/>
      <c r="G268" s="66"/>
    </row>
    <row r="269" spans="2:7" s="59" customFormat="1" ht="12.95" customHeight="1">
      <c r="B269" s="167"/>
      <c r="C269" s="167"/>
      <c r="D269" s="167"/>
      <c r="E269" s="167"/>
      <c r="F269" s="167"/>
      <c r="G269" s="66"/>
    </row>
    <row r="270" spans="2:7" s="60" customFormat="1" ht="12.95" customHeight="1">
      <c r="B270" s="574" t="s">
        <v>2598</v>
      </c>
      <c r="C270" s="574"/>
      <c r="D270" s="574"/>
      <c r="E270" s="574"/>
      <c r="F270" s="574"/>
    </row>
    <row r="271" spans="2:7" s="60" customFormat="1" ht="12.95" customHeight="1">
      <c r="B271" s="574"/>
      <c r="C271" s="574"/>
      <c r="D271" s="574"/>
      <c r="E271" s="574"/>
      <c r="F271" s="574"/>
    </row>
    <row r="272" spans="2:7" s="60" customFormat="1" ht="12.95" customHeight="1">
      <c r="B272" s="262"/>
      <c r="C272" s="262"/>
      <c r="D272" s="262"/>
      <c r="E272" s="262"/>
      <c r="F272" s="262"/>
    </row>
    <row r="273" spans="2:6" s="60" customFormat="1" ht="12.95" customHeight="1">
      <c r="B273" s="553" t="s">
        <v>2599</v>
      </c>
      <c r="C273" s="553"/>
      <c r="D273" s="553"/>
      <c r="E273" s="553"/>
      <c r="F273" s="553"/>
    </row>
    <row r="274" spans="2:6" s="60" customFormat="1" ht="12.95" customHeight="1">
      <c r="B274" s="570" t="s">
        <v>2600</v>
      </c>
      <c r="C274" s="570"/>
      <c r="D274" s="570"/>
      <c r="E274" s="570"/>
      <c r="F274" s="570"/>
    </row>
    <row r="275" spans="2:6" s="60" customFormat="1" ht="12.95" customHeight="1">
      <c r="B275" s="570"/>
      <c r="C275" s="570"/>
      <c r="D275" s="570"/>
      <c r="E275" s="570"/>
      <c r="F275" s="570"/>
    </row>
    <row r="276" spans="2:6" s="60" customFormat="1" ht="12.95" customHeight="1">
      <c r="B276" s="556" t="s">
        <v>2601</v>
      </c>
      <c r="C276" s="556"/>
      <c r="D276" s="556"/>
      <c r="E276" s="556"/>
      <c r="F276" s="556"/>
    </row>
    <row r="277" spans="2:6" s="60" customFormat="1" ht="12.95" customHeight="1">
      <c r="B277" s="556"/>
      <c r="C277" s="556"/>
      <c r="D277" s="556"/>
      <c r="E277" s="556"/>
      <c r="F277" s="556"/>
    </row>
    <row r="278" spans="2:6" s="60" customFormat="1" ht="12.95" customHeight="1">
      <c r="B278" s="556"/>
      <c r="C278" s="556"/>
      <c r="D278" s="556"/>
      <c r="E278" s="556"/>
      <c r="F278" s="556"/>
    </row>
    <row r="279" spans="2:6" s="60" customFormat="1" ht="12.95" customHeight="1">
      <c r="B279" s="262"/>
      <c r="C279" s="262"/>
      <c r="D279" s="262"/>
      <c r="E279" s="262"/>
      <c r="F279" s="262"/>
    </row>
    <row r="280" spans="2:6" s="60" customFormat="1" ht="12.95" customHeight="1">
      <c r="B280" s="553" t="s">
        <v>2496</v>
      </c>
      <c r="C280" s="553"/>
      <c r="D280" s="553"/>
      <c r="E280" s="553"/>
      <c r="F280" s="553"/>
    </row>
    <row r="281" spans="2:6" s="60" customFormat="1" ht="12.95" customHeight="1">
      <c r="B281" s="570" t="s">
        <v>2602</v>
      </c>
      <c r="C281" s="570"/>
      <c r="D281" s="570"/>
      <c r="E281" s="570"/>
      <c r="F281" s="570"/>
    </row>
    <row r="282" spans="2:6" s="60" customFormat="1" ht="12.95" customHeight="1">
      <c r="B282" s="570"/>
      <c r="C282" s="570"/>
      <c r="D282" s="570"/>
      <c r="E282" s="570"/>
      <c r="F282" s="570"/>
    </row>
    <row r="283" spans="2:6" s="60" customFormat="1" ht="12.95" customHeight="1">
      <c r="B283" s="556" t="s">
        <v>2603</v>
      </c>
      <c r="C283" s="556"/>
      <c r="D283" s="556"/>
      <c r="E283" s="556"/>
      <c r="F283" s="556"/>
    </row>
    <row r="284" spans="2:6" s="60" customFormat="1" ht="14.25" customHeight="1">
      <c r="B284" s="556"/>
      <c r="C284" s="556"/>
      <c r="D284" s="556"/>
      <c r="E284" s="556"/>
      <c r="F284" s="556"/>
    </row>
    <row r="285" spans="2:6" s="60" customFormat="1" ht="12.95" customHeight="1">
      <c r="B285" s="262"/>
      <c r="C285" s="262"/>
      <c r="D285" s="262"/>
      <c r="E285" s="262"/>
      <c r="F285" s="262"/>
    </row>
    <row r="286" spans="2:6" s="60" customFormat="1" ht="12.95" customHeight="1">
      <c r="B286" s="553" t="s">
        <v>2604</v>
      </c>
      <c r="C286" s="553"/>
      <c r="D286" s="553"/>
      <c r="E286" s="553"/>
      <c r="F286" s="553"/>
    </row>
    <row r="287" spans="2:6" s="60" customFormat="1" ht="12.95" customHeight="1">
      <c r="B287" s="573" t="s">
        <v>2605</v>
      </c>
      <c r="C287" s="573"/>
      <c r="D287" s="573"/>
      <c r="E287" s="573"/>
      <c r="F287" s="573"/>
    </row>
    <row r="288" spans="2:6" s="60" customFormat="1" ht="12.95" customHeight="1">
      <c r="B288" s="556" t="s">
        <v>2606</v>
      </c>
      <c r="C288" s="570"/>
      <c r="D288" s="570"/>
      <c r="E288" s="570"/>
      <c r="F288" s="570"/>
    </row>
    <row r="289" spans="2:6" s="60" customFormat="1" ht="12.95" customHeight="1">
      <c r="B289" s="262"/>
      <c r="C289" s="262"/>
      <c r="D289" s="262"/>
      <c r="E289" s="262"/>
      <c r="F289" s="262"/>
    </row>
    <row r="290" spans="2:6" s="60" customFormat="1" ht="12.95" customHeight="1">
      <c r="B290" s="553" t="s">
        <v>2418</v>
      </c>
      <c r="C290" s="553"/>
      <c r="D290" s="553"/>
      <c r="E290" s="553"/>
      <c r="F290" s="553"/>
    </row>
    <row r="291" spans="2:6" s="60" customFormat="1" ht="12.95" customHeight="1">
      <c r="B291" s="570" t="s">
        <v>2607</v>
      </c>
      <c r="C291" s="570"/>
      <c r="D291" s="570"/>
      <c r="E291" s="570"/>
      <c r="F291" s="570"/>
    </row>
    <row r="292" spans="2:6" s="60" customFormat="1" ht="12.95" customHeight="1">
      <c r="B292" s="570"/>
      <c r="C292" s="570"/>
      <c r="D292" s="570"/>
      <c r="E292" s="570"/>
      <c r="F292" s="570"/>
    </row>
    <row r="293" spans="2:6" s="60" customFormat="1" ht="12.95" customHeight="1">
      <c r="B293" s="556" t="s">
        <v>2608</v>
      </c>
      <c r="C293" s="556"/>
      <c r="D293" s="556"/>
      <c r="E293" s="556"/>
      <c r="F293" s="556"/>
    </row>
    <row r="294" spans="2:6" s="60" customFormat="1" ht="12.95" customHeight="1">
      <c r="B294" s="556"/>
      <c r="C294" s="556"/>
      <c r="D294" s="556"/>
      <c r="E294" s="556"/>
      <c r="F294" s="556"/>
    </row>
    <row r="295" spans="2:6" s="60" customFormat="1" ht="12.95" customHeight="1">
      <c r="B295" s="556"/>
      <c r="C295" s="556"/>
      <c r="D295" s="556"/>
      <c r="E295" s="556"/>
      <c r="F295" s="556"/>
    </row>
    <row r="296" spans="2:6" s="60" customFormat="1" ht="12.95" customHeight="1">
      <c r="B296" s="262"/>
      <c r="C296" s="262"/>
      <c r="D296" s="262"/>
      <c r="E296" s="262"/>
      <c r="F296" s="262"/>
    </row>
    <row r="297" spans="2:6" s="60" customFormat="1" ht="12.95" customHeight="1">
      <c r="B297" s="553" t="s">
        <v>2609</v>
      </c>
      <c r="C297" s="553"/>
      <c r="D297" s="553"/>
      <c r="E297" s="553"/>
      <c r="F297" s="553"/>
    </row>
    <row r="298" spans="2:6" s="60" customFormat="1" ht="12.95" customHeight="1">
      <c r="B298" s="573" t="s">
        <v>2610</v>
      </c>
      <c r="C298" s="573"/>
      <c r="D298" s="573"/>
      <c r="E298" s="573"/>
      <c r="F298" s="573"/>
    </row>
    <row r="299" spans="2:6" s="60" customFormat="1" ht="12.95" customHeight="1">
      <c r="B299" s="556" t="s">
        <v>2611</v>
      </c>
      <c r="C299" s="556"/>
      <c r="D299" s="556"/>
      <c r="E299" s="556"/>
      <c r="F299" s="556"/>
    </row>
    <row r="300" spans="2:6" s="60" customFormat="1" ht="12.95" customHeight="1">
      <c r="B300" s="556"/>
      <c r="C300" s="556"/>
      <c r="D300" s="556"/>
      <c r="E300" s="556"/>
      <c r="F300" s="556"/>
    </row>
    <row r="301" spans="2:6" s="60" customFormat="1" ht="12.95" customHeight="1">
      <c r="B301" s="262"/>
      <c r="C301" s="262"/>
      <c r="D301" s="262"/>
      <c r="E301" s="262"/>
      <c r="F301" s="262"/>
    </row>
    <row r="302" spans="2:6" s="60" customFormat="1" ht="12.95" customHeight="1">
      <c r="B302" s="553" t="s">
        <v>2612</v>
      </c>
      <c r="C302" s="553"/>
      <c r="D302" s="553"/>
      <c r="E302" s="553"/>
      <c r="F302" s="553"/>
    </row>
    <row r="303" spans="2:6" s="60" customFormat="1" ht="12.95" customHeight="1">
      <c r="B303" s="573" t="s">
        <v>2613</v>
      </c>
      <c r="C303" s="573"/>
      <c r="D303" s="573"/>
      <c r="E303" s="573"/>
      <c r="F303" s="573"/>
    </row>
    <row r="304" spans="2:6" s="60" customFormat="1" ht="12.95" customHeight="1">
      <c r="B304" s="556" t="s">
        <v>2614</v>
      </c>
      <c r="C304" s="556"/>
      <c r="D304" s="556"/>
      <c r="E304" s="556"/>
      <c r="F304" s="556"/>
    </row>
    <row r="305" spans="2:7" s="60" customFormat="1" ht="12.95" customHeight="1">
      <c r="B305" s="556"/>
      <c r="C305" s="556"/>
      <c r="D305" s="556"/>
      <c r="E305" s="556"/>
      <c r="F305" s="556"/>
    </row>
    <row r="306" spans="2:7" s="59" customFormat="1" ht="12.95" customHeight="1">
      <c r="B306" s="164"/>
      <c r="C306" s="164"/>
      <c r="D306" s="164"/>
      <c r="E306" s="164"/>
      <c r="F306" s="164"/>
      <c r="G306" s="66"/>
    </row>
    <row r="307" spans="2:7" s="59" customFormat="1" ht="12.95" customHeight="1">
      <c r="B307" s="553" t="s">
        <v>2432</v>
      </c>
      <c r="C307" s="553"/>
      <c r="D307" s="553"/>
      <c r="E307" s="553"/>
      <c r="F307" s="553"/>
      <c r="G307" s="66"/>
    </row>
    <row r="308" spans="2:7" s="60" customFormat="1" ht="12.95" customHeight="1">
      <c r="B308" s="573" t="s">
        <v>2615</v>
      </c>
      <c r="C308" s="573"/>
      <c r="D308" s="573"/>
      <c r="E308" s="573"/>
      <c r="F308" s="573"/>
    </row>
    <row r="309" spans="2:7" s="60" customFormat="1">
      <c r="B309" s="570"/>
      <c r="C309" s="570"/>
      <c r="D309" s="570"/>
      <c r="E309" s="570"/>
      <c r="F309" s="570"/>
    </row>
    <row r="310" spans="2:7" s="59" customFormat="1" ht="12.95" customHeight="1">
      <c r="B310" s="560" t="s">
        <v>586</v>
      </c>
      <c r="C310" s="560"/>
      <c r="D310" s="560"/>
      <c r="E310" s="560"/>
      <c r="F310" s="560"/>
      <c r="G310" s="66"/>
    </row>
    <row r="311" spans="2:7" s="59" customFormat="1" ht="12.95" customHeight="1">
      <c r="B311" s="260"/>
      <c r="C311" s="260"/>
      <c r="D311" s="260"/>
      <c r="E311" s="260"/>
      <c r="F311" s="260"/>
      <c r="G311" s="66"/>
    </row>
    <row r="312" spans="2:7" s="59" customFormat="1" ht="12.95" customHeight="1">
      <c r="B312" s="568" t="str">
        <f>B58&amp;":"</f>
        <v>H. Other:</v>
      </c>
      <c r="C312" s="568"/>
      <c r="D312" s="568"/>
      <c r="E312" s="568"/>
      <c r="F312" s="568"/>
      <c r="G312" s="66"/>
    </row>
    <row r="313" spans="2:7" s="59" customFormat="1" ht="12.95" customHeight="1">
      <c r="B313" s="259"/>
      <c r="C313" s="259"/>
      <c r="D313" s="259"/>
      <c r="E313" s="259"/>
      <c r="F313" s="259"/>
      <c r="G313" s="66"/>
    </row>
    <row r="314" spans="2:7" s="59" customFormat="1" ht="12.95" customHeight="1">
      <c r="B314" s="574"/>
      <c r="C314" s="574"/>
      <c r="D314" s="574"/>
      <c r="E314" s="574"/>
      <c r="F314" s="574"/>
      <c r="G314" s="66"/>
    </row>
    <row r="315" spans="2:7" s="59" customFormat="1" ht="12.95" customHeight="1">
      <c r="B315" s="574"/>
      <c r="C315" s="574"/>
      <c r="D315" s="574"/>
      <c r="E315" s="574"/>
      <c r="F315" s="574"/>
      <c r="G315" s="66"/>
    </row>
    <row r="316" spans="2:7" s="59" customFormat="1" ht="12.75" customHeight="1">
      <c r="B316" s="262"/>
      <c r="C316" s="262"/>
      <c r="D316" s="262"/>
      <c r="E316" s="262"/>
      <c r="F316" s="262"/>
      <c r="G316" s="66"/>
    </row>
    <row r="317" spans="2:7" s="59" customFormat="1" ht="12.75" customHeight="1">
      <c r="B317" s="553" t="s">
        <v>2433</v>
      </c>
      <c r="C317" s="553"/>
      <c r="D317" s="553"/>
      <c r="E317" s="553"/>
      <c r="F317" s="553"/>
      <c r="G317" s="66"/>
    </row>
    <row r="318" spans="2:7" s="59" customFormat="1" ht="12.75" customHeight="1">
      <c r="B318" s="570" t="s">
        <v>2616</v>
      </c>
      <c r="C318" s="570"/>
      <c r="D318" s="570"/>
      <c r="E318" s="570"/>
      <c r="F318" s="570"/>
      <c r="G318" s="66"/>
    </row>
    <row r="319" spans="2:7" s="59" customFormat="1" ht="12.75" customHeight="1">
      <c r="B319" s="570"/>
      <c r="C319" s="570"/>
      <c r="D319" s="570"/>
      <c r="E319" s="570"/>
      <c r="F319" s="570"/>
      <c r="G319" s="66"/>
    </row>
    <row r="320" spans="2:7" s="59" customFormat="1" ht="12.75" customHeight="1">
      <c r="B320" s="262"/>
      <c r="C320" s="262"/>
      <c r="D320" s="262"/>
      <c r="E320" s="262"/>
      <c r="F320" s="262"/>
      <c r="G320" s="66"/>
    </row>
    <row r="321" spans="2:7" s="59" customFormat="1" ht="12.75" customHeight="1">
      <c r="B321" s="553" t="s">
        <v>2434</v>
      </c>
      <c r="C321" s="553"/>
      <c r="D321" s="553"/>
      <c r="E321" s="553"/>
      <c r="F321" s="553"/>
      <c r="G321" s="66"/>
    </row>
    <row r="322" spans="2:7" s="59" customFormat="1" ht="12.75" customHeight="1">
      <c r="B322" s="570" t="s">
        <v>2617</v>
      </c>
      <c r="C322" s="570"/>
      <c r="D322" s="570"/>
      <c r="E322" s="570"/>
      <c r="F322" s="570"/>
      <c r="G322" s="66"/>
    </row>
    <row r="323" spans="2:7" s="59" customFormat="1" ht="12.75" customHeight="1">
      <c r="B323" s="262"/>
      <c r="C323" s="262"/>
      <c r="D323" s="262"/>
      <c r="E323" s="262"/>
      <c r="F323" s="262"/>
      <c r="G323" s="66"/>
    </row>
    <row r="324" spans="2:7" s="59" customFormat="1" ht="12.95" customHeight="1">
      <c r="B324" s="553" t="s">
        <v>2432</v>
      </c>
      <c r="C324" s="553"/>
      <c r="D324" s="553"/>
      <c r="E324" s="553"/>
      <c r="F324" s="553"/>
      <c r="G324" s="66"/>
    </row>
    <row r="325" spans="2:7" s="59" customFormat="1" ht="12.95" customHeight="1">
      <c r="B325" s="570" t="s">
        <v>2618</v>
      </c>
      <c r="C325" s="570"/>
      <c r="D325" s="570"/>
      <c r="E325" s="570"/>
      <c r="F325" s="570"/>
      <c r="G325" s="66"/>
    </row>
    <row r="326" spans="2:7" s="59" customFormat="1" ht="12.95" customHeight="1">
      <c r="B326" s="570"/>
      <c r="C326" s="570"/>
      <c r="D326" s="570"/>
      <c r="E326" s="570"/>
      <c r="F326" s="570"/>
      <c r="G326" s="66"/>
    </row>
    <row r="327" spans="2:7" s="59" customFormat="1" ht="12.95" customHeight="1">
      <c r="B327" s="261"/>
      <c r="C327" s="261"/>
      <c r="D327" s="261"/>
      <c r="E327" s="261"/>
      <c r="F327" s="261"/>
      <c r="G327" s="66"/>
    </row>
    <row r="328" spans="2:7" s="59" customFormat="1" ht="12.95" customHeight="1">
      <c r="B328" s="560" t="s">
        <v>586</v>
      </c>
      <c r="C328" s="560"/>
      <c r="D328" s="560"/>
      <c r="E328" s="560"/>
      <c r="F328" s="560"/>
      <c r="G328" s="66"/>
    </row>
    <row r="329" spans="2:7" s="59" customFormat="1" ht="12.95" customHeight="1">
      <c r="B329" s="261"/>
      <c r="C329" s="261"/>
      <c r="D329" s="261"/>
      <c r="E329" s="261"/>
      <c r="F329" s="261"/>
      <c r="G329" s="66"/>
    </row>
    <row r="330" spans="2:7" s="59" customFormat="1" ht="12.95" customHeight="1">
      <c r="B330" s="562" t="s">
        <v>584</v>
      </c>
      <c r="C330" s="562"/>
      <c r="D330" s="562"/>
      <c r="E330" s="562"/>
      <c r="F330" s="562"/>
      <c r="G330" s="66"/>
    </row>
    <row r="331" spans="2:7" s="59" customFormat="1" ht="12.95" customHeight="1">
      <c r="B331" s="86"/>
      <c r="C331" s="86"/>
      <c r="D331" s="86"/>
      <c r="E331" s="86"/>
      <c r="F331" s="86"/>
      <c r="G331" s="66"/>
    </row>
    <row r="332" spans="2:7" s="59" customFormat="1" ht="12.95" customHeight="1">
      <c r="B332" s="263" t="s">
        <v>32</v>
      </c>
      <c r="C332" s="264"/>
      <c r="D332" s="264"/>
      <c r="E332" s="264"/>
      <c r="F332" s="265" t="s">
        <v>586</v>
      </c>
      <c r="G332" s="66"/>
    </row>
    <row r="333" spans="2:7" s="59" customFormat="1" ht="36.950000000000003" customHeight="1">
      <c r="B333" s="579" t="s">
        <v>2625</v>
      </c>
      <c r="C333" s="580"/>
      <c r="D333" s="580"/>
      <c r="E333" s="580"/>
      <c r="F333" s="581"/>
      <c r="G333" s="66"/>
    </row>
    <row r="334" spans="2:7" s="59" customFormat="1" ht="15">
      <c r="B334" s="263" t="s">
        <v>2404</v>
      </c>
      <c r="C334" s="264"/>
      <c r="D334" s="264"/>
      <c r="E334" s="264"/>
      <c r="F334" s="265" t="s">
        <v>586</v>
      </c>
      <c r="G334" s="66"/>
    </row>
    <row r="335" spans="2:7" s="59" customFormat="1" ht="71.25" customHeight="1">
      <c r="B335" s="551" t="s">
        <v>2627</v>
      </c>
      <c r="C335" s="551"/>
      <c r="D335" s="551"/>
      <c r="E335" s="551"/>
      <c r="F335" s="552"/>
      <c r="G335" s="66"/>
    </row>
    <row r="336" spans="2:7" s="59" customFormat="1" ht="15">
      <c r="B336" s="263" t="s">
        <v>579</v>
      </c>
      <c r="C336" s="264"/>
      <c r="D336" s="264"/>
      <c r="E336" s="264"/>
      <c r="F336" s="265" t="s">
        <v>586</v>
      </c>
      <c r="G336" s="66"/>
    </row>
    <row r="337" spans="2:7" s="59" customFormat="1" ht="12.75" customHeight="1">
      <c r="B337" s="542" t="s">
        <v>2626</v>
      </c>
      <c r="C337" s="543"/>
      <c r="D337" s="543"/>
      <c r="E337" s="543"/>
      <c r="F337" s="544"/>
      <c r="G337" s="66"/>
    </row>
    <row r="338" spans="2:7" s="59" customFormat="1">
      <c r="B338" s="545"/>
      <c r="C338" s="546"/>
      <c r="D338" s="546"/>
      <c r="E338" s="546"/>
      <c r="F338" s="547"/>
      <c r="G338" s="66"/>
    </row>
    <row r="339" spans="2:7" s="59" customFormat="1" ht="12.6" customHeight="1">
      <c r="B339" s="545"/>
      <c r="C339" s="546"/>
      <c r="D339" s="546"/>
      <c r="E339" s="546"/>
      <c r="F339" s="547"/>
      <c r="G339" s="66"/>
    </row>
    <row r="340" spans="2:7" s="59" customFormat="1">
      <c r="B340" s="545"/>
      <c r="C340" s="546"/>
      <c r="D340" s="546"/>
      <c r="E340" s="546"/>
      <c r="F340" s="547"/>
      <c r="G340" s="66"/>
    </row>
    <row r="341" spans="2:7" s="59" customFormat="1">
      <c r="B341" s="545"/>
      <c r="C341" s="546"/>
      <c r="D341" s="546"/>
      <c r="E341" s="546"/>
      <c r="F341" s="547"/>
      <c r="G341" s="66"/>
    </row>
    <row r="342" spans="2:7" s="59" customFormat="1">
      <c r="B342" s="545"/>
      <c r="C342" s="546"/>
      <c r="D342" s="546"/>
      <c r="E342" s="546"/>
      <c r="F342" s="547"/>
      <c r="G342" s="66"/>
    </row>
    <row r="343" spans="2:7" s="59" customFormat="1">
      <c r="B343" s="545"/>
      <c r="C343" s="546"/>
      <c r="D343" s="546"/>
      <c r="E343" s="546"/>
      <c r="F343" s="547"/>
      <c r="G343" s="66"/>
    </row>
    <row r="344" spans="2:7" s="59" customFormat="1">
      <c r="B344" s="545"/>
      <c r="C344" s="546"/>
      <c r="D344" s="546"/>
      <c r="E344" s="546"/>
      <c r="F344" s="547"/>
      <c r="G344" s="66"/>
    </row>
    <row r="345" spans="2:7" s="59" customFormat="1">
      <c r="B345" s="545"/>
      <c r="C345" s="546"/>
      <c r="D345" s="546"/>
      <c r="E345" s="546"/>
      <c r="F345" s="547"/>
      <c r="G345" s="66"/>
    </row>
    <row r="346" spans="2:7" s="59" customFormat="1">
      <c r="B346" s="545"/>
      <c r="C346" s="546"/>
      <c r="D346" s="546"/>
      <c r="E346" s="546"/>
      <c r="F346" s="547"/>
      <c r="G346" s="66"/>
    </row>
    <row r="347" spans="2:7" s="59" customFormat="1" ht="12.6" customHeight="1">
      <c r="B347" s="545"/>
      <c r="C347" s="546"/>
      <c r="D347" s="546"/>
      <c r="E347" s="546"/>
      <c r="F347" s="547"/>
      <c r="G347" s="66"/>
    </row>
    <row r="348" spans="2:7" s="59" customFormat="1">
      <c r="B348" s="545"/>
      <c r="C348" s="546"/>
      <c r="D348" s="546"/>
      <c r="E348" s="546"/>
      <c r="F348" s="547"/>
      <c r="G348" s="66"/>
    </row>
    <row r="349" spans="2:7" s="59" customFormat="1">
      <c r="B349" s="545"/>
      <c r="C349" s="546"/>
      <c r="D349" s="546"/>
      <c r="E349" s="546"/>
      <c r="F349" s="547"/>
      <c r="G349" s="66"/>
    </row>
    <row r="350" spans="2:7" s="59" customFormat="1">
      <c r="B350" s="545"/>
      <c r="C350" s="546"/>
      <c r="D350" s="546"/>
      <c r="E350" s="546"/>
      <c r="F350" s="547"/>
      <c r="G350" s="66"/>
    </row>
    <row r="351" spans="2:7" s="72" customFormat="1">
      <c r="B351" s="545"/>
      <c r="C351" s="546"/>
      <c r="D351" s="546"/>
      <c r="E351" s="546"/>
      <c r="F351" s="547"/>
      <c r="G351" s="71"/>
    </row>
    <row r="352" spans="2:7" s="72" customFormat="1">
      <c r="B352" s="545"/>
      <c r="C352" s="546"/>
      <c r="D352" s="546"/>
      <c r="E352" s="546"/>
      <c r="F352" s="547"/>
      <c r="G352" s="71"/>
    </row>
    <row r="353" spans="2:7" s="72" customFormat="1">
      <c r="B353" s="545"/>
      <c r="C353" s="546"/>
      <c r="D353" s="546"/>
      <c r="E353" s="546"/>
      <c r="F353" s="547"/>
      <c r="G353" s="71"/>
    </row>
    <row r="354" spans="2:7" ht="28.5" customHeight="1">
      <c r="B354" s="548"/>
      <c r="C354" s="549"/>
      <c r="D354" s="549"/>
      <c r="E354" s="549"/>
      <c r="F354" s="550"/>
      <c r="G354" s="66"/>
    </row>
    <row r="355" spans="2:7" ht="15">
      <c r="B355" s="263" t="s">
        <v>2444</v>
      </c>
      <c r="C355" s="264"/>
      <c r="D355" s="264"/>
      <c r="E355" s="264"/>
      <c r="F355" s="265" t="s">
        <v>586</v>
      </c>
      <c r="G355" s="66"/>
    </row>
    <row r="356" spans="2:7" ht="45.75" customHeight="1">
      <c r="B356" s="579" t="s">
        <v>2628</v>
      </c>
      <c r="C356" s="580"/>
      <c r="D356" s="580"/>
      <c r="E356" s="580"/>
      <c r="F356" s="581"/>
      <c r="G356" s="66"/>
    </row>
    <row r="357" spans="2:7" ht="15">
      <c r="B357" s="263" t="s">
        <v>585</v>
      </c>
      <c r="C357" s="264"/>
      <c r="D357" s="264"/>
      <c r="E357" s="264"/>
      <c r="F357" s="265" t="s">
        <v>586</v>
      </c>
      <c r="G357" s="66"/>
    </row>
    <row r="358" spans="2:7" ht="72.75" customHeight="1">
      <c r="B358" s="575" t="s">
        <v>2631</v>
      </c>
      <c r="C358" s="551"/>
      <c r="D358" s="551"/>
      <c r="E358" s="551"/>
      <c r="F358" s="552"/>
      <c r="G358" s="66"/>
    </row>
    <row r="359" spans="2:7" ht="275.25" customHeight="1">
      <c r="B359" s="576"/>
      <c r="C359" s="577"/>
      <c r="D359" s="577"/>
      <c r="E359" s="577"/>
      <c r="F359" s="578"/>
      <c r="G359" s="66"/>
    </row>
    <row r="360" spans="2:7" ht="30.95" customHeight="1">
      <c r="G360" s="66"/>
    </row>
    <row r="361" spans="2:7">
      <c r="B361" s="66"/>
      <c r="C361" s="66"/>
      <c r="D361" s="66"/>
      <c r="E361" s="66"/>
      <c r="F361" s="66"/>
      <c r="G361" s="66"/>
    </row>
    <row r="362" spans="2:7">
      <c r="B362" s="66"/>
    </row>
    <row r="363" spans="2:7">
      <c r="B363" s="66"/>
    </row>
    <row r="364" spans="2:7" ht="26.25" customHeight="1">
      <c r="B364" s="66"/>
    </row>
    <row r="365" spans="2:7" ht="12.6" customHeight="1">
      <c r="B365" s="66"/>
      <c r="C365" s="66"/>
      <c r="D365" s="66"/>
      <c r="E365" s="66"/>
      <c r="F365" s="66"/>
      <c r="G365" s="66"/>
    </row>
    <row r="366" spans="2:7">
      <c r="B366" s="66"/>
      <c r="C366" s="66"/>
      <c r="D366" s="66"/>
      <c r="E366" s="66"/>
      <c r="F366" s="66"/>
      <c r="G366" s="66"/>
    </row>
    <row r="367" spans="2:7">
      <c r="B367" s="66"/>
      <c r="C367" s="66"/>
      <c r="D367" s="66"/>
      <c r="E367" s="66"/>
      <c r="F367" s="66"/>
      <c r="G367" s="66"/>
    </row>
    <row r="368" spans="2:7">
      <c r="G368" s="66"/>
    </row>
    <row r="369" spans="2:7">
      <c r="G369" s="66"/>
    </row>
    <row r="370" spans="2:7">
      <c r="G370" s="66"/>
    </row>
    <row r="371" spans="2:7">
      <c r="G371" s="66"/>
    </row>
    <row r="372" spans="2:7" ht="28.5" customHeight="1">
      <c r="G372" s="66"/>
    </row>
    <row r="373" spans="2:7" ht="12.6" customHeight="1">
      <c r="G373" s="66"/>
    </row>
    <row r="374" spans="2:7">
      <c r="G374" s="66"/>
    </row>
    <row r="375" spans="2:7">
      <c r="G375" s="66"/>
    </row>
    <row r="376" spans="2:7">
      <c r="G376" s="66"/>
    </row>
    <row r="377" spans="2:7">
      <c r="G377" s="66"/>
    </row>
    <row r="378" spans="2:7">
      <c r="G378" s="66"/>
    </row>
    <row r="379" spans="2:7" s="70" customFormat="1" ht="28.5" customHeight="1">
      <c r="B379" s="29"/>
      <c r="C379" s="29"/>
      <c r="D379" s="29"/>
      <c r="E379" s="29"/>
      <c r="F379" s="29"/>
      <c r="G379" s="69"/>
    </row>
    <row r="380" spans="2:7" s="70" customFormat="1" ht="12.6" customHeight="1">
      <c r="B380" s="29"/>
      <c r="C380" s="29"/>
      <c r="D380" s="29"/>
      <c r="E380" s="29"/>
      <c r="F380" s="29"/>
      <c r="G380" s="69"/>
    </row>
    <row r="381" spans="2:7" s="70" customFormat="1">
      <c r="B381" s="29"/>
      <c r="C381" s="29"/>
      <c r="D381" s="29"/>
      <c r="E381" s="29"/>
      <c r="F381" s="29"/>
      <c r="G381" s="69"/>
    </row>
    <row r="382" spans="2:7">
      <c r="G382" s="66"/>
    </row>
    <row r="383" spans="2:7">
      <c r="G383" s="66"/>
    </row>
    <row r="384" spans="2:7" ht="48.75" customHeight="1">
      <c r="G384" s="66"/>
    </row>
    <row r="385" spans="2:7" s="73" customFormat="1" ht="290.25" customHeight="1">
      <c r="B385" s="29"/>
      <c r="C385" s="29"/>
      <c r="D385" s="29"/>
      <c r="E385" s="29"/>
      <c r="F385" s="29"/>
      <c r="G385" s="67"/>
    </row>
    <row r="386" spans="2:7" ht="12.6" customHeight="1">
      <c r="G386" s="66"/>
    </row>
    <row r="387" spans="2:7">
      <c r="G387" s="66"/>
    </row>
    <row r="388" spans="2:7">
      <c r="G388" s="66"/>
    </row>
    <row r="389" spans="2:7">
      <c r="G389" s="66"/>
    </row>
    <row r="390" spans="2:7" ht="28.5" customHeight="1">
      <c r="G390" s="66"/>
    </row>
    <row r="391" spans="2:7" ht="12.6" customHeight="1">
      <c r="G391" s="66"/>
    </row>
    <row r="392" spans="2:7">
      <c r="G392" s="66"/>
    </row>
    <row r="393" spans="2:7">
      <c r="G393" s="66"/>
    </row>
    <row r="394" spans="2:7">
      <c r="G394" s="66"/>
    </row>
    <row r="395" spans="2:7">
      <c r="G395" s="66"/>
    </row>
    <row r="396" spans="2:7">
      <c r="G396" s="66"/>
    </row>
    <row r="397" spans="2:7">
      <c r="G397" s="66"/>
    </row>
    <row r="398" spans="2:7">
      <c r="G398" s="66"/>
    </row>
    <row r="399" spans="2:7">
      <c r="G399" s="66"/>
    </row>
  </sheetData>
  <sheetProtection algorithmName="SHA-512" hashValue="SZU1rR2pfPvX0v3cMC+udIQKHS7ZZknUq/I/G6KFd/+EvlOlMFCyAyJAIQ+FJAYjSZj3lKquCIwhXX6ObzNqMQ==" saltValue="0Qz5JwHicQzRXljyHnXjHw==" spinCount="100000" sheet="1" objects="1" scenarios="1"/>
  <mergeCells count="243">
    <mergeCell ref="B140:F140"/>
    <mergeCell ref="B58:D58"/>
    <mergeCell ref="B59:D59"/>
    <mergeCell ref="B60:D60"/>
    <mergeCell ref="B61:D61"/>
    <mergeCell ref="B64:F64"/>
    <mergeCell ref="B137:F137"/>
    <mergeCell ref="B117:C117"/>
    <mergeCell ref="B121:C121"/>
    <mergeCell ref="B118:F118"/>
    <mergeCell ref="B119:F119"/>
    <mergeCell ref="B120:F120"/>
    <mergeCell ref="B107:F107"/>
    <mergeCell ref="B106:F106"/>
    <mergeCell ref="B110:F110"/>
    <mergeCell ref="B115:F116"/>
    <mergeCell ref="B127:F128"/>
    <mergeCell ref="B130:F130"/>
    <mergeCell ref="B131:F131"/>
    <mergeCell ref="B132:F132"/>
    <mergeCell ref="B125:C125"/>
    <mergeCell ref="B122:F122"/>
    <mergeCell ref="B123:F123"/>
    <mergeCell ref="B124:F124"/>
    <mergeCell ref="B126:F126"/>
    <mergeCell ref="B65:D65"/>
    <mergeCell ref="B6:D6"/>
    <mergeCell ref="B80:F80"/>
    <mergeCell ref="B139:F139"/>
    <mergeCell ref="B33:D33"/>
    <mergeCell ref="B36:D36"/>
    <mergeCell ref="B38:D38"/>
    <mergeCell ref="B39:D39"/>
    <mergeCell ref="B40:D40"/>
    <mergeCell ref="B41:D41"/>
    <mergeCell ref="B45:D45"/>
    <mergeCell ref="B46:D46"/>
    <mergeCell ref="B48:D48"/>
    <mergeCell ref="B21:D21"/>
    <mergeCell ref="B28:D28"/>
    <mergeCell ref="B37:D37"/>
    <mergeCell ref="B47:D47"/>
    <mergeCell ref="B7:D7"/>
    <mergeCell ref="B50:D50"/>
    <mergeCell ref="B10:D10"/>
    <mergeCell ref="B11:D11"/>
    <mergeCell ref="B35:D35"/>
    <mergeCell ref="B34:D34"/>
    <mergeCell ref="B358:F359"/>
    <mergeCell ref="B356:F356"/>
    <mergeCell ref="B68:D68"/>
    <mergeCell ref="B70:D70"/>
    <mergeCell ref="B69:D69"/>
    <mergeCell ref="B252:F252"/>
    <mergeCell ref="B212:F212"/>
    <mergeCell ref="B207:F207"/>
    <mergeCell ref="B210:F210"/>
    <mergeCell ref="B214:F214"/>
    <mergeCell ref="B215:F215"/>
    <mergeCell ref="B231:F231"/>
    <mergeCell ref="B232:F232"/>
    <mergeCell ref="B233:F233"/>
    <mergeCell ref="B249:F249"/>
    <mergeCell ref="B250:F250"/>
    <mergeCell ref="B251:F251"/>
    <mergeCell ref="B95:F95"/>
    <mergeCell ref="B113:F113"/>
    <mergeCell ref="B109:F109"/>
    <mergeCell ref="B111:F111"/>
    <mergeCell ref="B114:F114"/>
    <mergeCell ref="B100:F100"/>
    <mergeCell ref="B333:F333"/>
    <mergeCell ref="B208:F208"/>
    <mergeCell ref="B254:F254"/>
    <mergeCell ref="B258:F258"/>
    <mergeCell ref="B259:F259"/>
    <mergeCell ref="B209:C209"/>
    <mergeCell ref="B283:F284"/>
    <mergeCell ref="B260:F261"/>
    <mergeCell ref="B274:F275"/>
    <mergeCell ref="B134:F134"/>
    <mergeCell ref="B216:F216"/>
    <mergeCell ref="B218:F218"/>
    <mergeCell ref="B219:F219"/>
    <mergeCell ref="B223:F223"/>
    <mergeCell ref="B225:F225"/>
    <mergeCell ref="B224:F224"/>
    <mergeCell ref="B220:F221"/>
    <mergeCell ref="B235:F235"/>
    <mergeCell ref="B236:F236"/>
    <mergeCell ref="B237:F238"/>
    <mergeCell ref="B228:F228"/>
    <mergeCell ref="B240:F240"/>
    <mergeCell ref="B241:F241"/>
    <mergeCell ref="B245:F245"/>
    <mergeCell ref="B246:F246"/>
    <mergeCell ref="B293:F295"/>
    <mergeCell ref="B299:F300"/>
    <mergeCell ref="B304:F305"/>
    <mergeCell ref="B290:F290"/>
    <mergeCell ref="B297:F297"/>
    <mergeCell ref="B298:F298"/>
    <mergeCell ref="B302:F302"/>
    <mergeCell ref="B303:F303"/>
    <mergeCell ref="B273:F273"/>
    <mergeCell ref="B280:F280"/>
    <mergeCell ref="B286:F286"/>
    <mergeCell ref="B247:F247"/>
    <mergeCell ref="B242:F243"/>
    <mergeCell ref="B256:F256"/>
    <mergeCell ref="B229:F229"/>
    <mergeCell ref="B330:F330"/>
    <mergeCell ref="B264:F264"/>
    <mergeCell ref="B265:F265"/>
    <mergeCell ref="B268:F268"/>
    <mergeCell ref="B266:F266"/>
    <mergeCell ref="B307:F307"/>
    <mergeCell ref="B308:F308"/>
    <mergeCell ref="B309:F309"/>
    <mergeCell ref="B310:F310"/>
    <mergeCell ref="B287:F287"/>
    <mergeCell ref="B288:F288"/>
    <mergeCell ref="B270:F271"/>
    <mergeCell ref="B276:F278"/>
    <mergeCell ref="B281:F282"/>
    <mergeCell ref="B317:F317"/>
    <mergeCell ref="B318:F319"/>
    <mergeCell ref="B321:F321"/>
    <mergeCell ref="B322:F322"/>
    <mergeCell ref="B312:F312"/>
    <mergeCell ref="B314:F315"/>
    <mergeCell ref="B324:F324"/>
    <mergeCell ref="B325:F326"/>
    <mergeCell ref="B328:F328"/>
    <mergeCell ref="B291:F292"/>
    <mergeCell ref="B147:F147"/>
    <mergeCell ref="B149:F149"/>
    <mergeCell ref="B181:F181"/>
    <mergeCell ref="B136:F136"/>
    <mergeCell ref="B141:F141"/>
    <mergeCell ref="B145:F145"/>
    <mergeCell ref="B157:F157"/>
    <mergeCell ref="B168:F168"/>
    <mergeCell ref="B173:F173"/>
    <mergeCell ref="B174:F174"/>
    <mergeCell ref="B158:C158"/>
    <mergeCell ref="B153:F153"/>
    <mergeCell ref="B151:F151"/>
    <mergeCell ref="B152:F152"/>
    <mergeCell ref="B155:F155"/>
    <mergeCell ref="B156:F156"/>
    <mergeCell ref="B206:F206"/>
    <mergeCell ref="B198:F199"/>
    <mergeCell ref="B201:F201"/>
    <mergeCell ref="B202:F202"/>
    <mergeCell ref="B150:C150"/>
    <mergeCell ref="B144:F144"/>
    <mergeCell ref="B57:D57"/>
    <mergeCell ref="B66:D66"/>
    <mergeCell ref="B67:D67"/>
    <mergeCell ref="B98:F98"/>
    <mergeCell ref="B73:F73"/>
    <mergeCell ref="B75:F75"/>
    <mergeCell ref="B96:F96"/>
    <mergeCell ref="B97:F97"/>
    <mergeCell ref="B91:F91"/>
    <mergeCell ref="B93:F93"/>
    <mergeCell ref="B87:F87"/>
    <mergeCell ref="B89:F89"/>
    <mergeCell ref="B88:F88"/>
    <mergeCell ref="B92:F92"/>
    <mergeCell ref="B81:F81"/>
    <mergeCell ref="B146:F146"/>
    <mergeCell ref="B102:F103"/>
    <mergeCell ref="B129:F129"/>
    <mergeCell ref="B143:F143"/>
    <mergeCell ref="B148:F148"/>
    <mergeCell ref="B105:F105"/>
    <mergeCell ref="B135:F135"/>
    <mergeCell ref="B31:D31"/>
    <mergeCell ref="B42:D42"/>
    <mergeCell ref="B43:D43"/>
    <mergeCell ref="B44:D44"/>
    <mergeCell ref="B49:D49"/>
    <mergeCell ref="B22:D22"/>
    <mergeCell ref="B23:D23"/>
    <mergeCell ref="B24:D24"/>
    <mergeCell ref="B25:D25"/>
    <mergeCell ref="B26:D26"/>
    <mergeCell ref="B27:D27"/>
    <mergeCell ref="B29:D29"/>
    <mergeCell ref="B30:D30"/>
    <mergeCell ref="B32:D32"/>
    <mergeCell ref="B5:F5"/>
    <mergeCell ref="B1:F1"/>
    <mergeCell ref="B3:F3"/>
    <mergeCell ref="B12:D12"/>
    <mergeCell ref="B13:D13"/>
    <mergeCell ref="B14:D14"/>
    <mergeCell ref="B18:D18"/>
    <mergeCell ref="B19:D19"/>
    <mergeCell ref="B20:D20"/>
    <mergeCell ref="B8:D8"/>
    <mergeCell ref="B9:D9"/>
    <mergeCell ref="B15:D15"/>
    <mergeCell ref="B16:D16"/>
    <mergeCell ref="B17:D17"/>
    <mergeCell ref="B203:F203"/>
    <mergeCell ref="B182:F182"/>
    <mergeCell ref="B160:F160"/>
    <mergeCell ref="B163:F163"/>
    <mergeCell ref="B164:F164"/>
    <mergeCell ref="B170:F171"/>
    <mergeCell ref="B183:F183"/>
    <mergeCell ref="B186:F187"/>
    <mergeCell ref="B191:F192"/>
    <mergeCell ref="B193:F194"/>
    <mergeCell ref="B188:F188"/>
    <mergeCell ref="B189:F189"/>
    <mergeCell ref="B337:F354"/>
    <mergeCell ref="B335:F335"/>
    <mergeCell ref="B263:F263"/>
    <mergeCell ref="B51:D51"/>
    <mergeCell ref="B52:D52"/>
    <mergeCell ref="B53:D53"/>
    <mergeCell ref="B54:D54"/>
    <mergeCell ref="B55:D55"/>
    <mergeCell ref="B56:D56"/>
    <mergeCell ref="B77:F78"/>
    <mergeCell ref="B82:F85"/>
    <mergeCell ref="B227:F227"/>
    <mergeCell ref="B159:F159"/>
    <mergeCell ref="B161:F161"/>
    <mergeCell ref="B175:F175"/>
    <mergeCell ref="B177:F177"/>
    <mergeCell ref="B178:F178"/>
    <mergeCell ref="B179:F179"/>
    <mergeCell ref="B196:F196"/>
    <mergeCell ref="B166:F166"/>
    <mergeCell ref="B185:F185"/>
    <mergeCell ref="B205:F205"/>
    <mergeCell ref="B197:F197"/>
    <mergeCell ref="B190:F190"/>
  </mergeCells>
  <hyperlinks>
    <hyperlink ref="B12:D12" location="'Errors &amp; Weighting definitions'!A100" display="'Errors &amp; Weighting definitions'!A100"/>
    <hyperlink ref="B13:D13" location="'Errors &amp; Weighting definitions'!A105" display="'Errors &amp; Weighting definitions'!A105"/>
    <hyperlink ref="B5:F5" location="'Errors &amp; Weighting definitions'!A72" display="CATEGORIES &amp; SUBCATEGORIES – DEFINITIONS &amp; EXAMPLES"/>
    <hyperlink ref="B98" location="'Errors &amp; Weighting definitions'!A5" display="Back &gt;"/>
    <hyperlink ref="B166" location="'Errors &amp; Weighting definitions'!A5" display="Back &gt;"/>
    <hyperlink ref="B252" location="'Errors &amp; Weighting definitions'!A5" display="Back &gt;"/>
    <hyperlink ref="B208" location="'Errors &amp; Weighting definitions'!A5" display="Back &gt;"/>
    <hyperlink ref="B266" location="'Errors &amp; Weighting definitions'!A5" display="Back &gt;"/>
    <hyperlink ref="B310" location="'Errors &amp; Weighting definitions'!A5" display="Back &gt;"/>
    <hyperlink ref="B73:F73" location="'Errors &amp; Weighting definitions'!A5" display="CATEGORIES &amp; SUBCATEGORIES – DEFINITIONS &amp; EXAMPLES"/>
    <hyperlink ref="B137" location="'Errors &amp; Weighting definitions'!A5" display="Back &gt;"/>
    <hyperlink ref="B21:D21" location="'Errors &amp; Weighting definitions'!A139" display="'Errors &amp; Weighting definitions'!A139"/>
    <hyperlink ref="B22:C22" location="'Errors &amp; Weighting definitions'!A90" display="     Address format"/>
    <hyperlink ref="B28:D28" location="'Errors &amp; Weighting definitions'!A168" display="'Errors &amp; Weighting definitions'!A168"/>
    <hyperlink ref="B29" location="'Errors &amp; Weighting definitions'!A117" display="     Awkward"/>
    <hyperlink ref="B37:D37" location="'Errors &amp; Weighting definitions'!A210" display="'Errors &amp; Weighting definitions'!A210"/>
    <hyperlink ref="B38:D38" location="'Errors &amp; Weighting definitions'!A214" display="'Errors &amp; Weighting definitions'!A214"/>
    <hyperlink ref="B47:D47" location="'Errors &amp; Weighting definitions'!A254" display="'Errors &amp; Weighting definitions'!A254"/>
    <hyperlink ref="B48:D48" location="'Errors &amp; Weighting definitions'!A258" display="'Errors &amp; Weighting definitions'!A258"/>
    <hyperlink ref="B7:D7" location="'Errors &amp; Weighting definitions'!A75" display="'Errors &amp; Weighting definitions'!A75"/>
    <hyperlink ref="B50:D50" location="'Errors &amp; Weighting definitions'!A268" display="'Errors &amp; Weighting definitions'!A268"/>
    <hyperlink ref="B64:F64" location="'Errors &amp; Weighting definitions'!A329" display="SEVERITIES - DEFINITIONS"/>
    <hyperlink ref="B66:D66" location="'Errors &amp; Weighting definitions'!A332" display="Minor Error"/>
    <hyperlink ref="B67:D67" location="'Errors &amp; Weighting definitions'!A334" display="Major Error"/>
    <hyperlink ref="B68:D68" location="'Errors &amp; Weighting definitions'!A336" display="Critical Error"/>
    <hyperlink ref="B70:D70" location="'Errors &amp; Weighting definitions'!A357" display="Repeated Error"/>
    <hyperlink ref="B69:D69" location="'Errors &amp; Weighting definitions'!A355" display="Neutral"/>
    <hyperlink ref="B22:D22" location="'Errors &amp; Weighting definitions'!A143" display="'Errors &amp; Weighting definitions'!A143"/>
    <hyperlink ref="B29:D29" location="'Errors &amp; Weighting definitions'!A173" display="'Errors &amp; Weighting definitions'!A173"/>
    <hyperlink ref="B8:D8" location="'Errors &amp; Weighting definitions'!A80" display="'Errors &amp; Weighting definitions'!A80"/>
    <hyperlink ref="B9:D11" location="'Errors &amp; Weighting definitions'!A189" display="     Inconsistent with termbase "/>
    <hyperlink ref="B14:D20" location="'Errors &amp; Weighting definitions'!A62" display="     Addition"/>
    <hyperlink ref="B23:C23" location="'Errors &amp; Weighting definitions'!A90" display="     Address format"/>
    <hyperlink ref="B24:C24" location="'Errors &amp; Weighting definitions'!A90" display="     Address format"/>
    <hyperlink ref="B25:C25" location="'Errors &amp; Weighting definitions'!A90" display="     Address format"/>
    <hyperlink ref="B26:C26" location="'Errors &amp; Weighting definitions'!A90" display="     Address format"/>
    <hyperlink ref="B27:C27" location="'Errors &amp; Weighting definitions'!A90" display="     Address format"/>
    <hyperlink ref="B23:D27" location="'Errors &amp; Weighting definitions'!A85" display="     Address format"/>
    <hyperlink ref="B30" location="'Errors &amp; Weighting definitions'!A117" display="     Awkward"/>
    <hyperlink ref="B31" location="'Errors &amp; Weighting definitions'!A117" display="     Awkward"/>
    <hyperlink ref="B32" location="'Errors &amp; Weighting definitions'!A117" display="     Awkward"/>
    <hyperlink ref="B33" location="'Errors &amp; Weighting definitions'!A117" display="     Awkward"/>
    <hyperlink ref="B51:D51" location="'Errors &amp; Weighting definitions'!A273" display="'Errors &amp; Weighting definitions'!A273"/>
    <hyperlink ref="B52:D57" location="'Errors &amp; Weighting definitions'!A162" display="     Grammatical register "/>
    <hyperlink ref="B328" location="'Errors &amp; Weighting definitions'!A5" display="Back &gt;"/>
    <hyperlink ref="B9:D9" location="'Errors &amp; Weighting definitions'!A87" display="'Errors &amp; Weighting definitions'!A87"/>
    <hyperlink ref="B10:D10" location="'Errors &amp; Weighting definitions'!A91" display="'Errors &amp; Weighting definitions'!A91"/>
    <hyperlink ref="B11:D11" location="'Errors &amp; Weighting definitions'!A95" display="'Errors &amp; Weighting definitions'!A95"/>
    <hyperlink ref="B14:D14" location="'Errors &amp; Weighting definitions'!A109" display="'Errors &amp; Weighting definitions'!A109"/>
    <hyperlink ref="B15:D15" location="'Errors &amp; Weighting definitions'!A113" display="'Errors &amp; Weighting definitions'!A113"/>
    <hyperlink ref="B16:D16" location="'Errors &amp; Weighting definitions'!A118" display="'Errors &amp; Weighting definitions'!A118"/>
    <hyperlink ref="B17:D17" location="'Errors &amp; Weighting definitions'!A122" display="'Errors &amp; Weighting definitions'!A122"/>
    <hyperlink ref="B18:D18" location="'Errors &amp; Weighting definitions'!A126" display="'Errors &amp; Weighting definitions'!A126"/>
    <hyperlink ref="B19:D19" location="'Errors &amp; Weighting definitions'!A130" display="'Errors &amp; Weighting definitions'!A130"/>
    <hyperlink ref="B20:D20" location="'Errors &amp; Weighting definitions'!A134" display="'Errors &amp; Weighting definitions'!A134"/>
    <hyperlink ref="B23:D23" location="'Errors &amp; Weighting definitions'!A147" display="'Errors &amp; Weighting definitions'!A147"/>
    <hyperlink ref="B24:D24" location="'Errors &amp; Weighting definitions'!A151" display="'Errors &amp; Weighting definitions'!A151"/>
    <hyperlink ref="B25:D25" location="'Errors &amp; Weighting definitions'!A155" display="'Errors &amp; Weighting definitions'!A155"/>
    <hyperlink ref="B26:D26" location="'Errors &amp; Weighting definitions'!A159" display="'Errors &amp; Weighting definitions'!A159"/>
    <hyperlink ref="B27:D27" location="'Errors &amp; Weighting definitions'!A163" display="'Errors &amp; Weighting definitions'!A163"/>
    <hyperlink ref="B30:D30" location="'Errors &amp; Weighting definitions'!A177" display="'Errors &amp; Weighting definitions'!A177"/>
    <hyperlink ref="B31:D31" location="'Errors &amp; Weighting definitions'!A181" display="'Errors &amp; Weighting definitions'!A181"/>
    <hyperlink ref="B32:D32" location="'Errors &amp; Weighting definitions'!A185" display="'Errors &amp; Weighting definitions'!A185"/>
    <hyperlink ref="B33:D33" location="'Errors &amp; Weighting definitions'!A190" display="'Errors &amp; Weighting definitions'!A190"/>
    <hyperlink ref="B34" location="'Errors &amp; Weighting definitions'!A117" display="     Awkward"/>
    <hyperlink ref="B35" location="'Errors &amp; Weighting definitions'!A117" display="     Awkward"/>
    <hyperlink ref="B36" location="'Errors &amp; Weighting definitions'!A117" display="     Awkward"/>
    <hyperlink ref="B34:D36" location="'Errors &amp; Weighting definitions'!A190" display="'Errors &amp; Weighting definitions'!A190"/>
    <hyperlink ref="B34:D34" location="'Errors &amp; Weighting definitions'!A196" display="'Errors &amp; Weighting definitions'!A196"/>
    <hyperlink ref="B35:D35" location="'Errors &amp; Weighting definitions'!A201" display="'Errors &amp; Weighting definitions'!A201"/>
    <hyperlink ref="B36:D36" location="'Errors &amp; Weighting definitions'!A205" display="'Errors &amp; Weighting definitions'!A205"/>
    <hyperlink ref="B39:D46" location="'Errors &amp; Weighting definitions'!A214" display="'Errors &amp; Weighting definitions'!A214"/>
    <hyperlink ref="B46:D46" location="'Errors &amp; Weighting definitions'!A249" display="'Errors &amp; Weighting definitions'!A249"/>
    <hyperlink ref="B49:D49" location="'Errors &amp; Weighting definitions'!A263" display="'Errors &amp; Weighting definitions'!A263"/>
    <hyperlink ref="B52:D52" location="'Errors &amp; Weighting definitions'!A280" display="'Errors &amp; Weighting definitions'!A280"/>
    <hyperlink ref="B53:D53" location="'Errors &amp; Weighting definitions'!A286" display="'Errors &amp; Weighting definitions'!A286"/>
    <hyperlink ref="B54:D54" location="'Errors &amp; Weighting definitions'!A290" display="'Errors &amp; Weighting definitions'!A290"/>
    <hyperlink ref="B55:D55" location="'Errors &amp; Weighting definitions'!A297" display="'Errors &amp; Weighting definitions'!A297"/>
    <hyperlink ref="B56:D56" location="'Errors &amp; Weighting definitions'!A302" display="'Errors &amp; Weighting definitions'!A302"/>
    <hyperlink ref="B57:D57" location="'Errors &amp; Weighting definitions'!A307" display="'Errors &amp; Weighting definitions'!A307"/>
    <hyperlink ref="B58:D58" location="'Errors &amp; Weighting definitions'!A312" display="'Errors &amp; Weighting definitions'!A312"/>
    <hyperlink ref="B59:D59" location="'Errors &amp; Weighting definitions'!A317" display="'Errors &amp; Weighting definitions'!A317"/>
    <hyperlink ref="B60:D60" location="'Errors &amp; Weighting definitions'!A321" display="'Errors &amp; Weighting definitions'!A321"/>
    <hyperlink ref="B61:D61" location="'Errors &amp; Weighting definitions'!A324" display="'Errors &amp; Weighting definitions'!A324"/>
    <hyperlink ref="F334" location="'Errors &amp; Weighting definitions'!A64" display="Back &gt;"/>
    <hyperlink ref="F336" location="'Errors &amp; Weighting definitions'!A64" display="Back &gt;"/>
    <hyperlink ref="F355" location="'Errors &amp; Weighting definitions'!A64" display="Back &gt;"/>
    <hyperlink ref="F357" location="'Errors &amp; Weighting definitions'!A64" display="Back &gt;"/>
    <hyperlink ref="F332" location="'Errors &amp; Weighting definitions'!A64" display="Back &gt;"/>
    <hyperlink ref="B39:D39" location="'Errors &amp; Weighting definitions'!A218" display="'Errors &amp; Weighting definitions'!A218"/>
    <hyperlink ref="B40:D40" location="'Errors &amp; Weighting definitions'!A223" display="'Errors &amp; Weighting definitions'!A223"/>
    <hyperlink ref="B41:D41" location="'Errors &amp; Weighting definitions'!A227" display="'Errors &amp; Weighting definitions'!A227"/>
    <hyperlink ref="B42:D42" location="'Errors &amp; Weighting definitions'!A231" display="'Errors &amp; Weighting definitions'!A231"/>
    <hyperlink ref="B43:D43" location="'Errors &amp; Weighting definitions'!A235" display="'Errors &amp; Weighting definitions'!A235"/>
    <hyperlink ref="B44:D44" location="'Errors &amp; Weighting definitions'!A240" display="'Errors &amp; Weighting definitions'!A240"/>
    <hyperlink ref="B45:D45" location="'Errors &amp; Weighting definitions'!A245" display="'Errors &amp; Weighting definitions'!A245"/>
  </hyperlinks>
  <printOptions horizontalCentered="1"/>
  <pageMargins left="0.59055118110236227" right="0.47244094488188981" top="0.70866141732283472" bottom="0.55118110236220474" header="0.31496062992125984" footer="0.19685039370078741"/>
  <pageSetup paperSize="9" scale="80" fitToHeight="0" orientation="portrait" r:id="rId1"/>
  <headerFooter alignWithMargins="0">
    <oddFooter>&amp;L&amp;"Noto Sans,Regular"&amp;9
Uncontrolled when in use&amp;C&amp;"Noto Sans,Regular"&amp;9Page &amp;P of &amp;N
&amp;F&amp;R&amp;"Noto Sans,Regular"&amp;9Ver.: 1
Approved: 15-Jun-22</oddFooter>
  </headerFooter>
  <rowBreaks count="5" manualBreakCount="5">
    <brk id="57" min="1" max="5" man="1"/>
    <brk id="121" min="1" max="5" man="1"/>
    <brk id="189" min="1" max="5" man="1"/>
    <brk id="253" min="1" max="5" man="1"/>
    <brk id="329" min="1" max="5"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6"/>
  <sheetViews>
    <sheetView workbookViewId="0">
      <selection activeCell="A5" sqref="A5"/>
    </sheetView>
  </sheetViews>
  <sheetFormatPr defaultColWidth="8.85546875" defaultRowHeight="12.75"/>
  <cols>
    <col min="1" max="1" width="9.85546875" style="277" customWidth="1"/>
    <col min="2" max="2" width="20.7109375" style="277" customWidth="1"/>
    <col min="3" max="3" width="24.28515625" style="277" customWidth="1"/>
    <col min="4" max="4" width="40.7109375" style="277" customWidth="1"/>
    <col min="5" max="7" width="25.7109375" style="277" customWidth="1"/>
    <col min="8" max="16384" width="8.85546875" style="277"/>
  </cols>
  <sheetData>
    <row r="1" spans="1:7" ht="43.9" customHeight="1">
      <c r="A1" s="586" t="s">
        <v>3385</v>
      </c>
      <c r="B1" s="586"/>
      <c r="C1" s="586"/>
      <c r="D1" s="586"/>
      <c r="E1" s="586"/>
      <c r="F1" s="586"/>
      <c r="G1" s="276"/>
    </row>
    <row r="4" spans="1:7" s="279" customFormat="1" ht="30" customHeight="1">
      <c r="A4" s="278" t="s">
        <v>3386</v>
      </c>
      <c r="B4" s="278" t="s">
        <v>3387</v>
      </c>
      <c r="C4" s="278" t="s">
        <v>3388</v>
      </c>
      <c r="D4" s="278" t="s">
        <v>3389</v>
      </c>
      <c r="E4" s="278" t="s">
        <v>3390</v>
      </c>
      <c r="F4" s="278" t="s">
        <v>3391</v>
      </c>
      <c r="G4" s="278" t="s">
        <v>3392</v>
      </c>
    </row>
    <row r="5" spans="1:7" s="284" customFormat="1" ht="25.5">
      <c r="A5" s="280">
        <v>1</v>
      </c>
      <c r="B5" s="281">
        <v>44727</v>
      </c>
      <c r="C5" s="280" t="s">
        <v>3393</v>
      </c>
      <c r="D5" s="280" t="s">
        <v>3394</v>
      </c>
      <c r="E5" s="280" t="s">
        <v>3393</v>
      </c>
      <c r="F5" s="282" t="s">
        <v>3395</v>
      </c>
      <c r="G5" s="283">
        <v>44727</v>
      </c>
    </row>
    <row r="6" spans="1:7" s="289" customFormat="1">
      <c r="A6" s="280"/>
      <c r="B6" s="285"/>
      <c r="C6" s="286"/>
      <c r="D6" s="286"/>
      <c r="E6" s="287"/>
      <c r="F6" s="287"/>
      <c r="G6" s="288"/>
    </row>
    <row r="7" spans="1:7" s="289" customFormat="1">
      <c r="A7" s="280"/>
      <c r="B7" s="285"/>
      <c r="C7" s="286"/>
      <c r="D7" s="286"/>
      <c r="E7" s="287"/>
      <c r="F7" s="287"/>
      <c r="G7" s="288"/>
    </row>
    <row r="8" spans="1:7">
      <c r="B8" s="290"/>
      <c r="G8" s="290"/>
    </row>
    <row r="9" spans="1:7">
      <c r="B9" s="290"/>
      <c r="G9" s="290"/>
    </row>
    <row r="10" spans="1:7">
      <c r="B10" s="290"/>
      <c r="G10" s="290"/>
    </row>
    <row r="11" spans="1:7">
      <c r="B11" s="290"/>
      <c r="G11" s="290"/>
    </row>
    <row r="12" spans="1:7">
      <c r="B12" s="290"/>
      <c r="G12" s="290"/>
    </row>
    <row r="13" spans="1:7">
      <c r="B13" s="290"/>
      <c r="G13" s="290"/>
    </row>
    <row r="14" spans="1:7">
      <c r="B14" s="290"/>
      <c r="G14" s="290"/>
    </row>
    <row r="15" spans="1:7">
      <c r="B15" s="290"/>
      <c r="G15" s="290"/>
    </row>
    <row r="16" spans="1:7">
      <c r="B16" s="290"/>
      <c r="G16" s="290"/>
    </row>
    <row r="17" spans="2:7">
      <c r="B17" s="290"/>
      <c r="G17" s="290"/>
    </row>
    <row r="18" spans="2:7">
      <c r="B18" s="290"/>
      <c r="G18" s="290"/>
    </row>
    <row r="19" spans="2:7">
      <c r="B19" s="290"/>
      <c r="G19" s="290"/>
    </row>
    <row r="20" spans="2:7">
      <c r="B20" s="290"/>
      <c r="G20" s="290"/>
    </row>
    <row r="21" spans="2:7">
      <c r="B21" s="290"/>
      <c r="G21" s="290"/>
    </row>
    <row r="22" spans="2:7">
      <c r="B22" s="290"/>
      <c r="G22" s="290"/>
    </row>
    <row r="23" spans="2:7">
      <c r="B23" s="290"/>
      <c r="G23" s="290"/>
    </row>
    <row r="24" spans="2:7">
      <c r="B24" s="290"/>
      <c r="G24" s="290"/>
    </row>
    <row r="25" spans="2:7">
      <c r="B25" s="290"/>
    </row>
    <row r="26" spans="2:7">
      <c r="B26" s="290"/>
    </row>
  </sheetData>
  <sheetProtection algorithmName="SHA-512" hashValue="qPxC86EimFRMajV7P4tPSubKjaz1kdhllD1Tbn9tazXU9CTL4yqP9v7Ijkgl4S9mr4wNUKuX4N87RsCDBuo4ng==" saltValue="OL34Wxq6WeAiikNBhEgRqw==" spinCount="100000" sheet="1" objects="1" scenarios="1"/>
  <mergeCells count="1">
    <mergeCell ref="A1:F1"/>
  </mergeCells>
  <pageMargins left="0.70866141732283472" right="0.70866141732283472" top="0.74803149606299213" bottom="0.74803149606299213" header="0.31496062992125984" footer="0.31496062992125984"/>
  <pageSetup scale="75" fitToHeight="0" orientation="landscape" r:id="rId1"/>
  <headerFooter>
    <oddFooter>&amp;L&amp;"Noto Sans,Regular"&amp;9&amp;K414141
Uncontrolled when in use&amp;C&amp;"Noto Sans,Regular"&amp;9&amp;K414141Page &amp;P of &amp;N
&amp;F&amp;R&amp;"Noto Sans,Regular"&amp;9&amp;K414141Ver.: Ver. #
Approved: Approved Date</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BE1406"/>
  <sheetViews>
    <sheetView showGridLines="0" topLeftCell="I1" zoomScaleNormal="100" workbookViewId="0">
      <selection activeCell="T13" sqref="T12:T13"/>
    </sheetView>
  </sheetViews>
  <sheetFormatPr defaultColWidth="9.140625" defaultRowHeight="12.75" outlineLevelCol="1"/>
  <cols>
    <col min="1" max="1" width="2" style="32" hidden="1" customWidth="1" outlineLevel="1"/>
    <col min="2" max="3" width="21.85546875" style="32" hidden="1" customWidth="1" outlineLevel="1"/>
    <col min="4" max="4" width="17.28515625" style="32" hidden="1" customWidth="1" outlineLevel="1"/>
    <col min="5" max="5" width="17.28515625" style="34" hidden="1" customWidth="1" outlineLevel="1"/>
    <col min="6" max="6" width="12.85546875" style="32" hidden="1" customWidth="1" outlineLevel="1"/>
    <col min="7" max="7" width="30.7109375" style="32" hidden="1" customWidth="1" outlineLevel="1"/>
    <col min="8" max="8" width="28.85546875" style="32" hidden="1" customWidth="1" outlineLevel="1"/>
    <col min="9" max="9" width="2.42578125" style="32" customWidth="1" collapsed="1"/>
    <col min="10" max="10" width="28.28515625" style="32" hidden="1" customWidth="1" outlineLevel="1"/>
    <col min="11" max="11" width="16.28515625" style="32" hidden="1" customWidth="1" outlineLevel="1"/>
    <col min="12" max="12" width="19.42578125" style="32" hidden="1" customWidth="1" outlineLevel="1"/>
    <col min="13" max="13" width="26.42578125" style="32" hidden="1" customWidth="1" outlineLevel="1"/>
    <col min="14" max="14" width="16.85546875" style="32" hidden="1" customWidth="1" outlineLevel="1"/>
    <col min="15" max="15" width="22.85546875" style="32" hidden="1" customWidth="1" outlineLevel="1"/>
    <col min="16" max="16" width="19.42578125" style="32" hidden="1" customWidth="1" outlineLevel="1"/>
    <col min="17" max="17" width="12" style="32" hidden="1" customWidth="1" outlineLevel="1"/>
    <col min="18" max="18" width="2.42578125" style="32" customWidth="1" collapsed="1"/>
    <col min="19" max="19" width="16.42578125" style="32" hidden="1" customWidth="1" outlineLevel="1"/>
    <col min="20" max="20" width="91.28515625" style="32" hidden="1" customWidth="1" outlineLevel="1"/>
    <col min="21" max="21" width="2.42578125" style="32" customWidth="1" collapsed="1"/>
    <col min="22" max="22" width="19.5703125" style="32" hidden="1" customWidth="1" outlineLevel="1"/>
    <col min="23" max="23" width="7" style="32" hidden="1" customWidth="1" outlineLevel="1"/>
    <col min="24" max="24" width="5.5703125" style="32" hidden="1" customWidth="1" outlineLevel="1"/>
    <col min="25" max="26" width="8" style="32" hidden="1" customWidth="1" outlineLevel="1"/>
    <col min="27" max="27" width="19.5703125" hidden="1" customWidth="1" outlineLevel="1"/>
    <col min="28" max="28" width="7" style="32" hidden="1" customWidth="1" outlineLevel="1"/>
    <col min="29" max="29" width="7.28515625" hidden="1" customWidth="1" outlineLevel="1"/>
    <col min="30" max="30" width="9.140625" hidden="1" customWidth="1" outlineLevel="1"/>
    <col min="31" max="31" width="8" style="32" hidden="1" customWidth="1" outlineLevel="1"/>
    <col min="32" max="32" width="19.5703125" hidden="1" customWidth="1" outlineLevel="1"/>
    <col min="33" max="33" width="7" hidden="1" customWidth="1" outlineLevel="1"/>
    <col min="34" max="34" width="7.28515625" hidden="1" customWidth="1" outlineLevel="1"/>
    <col min="35" max="35" width="6.7109375" style="32" hidden="1" customWidth="1" outlineLevel="1"/>
    <col min="36" max="36" width="8" style="32" hidden="1" customWidth="1" outlineLevel="1"/>
    <col min="37" max="37" width="16.140625" style="32" hidden="1" customWidth="1" outlineLevel="1"/>
    <col min="38" max="38" width="7" style="32" hidden="1" customWidth="1" outlineLevel="1"/>
    <col min="39" max="39" width="6" style="32" hidden="1" customWidth="1" outlineLevel="1"/>
    <col min="40" max="40" width="6.7109375" style="32" hidden="1" customWidth="1" outlineLevel="1"/>
    <col min="41" max="41" width="8" style="32" hidden="1" customWidth="1" outlineLevel="1"/>
    <col min="42" max="42" width="16.140625" style="32" hidden="1" customWidth="1" outlineLevel="1"/>
    <col min="43" max="43" width="7" style="32" hidden="1" customWidth="1" outlineLevel="1"/>
    <col min="44" max="44" width="7.28515625" style="32" hidden="1" customWidth="1" outlineLevel="1"/>
    <col min="45" max="45" width="6.7109375" style="32" hidden="1" customWidth="1" outlineLevel="1"/>
    <col min="46" max="46" width="8" style="32" hidden="1" customWidth="1" outlineLevel="1"/>
    <col min="47" max="47" width="2.42578125" style="32" customWidth="1" collapsed="1"/>
    <col min="48" max="48" width="11" style="32" hidden="1" customWidth="1" outlineLevel="1"/>
    <col min="49" max="49" width="10" style="32" hidden="1" customWidth="1" outlineLevel="1"/>
    <col min="50" max="50" width="9.140625" style="32" hidden="1" customWidth="1" outlineLevel="1"/>
    <col min="51" max="51" width="10" style="32" hidden="1" customWidth="1" outlineLevel="1"/>
    <col min="52" max="52" width="8.85546875" style="32" hidden="1" customWidth="1" outlineLevel="1"/>
    <col min="53" max="53" width="11.5703125" style="32" hidden="1" customWidth="1" outlineLevel="1"/>
    <col min="54" max="54" width="9.140625" style="32" hidden="1" customWidth="1" outlineLevel="1"/>
    <col min="55" max="55" width="11.5703125" style="32" hidden="1" customWidth="1" outlineLevel="1"/>
    <col min="56" max="56" width="9.140625" style="32" hidden="1" customWidth="1" outlineLevel="1"/>
    <col min="57" max="57" width="2.42578125" style="32" customWidth="1" collapsed="1"/>
    <col min="58" max="16384" width="9.140625" style="32"/>
  </cols>
  <sheetData>
    <row r="1" spans="2:57" s="194" customFormat="1" ht="60" customHeight="1" thickBot="1">
      <c r="B1" s="590"/>
      <c r="C1" s="590"/>
      <c r="D1" s="590"/>
      <c r="E1" s="590"/>
      <c r="F1" s="590"/>
      <c r="G1" s="590"/>
      <c r="H1" s="590"/>
      <c r="J1" s="589" t="s">
        <v>2451</v>
      </c>
      <c r="K1" s="589"/>
      <c r="L1" s="589"/>
      <c r="M1" s="589"/>
      <c r="N1" s="589"/>
      <c r="O1" s="589"/>
      <c r="P1" s="589"/>
      <c r="Q1" s="589"/>
      <c r="S1" s="591" t="s">
        <v>2452</v>
      </c>
      <c r="T1" s="591"/>
      <c r="V1" s="592" t="s">
        <v>2456</v>
      </c>
      <c r="W1" s="592"/>
      <c r="X1" s="592"/>
      <c r="Y1" s="592"/>
      <c r="Z1" s="592"/>
      <c r="AA1" s="592"/>
      <c r="AB1" s="592"/>
      <c r="AC1" s="592"/>
      <c r="AD1" s="592"/>
      <c r="AE1" s="592"/>
      <c r="AF1" s="592"/>
      <c r="AG1" s="592"/>
      <c r="AH1" s="592"/>
      <c r="AI1" s="592"/>
      <c r="AJ1" s="592"/>
      <c r="AK1" s="592"/>
      <c r="AL1" s="592"/>
      <c r="AM1" s="592"/>
      <c r="AN1" s="592"/>
      <c r="AO1" s="592"/>
      <c r="AP1" s="592"/>
      <c r="AQ1" s="592"/>
      <c r="AR1" s="592"/>
      <c r="AS1" s="592"/>
      <c r="AT1" s="215"/>
      <c r="AV1" s="602" t="s">
        <v>2458</v>
      </c>
      <c r="AW1" s="602"/>
      <c r="AX1" s="602"/>
      <c r="AY1" s="602"/>
      <c r="AZ1" s="602"/>
      <c r="BA1" s="602"/>
      <c r="BB1" s="602"/>
      <c r="BC1" s="602"/>
      <c r="BD1" s="602"/>
    </row>
    <row r="2" spans="2:57" ht="26.25" customHeight="1" thickBot="1">
      <c r="B2" s="184" t="s">
        <v>2401</v>
      </c>
      <c r="C2" s="184" t="s">
        <v>2447</v>
      </c>
      <c r="D2" s="189" t="s">
        <v>688</v>
      </c>
      <c r="E2" s="184" t="s">
        <v>2448</v>
      </c>
      <c r="F2" s="189" t="s">
        <v>510</v>
      </c>
      <c r="G2" s="184" t="s">
        <v>552</v>
      </c>
      <c r="H2" s="184" t="s">
        <v>573</v>
      </c>
      <c r="I2" s="588" t="s">
        <v>2469</v>
      </c>
      <c r="J2" s="195" t="s">
        <v>2407</v>
      </c>
      <c r="K2" s="196" t="s">
        <v>2406</v>
      </c>
      <c r="L2" s="195" t="s">
        <v>2435</v>
      </c>
      <c r="M2" s="195" t="s">
        <v>4</v>
      </c>
      <c r="N2" s="196" t="s">
        <v>2436</v>
      </c>
      <c r="O2" s="195" t="s">
        <v>2437</v>
      </c>
      <c r="P2" s="196" t="s">
        <v>2438</v>
      </c>
      <c r="Q2" s="196" t="s">
        <v>2432</v>
      </c>
      <c r="R2" s="587" t="s">
        <v>2451</v>
      </c>
      <c r="S2" s="267" t="s">
        <v>632</v>
      </c>
      <c r="T2" s="268" t="s">
        <v>633</v>
      </c>
      <c r="U2" s="587" t="s">
        <v>2467</v>
      </c>
      <c r="V2" s="216" t="s">
        <v>2453</v>
      </c>
      <c r="W2" s="595" t="s">
        <v>2462</v>
      </c>
      <c r="X2" s="217"/>
      <c r="Y2" s="217"/>
      <c r="Z2" s="218"/>
      <c r="AA2" s="216" t="s">
        <v>2453</v>
      </c>
      <c r="AB2" s="595" t="s">
        <v>2462</v>
      </c>
      <c r="AC2" s="217"/>
      <c r="AD2" s="217"/>
      <c r="AE2" s="218"/>
      <c r="AF2" s="216" t="s">
        <v>2453</v>
      </c>
      <c r="AG2" s="595" t="s">
        <v>2462</v>
      </c>
      <c r="AH2" s="217"/>
      <c r="AI2" s="217"/>
      <c r="AJ2" s="218"/>
      <c r="AK2" s="216" t="s">
        <v>2453</v>
      </c>
      <c r="AL2" s="595" t="s">
        <v>2463</v>
      </c>
      <c r="AM2" s="217"/>
      <c r="AN2" s="217"/>
      <c r="AO2" s="218"/>
      <c r="AP2" s="216" t="s">
        <v>2453</v>
      </c>
      <c r="AQ2" s="595" t="s">
        <v>2461</v>
      </c>
      <c r="AR2" s="217"/>
      <c r="AS2" s="217"/>
      <c r="AT2" s="218"/>
      <c r="AU2" s="587" t="s">
        <v>2456</v>
      </c>
      <c r="AV2" s="211" t="s">
        <v>2457</v>
      </c>
      <c r="AW2" s="593" t="str">
        <f>'Evaluation Report_Initial'!M12</f>
        <v>Premium</v>
      </c>
      <c r="AX2" s="594"/>
      <c r="AY2" s="601" t="s">
        <v>2459</v>
      </c>
      <c r="AZ2" s="594"/>
      <c r="BA2" s="601" t="s">
        <v>2466</v>
      </c>
      <c r="BB2" s="594"/>
      <c r="BC2" s="601" t="s">
        <v>2459</v>
      </c>
      <c r="BD2" s="594"/>
      <c r="BE2" s="587" t="s">
        <v>2468</v>
      </c>
    </row>
    <row r="3" spans="2:57" ht="16.5" thickBot="1">
      <c r="B3" s="185" t="s">
        <v>2641</v>
      </c>
      <c r="C3" s="192" t="s">
        <v>135</v>
      </c>
      <c r="D3" s="190" t="s">
        <v>130</v>
      </c>
      <c r="E3" s="185" t="s">
        <v>32</v>
      </c>
      <c r="F3" s="190" t="s">
        <v>511</v>
      </c>
      <c r="G3" s="185" t="s">
        <v>553</v>
      </c>
      <c r="H3" s="185" t="s">
        <v>574</v>
      </c>
      <c r="I3" s="588"/>
      <c r="J3" s="187" t="s">
        <v>2478</v>
      </c>
      <c r="K3" s="185" t="s">
        <v>2413</v>
      </c>
      <c r="L3" s="187" t="s">
        <v>2420</v>
      </c>
      <c r="M3" s="187" t="s">
        <v>2484</v>
      </c>
      <c r="N3" s="185" t="s">
        <v>2488</v>
      </c>
      <c r="O3" s="187" t="s">
        <v>2494</v>
      </c>
      <c r="P3" s="185" t="s">
        <v>2495</v>
      </c>
      <c r="Q3" s="185" t="s">
        <v>2433</v>
      </c>
      <c r="R3" s="587"/>
      <c r="S3" s="269" t="s">
        <v>1206</v>
      </c>
      <c r="T3" s="270" t="s">
        <v>635</v>
      </c>
      <c r="U3" s="587"/>
      <c r="V3" s="219" t="s">
        <v>2443</v>
      </c>
      <c r="W3" s="596"/>
      <c r="X3" s="220"/>
      <c r="Y3" s="220"/>
      <c r="Z3" s="221"/>
      <c r="AA3" s="219" t="s">
        <v>2445</v>
      </c>
      <c r="AB3" s="596"/>
      <c r="AC3" s="220"/>
      <c r="AD3" s="220"/>
      <c r="AE3" s="221"/>
      <c r="AF3" s="219" t="s">
        <v>2446</v>
      </c>
      <c r="AG3" s="596"/>
      <c r="AH3" s="220"/>
      <c r="AI3" s="220"/>
      <c r="AJ3" s="221"/>
      <c r="AK3" s="219" t="s">
        <v>2449</v>
      </c>
      <c r="AL3" s="596"/>
      <c r="AM3" s="220"/>
      <c r="AN3" s="220"/>
      <c r="AO3" s="221"/>
      <c r="AP3" s="219" t="s">
        <v>2450</v>
      </c>
      <c r="AQ3" s="596"/>
      <c r="AR3" s="220"/>
      <c r="AS3" s="220"/>
      <c r="AT3" s="221"/>
      <c r="AU3" s="587"/>
      <c r="AV3" s="235"/>
      <c r="AW3" s="207" t="s">
        <v>32</v>
      </c>
      <c r="AX3" s="208" t="s">
        <v>505</v>
      </c>
      <c r="AY3" s="207" t="s">
        <v>32</v>
      </c>
      <c r="AZ3" s="208" t="s">
        <v>505</v>
      </c>
      <c r="BA3" s="207" t="s">
        <v>2404</v>
      </c>
      <c r="BB3" s="208" t="s">
        <v>505</v>
      </c>
      <c r="BC3" s="207" t="s">
        <v>2404</v>
      </c>
      <c r="BD3" s="208" t="s">
        <v>505</v>
      </c>
      <c r="BE3" s="587"/>
    </row>
    <row r="4" spans="2:57" ht="15.75" customHeight="1" thickBot="1">
      <c r="B4" s="185" t="s">
        <v>2657</v>
      </c>
      <c r="C4" s="192" t="s">
        <v>1150</v>
      </c>
      <c r="D4" s="191" t="s">
        <v>1113</v>
      </c>
      <c r="E4" s="185" t="s">
        <v>2404</v>
      </c>
      <c r="F4" s="190" t="s">
        <v>551</v>
      </c>
      <c r="G4" s="185" t="s">
        <v>554</v>
      </c>
      <c r="H4" s="185" t="s">
        <v>2672</v>
      </c>
      <c r="I4" s="588"/>
      <c r="J4" s="187" t="s">
        <v>2423</v>
      </c>
      <c r="K4" s="185" t="s">
        <v>2480</v>
      </c>
      <c r="L4" s="187" t="s">
        <v>5</v>
      </c>
      <c r="M4" s="187" t="s">
        <v>2430</v>
      </c>
      <c r="N4" s="185" t="s">
        <v>2489</v>
      </c>
      <c r="O4" s="188" t="s">
        <v>2432</v>
      </c>
      <c r="P4" s="185" t="s">
        <v>2496</v>
      </c>
      <c r="Q4" s="185" t="s">
        <v>2434</v>
      </c>
      <c r="R4" s="587"/>
      <c r="S4" s="271" t="s">
        <v>1207</v>
      </c>
      <c r="T4" s="272" t="s">
        <v>787</v>
      </c>
      <c r="U4" s="587"/>
      <c r="V4" s="199" t="s">
        <v>506</v>
      </c>
      <c r="W4" s="597"/>
      <c r="X4" s="200">
        <v>0.99099999999999999</v>
      </c>
      <c r="Y4" s="225"/>
      <c r="Z4" s="224"/>
      <c r="AA4" s="199" t="s">
        <v>506</v>
      </c>
      <c r="AB4" s="597"/>
      <c r="AC4" s="200">
        <v>0.99099999999999999</v>
      </c>
      <c r="AD4" s="225"/>
      <c r="AE4" s="224"/>
      <c r="AF4" s="199" t="s">
        <v>506</v>
      </c>
      <c r="AG4" s="597"/>
      <c r="AH4" s="200">
        <v>0.99099999999999999</v>
      </c>
      <c r="AI4" s="225"/>
      <c r="AJ4" s="224"/>
      <c r="AK4" s="199" t="s">
        <v>506</v>
      </c>
      <c r="AL4" s="597"/>
      <c r="AM4" s="200">
        <v>0.99099999999999999</v>
      </c>
      <c r="AN4" s="225"/>
      <c r="AO4" s="224"/>
      <c r="AP4" s="199" t="s">
        <v>506</v>
      </c>
      <c r="AQ4" s="597"/>
      <c r="AR4" s="200">
        <v>0.99099999999999999</v>
      </c>
      <c r="AS4" s="225"/>
      <c r="AT4" s="224"/>
      <c r="AU4" s="587"/>
      <c r="AV4" s="245" t="str">
        <f>J2</f>
        <v>Terminology</v>
      </c>
      <c r="AW4" s="241"/>
      <c r="AX4" s="210"/>
      <c r="AY4" s="237"/>
      <c r="AZ4" s="210"/>
      <c r="BA4" s="237"/>
      <c r="BB4" s="210"/>
      <c r="BC4" s="237"/>
      <c r="BD4" s="210"/>
      <c r="BE4" s="587"/>
    </row>
    <row r="5" spans="2:57" ht="45.75" thickBot="1">
      <c r="B5" s="185" t="s">
        <v>2643</v>
      </c>
      <c r="C5" s="192" t="s">
        <v>98</v>
      </c>
      <c r="E5" s="185" t="s">
        <v>579</v>
      </c>
      <c r="F5" s="191" t="s">
        <v>515</v>
      </c>
      <c r="G5" s="185" t="s">
        <v>2623</v>
      </c>
      <c r="H5" s="185" t="s">
        <v>785</v>
      </c>
      <c r="I5" s="588"/>
      <c r="J5" s="187" t="s">
        <v>2479</v>
      </c>
      <c r="K5" s="185" t="s">
        <v>2481</v>
      </c>
      <c r="L5" s="187" t="s">
        <v>2422</v>
      </c>
      <c r="M5" s="187" t="s">
        <v>2485</v>
      </c>
      <c r="N5" s="185" t="s">
        <v>2490</v>
      </c>
      <c r="P5" s="185" t="s">
        <v>2497</v>
      </c>
      <c r="Q5" s="186" t="s">
        <v>2432</v>
      </c>
      <c r="R5" s="587"/>
      <c r="S5" s="271" t="s">
        <v>2678</v>
      </c>
      <c r="T5" s="272" t="s">
        <v>3035</v>
      </c>
      <c r="U5" s="587"/>
      <c r="V5" s="87" t="s">
        <v>33</v>
      </c>
      <c r="W5" s="598" t="s">
        <v>2454</v>
      </c>
      <c r="X5" s="599"/>
      <c r="Y5" s="599"/>
      <c r="Z5" s="600"/>
      <c r="AA5" s="87" t="s">
        <v>33</v>
      </c>
      <c r="AB5" s="598" t="s">
        <v>2454</v>
      </c>
      <c r="AC5" s="599"/>
      <c r="AD5" s="599"/>
      <c r="AE5" s="600"/>
      <c r="AF5" s="87" t="s">
        <v>33</v>
      </c>
      <c r="AG5" s="598" t="s">
        <v>2454</v>
      </c>
      <c r="AH5" s="599"/>
      <c r="AI5" s="599"/>
      <c r="AJ5" s="600"/>
      <c r="AK5" s="87" t="s">
        <v>33</v>
      </c>
      <c r="AL5" s="598" t="s">
        <v>2454</v>
      </c>
      <c r="AM5" s="599"/>
      <c r="AN5" s="599"/>
      <c r="AO5" s="600"/>
      <c r="AP5" s="87" t="s">
        <v>33</v>
      </c>
      <c r="AQ5" s="598" t="s">
        <v>2454</v>
      </c>
      <c r="AR5" s="599"/>
      <c r="AS5" s="599"/>
      <c r="AT5" s="600"/>
      <c r="AU5" s="587"/>
      <c r="AV5" s="246" t="str">
        <f>$J3</f>
        <v>Inconsistent with terminology resource</v>
      </c>
      <c r="AW5" s="242">
        <f>SUMPRODUCT(('Evaluation details_input'!$F$4:$F$1000=$AV$4)*('Evaluation details_input'!$G$4:$G$1000=$AV5)*('Evaluation details_input'!$H$4:$H$1000=$AW$3))</f>
        <v>0</v>
      </c>
      <c r="AX5" s="203">
        <f xml:space="preserve">
IF($AW$2=AA3,$AW5*$AB$8,
IF($AW$2=AF3,$AW5*$AG$8,
$AW5*$W$8))</f>
        <v>0</v>
      </c>
      <c r="AY5" s="238">
        <f xml:space="preserve">
COUNTIFS('Evaluation details_input'!$P$3:$P$1000,$AV$4,'Evaluation details_input'!$Q$3:$Q$1000,$AV5,'Evaluation details_input'!$R$3:$R$1000,$AY$3)
+COUNTIFS('Evaluation details_input'!$F$3:$F$1000,$AV$4,'Evaluation details_input'!$G$3:$G$1000,$AV5,'Evaluation details_input'!$H$3:$H$1000,$AY$3,'Evaluation details_input'!$J$3:$J$1000,"Not accepted",'Evaluation details_input'!$N$3:$N$1000,"Disagree with original translator", 'Evaluation details_input'!$P$3:$P$1000,"")
+COUNTIFS('Evaluation details_input'!$F$3:$F$1000,$AV$4,'Evaluation details_input'!$G$3:$G$1000,$AV5,'Evaluation details_input'!$H$3:$H$1000,$AY$3,'Evaluation details_input'!$J$3:$J$1000,"Accepted", 'Evaluation details_input'!$P$3:$P$1000,"")
+COUNTIFS('Evaluation details_input'!$F$3:$F$1000,$AV$4,'Evaluation details_input'!$G$3:$G$1000,$AV5,'Evaluation details_input'!$H$3:$H$1000,$AY$3,'Evaluation details_input'!$J$3:$J$1000,"")</f>
        <v>0</v>
      </c>
      <c r="AZ5" s="203">
        <f xml:space="preserve">
IF($AW$2=$AA$3,$AY5*$AB8,
IF($AW$2=$AF$3,$AY5*$AG8,
$AY5*$W8))</f>
        <v>0</v>
      </c>
      <c r="BA5" s="238">
        <f>SUMPRODUCT(('Evaluation details_input'!$F$4:$F$1000=$AV$4)*('Evaluation details_input'!$G$4:$G$1000=$AV5)*('Evaluation details_input'!$H$4:$H$1000=$BA$3))</f>
        <v>0</v>
      </c>
      <c r="BB5" s="203">
        <f xml:space="preserve">
IF($AW$2=$AA$3,$BA5*$AC8,
IF($AW$2=$AF$3,$BA5*$AH8,
$BA5*$X8))</f>
        <v>0</v>
      </c>
      <c r="BC5" s="238">
        <f xml:space="preserve">
COUNTIFS('Evaluation details_input'!$P$3:$P$1000,$AV$4,'Evaluation details_input'!$Q$3:$Q$1000,$AV5,'Evaluation details_input'!$R$3:$R$1000,$BC$3)
+COUNTIFS('Evaluation details_input'!$F$3:$F$1000,$AV$4,'Evaluation details_input'!$G$3:$G$1000,$AV5,'Evaluation details_input'!$H$3:$H$1000,$BC$3,'Evaluation details_input'!$J$3:$J$1000,"Not accepted",'Evaluation details_input'!$N$3:$N$1000,"Disagree with original translator", 'Evaluation details_input'!$P$3:$P$1000,"")
+COUNTIFS('Evaluation details_input'!$F$3:$F$1000,$AV$4,'Evaluation details_input'!$G$3:$G$1000,$AV5,'Evaluation details_input'!$H$3:$H$1000,$BC$3,'Evaluation details_input'!$J$3:$J$1000,"Accepted", 'Evaluation details_input'!$P$3:$P$1000,"")
+COUNTIFS('Evaluation details_input'!$F$3:$F$1000,$AV$4,'Evaluation details_input'!$G$3:$G$1000,$AV5,'Evaluation details_input'!$H$3:$H$1000,$BC$3,'Evaluation details_input'!$J$3:$J$1000,"")</f>
        <v>0</v>
      </c>
      <c r="BD5" s="203">
        <f xml:space="preserve">
IF($AW$2=$AA$3,$BC5*$AC8,
IF($AW$2=$AF$3,$BC5*$AH8,
$BC5*$X8))</f>
        <v>0</v>
      </c>
      <c r="BE5" s="587"/>
    </row>
    <row r="6" spans="2:57" ht="34.5" thickBot="1">
      <c r="B6" s="185" t="s">
        <v>2644</v>
      </c>
      <c r="C6" s="192" t="s">
        <v>136</v>
      </c>
      <c r="E6" s="185" t="s">
        <v>516</v>
      </c>
      <c r="G6" s="186" t="s">
        <v>570</v>
      </c>
      <c r="H6" s="185" t="s">
        <v>575</v>
      </c>
      <c r="I6" s="588"/>
      <c r="J6" s="188" t="s">
        <v>2432</v>
      </c>
      <c r="K6" s="185" t="s">
        <v>2412</v>
      </c>
      <c r="L6" s="187" t="s">
        <v>2483</v>
      </c>
      <c r="M6" s="187" t="s">
        <v>2486</v>
      </c>
      <c r="N6" s="185" t="s">
        <v>2491</v>
      </c>
      <c r="P6" s="185" t="s">
        <v>2418</v>
      </c>
      <c r="R6" s="587"/>
      <c r="S6" s="271" t="s">
        <v>1208</v>
      </c>
      <c r="T6" s="272" t="s">
        <v>788</v>
      </c>
      <c r="U6" s="587"/>
      <c r="V6" s="88"/>
      <c r="W6" s="201" t="s">
        <v>504</v>
      </c>
      <c r="X6" s="201" t="s">
        <v>2405</v>
      </c>
      <c r="Y6" s="226" t="s">
        <v>578</v>
      </c>
      <c r="Z6" s="202" t="s">
        <v>2444</v>
      </c>
      <c r="AA6" s="88"/>
      <c r="AB6" s="201" t="s">
        <v>504</v>
      </c>
      <c r="AC6" s="201" t="s">
        <v>2405</v>
      </c>
      <c r="AD6" s="226" t="s">
        <v>578</v>
      </c>
      <c r="AE6" s="202" t="s">
        <v>2444</v>
      </c>
      <c r="AF6" s="88"/>
      <c r="AG6" s="201" t="s">
        <v>504</v>
      </c>
      <c r="AH6" s="201" t="s">
        <v>2405</v>
      </c>
      <c r="AI6" s="226" t="s">
        <v>578</v>
      </c>
      <c r="AJ6" s="202" t="s">
        <v>2444</v>
      </c>
      <c r="AK6" s="88"/>
      <c r="AL6" s="201" t="s">
        <v>504</v>
      </c>
      <c r="AM6" s="201" t="s">
        <v>2405</v>
      </c>
      <c r="AN6" s="226" t="s">
        <v>578</v>
      </c>
      <c r="AO6" s="202" t="s">
        <v>2444</v>
      </c>
      <c r="AP6" s="88"/>
      <c r="AQ6" s="201" t="s">
        <v>504</v>
      </c>
      <c r="AR6" s="201" t="s">
        <v>2405</v>
      </c>
      <c r="AS6" s="226" t="s">
        <v>578</v>
      </c>
      <c r="AT6" s="202" t="s">
        <v>2444</v>
      </c>
      <c r="AU6" s="587"/>
      <c r="AV6" s="246" t="str">
        <f>$J4</f>
        <v>Inconsistent use of terminology</v>
      </c>
      <c r="AW6" s="242">
        <f>SUMPRODUCT(('Evaluation details_input'!$F$4:$F$1000=$AV$4)*('Evaluation details_input'!$G$4:$G$1000=$AV6)*('Evaluation details_input'!$H$4:$H$1000=$AW$3))</f>
        <v>0</v>
      </c>
      <c r="AX6" s="203">
        <f xml:space="preserve">
IF($AW$2=$AA$3,$AW6*$AB$9,
IF($AW$2=$AF$3,$AW6*$AG$9,
$AW6*$W$9))</f>
        <v>0</v>
      </c>
      <c r="AY6" s="238">
        <f xml:space="preserve">
COUNTIFS('Evaluation details_input'!$P$3:$P$1000,$AV$4,'Evaluation details_input'!$Q$3:$Q$1000,$AV6,'Evaluation details_input'!$R$3:$R$1000,$AY$3)
+COUNTIFS('Evaluation details_input'!$F$3:$F$1000,$AV$4,'Evaluation details_input'!$G$3:$G$1000,$AV6,'Evaluation details_input'!$H$3:$H$1000,$AY$3,'Evaluation details_input'!$J$3:$J$1000,"Not accepted",'Evaluation details_input'!$N$3:$N$1000,"Disagree with original translator", 'Evaluation details_input'!$P$3:$P$1000,"")
+COUNTIFS('Evaluation details_input'!$F$3:$F$1000,$AV$4,'Evaluation details_input'!$G$3:$G$1000,$AV6,'Evaluation details_input'!$H$3:$H$1000,$AY$3,'Evaluation details_input'!$J$3:$J$1000,"Accepted", 'Evaluation details_input'!$P$3:$P$1000,"")
+COUNTIFS('Evaluation details_input'!$F$3:$F$1000,$AV$4,'Evaluation details_input'!$G$3:$G$1000,$AV6,'Evaluation details_input'!$H$3:$H$1000,$AY$3,'Evaluation details_input'!$J$3:$J$1000,"")</f>
        <v>0</v>
      </c>
      <c r="AZ6" s="203">
        <f xml:space="preserve">
IF($AW$2=$AA$3,$AY6*$AB9,
IF($AW$2=$AF$3,$AY6*$AG9,
$AY6*$W9))</f>
        <v>0</v>
      </c>
      <c r="BA6" s="238">
        <f>SUMPRODUCT(('Evaluation details_input'!$F$4:$F$1000=$AV$4)*('Evaluation details_input'!$G$4:$G$1000=$AV6)*('Evaluation details_input'!$H$4:$H$1000=$BA$3))</f>
        <v>0</v>
      </c>
      <c r="BB6" s="203">
        <f t="shared" ref="BB6:BB8" si="0" xml:space="preserve">
IF($AW$2=$AA$3,$BA6*$AC9,
IF($AW$2=$AF$3,$BA6*$AH9,
$BA6*$X9))</f>
        <v>0</v>
      </c>
      <c r="BC6" s="238">
        <f xml:space="preserve">
COUNTIFS('Evaluation details_input'!$P$3:$P$1000,$AV$4,'Evaluation details_input'!$Q$3:$Q$1000,$AV6,'Evaluation details_input'!$R$3:$R$1000,$BC$3)
+COUNTIFS('Evaluation details_input'!$F$3:$F$1000,$AV$4,'Evaluation details_input'!$G$3:$G$1000,$AV6,'Evaluation details_input'!$H$3:$H$1000,$BC$3,'Evaluation details_input'!$J$3:$J$1000,"Not accepted",'Evaluation details_input'!$N$3:$N$1000,"Disagree with original translator", 'Evaluation details_input'!$P$3:$P$1000,"")
+COUNTIFS('Evaluation details_input'!$F$3:$F$1000,$AV$4,'Evaluation details_input'!$G$3:$G$1000,$AV6,'Evaluation details_input'!$H$3:$H$1000,$BC$3,'Evaluation details_input'!$J$3:$J$1000,"Accepted", 'Evaluation details_input'!$P$3:$P$1000,"")
+COUNTIFS('Evaluation details_input'!$F$3:$F$1000,$AV$4,'Evaluation details_input'!$G$3:$G$1000,$AV6,'Evaluation details_input'!$H$3:$H$1000,$BC$3,'Evaluation details_input'!$J$3:$J$1000,"")</f>
        <v>0</v>
      </c>
      <c r="BD6" s="203">
        <f t="shared" ref="BD6:BD8" si="1" xml:space="preserve">
IF($AW$2=$AA$3,$BC6*$AC9,
IF($AW$2=$AF$3,$BC6*$AH9,
$BC6*$X9))</f>
        <v>0</v>
      </c>
      <c r="BE6" s="587"/>
    </row>
    <row r="7" spans="2:57">
      <c r="B7" s="185" t="s">
        <v>2645</v>
      </c>
      <c r="C7" s="192" t="s">
        <v>99</v>
      </c>
      <c r="E7" s="185" t="s">
        <v>2444</v>
      </c>
      <c r="H7" s="185" t="s">
        <v>2673</v>
      </c>
      <c r="I7" s="588"/>
      <c r="K7" s="185" t="s">
        <v>31</v>
      </c>
      <c r="L7" s="187" t="s">
        <v>2419</v>
      </c>
      <c r="M7" s="187" t="s">
        <v>2487</v>
      </c>
      <c r="N7" s="185" t="s">
        <v>2492</v>
      </c>
      <c r="P7" s="185" t="s">
        <v>2417</v>
      </c>
      <c r="R7" s="587"/>
      <c r="S7" s="271" t="s">
        <v>1209</v>
      </c>
      <c r="T7" s="272" t="s">
        <v>725</v>
      </c>
      <c r="U7" s="587"/>
      <c r="V7" s="228" t="str">
        <f>$J$2</f>
        <v>Terminology</v>
      </c>
      <c r="W7" s="213"/>
      <c r="X7" s="213"/>
      <c r="Y7" s="223"/>
      <c r="Z7" s="227"/>
      <c r="AA7" s="228" t="str">
        <f>$J$2</f>
        <v>Terminology</v>
      </c>
      <c r="AB7" s="213"/>
      <c r="AC7" s="213"/>
      <c r="AD7" s="223"/>
      <c r="AE7" s="227"/>
      <c r="AF7" s="228" t="str">
        <f>$J$2</f>
        <v>Terminology</v>
      </c>
      <c r="AG7" s="213"/>
      <c r="AH7" s="213"/>
      <c r="AI7" s="223"/>
      <c r="AJ7" s="227"/>
      <c r="AK7" s="228" t="str">
        <f>$J$2</f>
        <v>Terminology</v>
      </c>
      <c r="AL7" s="213"/>
      <c r="AM7" s="213"/>
      <c r="AN7" s="223"/>
      <c r="AO7" s="227"/>
      <c r="AP7" s="228" t="str">
        <f>$J$2</f>
        <v>Terminology</v>
      </c>
      <c r="AQ7" s="213"/>
      <c r="AR7" s="213"/>
      <c r="AS7" s="223"/>
      <c r="AT7" s="227"/>
      <c r="AU7" s="587"/>
      <c r="AV7" s="246" t="str">
        <f>$J5</f>
        <v>Wrong term</v>
      </c>
      <c r="AW7" s="242">
        <f>SUMPRODUCT(('Evaluation details_input'!$F$4:$F$1000=$AV$4)*('Evaluation details_input'!$G$4:$G$1000=$AV7)*('Evaluation details_input'!$H$4:$H$1000=$AW$3))</f>
        <v>0</v>
      </c>
      <c r="AX7" s="203">
        <f xml:space="preserve">
IF($AW$2=$AA$3,$AW7*$AB$10,
IF($AW$2=$AF$3,$AW7*$AG$10,
$AW7*$W$10))</f>
        <v>0</v>
      </c>
      <c r="AY7" s="238">
        <f xml:space="preserve">
COUNTIFS('Evaluation details_input'!$P$3:$P$1000,$AV$4,'Evaluation details_input'!$Q$3:$Q$1000,$AV7,'Evaluation details_input'!$R$3:$R$1000,$AY$3)
+COUNTIFS('Evaluation details_input'!$F$3:$F$1000,$AV$4,'Evaluation details_input'!$G$3:$G$1000,$AV7,'Evaluation details_input'!$H$3:$H$1000,$AY$3,'Evaluation details_input'!$J$3:$J$1000,"Not accepted",'Evaluation details_input'!$N$3:$N$1000,"Disagree with original translator", 'Evaluation details_input'!$P$3:$P$1000,"")
+COUNTIFS('Evaluation details_input'!$F$3:$F$1000,$AV$4,'Evaluation details_input'!$G$3:$G$1000,$AV7,'Evaluation details_input'!$H$3:$H$1000,$AY$3,'Evaluation details_input'!$J$3:$J$1000,"Accepted", 'Evaluation details_input'!$P$3:$P$1000,"")
+COUNTIFS('Evaluation details_input'!$F$3:$F$1000,$AV$4,'Evaluation details_input'!$G$3:$G$1000,$AV7,'Evaluation details_input'!$H$3:$H$1000,$AY$3,'Evaluation details_input'!$J$3:$J$1000,"")</f>
        <v>0</v>
      </c>
      <c r="AZ7" s="203">
        <f xml:space="preserve">
IF($AW$2=$AA$3,$AY7*$AB10,
IF($AW$2=$AF$3,$AY7*$AG10,
$AY7*$W10))</f>
        <v>0</v>
      </c>
      <c r="BA7" s="238">
        <f>SUMPRODUCT(('Evaluation details_input'!$F$4:$F$1000=$AV$4)*('Evaluation details_input'!$G$4:$G$1000=$AV7)*('Evaluation details_input'!$H$4:$H$1000=$BA$3))</f>
        <v>0</v>
      </c>
      <c r="BB7" s="203">
        <f t="shared" si="0"/>
        <v>0</v>
      </c>
      <c r="BC7" s="238">
        <f xml:space="preserve">
COUNTIFS('Evaluation details_input'!$P$3:$P$1000,$AV$4,'Evaluation details_input'!$Q$3:$Q$1000,$AV7,'Evaluation details_input'!$R$3:$R$1000,$BC$3)
+COUNTIFS('Evaluation details_input'!$F$3:$F$1000,$AV$4,'Evaluation details_input'!$G$3:$G$1000,$AV7,'Evaluation details_input'!$H$3:$H$1000,$BC$3,'Evaluation details_input'!$J$3:$J$1000,"Not accepted",'Evaluation details_input'!$N$3:$N$1000,"Disagree with original translator", 'Evaluation details_input'!$P$3:$P$1000,"")
+COUNTIFS('Evaluation details_input'!$F$3:$F$1000,$AV$4,'Evaluation details_input'!$G$3:$G$1000,$AV7,'Evaluation details_input'!$H$3:$H$1000,$BC$3,'Evaluation details_input'!$J$3:$J$1000,"Accepted", 'Evaluation details_input'!$P$3:$P$1000,"")
+COUNTIFS('Evaluation details_input'!$F$3:$F$1000,$AV$4,'Evaluation details_input'!$G$3:$G$1000,$AV7,'Evaluation details_input'!$H$3:$H$1000,$BC$3,'Evaluation details_input'!$J$3:$J$1000,"")</f>
        <v>0</v>
      </c>
      <c r="BD7" s="203">
        <f t="shared" si="1"/>
        <v>0</v>
      </c>
      <c r="BE7" s="587"/>
    </row>
    <row r="8" spans="2:57" ht="23.25" thickBot="1">
      <c r="B8" s="185" t="s">
        <v>2646</v>
      </c>
      <c r="C8" s="192" t="s">
        <v>35</v>
      </c>
      <c r="E8" s="186" t="s">
        <v>1110</v>
      </c>
      <c r="H8" s="185" t="s">
        <v>786</v>
      </c>
      <c r="I8" s="588"/>
      <c r="K8" s="185" t="s">
        <v>2482</v>
      </c>
      <c r="L8" s="188" t="s">
        <v>2432</v>
      </c>
      <c r="M8" s="187" t="s">
        <v>2429</v>
      </c>
      <c r="N8" s="185" t="s">
        <v>2493</v>
      </c>
      <c r="P8" s="185" t="s">
        <v>2421</v>
      </c>
      <c r="R8" s="587"/>
      <c r="S8" s="271" t="s">
        <v>2679</v>
      </c>
      <c r="T8" s="272" t="s">
        <v>3036</v>
      </c>
      <c r="U8" s="587"/>
      <c r="V8" s="229" t="str">
        <f>$J$3</f>
        <v>Inconsistent with terminology resource</v>
      </c>
      <c r="W8" s="197">
        <v>2</v>
      </c>
      <c r="X8" s="197">
        <v>5</v>
      </c>
      <c r="Y8" s="222">
        <v>100</v>
      </c>
      <c r="Z8" s="198">
        <v>0</v>
      </c>
      <c r="AA8" s="229" t="str">
        <f>$J$3</f>
        <v>Inconsistent with terminology resource</v>
      </c>
      <c r="AB8" s="197">
        <v>3</v>
      </c>
      <c r="AC8" s="197">
        <v>5</v>
      </c>
      <c r="AD8" s="222">
        <v>100</v>
      </c>
      <c r="AE8" s="198">
        <v>0</v>
      </c>
      <c r="AF8" s="229" t="str">
        <f>$J$3</f>
        <v>Inconsistent with terminology resource</v>
      </c>
      <c r="AG8" s="197">
        <v>2</v>
      </c>
      <c r="AH8" s="197">
        <v>5</v>
      </c>
      <c r="AI8" s="222">
        <v>100</v>
      </c>
      <c r="AJ8" s="198">
        <v>0</v>
      </c>
      <c r="AK8" s="229" t="str">
        <f>$J$3</f>
        <v>Inconsistent with terminology resource</v>
      </c>
      <c r="AL8" s="197">
        <v>2</v>
      </c>
      <c r="AM8" s="197">
        <v>5</v>
      </c>
      <c r="AN8" s="222">
        <v>100</v>
      </c>
      <c r="AO8" s="198">
        <v>0</v>
      </c>
      <c r="AP8" s="229" t="str">
        <f>$J$3</f>
        <v>Inconsistent with terminology resource</v>
      </c>
      <c r="AQ8" s="197">
        <v>2</v>
      </c>
      <c r="AR8" s="197">
        <v>5</v>
      </c>
      <c r="AS8" s="222">
        <v>100</v>
      </c>
      <c r="AT8" s="198">
        <v>0</v>
      </c>
      <c r="AU8" s="587"/>
      <c r="AV8" s="248" t="str">
        <f>$J6</f>
        <v>Other</v>
      </c>
      <c r="AW8" s="242">
        <f>SUMPRODUCT(('Evaluation details_input'!$F$4:$F$1000=$AV$4)*('Evaluation details_input'!$G$4:$G$1000=$AV8)*('Evaluation details_input'!$H$4:$H$1000=$AW$3))</f>
        <v>0</v>
      </c>
      <c r="AX8" s="203">
        <f xml:space="preserve">
IF($AW$2=$AA$3,$AW8*$AB$11,
IF($AW$2=$AF$3,$AW8*$AG$11,
$AW8*$W$11))</f>
        <v>0</v>
      </c>
      <c r="AY8" s="238">
        <f xml:space="preserve">
COUNTIFS('Evaluation details_input'!$P$3:$P$1000,$AV$4,'Evaluation details_input'!$Q$3:$Q$1000,$AV8,'Evaluation details_input'!$R$3:$R$1000,$AY$3)
+COUNTIFS('Evaluation details_input'!$F$3:$F$1000,$AV$4,'Evaluation details_input'!$G$3:$G$1000,$AV8,'Evaluation details_input'!$H$3:$H$1000,$AY$3,'Evaluation details_input'!$J$3:$J$1000,"Not accepted",'Evaluation details_input'!$N$3:$N$1000,"Disagree with original translator", 'Evaluation details_input'!$P$3:$P$1000,"")
+COUNTIFS('Evaluation details_input'!$F$3:$F$1000,$AV$4,'Evaluation details_input'!$G$3:$G$1000,$AV8,'Evaluation details_input'!$H$3:$H$1000,$AY$3,'Evaluation details_input'!$J$3:$J$1000,"Accepted", 'Evaluation details_input'!$P$3:$P$1000,"")
+COUNTIFS('Evaluation details_input'!$F$3:$F$1000,$AV$4,'Evaluation details_input'!$G$3:$G$1000,$AV8,'Evaluation details_input'!$H$3:$H$1000,$AY$3,'Evaluation details_input'!$J$3:$J$1000,"")</f>
        <v>0</v>
      </c>
      <c r="AZ8" s="203">
        <f xml:space="preserve">
IF($AW$2=$AA$3,$AY8*$AB11,
IF($AW$2=$AF$3,$AY8*$AG11,
$AY8*$W11))</f>
        <v>0</v>
      </c>
      <c r="BA8" s="238">
        <f>SUMPRODUCT(('Evaluation details_input'!$F$4:$F$1000=$AV$4)*('Evaluation details_input'!$G$4:$G$1000=$AV8)*('Evaluation details_input'!$H$4:$H$1000=$BA$3))</f>
        <v>0</v>
      </c>
      <c r="BB8" s="203">
        <f t="shared" si="0"/>
        <v>0</v>
      </c>
      <c r="BC8" s="238">
        <f xml:space="preserve">
COUNTIFS('Evaluation details_input'!$P$3:$P$1000,$AV$4,'Evaluation details_input'!$Q$3:$Q$1000,$AV8,'Evaluation details_input'!$R$3:$R$1000,$BC$3)
+COUNTIFS('Evaluation details_input'!$F$3:$F$1000,$AV$4,'Evaluation details_input'!$G$3:$G$1000,$AV8,'Evaluation details_input'!$H$3:$H$1000,$BC$3,'Evaluation details_input'!$J$3:$J$1000,"Not accepted",'Evaluation details_input'!$N$3:$N$1000,"Disagree with original translator", 'Evaluation details_input'!$P$3:$P$1000,"")
+COUNTIFS('Evaluation details_input'!$F$3:$F$1000,$AV$4,'Evaluation details_input'!$G$3:$G$1000,$AV8,'Evaluation details_input'!$H$3:$H$1000,$BC$3,'Evaluation details_input'!$J$3:$J$1000,"Accepted", 'Evaluation details_input'!$P$3:$P$1000,"")
+COUNTIFS('Evaluation details_input'!$F$3:$F$1000,$AV$4,'Evaluation details_input'!$G$3:$G$1000,$AV8,'Evaluation details_input'!$H$3:$H$1000,$BC$3,'Evaluation details_input'!$J$3:$J$1000,"")</f>
        <v>0</v>
      </c>
      <c r="BD8" s="203">
        <f t="shared" si="1"/>
        <v>0</v>
      </c>
      <c r="BE8" s="587"/>
    </row>
    <row r="9" spans="2:57" ht="23.25" thickBot="1">
      <c r="B9" s="185" t="s">
        <v>2647</v>
      </c>
      <c r="C9" s="192" t="s">
        <v>2403</v>
      </c>
      <c r="E9" s="33"/>
      <c r="H9" s="185" t="s">
        <v>784</v>
      </c>
      <c r="I9" s="588"/>
      <c r="K9" s="185" t="s">
        <v>2414</v>
      </c>
      <c r="M9" s="187" t="s">
        <v>2431</v>
      </c>
      <c r="N9" s="185" t="s">
        <v>2416</v>
      </c>
      <c r="P9" s="186" t="s">
        <v>2432</v>
      </c>
      <c r="R9" s="587"/>
      <c r="S9" s="271" t="s">
        <v>1210</v>
      </c>
      <c r="T9" s="272" t="s">
        <v>1211</v>
      </c>
      <c r="U9" s="587"/>
      <c r="V9" s="229" t="str">
        <f>$J$4</f>
        <v>Inconsistent use of terminology</v>
      </c>
      <c r="W9" s="197">
        <v>2</v>
      </c>
      <c r="X9" s="197">
        <v>5</v>
      </c>
      <c r="Y9" s="222">
        <v>100</v>
      </c>
      <c r="Z9" s="198">
        <v>0</v>
      </c>
      <c r="AA9" s="229" t="str">
        <f>$J$4</f>
        <v>Inconsistent use of terminology</v>
      </c>
      <c r="AB9" s="197">
        <v>3</v>
      </c>
      <c r="AC9" s="197">
        <v>5</v>
      </c>
      <c r="AD9" s="222">
        <v>100</v>
      </c>
      <c r="AE9" s="198">
        <v>0</v>
      </c>
      <c r="AF9" s="229" t="str">
        <f>$J$4</f>
        <v>Inconsistent use of terminology</v>
      </c>
      <c r="AG9" s="197">
        <v>2</v>
      </c>
      <c r="AH9" s="197">
        <v>5</v>
      </c>
      <c r="AI9" s="222">
        <v>100</v>
      </c>
      <c r="AJ9" s="198">
        <v>0</v>
      </c>
      <c r="AK9" s="229" t="str">
        <f>$J$4</f>
        <v>Inconsistent use of terminology</v>
      </c>
      <c r="AL9" s="197">
        <v>2</v>
      </c>
      <c r="AM9" s="197">
        <v>5</v>
      </c>
      <c r="AN9" s="222">
        <v>100</v>
      </c>
      <c r="AO9" s="198">
        <v>0</v>
      </c>
      <c r="AP9" s="229" t="str">
        <f>$J$4</f>
        <v>Inconsistent use of terminology</v>
      </c>
      <c r="AQ9" s="197">
        <v>2</v>
      </c>
      <c r="AR9" s="197">
        <v>5</v>
      </c>
      <c r="AS9" s="222">
        <v>100</v>
      </c>
      <c r="AT9" s="198">
        <v>0</v>
      </c>
      <c r="AU9" s="587"/>
      <c r="AV9" s="250" t="str">
        <f>K2</f>
        <v>Accuracy</v>
      </c>
      <c r="AW9" s="243"/>
      <c r="AX9" s="209"/>
      <c r="AY9" s="209"/>
      <c r="AZ9" s="209"/>
      <c r="BA9" s="239"/>
      <c r="BB9" s="209"/>
      <c r="BC9" s="209"/>
      <c r="BD9" s="209"/>
      <c r="BE9" s="587"/>
    </row>
    <row r="10" spans="2:57" ht="13.5" thickBot="1">
      <c r="B10" s="185" t="s">
        <v>2674</v>
      </c>
      <c r="C10" s="192" t="s">
        <v>1195</v>
      </c>
      <c r="H10" s="186" t="s">
        <v>577</v>
      </c>
      <c r="I10" s="588"/>
      <c r="K10" s="186" t="s">
        <v>2432</v>
      </c>
      <c r="M10" s="188" t="s">
        <v>2432</v>
      </c>
      <c r="N10" s="185" t="s">
        <v>2415</v>
      </c>
      <c r="R10" s="587"/>
      <c r="S10" s="271" t="s">
        <v>1212</v>
      </c>
      <c r="T10" s="272" t="s">
        <v>1213</v>
      </c>
      <c r="U10" s="587"/>
      <c r="V10" s="229" t="str">
        <f>$J$5</f>
        <v>Wrong term</v>
      </c>
      <c r="W10" s="197">
        <v>2</v>
      </c>
      <c r="X10" s="197">
        <v>5</v>
      </c>
      <c r="Y10" s="222">
        <v>100</v>
      </c>
      <c r="Z10" s="198">
        <v>0</v>
      </c>
      <c r="AA10" s="229" t="str">
        <f>$J$5</f>
        <v>Wrong term</v>
      </c>
      <c r="AB10" s="197">
        <v>3</v>
      </c>
      <c r="AC10" s="197">
        <v>5</v>
      </c>
      <c r="AD10" s="222">
        <v>100</v>
      </c>
      <c r="AE10" s="198">
        <v>0</v>
      </c>
      <c r="AF10" s="229" t="str">
        <f>$J$5</f>
        <v>Wrong term</v>
      </c>
      <c r="AG10" s="197">
        <v>2</v>
      </c>
      <c r="AH10" s="197">
        <v>5</v>
      </c>
      <c r="AI10" s="222">
        <v>100</v>
      </c>
      <c r="AJ10" s="198">
        <v>0</v>
      </c>
      <c r="AK10" s="229" t="str">
        <f>$J$5</f>
        <v>Wrong term</v>
      </c>
      <c r="AL10" s="197">
        <v>2</v>
      </c>
      <c r="AM10" s="197">
        <v>5</v>
      </c>
      <c r="AN10" s="222">
        <v>100</v>
      </c>
      <c r="AO10" s="198">
        <v>0</v>
      </c>
      <c r="AP10" s="229" t="str">
        <f>$J$5</f>
        <v>Wrong term</v>
      </c>
      <c r="AQ10" s="197">
        <v>2</v>
      </c>
      <c r="AR10" s="197">
        <v>5</v>
      </c>
      <c r="AS10" s="222">
        <v>100</v>
      </c>
      <c r="AT10" s="198">
        <v>0</v>
      </c>
      <c r="AU10" s="587"/>
      <c r="AV10" s="246" t="str">
        <f t="shared" ref="AV10:AV17" si="2">$K3</f>
        <v>Mistranslation</v>
      </c>
      <c r="AW10" s="242">
        <f>SUMPRODUCT(('Evaluation details_input'!$F$4:$F$1000=$AV$9)*('Evaluation details_input'!$G$4:$G$1000=$AV10)*('Evaluation details_input'!$H$4:$H$1000=$AW$3))</f>
        <v>0</v>
      </c>
      <c r="AX10" s="203">
        <f xml:space="preserve">
IF($AW$2=$AA$3,$AW10*$AB$13,
IF($AW$2=$AF$3,$AW10*$AG$13,
$AW10*$W$13))</f>
        <v>0</v>
      </c>
      <c r="AY10" s="238">
        <f xml:space="preserve">
COUNTIFS('Evaluation details_input'!$P$3:$P$1000,$AV$9,'Evaluation details_input'!$Q$3:$Q$1000,$AV10,'Evaluation details_input'!$R$3:$R$1000,$AY$3)
+COUNTIFS('Evaluation details_input'!$F$3:$F$1000,$AV$9,'Evaluation details_input'!$G$3:$G$1000,$AV10,'Evaluation details_input'!$H$3:$H$1000,$AY$3,'Evaluation details_input'!$J$3:$J$1000,"Not accepted",'Evaluation details_input'!$N$3:$N$1000,"Disagree with original translator", 'Evaluation details_input'!$P$3:$P$1000,"")
+COUNTIFS('Evaluation details_input'!$F$3:$F$1000,$AV$9,'Evaluation details_input'!$G$3:$G$1000,$AV10,'Evaluation details_input'!$H$3:$H$1000,$AY$3,'Evaluation details_input'!$J$3:$J$1000,"Accepted", 'Evaluation details_input'!$P$3:$P$1000,"")
+COUNTIFS('Evaluation details_input'!$F$3:$F$1000,$AV$9,'Evaluation details_input'!$G$3:$G$1000,$AV10,'Evaluation details_input'!$H$3:$H$1000,$AY$3,'Evaluation details_input'!$J$3:$J$1000,"")</f>
        <v>0</v>
      </c>
      <c r="AZ10" s="203">
        <f t="shared" ref="AZ10:AZ17" si="3" xml:space="preserve">
IF($AW$2=$AA$3,$AY10*$AB13,
IF($AW$2=$AF$3,$AY10*$AG13,
$AY10*$W13))</f>
        <v>0</v>
      </c>
      <c r="BA10" s="238">
        <f>SUMPRODUCT(('Evaluation details_input'!$F$4:$F$1000=$AV$9)*('Evaluation details_input'!$G$4:$G$1000=$AV10)*('Evaluation details_input'!$H$4:$H$1000=$BA$3))</f>
        <v>0</v>
      </c>
      <c r="BB10" s="203">
        <f xml:space="preserve">
IF($AW$2=$AA$3,$BA10*$AC13,
IF($AW$2=$AF$3,$BA10*$AH13,
$BA10*$X13))</f>
        <v>0</v>
      </c>
      <c r="BC10" s="238">
        <f xml:space="preserve">
COUNTIFS('Evaluation details_input'!$P$3:$P$1000,$AV$9,'Evaluation details_input'!$Q$3:$Q$1000,$AV10,'Evaluation details_input'!$R$3:$R$1000,$BC$3)
+COUNTIFS('Evaluation details_input'!$F$3:$F$1000,$AV$9,'Evaluation details_input'!$G$3:$G$1000,$AV10,'Evaluation details_input'!$H$3:$H$1000,$BC$3,'Evaluation details_input'!$J$3:$J$1000,"Not accepted",'Evaluation details_input'!$N$3:$N$1000,"Disagree with original translator", 'Evaluation details_input'!$P$3:$P$1000,"")
+COUNTIFS('Evaluation details_input'!$F$3:$F$1000,$AV$9,'Evaluation details_input'!$G$3:$G$1000,$AV10,'Evaluation details_input'!$H$3:$H$1000,$BC$3,'Evaluation details_input'!$J$3:$J$1000,"Accepted", 'Evaluation details_input'!$P$3:$P$1000,"")
+COUNTIFS('Evaluation details_input'!$F$3:$F$1000,$AV$9,'Evaluation details_input'!$G$3:$G$1000,$AV10,'Evaluation details_input'!$H$3:$H$1000,$BC$3,'Evaluation details_input'!$J$3:$J$1000,"")</f>
        <v>0</v>
      </c>
      <c r="BD10" s="203">
        <f xml:space="preserve">
IF($AW$2=$AA$3,$BC10*$AC13,
IF($AW$2=$AF$3,$BC10*$AH13,
$BC10*$X13))</f>
        <v>0</v>
      </c>
      <c r="BE10" s="587"/>
    </row>
    <row r="11" spans="2:57" ht="23.25" thickBot="1">
      <c r="B11" s="185" t="s">
        <v>134</v>
      </c>
      <c r="C11" s="192" t="s">
        <v>1200</v>
      </c>
      <c r="E11" s="33"/>
      <c r="I11" s="588"/>
      <c r="N11" s="186" t="s">
        <v>2432</v>
      </c>
      <c r="R11" s="587"/>
      <c r="S11" s="271" t="s">
        <v>2680</v>
      </c>
      <c r="T11" s="272" t="s">
        <v>3037</v>
      </c>
      <c r="U11" s="587"/>
      <c r="V11" s="229" t="str">
        <f>$J$6</f>
        <v>Other</v>
      </c>
      <c r="W11" s="197">
        <v>2</v>
      </c>
      <c r="X11" s="197">
        <v>5</v>
      </c>
      <c r="Y11" s="222">
        <v>100</v>
      </c>
      <c r="Z11" s="198">
        <v>0</v>
      </c>
      <c r="AA11" s="229" t="str">
        <f>$J$6</f>
        <v>Other</v>
      </c>
      <c r="AB11" s="197">
        <v>3</v>
      </c>
      <c r="AC11" s="197">
        <v>5</v>
      </c>
      <c r="AD11" s="222">
        <v>100</v>
      </c>
      <c r="AE11" s="198">
        <v>0</v>
      </c>
      <c r="AF11" s="229" t="str">
        <f>$J$6</f>
        <v>Other</v>
      </c>
      <c r="AG11" s="197">
        <v>2</v>
      </c>
      <c r="AH11" s="197">
        <v>5</v>
      </c>
      <c r="AI11" s="222">
        <v>100</v>
      </c>
      <c r="AJ11" s="198">
        <v>0</v>
      </c>
      <c r="AK11" s="229" t="str">
        <f>$J$6</f>
        <v>Other</v>
      </c>
      <c r="AL11" s="197">
        <v>2</v>
      </c>
      <c r="AM11" s="197">
        <v>5</v>
      </c>
      <c r="AN11" s="222">
        <v>100</v>
      </c>
      <c r="AO11" s="198">
        <v>0</v>
      </c>
      <c r="AP11" s="229" t="str">
        <f>$J$6</f>
        <v>Other</v>
      </c>
      <c r="AQ11" s="197">
        <v>2</v>
      </c>
      <c r="AR11" s="197">
        <v>5</v>
      </c>
      <c r="AS11" s="222">
        <v>100</v>
      </c>
      <c r="AT11" s="198">
        <v>0</v>
      </c>
      <c r="AU11" s="587"/>
      <c r="AV11" s="246" t="str">
        <f t="shared" si="2"/>
        <v>Over-translation</v>
      </c>
      <c r="AW11" s="242">
        <f>SUMPRODUCT(('Evaluation details_input'!$F$4:$F$1000=$AV$9)*('Evaluation details_input'!$G$4:$G$1000=$AV11)*('Evaluation details_input'!$H$4:$H$1000=$AW$3))</f>
        <v>0</v>
      </c>
      <c r="AX11" s="203">
        <f xml:space="preserve">
IF($AW$2=$AA$3,$AW11*$AB$14,
IF($AW$2=$AF$3,$AW11*$AG$14,
$AW11*$W$14))</f>
        <v>0</v>
      </c>
      <c r="AY11" s="238">
        <f xml:space="preserve">
COUNTIFS('Evaluation details_input'!$P$3:$P$1000,$AV$9,'Evaluation details_input'!$Q$3:$Q$1000,$AV11,'Evaluation details_input'!$R$3:$R$1000,$AY$3)
+COUNTIFS('Evaluation details_input'!$F$3:$F$1000,$AV$9,'Evaluation details_input'!$G$3:$G$1000,$AV11,'Evaluation details_input'!$H$3:$H$1000,$AY$3,'Evaluation details_input'!$J$3:$J$1000,"Not accepted",'Evaluation details_input'!$N$3:$N$1000,"Disagree with original translator", 'Evaluation details_input'!$P$3:$P$1000,"")
+COUNTIFS('Evaluation details_input'!$F$3:$F$1000,$AV$9,'Evaluation details_input'!$G$3:$G$1000,$AV11,'Evaluation details_input'!$H$3:$H$1000,$AY$3,'Evaluation details_input'!$J$3:$J$1000,"Accepted", 'Evaluation details_input'!$P$3:$P$1000,"")
+COUNTIFS('Evaluation details_input'!$F$3:$F$1000,$AV$9,'Evaluation details_input'!$G$3:$G$1000,$AV11,'Evaluation details_input'!$H$3:$H$1000,$AY$3,'Evaluation details_input'!$J$3:$J$1000,"")</f>
        <v>0</v>
      </c>
      <c r="AZ11" s="203">
        <f t="shared" si="3"/>
        <v>0</v>
      </c>
      <c r="BA11" s="238">
        <f>SUMPRODUCT(('Evaluation details_input'!$F$4:$F$1000=$AV$9)*('Evaluation details_input'!$G$4:$G$1000=$AV11)*('Evaluation details_input'!$H$4:$H$1000=$BA$3))</f>
        <v>0</v>
      </c>
      <c r="BB11" s="203">
        <f xml:space="preserve">
IF($AW$2=$AA$3,$BA11*$AC14,
IF($AW$2=$AF$3,$BA11*$AH14,
$BA11*$X14))</f>
        <v>0</v>
      </c>
      <c r="BC11" s="238">
        <f xml:space="preserve">
COUNTIFS('Evaluation details_input'!$P$3:$P$1000,$AV$9,'Evaluation details_input'!$Q$3:$Q$1000,$AV11,'Evaluation details_input'!$R$3:$R$1000,$BC$3)
+COUNTIFS('Evaluation details_input'!$F$3:$F$1000,$AV$9,'Evaluation details_input'!$G$3:$G$1000,$AV11,'Evaluation details_input'!$H$3:$H$1000,$BC$3,'Evaluation details_input'!$J$3:$J$1000,"Not accepted",'Evaluation details_input'!$N$3:$N$1000,"Disagree with original translator", 'Evaluation details_input'!$P$3:$P$1000,"")
+COUNTIFS('Evaluation details_input'!$F$3:$F$1000,$AV$9,'Evaluation details_input'!$G$3:$G$1000,$AV11,'Evaluation details_input'!$H$3:$H$1000,$BC$3,'Evaluation details_input'!$J$3:$J$1000,"Accepted", 'Evaluation details_input'!$P$3:$P$1000,"")
+COUNTIFS('Evaluation details_input'!$F$3:$F$1000,$AV$9,'Evaluation details_input'!$G$3:$G$1000,$AV11,'Evaluation details_input'!$H$3:$H$1000,$BC$3,'Evaluation details_input'!$J$3:$J$1000,"")</f>
        <v>0</v>
      </c>
      <c r="BD11" s="203">
        <f t="shared" ref="BD11:BD17" si="4" xml:space="preserve">
IF($AW$2=$AA$3,$BC11*$AC14,
IF($AW$2=$AF$3,$BC11*$AH14,
$BC11*$X14))</f>
        <v>0</v>
      </c>
      <c r="BE11" s="587"/>
    </row>
    <row r="12" spans="2:57" ht="22.5">
      <c r="B12" s="185" t="s">
        <v>2648</v>
      </c>
      <c r="C12" s="192" t="s">
        <v>1188</v>
      </c>
      <c r="E12" s="33"/>
      <c r="I12" s="588"/>
      <c r="S12" s="271" t="s">
        <v>1214</v>
      </c>
      <c r="T12" s="272" t="s">
        <v>769</v>
      </c>
      <c r="U12" s="587"/>
      <c r="V12" s="230" t="str">
        <f>$K$2</f>
        <v>Accuracy</v>
      </c>
      <c r="W12" s="213"/>
      <c r="X12" s="213"/>
      <c r="Y12" s="223"/>
      <c r="Z12" s="214"/>
      <c r="AA12" s="230" t="str">
        <f>$K$2</f>
        <v>Accuracy</v>
      </c>
      <c r="AB12" s="213"/>
      <c r="AC12" s="213"/>
      <c r="AD12" s="223"/>
      <c r="AE12" s="214"/>
      <c r="AF12" s="230" t="str">
        <f>$K$2</f>
        <v>Accuracy</v>
      </c>
      <c r="AG12" s="213"/>
      <c r="AH12" s="213"/>
      <c r="AI12" s="223"/>
      <c r="AJ12" s="214"/>
      <c r="AK12" s="230" t="str">
        <f>$K$2</f>
        <v>Accuracy</v>
      </c>
      <c r="AL12" s="213"/>
      <c r="AM12" s="213"/>
      <c r="AN12" s="223"/>
      <c r="AO12" s="214"/>
      <c r="AP12" s="230" t="str">
        <f>$K$2</f>
        <v>Accuracy</v>
      </c>
      <c r="AQ12" s="213"/>
      <c r="AR12" s="213"/>
      <c r="AS12" s="223"/>
      <c r="AT12" s="214"/>
      <c r="AU12" s="587"/>
      <c r="AV12" s="246" t="str">
        <f t="shared" si="2"/>
        <v>Under-translation</v>
      </c>
      <c r="AW12" s="242">
        <f>SUMPRODUCT(('Evaluation details_input'!$F$4:$F$1000=$AV$9)*('Evaluation details_input'!$G$4:$G$1000=$AV12)*('Evaluation details_input'!$H$4:$H$1000=$AW$3))</f>
        <v>0</v>
      </c>
      <c r="AX12" s="203">
        <f xml:space="preserve">
IF($AW$2=$AA$3,$AW12*$AB$15,
IF($AW$2=$AF$3,$AW12*$AG$15,
$AW12*$W$15))</f>
        <v>0</v>
      </c>
      <c r="AY12" s="238">
        <f xml:space="preserve">
COUNTIFS('Evaluation details_input'!$P$3:$P$1000,$AV$9,'Evaluation details_input'!$Q$3:$Q$1000,$AV12,'Evaluation details_input'!$R$3:$R$1000,$AY$3)
+COUNTIFS('Evaluation details_input'!$F$3:$F$1000,$AV$9,'Evaluation details_input'!$G$3:$G$1000,$AV12,'Evaluation details_input'!$H$3:$H$1000,$AY$3,'Evaluation details_input'!$J$3:$J$1000,"Not accepted",'Evaluation details_input'!$N$3:$N$1000,"Disagree with original translator", 'Evaluation details_input'!$P$3:$P$1000,"")
+COUNTIFS('Evaluation details_input'!$F$3:$F$1000,$AV$9,'Evaluation details_input'!$G$3:$G$1000,$AV12,'Evaluation details_input'!$H$3:$H$1000,$AY$3,'Evaluation details_input'!$J$3:$J$1000,"Accepted", 'Evaluation details_input'!$P$3:$P$1000,"")
+COUNTIFS('Evaluation details_input'!$F$3:$F$1000,$AV$9,'Evaluation details_input'!$G$3:$G$1000,$AV12,'Evaluation details_input'!$H$3:$H$1000,$AY$3,'Evaluation details_input'!$J$3:$J$1000,"")</f>
        <v>0</v>
      </c>
      <c r="AZ12" s="203">
        <f t="shared" si="3"/>
        <v>0</v>
      </c>
      <c r="BA12" s="238">
        <f>SUMPRODUCT(('Evaluation details_input'!$F$4:$F$1000=$AV$9)*('Evaluation details_input'!$G$4:$G$1000=$AV12)*('Evaluation details_input'!$H$4:$H$1000=$BA$3))</f>
        <v>0</v>
      </c>
      <c r="BB12" s="203">
        <f t="shared" ref="BB12:BB17" si="5" xml:space="preserve">
IF($AW$2=$AA$3,$BA12*$AC15,
IF($AW$2=$AF$3,$BA12*$AH15,
$BA12*$X15))</f>
        <v>0</v>
      </c>
      <c r="BC12" s="238">
        <f xml:space="preserve">
COUNTIFS('Evaluation details_input'!$P$3:$P$1000,$AV$9,'Evaluation details_input'!$Q$3:$Q$1000,$AV12,'Evaluation details_input'!$R$3:$R$1000,$BC$3)
+COUNTIFS('Evaluation details_input'!$F$3:$F$1000,$AV$9,'Evaluation details_input'!$G$3:$G$1000,$AV12,'Evaluation details_input'!$H$3:$H$1000,$BC$3,'Evaluation details_input'!$J$3:$J$1000,"Not accepted",'Evaluation details_input'!$N$3:$N$1000,"Disagree with original translator", 'Evaluation details_input'!$P$3:$P$1000,"")
+COUNTIFS('Evaluation details_input'!$F$3:$F$1000,$AV$9,'Evaluation details_input'!$G$3:$G$1000,$AV12,'Evaluation details_input'!$H$3:$H$1000,$BC$3,'Evaluation details_input'!$J$3:$J$1000,"Accepted", 'Evaluation details_input'!$P$3:$P$1000,"")
+COUNTIFS('Evaluation details_input'!$F$3:$F$1000,$AV$9,'Evaluation details_input'!$G$3:$G$1000,$AV12,'Evaluation details_input'!$H$3:$H$1000,$BC$3,'Evaluation details_input'!$J$3:$J$1000,"")</f>
        <v>0</v>
      </c>
      <c r="BD12" s="203">
        <f t="shared" si="4"/>
        <v>0</v>
      </c>
      <c r="BE12" s="587"/>
    </row>
    <row r="13" spans="2:57">
      <c r="B13" s="185" t="s">
        <v>2649</v>
      </c>
      <c r="C13" s="192" t="s">
        <v>1199</v>
      </c>
      <c r="E13" s="33"/>
      <c r="I13" s="588"/>
      <c r="S13" s="271" t="s">
        <v>2681</v>
      </c>
      <c r="T13" s="272" t="s">
        <v>3038</v>
      </c>
      <c r="U13" s="587"/>
      <c r="V13" s="229" t="str">
        <f>$K$3</f>
        <v>Mistranslation</v>
      </c>
      <c r="W13" s="197">
        <v>2</v>
      </c>
      <c r="X13" s="197">
        <v>5</v>
      </c>
      <c r="Y13" s="222">
        <v>100</v>
      </c>
      <c r="Z13" s="198">
        <v>0</v>
      </c>
      <c r="AA13" s="229" t="str">
        <f>$K$3</f>
        <v>Mistranslation</v>
      </c>
      <c r="AB13" s="197">
        <v>3</v>
      </c>
      <c r="AC13" s="197">
        <v>5</v>
      </c>
      <c r="AD13" s="222">
        <v>100</v>
      </c>
      <c r="AE13" s="198">
        <v>0</v>
      </c>
      <c r="AF13" s="229" t="str">
        <f>$K$3</f>
        <v>Mistranslation</v>
      </c>
      <c r="AG13" s="197">
        <v>2</v>
      </c>
      <c r="AH13" s="197">
        <v>5</v>
      </c>
      <c r="AI13" s="222">
        <v>100</v>
      </c>
      <c r="AJ13" s="198">
        <v>0</v>
      </c>
      <c r="AK13" s="229" t="str">
        <f>$K$3</f>
        <v>Mistranslation</v>
      </c>
      <c r="AL13" s="197">
        <v>2</v>
      </c>
      <c r="AM13" s="197">
        <v>5</v>
      </c>
      <c r="AN13" s="222">
        <v>100</v>
      </c>
      <c r="AO13" s="198">
        <v>0</v>
      </c>
      <c r="AP13" s="229" t="str">
        <f>$K$3</f>
        <v>Mistranslation</v>
      </c>
      <c r="AQ13" s="197">
        <v>2</v>
      </c>
      <c r="AR13" s="197">
        <v>5</v>
      </c>
      <c r="AS13" s="222">
        <v>100</v>
      </c>
      <c r="AT13" s="198">
        <v>0</v>
      </c>
      <c r="AU13" s="587"/>
      <c r="AV13" s="246" t="str">
        <f t="shared" si="2"/>
        <v>Addition</v>
      </c>
      <c r="AW13" s="242">
        <f>SUMPRODUCT(('Evaluation details_input'!$F$4:$F$1000=$AV$9)*('Evaluation details_input'!$G$4:$G$1000=$AV13)*('Evaluation details_input'!$H$4:$H$1000=$AW$3))</f>
        <v>0</v>
      </c>
      <c r="AX13" s="203">
        <f xml:space="preserve">
IF($AW$2=$AA$3,$AW13*$AB$16,
IF($AW$2=$AF$3,$AW13*$AG$16,
$AW13*$W$16))</f>
        <v>0</v>
      </c>
      <c r="AY13" s="238">
        <f xml:space="preserve">
COUNTIFS('Evaluation details_input'!$P$3:$P$1000,$AV$9,'Evaluation details_input'!$Q$3:$Q$1000,$AV13,'Evaluation details_input'!$R$3:$R$1000,$AY$3)
+COUNTIFS('Evaluation details_input'!$F$3:$F$1000,$AV$9,'Evaluation details_input'!$G$3:$G$1000,$AV13,'Evaluation details_input'!$H$3:$H$1000,$AY$3,'Evaluation details_input'!$J$3:$J$1000,"Not accepted",'Evaluation details_input'!$N$3:$N$1000,"Disagree with original translator", 'Evaluation details_input'!$P$3:$P$1000,"")
+COUNTIFS('Evaluation details_input'!$F$3:$F$1000,$AV$9,'Evaluation details_input'!$G$3:$G$1000,$AV13,'Evaluation details_input'!$H$3:$H$1000,$AY$3,'Evaluation details_input'!$J$3:$J$1000,"Accepted", 'Evaluation details_input'!$P$3:$P$1000,"")
+COUNTIFS('Evaluation details_input'!$F$3:$F$1000,$AV$9,'Evaluation details_input'!$G$3:$G$1000,$AV13,'Evaluation details_input'!$H$3:$H$1000,$AY$3,'Evaluation details_input'!$J$3:$J$1000,"")</f>
        <v>0</v>
      </c>
      <c r="AZ13" s="203">
        <f t="shared" si="3"/>
        <v>0</v>
      </c>
      <c r="BA13" s="238">
        <f>SUMPRODUCT(('Evaluation details_input'!$F$4:$F$1000=$AV$9)*('Evaluation details_input'!$G$4:$G$1000=$AV13)*('Evaluation details_input'!$H$4:$H$1000=$BA$3))</f>
        <v>0</v>
      </c>
      <c r="BB13" s="203">
        <f t="shared" si="5"/>
        <v>0</v>
      </c>
      <c r="BC13" s="238">
        <f xml:space="preserve">
COUNTIFS('Evaluation details_input'!$P$3:$P$1000,$AV$9,'Evaluation details_input'!$Q$3:$Q$1000,$AV13,'Evaluation details_input'!$R$3:$R$1000,$BC$3)
+COUNTIFS('Evaluation details_input'!$F$3:$F$1000,$AV$9,'Evaluation details_input'!$G$3:$G$1000,$AV13,'Evaluation details_input'!$H$3:$H$1000,$BC$3,'Evaluation details_input'!$J$3:$J$1000,"Not accepted",'Evaluation details_input'!$N$3:$N$1000,"Disagree with original translator", 'Evaluation details_input'!$P$3:$P$1000,"")
+COUNTIFS('Evaluation details_input'!$F$3:$F$1000,$AV$9,'Evaluation details_input'!$G$3:$G$1000,$AV13,'Evaluation details_input'!$H$3:$H$1000,$BC$3,'Evaluation details_input'!$J$3:$J$1000,"Accepted", 'Evaluation details_input'!$P$3:$P$1000,"")
+COUNTIFS('Evaluation details_input'!$F$3:$F$1000,$AV$9,'Evaluation details_input'!$G$3:$G$1000,$AV13,'Evaluation details_input'!$H$3:$H$1000,$BC$3,'Evaluation details_input'!$J$3:$J$1000,"")</f>
        <v>0</v>
      </c>
      <c r="BD13" s="203">
        <f t="shared" si="4"/>
        <v>0</v>
      </c>
      <c r="BE13" s="587"/>
    </row>
    <row r="14" spans="2:57">
      <c r="B14" s="185" t="s">
        <v>2676</v>
      </c>
      <c r="C14" s="192" t="s">
        <v>100</v>
      </c>
      <c r="E14" s="33"/>
      <c r="I14" s="588"/>
      <c r="S14" s="271" t="s">
        <v>1215</v>
      </c>
      <c r="T14" s="272" t="s">
        <v>789</v>
      </c>
      <c r="U14" s="587"/>
      <c r="V14" s="229" t="str">
        <f>$K$4</f>
        <v>Over-translation</v>
      </c>
      <c r="W14" s="197">
        <v>2</v>
      </c>
      <c r="X14" s="197">
        <v>5</v>
      </c>
      <c r="Y14" s="222">
        <v>100</v>
      </c>
      <c r="Z14" s="198">
        <v>0</v>
      </c>
      <c r="AA14" s="229" t="str">
        <f>$K$4</f>
        <v>Over-translation</v>
      </c>
      <c r="AB14" s="197">
        <v>3</v>
      </c>
      <c r="AC14" s="197">
        <v>5</v>
      </c>
      <c r="AD14" s="222">
        <v>100</v>
      </c>
      <c r="AE14" s="198">
        <v>0</v>
      </c>
      <c r="AF14" s="229" t="str">
        <f>$K$4</f>
        <v>Over-translation</v>
      </c>
      <c r="AG14" s="197">
        <v>2</v>
      </c>
      <c r="AH14" s="197">
        <v>5</v>
      </c>
      <c r="AI14" s="222">
        <v>100</v>
      </c>
      <c r="AJ14" s="198">
        <v>0</v>
      </c>
      <c r="AK14" s="229" t="str">
        <f>$K$4</f>
        <v>Over-translation</v>
      </c>
      <c r="AL14" s="197">
        <v>2</v>
      </c>
      <c r="AM14" s="197">
        <v>5</v>
      </c>
      <c r="AN14" s="222">
        <v>100</v>
      </c>
      <c r="AO14" s="198">
        <v>0</v>
      </c>
      <c r="AP14" s="229" t="str">
        <f>$K$4</f>
        <v>Over-translation</v>
      </c>
      <c r="AQ14" s="197">
        <v>2</v>
      </c>
      <c r="AR14" s="197">
        <v>5</v>
      </c>
      <c r="AS14" s="222">
        <v>100</v>
      </c>
      <c r="AT14" s="198">
        <v>0</v>
      </c>
      <c r="AU14" s="587"/>
      <c r="AV14" s="246" t="str">
        <f t="shared" si="2"/>
        <v>Omission</v>
      </c>
      <c r="AW14" s="242">
        <f>SUMPRODUCT(('Evaluation details_input'!$F$4:$F$1000=$AV$9)*('Evaluation details_input'!$G$4:$G$1000=$AV14)*('Evaluation details_input'!$H$4:$H$1000=$AW$3))</f>
        <v>0</v>
      </c>
      <c r="AX14" s="203">
        <f xml:space="preserve">
IF($AW$2=$AA$3,$AW14*$AB$17,
IF($AW$2=$AF$3,$AW14*$AG$17,
$AW14*$W$17))</f>
        <v>0</v>
      </c>
      <c r="AY14" s="238">
        <f xml:space="preserve">
COUNTIFS('Evaluation details_input'!$P$3:$P$1000,$AV$9,'Evaluation details_input'!$Q$3:$Q$1000,$AV14,'Evaluation details_input'!$R$3:$R$1000,$AY$3)
+COUNTIFS('Evaluation details_input'!$F$3:$F$1000,$AV$9,'Evaluation details_input'!$G$3:$G$1000,$AV14,'Evaluation details_input'!$H$3:$H$1000,$AY$3,'Evaluation details_input'!$J$3:$J$1000,"Not accepted",'Evaluation details_input'!$N$3:$N$1000,"Disagree with original translator", 'Evaluation details_input'!$P$3:$P$1000,"")
+COUNTIFS('Evaluation details_input'!$F$3:$F$1000,$AV$9,'Evaluation details_input'!$G$3:$G$1000,$AV14,'Evaluation details_input'!$H$3:$H$1000,$AY$3,'Evaluation details_input'!$J$3:$J$1000,"Accepted", 'Evaluation details_input'!$P$3:$P$1000,"")
+COUNTIFS('Evaluation details_input'!$F$3:$F$1000,$AV$9,'Evaluation details_input'!$G$3:$G$1000,$AV14,'Evaluation details_input'!$H$3:$H$1000,$AY$3,'Evaluation details_input'!$J$3:$J$1000,"")</f>
        <v>0</v>
      </c>
      <c r="AZ14" s="203">
        <f t="shared" si="3"/>
        <v>0</v>
      </c>
      <c r="BA14" s="238">
        <f>SUMPRODUCT(('Evaluation details_input'!$F$4:$F$1000=$AV$9)*('Evaluation details_input'!$G$4:$G$1000=$AV14)*('Evaluation details_input'!$H$4:$H$1000=$BA$3))</f>
        <v>0</v>
      </c>
      <c r="BB14" s="203">
        <f t="shared" si="5"/>
        <v>0</v>
      </c>
      <c r="BC14" s="238">
        <f xml:space="preserve">
COUNTIFS('Evaluation details_input'!$P$3:$P$1000,$AV$9,'Evaluation details_input'!$Q$3:$Q$1000,$AV14,'Evaluation details_input'!$R$3:$R$1000,$BC$3)
+COUNTIFS('Evaluation details_input'!$F$3:$F$1000,$AV$9,'Evaluation details_input'!$G$3:$G$1000,$AV14,'Evaluation details_input'!$H$3:$H$1000,$BC$3,'Evaluation details_input'!$J$3:$J$1000,"Not accepted",'Evaluation details_input'!$N$3:$N$1000,"Disagree with original translator", 'Evaluation details_input'!$P$3:$P$1000,"")
+COUNTIFS('Evaluation details_input'!$F$3:$F$1000,$AV$9,'Evaluation details_input'!$G$3:$G$1000,$AV14,'Evaluation details_input'!$H$3:$H$1000,$BC$3,'Evaluation details_input'!$J$3:$J$1000,"Accepted", 'Evaluation details_input'!$P$3:$P$1000,"")
+COUNTIFS('Evaluation details_input'!$F$3:$F$1000,$AV$9,'Evaluation details_input'!$G$3:$G$1000,$AV14,'Evaluation details_input'!$H$3:$H$1000,$BC$3,'Evaluation details_input'!$J$3:$J$1000,"")</f>
        <v>0</v>
      </c>
      <c r="BD14" s="203">
        <f t="shared" si="4"/>
        <v>0</v>
      </c>
      <c r="BE14" s="587"/>
    </row>
    <row r="15" spans="2:57" ht="33.75">
      <c r="B15" s="185" t="s">
        <v>2675</v>
      </c>
      <c r="C15" s="192" t="s">
        <v>36</v>
      </c>
      <c r="E15" s="33"/>
      <c r="I15" s="588"/>
      <c r="S15" s="271" t="s">
        <v>1216</v>
      </c>
      <c r="T15" s="272" t="s">
        <v>790</v>
      </c>
      <c r="U15" s="587"/>
      <c r="V15" s="229" t="str">
        <f>$K$5</f>
        <v>Under-translation</v>
      </c>
      <c r="W15" s="197">
        <v>2</v>
      </c>
      <c r="X15" s="197">
        <v>5</v>
      </c>
      <c r="Y15" s="222">
        <v>100</v>
      </c>
      <c r="Z15" s="198">
        <v>0</v>
      </c>
      <c r="AA15" s="229" t="str">
        <f>$K$5</f>
        <v>Under-translation</v>
      </c>
      <c r="AB15" s="197">
        <v>3</v>
      </c>
      <c r="AC15" s="197">
        <v>5</v>
      </c>
      <c r="AD15" s="222">
        <v>100</v>
      </c>
      <c r="AE15" s="198">
        <v>0</v>
      </c>
      <c r="AF15" s="229" t="str">
        <f>$K$5</f>
        <v>Under-translation</v>
      </c>
      <c r="AG15" s="197">
        <v>2</v>
      </c>
      <c r="AH15" s="197">
        <v>5</v>
      </c>
      <c r="AI15" s="222">
        <v>100</v>
      </c>
      <c r="AJ15" s="198">
        <v>0</v>
      </c>
      <c r="AK15" s="229" t="str">
        <f>$K$5</f>
        <v>Under-translation</v>
      </c>
      <c r="AL15" s="197">
        <v>2</v>
      </c>
      <c r="AM15" s="197">
        <v>5</v>
      </c>
      <c r="AN15" s="222">
        <v>100</v>
      </c>
      <c r="AO15" s="198">
        <v>0</v>
      </c>
      <c r="AP15" s="229" t="str">
        <f>$K$5</f>
        <v>Under-translation</v>
      </c>
      <c r="AQ15" s="197">
        <v>2</v>
      </c>
      <c r="AR15" s="197">
        <v>5</v>
      </c>
      <c r="AS15" s="222">
        <v>100</v>
      </c>
      <c r="AT15" s="198">
        <v>0</v>
      </c>
      <c r="AU15" s="587"/>
      <c r="AV15" s="246" t="str">
        <f t="shared" si="2"/>
        <v>Do not translate (DNT)</v>
      </c>
      <c r="AW15" s="242">
        <f>SUMPRODUCT(('Evaluation details_input'!$F$4:$F$1000=$AV$9)*('Evaluation details_input'!$G$4:$G$1000=$AV15)*('Evaluation details_input'!$H$4:$H$1000=$AW$3))</f>
        <v>0</v>
      </c>
      <c r="AX15" s="203">
        <f xml:space="preserve">
IF($AW$2=$AA$3,$AW15*$AB$18,
IF($AW$2=$AF$3,$AW15*$AG$18,
$AW15*$W$18))</f>
        <v>0</v>
      </c>
      <c r="AY15" s="238">
        <f xml:space="preserve">
COUNTIFS('Evaluation details_input'!$P$3:$P$1000,$AV$9,'Evaluation details_input'!$Q$3:$Q$1000,$AV15,'Evaluation details_input'!$R$3:$R$1000,$AY$3)
+COUNTIFS('Evaluation details_input'!$F$3:$F$1000,$AV$9,'Evaluation details_input'!$G$3:$G$1000,$AV15,'Evaluation details_input'!$H$3:$H$1000,$AY$3,'Evaluation details_input'!$J$3:$J$1000,"Not accepted",'Evaluation details_input'!$N$3:$N$1000,"Disagree with original translator", 'Evaluation details_input'!$P$3:$P$1000,"")
+COUNTIFS('Evaluation details_input'!$F$3:$F$1000,$AV$9,'Evaluation details_input'!$G$3:$G$1000,$AV15,'Evaluation details_input'!$H$3:$H$1000,$AY$3,'Evaluation details_input'!$J$3:$J$1000,"Accepted", 'Evaluation details_input'!$P$3:$P$1000,"")
+COUNTIFS('Evaluation details_input'!$F$3:$F$1000,$AV$9,'Evaluation details_input'!$G$3:$G$1000,$AV15,'Evaluation details_input'!$H$3:$H$1000,$AY$3,'Evaluation details_input'!$J$3:$J$1000,"")</f>
        <v>0</v>
      </c>
      <c r="AZ15" s="203">
        <f t="shared" si="3"/>
        <v>0</v>
      </c>
      <c r="BA15" s="238">
        <f>SUMPRODUCT(('Evaluation details_input'!$F$4:$F$1000=$AV$9)*('Evaluation details_input'!$G$4:$G$1000=$AV15)*('Evaluation details_input'!$H$4:$H$1000=$BA$3))</f>
        <v>0</v>
      </c>
      <c r="BB15" s="203">
        <f t="shared" si="5"/>
        <v>0</v>
      </c>
      <c r="BC15" s="238">
        <f xml:space="preserve">
COUNTIFS('Evaluation details_input'!$P$3:$P$1000,$AV$9,'Evaluation details_input'!$Q$3:$Q$1000,$AV15,'Evaluation details_input'!$R$3:$R$1000,$BC$3)
+COUNTIFS('Evaluation details_input'!$F$3:$F$1000,$AV$9,'Evaluation details_input'!$G$3:$G$1000,$AV15,'Evaluation details_input'!$H$3:$H$1000,$BC$3,'Evaluation details_input'!$J$3:$J$1000,"Not accepted",'Evaluation details_input'!$N$3:$N$1000,"Disagree with original translator", 'Evaluation details_input'!$P$3:$P$1000,"")
+COUNTIFS('Evaluation details_input'!$F$3:$F$1000,$AV$9,'Evaluation details_input'!$G$3:$G$1000,$AV15,'Evaluation details_input'!$H$3:$H$1000,$BC$3,'Evaluation details_input'!$J$3:$J$1000,"Accepted", 'Evaluation details_input'!$P$3:$P$1000,"")
+COUNTIFS('Evaluation details_input'!$F$3:$F$1000,$AV$9,'Evaluation details_input'!$G$3:$G$1000,$AV15,'Evaluation details_input'!$H$3:$H$1000,$BC$3,'Evaluation details_input'!$J$3:$J$1000,"")</f>
        <v>0</v>
      </c>
      <c r="BD15" s="203">
        <f t="shared" si="4"/>
        <v>0</v>
      </c>
      <c r="BE15" s="587"/>
    </row>
    <row r="16" spans="2:57">
      <c r="B16" s="185" t="s">
        <v>2650</v>
      </c>
      <c r="C16" s="192" t="s">
        <v>101</v>
      </c>
      <c r="S16" s="271" t="s">
        <v>2682</v>
      </c>
      <c r="T16" s="272" t="s">
        <v>3039</v>
      </c>
      <c r="U16" s="587"/>
      <c r="V16" s="229" t="str">
        <f>$K$6</f>
        <v>Addition</v>
      </c>
      <c r="W16" s="197">
        <v>2</v>
      </c>
      <c r="X16" s="197">
        <v>5</v>
      </c>
      <c r="Y16" s="222">
        <v>100</v>
      </c>
      <c r="Z16" s="198">
        <v>0</v>
      </c>
      <c r="AA16" s="229" t="str">
        <f>$K$6</f>
        <v>Addition</v>
      </c>
      <c r="AB16" s="197">
        <v>3</v>
      </c>
      <c r="AC16" s="197">
        <v>5</v>
      </c>
      <c r="AD16" s="222">
        <v>100</v>
      </c>
      <c r="AE16" s="198">
        <v>0</v>
      </c>
      <c r="AF16" s="229" t="str">
        <f>$K$6</f>
        <v>Addition</v>
      </c>
      <c r="AG16" s="197">
        <v>2</v>
      </c>
      <c r="AH16" s="197">
        <v>5</v>
      </c>
      <c r="AI16" s="222">
        <v>100</v>
      </c>
      <c r="AJ16" s="198">
        <v>0</v>
      </c>
      <c r="AK16" s="229" t="str">
        <f>$K$6</f>
        <v>Addition</v>
      </c>
      <c r="AL16" s="197">
        <v>2</v>
      </c>
      <c r="AM16" s="197">
        <v>5</v>
      </c>
      <c r="AN16" s="222">
        <v>100</v>
      </c>
      <c r="AO16" s="198">
        <v>0</v>
      </c>
      <c r="AP16" s="229" t="str">
        <f>$K$6</f>
        <v>Addition</v>
      </c>
      <c r="AQ16" s="197">
        <v>2</v>
      </c>
      <c r="AR16" s="197">
        <v>5</v>
      </c>
      <c r="AS16" s="222">
        <v>100</v>
      </c>
      <c r="AT16" s="198">
        <v>0</v>
      </c>
      <c r="AU16" s="587"/>
      <c r="AV16" s="246" t="str">
        <f t="shared" si="2"/>
        <v>Untranslated</v>
      </c>
      <c r="AW16" s="242">
        <f>SUMPRODUCT(('Evaluation details_input'!$F$4:$F$1000=$AV$9)*('Evaluation details_input'!$G$4:$G$1000=$AV16)*('Evaluation details_input'!$H$4:$H$1000=$AW$3))</f>
        <v>0</v>
      </c>
      <c r="AX16" s="203">
        <f xml:space="preserve">
IF($AW$2=$AA$3,$AW16*$AB$19,
IF($AW$2=$AF$3,$AW16*$AG$19,
$AW16*$W$19))</f>
        <v>0</v>
      </c>
      <c r="AY16" s="238">
        <f xml:space="preserve">
COUNTIFS('Evaluation details_input'!$P$3:$P$1000,$AV$9,'Evaluation details_input'!$Q$3:$Q$1000,$AV16,'Evaluation details_input'!$R$3:$R$1000,$AY$3)
+COUNTIFS('Evaluation details_input'!$F$3:$F$1000,$AV$9,'Evaluation details_input'!$G$3:$G$1000,$AV16,'Evaluation details_input'!$H$3:$H$1000,$AY$3,'Evaluation details_input'!$J$3:$J$1000,"Not accepted",'Evaluation details_input'!$N$3:$N$1000,"Disagree with original translator", 'Evaluation details_input'!$P$3:$P$1000,"")
+COUNTIFS('Evaluation details_input'!$F$3:$F$1000,$AV$9,'Evaluation details_input'!$G$3:$G$1000,$AV16,'Evaluation details_input'!$H$3:$H$1000,$AY$3,'Evaluation details_input'!$J$3:$J$1000,"Accepted", 'Evaluation details_input'!$P$3:$P$1000,"")
+COUNTIFS('Evaluation details_input'!$F$3:$F$1000,$AV$9,'Evaluation details_input'!$G$3:$G$1000,$AV16,'Evaluation details_input'!$H$3:$H$1000,$AY$3,'Evaluation details_input'!$J$3:$J$1000,"")</f>
        <v>0</v>
      </c>
      <c r="AZ16" s="203">
        <f t="shared" si="3"/>
        <v>0</v>
      </c>
      <c r="BA16" s="238">
        <f>SUMPRODUCT(('Evaluation details_input'!$F$4:$F$1000=$AV$9)*('Evaluation details_input'!$G$4:$G$1000=$AV16)*('Evaluation details_input'!$H$4:$H$1000=$BA$3))</f>
        <v>0</v>
      </c>
      <c r="BB16" s="203">
        <f t="shared" si="5"/>
        <v>0</v>
      </c>
      <c r="BC16" s="238">
        <f xml:space="preserve">
COUNTIFS('Evaluation details_input'!$P$3:$P$1000,$AV$9,'Evaluation details_input'!$Q$3:$Q$1000,$AV16,'Evaluation details_input'!$R$3:$R$1000,$BC$3)
+COUNTIFS('Evaluation details_input'!$F$3:$F$1000,$AV$9,'Evaluation details_input'!$G$3:$G$1000,$AV16,'Evaluation details_input'!$H$3:$H$1000,$BC$3,'Evaluation details_input'!$J$3:$J$1000,"Not accepted",'Evaluation details_input'!$N$3:$N$1000,"Disagree with original translator", 'Evaluation details_input'!$P$3:$P$1000,"")
+COUNTIFS('Evaluation details_input'!$F$3:$F$1000,$AV$9,'Evaluation details_input'!$G$3:$G$1000,$AV16,'Evaluation details_input'!$H$3:$H$1000,$BC$3,'Evaluation details_input'!$J$3:$J$1000,"Accepted", 'Evaluation details_input'!$P$3:$P$1000,"")
+COUNTIFS('Evaluation details_input'!$F$3:$F$1000,$AV$9,'Evaluation details_input'!$G$3:$G$1000,$AV16,'Evaluation details_input'!$H$3:$H$1000,$BC$3,'Evaluation details_input'!$J$3:$J$1000,"")</f>
        <v>0</v>
      </c>
      <c r="BD16" s="203">
        <f t="shared" si="4"/>
        <v>0</v>
      </c>
      <c r="BE16" s="587"/>
    </row>
    <row r="17" spans="2:57" ht="13.5" thickBot="1">
      <c r="B17" s="185" t="s">
        <v>2651</v>
      </c>
      <c r="C17" s="192" t="s">
        <v>1151</v>
      </c>
      <c r="E17" s="33"/>
      <c r="S17" s="271" t="s">
        <v>1217</v>
      </c>
      <c r="T17" s="272" t="s">
        <v>186</v>
      </c>
      <c r="U17" s="587"/>
      <c r="V17" s="229" t="str">
        <f>$K$7</f>
        <v>Omission</v>
      </c>
      <c r="W17" s="197">
        <v>2</v>
      </c>
      <c r="X17" s="197">
        <v>5</v>
      </c>
      <c r="Y17" s="222">
        <v>100</v>
      </c>
      <c r="Z17" s="198">
        <v>0</v>
      </c>
      <c r="AA17" s="229" t="str">
        <f>$K$7</f>
        <v>Omission</v>
      </c>
      <c r="AB17" s="197">
        <v>3</v>
      </c>
      <c r="AC17" s="197">
        <v>5</v>
      </c>
      <c r="AD17" s="222">
        <v>100</v>
      </c>
      <c r="AE17" s="198">
        <v>0</v>
      </c>
      <c r="AF17" s="229" t="str">
        <f>$K$7</f>
        <v>Omission</v>
      </c>
      <c r="AG17" s="197">
        <v>2</v>
      </c>
      <c r="AH17" s="197">
        <v>5</v>
      </c>
      <c r="AI17" s="222">
        <v>100</v>
      </c>
      <c r="AJ17" s="198">
        <v>0</v>
      </c>
      <c r="AK17" s="229" t="str">
        <f>$K$7</f>
        <v>Omission</v>
      </c>
      <c r="AL17" s="197">
        <v>2</v>
      </c>
      <c r="AM17" s="197">
        <v>5</v>
      </c>
      <c r="AN17" s="222">
        <v>100</v>
      </c>
      <c r="AO17" s="198">
        <v>0</v>
      </c>
      <c r="AP17" s="229" t="str">
        <f>$K$7</f>
        <v>Omission</v>
      </c>
      <c r="AQ17" s="197">
        <v>2</v>
      </c>
      <c r="AR17" s="197">
        <v>5</v>
      </c>
      <c r="AS17" s="222">
        <v>100</v>
      </c>
      <c r="AT17" s="198">
        <v>0</v>
      </c>
      <c r="AU17" s="587"/>
      <c r="AV17" s="248" t="str">
        <f t="shared" si="2"/>
        <v>Other</v>
      </c>
      <c r="AW17" s="242">
        <f>SUMPRODUCT(('Evaluation details_input'!$F$4:$F$1000=$AV$9)*('Evaluation details_input'!$G$4:$G$1000=$AV17)*('Evaluation details_input'!$H$4:$H$1000=$AW$3))</f>
        <v>0</v>
      </c>
      <c r="AX17" s="203">
        <f xml:space="preserve">
IF($AW$2=$AA$3,$AW17*$AB$20,
IF($AW$2=$AF$3,$AW17*$AG$20,
$AW17*$W$20))</f>
        <v>0</v>
      </c>
      <c r="AY17" s="238">
        <f xml:space="preserve">
COUNTIFS('Evaluation details_input'!$P$3:$P$1000,$AV$9,'Evaluation details_input'!$Q$3:$Q$1000,$AV17,'Evaluation details_input'!$R$3:$R$1000,$AY$3)
+COUNTIFS('Evaluation details_input'!$F$3:$F$1000,$AV$9,'Evaluation details_input'!$G$3:$G$1000,$AV17,'Evaluation details_input'!$H$3:$H$1000,$AY$3,'Evaluation details_input'!$J$3:$J$1000,"Not accepted",'Evaluation details_input'!$N$3:$N$1000,"Disagree with original translator", 'Evaluation details_input'!$P$3:$P$1000,"")
+COUNTIFS('Evaluation details_input'!$F$3:$F$1000,$AV$9,'Evaluation details_input'!$G$3:$G$1000,$AV17,'Evaluation details_input'!$H$3:$H$1000,$AY$3,'Evaluation details_input'!$J$3:$J$1000,"Accepted", 'Evaluation details_input'!$P$3:$P$1000,"")
+COUNTIFS('Evaluation details_input'!$F$3:$F$1000,$AV$9,'Evaluation details_input'!$G$3:$G$1000,$AV17,'Evaluation details_input'!$H$3:$H$1000,$AY$3,'Evaluation details_input'!$J$3:$J$1000,"")</f>
        <v>0</v>
      </c>
      <c r="AZ17" s="203">
        <f t="shared" si="3"/>
        <v>0</v>
      </c>
      <c r="BA17" s="238">
        <f>SUMPRODUCT(('Evaluation details_input'!$F$4:$F$1000=$AV$9)*('Evaluation details_input'!$G$4:$G$1000=$AV17)*('Evaluation details_input'!$H$4:$H$1000=$BA$3))</f>
        <v>0</v>
      </c>
      <c r="BB17" s="203">
        <f t="shared" si="5"/>
        <v>0</v>
      </c>
      <c r="BC17" s="238">
        <f xml:space="preserve">
COUNTIFS('Evaluation details_input'!$P$3:$P$1000,$AV$9,'Evaluation details_input'!$Q$3:$Q$1000,$AV17,'Evaluation details_input'!$R$3:$R$1000,$BC$3)
+COUNTIFS('Evaluation details_input'!$F$3:$F$1000,$AV$9,'Evaluation details_input'!$G$3:$G$1000,$AV17,'Evaluation details_input'!$H$3:$H$1000,$BC$3,'Evaluation details_input'!$J$3:$J$1000,"Not accepted",'Evaluation details_input'!$N$3:$N$1000,"Disagree with original translator", 'Evaluation details_input'!$P$3:$P$1000,"")
+COUNTIFS('Evaluation details_input'!$F$3:$F$1000,$AV$9,'Evaluation details_input'!$G$3:$G$1000,$AV17,'Evaluation details_input'!$H$3:$H$1000,$BC$3,'Evaluation details_input'!$J$3:$J$1000,"Accepted", 'Evaluation details_input'!$P$3:$P$1000,"")
+COUNTIFS('Evaluation details_input'!$F$3:$F$1000,$AV$9,'Evaluation details_input'!$G$3:$G$1000,$AV17,'Evaluation details_input'!$H$3:$H$1000,$BC$3,'Evaluation details_input'!$J$3:$J$1000,"")</f>
        <v>0</v>
      </c>
      <c r="BD17" s="203">
        <f t="shared" si="4"/>
        <v>0</v>
      </c>
      <c r="BE17" s="587"/>
    </row>
    <row r="18" spans="2:57" ht="22.5">
      <c r="B18" s="185" t="s">
        <v>2652</v>
      </c>
      <c r="C18" s="192" t="s">
        <v>37</v>
      </c>
      <c r="E18" s="33"/>
      <c r="S18" s="271" t="s">
        <v>1218</v>
      </c>
      <c r="T18" s="272" t="s">
        <v>748</v>
      </c>
      <c r="V18" s="229" t="str">
        <f>$K$8</f>
        <v>Do not translate (DNT)</v>
      </c>
      <c r="W18" s="197">
        <v>2</v>
      </c>
      <c r="X18" s="197">
        <v>5</v>
      </c>
      <c r="Y18" s="222">
        <v>100</v>
      </c>
      <c r="Z18" s="198">
        <v>0</v>
      </c>
      <c r="AA18" s="229" t="str">
        <f>$K$8</f>
        <v>Do not translate (DNT)</v>
      </c>
      <c r="AB18" s="197">
        <v>3</v>
      </c>
      <c r="AC18" s="197">
        <v>5</v>
      </c>
      <c r="AD18" s="222">
        <v>100</v>
      </c>
      <c r="AE18" s="198">
        <v>0</v>
      </c>
      <c r="AF18" s="229" t="str">
        <f>$K$8</f>
        <v>Do not translate (DNT)</v>
      </c>
      <c r="AG18" s="197">
        <v>2</v>
      </c>
      <c r="AH18" s="197">
        <v>5</v>
      </c>
      <c r="AI18" s="222">
        <v>100</v>
      </c>
      <c r="AJ18" s="198">
        <v>0</v>
      </c>
      <c r="AK18" s="229" t="str">
        <f>$K$8</f>
        <v>Do not translate (DNT)</v>
      </c>
      <c r="AL18" s="197">
        <v>2</v>
      </c>
      <c r="AM18" s="197">
        <v>5</v>
      </c>
      <c r="AN18" s="222">
        <v>100</v>
      </c>
      <c r="AO18" s="198">
        <v>0</v>
      </c>
      <c r="AP18" s="229" t="str">
        <f>$K$8</f>
        <v>Do not translate (DNT)</v>
      </c>
      <c r="AQ18" s="197">
        <v>2</v>
      </c>
      <c r="AR18" s="197">
        <v>5</v>
      </c>
      <c r="AS18" s="222">
        <v>100</v>
      </c>
      <c r="AT18" s="198">
        <v>0</v>
      </c>
      <c r="AV18" s="250" t="str">
        <f>L2</f>
        <v>Linguistic conventions</v>
      </c>
      <c r="AW18" s="243"/>
      <c r="AX18" s="209"/>
      <c r="AY18" s="209"/>
      <c r="AZ18" s="209"/>
      <c r="BA18" s="239"/>
      <c r="BB18" s="209"/>
      <c r="BC18" s="209"/>
      <c r="BD18" s="209"/>
    </row>
    <row r="19" spans="2:57" ht="15.75" customHeight="1">
      <c r="B19" s="185" t="s">
        <v>2653</v>
      </c>
      <c r="C19" s="192" t="s">
        <v>102</v>
      </c>
      <c r="E19" s="32"/>
      <c r="S19" s="271" t="s">
        <v>1219</v>
      </c>
      <c r="T19" s="272" t="s">
        <v>1220</v>
      </c>
      <c r="V19" s="229" t="str">
        <f>$K$9</f>
        <v>Untranslated</v>
      </c>
      <c r="W19" s="197">
        <v>2</v>
      </c>
      <c r="X19" s="197">
        <v>5</v>
      </c>
      <c r="Y19" s="222">
        <v>100</v>
      </c>
      <c r="Z19" s="198">
        <v>0</v>
      </c>
      <c r="AA19" s="229" t="str">
        <f>$K$9</f>
        <v>Untranslated</v>
      </c>
      <c r="AB19" s="197">
        <v>3</v>
      </c>
      <c r="AC19" s="197">
        <v>5</v>
      </c>
      <c r="AD19" s="222">
        <v>100</v>
      </c>
      <c r="AE19" s="198">
        <v>0</v>
      </c>
      <c r="AF19" s="229" t="str">
        <f>$K$9</f>
        <v>Untranslated</v>
      </c>
      <c r="AG19" s="197">
        <v>2</v>
      </c>
      <c r="AH19" s="197">
        <v>5</v>
      </c>
      <c r="AI19" s="222">
        <v>100</v>
      </c>
      <c r="AJ19" s="198">
        <v>0</v>
      </c>
      <c r="AK19" s="229" t="str">
        <f>$K$9</f>
        <v>Untranslated</v>
      </c>
      <c r="AL19" s="197">
        <v>2</v>
      </c>
      <c r="AM19" s="197">
        <v>5</v>
      </c>
      <c r="AN19" s="222">
        <v>100</v>
      </c>
      <c r="AO19" s="198">
        <v>0</v>
      </c>
      <c r="AP19" s="229" t="str">
        <f>$K$9</f>
        <v>Untranslated</v>
      </c>
      <c r="AQ19" s="197">
        <v>2</v>
      </c>
      <c r="AR19" s="197">
        <v>5</v>
      </c>
      <c r="AS19" s="222">
        <v>100</v>
      </c>
      <c r="AT19" s="198">
        <v>0</v>
      </c>
      <c r="AV19" s="246" t="str">
        <f t="shared" ref="AV19:AV24" si="6">$L3</f>
        <v>Grammar</v>
      </c>
      <c r="AW19" s="242">
        <f>SUMPRODUCT(('Evaluation details_input'!$F$4:$F$1000=$AV$18)*('Evaluation details_input'!$G$4:$G$1000=$AV19)*('Evaluation details_input'!$H$4:$H$1000=$AW$3))</f>
        <v>0</v>
      </c>
      <c r="AX19" s="203">
        <f t="shared" ref="AX19:AX24" si="7" xml:space="preserve">
IF($AW$2=$AA$3,$AW19*$AB22,
IF($AW$2=$AF$3,$AW19*$AG22,
$AW19*$W22))</f>
        <v>0</v>
      </c>
      <c r="AY19" s="238">
        <f xml:space="preserve">
COUNTIFS('Evaluation details_input'!$P$3:$P$1000,$AV$18,'Evaluation details_input'!$Q$3:$Q$1000,$AV19,'Evaluation details_input'!$R$3:$R$1000,$AY$3)
+COUNTIFS('Evaluation details_input'!$F$3:$F$1000,$AV$18,'Evaluation details_input'!$G$3:$G$1000,$AV19,'Evaluation details_input'!$H$3:$H$1000,$AY$3,'Evaluation details_input'!$J$3:$J$1000,"Not accepted",'Evaluation details_input'!$N$3:$N$1000,"Disagree with original translator", 'Evaluation details_input'!$P$3:$P$1000,"")
+COUNTIFS('Evaluation details_input'!$F$3:$F$1000,$AV$18,'Evaluation details_input'!$G$3:$G$1000,$AV19,'Evaluation details_input'!$H$3:$H$1000,$AY$3,'Evaluation details_input'!$J$3:$J$1000,"Accepted", 'Evaluation details_input'!$P$3:$P$1000,"")
+COUNTIFS('Evaluation details_input'!$F$3:$F$1000,$AV$18,'Evaluation details_input'!$G$3:$G$1000,$AV19,'Evaluation details_input'!$H$3:$H$1000,$AY$3,'Evaluation details_input'!$J$3:$J$1000,"")</f>
        <v>0</v>
      </c>
      <c r="AZ19" s="203">
        <f t="shared" ref="AZ19:AZ24" si="8" xml:space="preserve">
IF($AW$2=$AA$3,$AY19*$AB22,
IF($AW$2=$AF$3,$AY19*$AG22,
$AY19*$W22))</f>
        <v>0</v>
      </c>
      <c r="BA19" s="238">
        <f>SUMPRODUCT(('Evaluation details_input'!$F$4:$F$1000=$AV$18)*('Evaluation details_input'!$G$4:$G$1000=$AV19)*('Evaluation details_input'!$H$4:$H$1000=$BA$3))</f>
        <v>0</v>
      </c>
      <c r="BB19" s="203">
        <f xml:space="preserve">
IF($AW$2=$AA$3,$BA19*$AC22,
IF($AW$2=$AF$3,$BA19*$AH22,
$BA19*$X22))</f>
        <v>0</v>
      </c>
      <c r="BC19" s="238">
        <f xml:space="preserve">
COUNTIFS('Evaluation details_input'!$P$3:$P$1000,$AV$18,'Evaluation details_input'!$Q$3:$Q$1000,$AV19,'Evaluation details_input'!$R$3:$R$1000,$BC$3)
+COUNTIFS('Evaluation details_input'!$F$3:$F$1000,$AV$18,'Evaluation details_input'!$G$3:$G$1000,$AV19,'Evaluation details_input'!$H$3:$H$1000,$BC$3,'Evaluation details_input'!$J$3:$J$1000,"Not accepted",'Evaluation details_input'!$N$3:$N$1000,"Disagree with original translator", 'Evaluation details_input'!$P$3:$P$1000,"")
+COUNTIFS('Evaluation details_input'!$F$3:$F$1000,$AV$18,'Evaluation details_input'!$G$3:$G$1000,$AV19,'Evaluation details_input'!$H$3:$H$1000,$BC$3,'Evaluation details_input'!$J$3:$J$1000,"Accepted", 'Evaluation details_input'!$P$3:$P$1000,"")
+COUNTIFS('Evaluation details_input'!$F$3:$F$1000,$AV$18,'Evaluation details_input'!$G$3:$G$1000,$AV19,'Evaluation details_input'!$H$3:$H$1000,$BC$3,'Evaluation details_input'!$J$3:$J$1000,"")</f>
        <v>0</v>
      </c>
      <c r="BD19" s="203">
        <f xml:space="preserve">
IF($AW$2=$AA$3,$BC19*$AC22,
IF($AW$2=$AF$3,$BC19*$AH22,
$BC19*$X22))</f>
        <v>0</v>
      </c>
    </row>
    <row r="20" spans="2:57">
      <c r="B20" s="185" t="s">
        <v>2654</v>
      </c>
      <c r="C20" s="192" t="s">
        <v>137</v>
      </c>
      <c r="E20" s="32"/>
      <c r="S20" s="271" t="s">
        <v>2683</v>
      </c>
      <c r="T20" s="272" t="s">
        <v>3040</v>
      </c>
      <c r="V20" s="229" t="str">
        <f>$K$10</f>
        <v>Other</v>
      </c>
      <c r="W20" s="197">
        <v>2</v>
      </c>
      <c r="X20" s="197">
        <v>5</v>
      </c>
      <c r="Y20" s="222">
        <v>100</v>
      </c>
      <c r="Z20" s="198">
        <v>0</v>
      </c>
      <c r="AA20" s="229" t="str">
        <f>$K$10</f>
        <v>Other</v>
      </c>
      <c r="AB20" s="197">
        <v>3</v>
      </c>
      <c r="AC20" s="197">
        <v>5</v>
      </c>
      <c r="AD20" s="222">
        <v>100</v>
      </c>
      <c r="AE20" s="198">
        <v>0</v>
      </c>
      <c r="AF20" s="229" t="str">
        <f>$K$10</f>
        <v>Other</v>
      </c>
      <c r="AG20" s="197">
        <v>2</v>
      </c>
      <c r="AH20" s="197">
        <v>5</v>
      </c>
      <c r="AI20" s="222">
        <v>100</v>
      </c>
      <c r="AJ20" s="198">
        <v>0</v>
      </c>
      <c r="AK20" s="229" t="str">
        <f>$K$10</f>
        <v>Other</v>
      </c>
      <c r="AL20" s="197">
        <v>2</v>
      </c>
      <c r="AM20" s="197">
        <v>5</v>
      </c>
      <c r="AN20" s="222">
        <v>100</v>
      </c>
      <c r="AO20" s="198">
        <v>0</v>
      </c>
      <c r="AP20" s="229" t="str">
        <f>$K$10</f>
        <v>Other</v>
      </c>
      <c r="AQ20" s="197">
        <v>2</v>
      </c>
      <c r="AR20" s="197">
        <v>5</v>
      </c>
      <c r="AS20" s="222">
        <v>100</v>
      </c>
      <c r="AT20" s="198">
        <v>0</v>
      </c>
      <c r="AV20" s="246" t="str">
        <f t="shared" si="6"/>
        <v>Punctuation</v>
      </c>
      <c r="AW20" s="242">
        <f>SUMPRODUCT(('Evaluation details_input'!$F$4:$F$1000=$AV$18)*('Evaluation details_input'!$G$4:$G$1000=$AV20)*('Evaluation details_input'!$H$4:$H$1000=$AW$3))</f>
        <v>0</v>
      </c>
      <c r="AX20" s="203">
        <f t="shared" si="7"/>
        <v>0</v>
      </c>
      <c r="AY20" s="238">
        <f xml:space="preserve">
COUNTIFS('Evaluation details_input'!$P$3:$P$1000,$AV$18,'Evaluation details_input'!$Q$3:$Q$1000,$AV20,'Evaluation details_input'!$R$3:$R$1000,$AY$3)
+COUNTIFS('Evaluation details_input'!$F$3:$F$1000,$AV$18,'Evaluation details_input'!$G$3:$G$1000,$AV20,'Evaluation details_input'!$H$3:$H$1000,$AY$3,'Evaluation details_input'!$J$3:$J$1000,"Not accepted",'Evaluation details_input'!$N$3:$N$1000,"Disagree with original translator", 'Evaluation details_input'!$P$3:$P$1000,"")
+COUNTIFS('Evaluation details_input'!$F$3:$F$1000,$AV$18,'Evaluation details_input'!$G$3:$G$1000,$AV20,'Evaluation details_input'!$H$3:$H$1000,$AY$3,'Evaluation details_input'!$J$3:$J$1000,"Accepted", 'Evaluation details_input'!$P$3:$P$1000,"")
+COUNTIFS('Evaluation details_input'!$F$3:$F$1000,$AV$18,'Evaluation details_input'!$G$3:$G$1000,$AV20,'Evaluation details_input'!$H$3:$H$1000,$AY$3,'Evaluation details_input'!$J$3:$J$1000,"")</f>
        <v>0</v>
      </c>
      <c r="AZ20" s="203">
        <f t="shared" si="8"/>
        <v>0</v>
      </c>
      <c r="BA20" s="238">
        <f>SUMPRODUCT(('Evaluation details_input'!$F$4:$F$1000=$AV$18)*('Evaluation details_input'!$G$4:$G$1000=$AV20)*('Evaluation details_input'!$H$4:$H$1000=$BA$3))</f>
        <v>0</v>
      </c>
      <c r="BB20" s="203">
        <f t="shared" ref="BB20:BB24" si="9" xml:space="preserve">
IF($AW$2=$AA$3,$BA20*$AC23,
IF($AW$2=$AF$3,$BA20*$AH23,
$BA20*$X23))</f>
        <v>0</v>
      </c>
      <c r="BC20" s="238">
        <f xml:space="preserve">
COUNTIFS('Evaluation details_input'!$P$3:$P$1000,$AV$18,'Evaluation details_input'!$Q$3:$Q$1000,$AV20,'Evaluation details_input'!$R$3:$R$1000,$BC$3)
+COUNTIFS('Evaluation details_input'!$F$3:$F$1000,$AV$18,'Evaluation details_input'!$G$3:$G$1000,$AV20,'Evaluation details_input'!$H$3:$H$1000,$BC$3,'Evaluation details_input'!$J$3:$J$1000,"Not accepted",'Evaluation details_input'!$N$3:$N$1000,"Disagree with original translator", 'Evaluation details_input'!$P$3:$P$1000,"")
+COUNTIFS('Evaluation details_input'!$F$3:$F$1000,$AV$18,'Evaluation details_input'!$G$3:$G$1000,$AV20,'Evaluation details_input'!$H$3:$H$1000,$BC$3,'Evaluation details_input'!$J$3:$J$1000,"Accepted", 'Evaluation details_input'!$P$3:$P$1000,"")
+COUNTIFS('Evaluation details_input'!$F$3:$F$1000,$AV$18,'Evaluation details_input'!$G$3:$G$1000,$AV20,'Evaluation details_input'!$H$3:$H$1000,$BC$3,'Evaluation details_input'!$J$3:$J$1000,"")</f>
        <v>0</v>
      </c>
      <c r="BD20" s="203">
        <f t="shared" ref="BD20:BD24" si="10" xml:space="preserve">
IF($AW$2=$AA$3,$BC20*$AC23,
IF($AW$2=$AF$3,$BC20*$AH23,
$BC20*$X23))</f>
        <v>0</v>
      </c>
    </row>
    <row r="21" spans="2:57" ht="22.5">
      <c r="B21" s="185" t="s">
        <v>2655</v>
      </c>
      <c r="C21" s="192" t="s">
        <v>38</v>
      </c>
      <c r="E21" s="32"/>
      <c r="S21" s="271" t="s">
        <v>1221</v>
      </c>
      <c r="T21" s="272" t="s">
        <v>791</v>
      </c>
      <c r="V21" s="230" t="str">
        <f>$L$2</f>
        <v>Linguistic conventions</v>
      </c>
      <c r="W21" s="213"/>
      <c r="X21" s="213"/>
      <c r="Y21" s="223"/>
      <c r="Z21" s="214"/>
      <c r="AA21" s="230" t="str">
        <f>$L$2</f>
        <v>Linguistic conventions</v>
      </c>
      <c r="AB21" s="213"/>
      <c r="AC21" s="213"/>
      <c r="AD21" s="223"/>
      <c r="AE21" s="214"/>
      <c r="AF21" s="230" t="str">
        <f>$L$2</f>
        <v>Linguistic conventions</v>
      </c>
      <c r="AG21" s="213"/>
      <c r="AH21" s="213"/>
      <c r="AI21" s="223"/>
      <c r="AJ21" s="214"/>
      <c r="AK21" s="230" t="str">
        <f>$L$2</f>
        <v>Linguistic conventions</v>
      </c>
      <c r="AL21" s="213"/>
      <c r="AM21" s="213"/>
      <c r="AN21" s="223"/>
      <c r="AO21" s="214"/>
      <c r="AP21" s="230" t="str">
        <f>$L$2</f>
        <v>Linguistic conventions</v>
      </c>
      <c r="AQ21" s="213"/>
      <c r="AR21" s="213"/>
      <c r="AS21" s="223"/>
      <c r="AT21" s="214"/>
      <c r="AV21" s="246" t="str">
        <f t="shared" si="6"/>
        <v>Spelling</v>
      </c>
      <c r="AW21" s="242">
        <f>SUMPRODUCT(('Evaluation details_input'!$F$4:$F$1000=$AV$18)*('Evaluation details_input'!$G$4:$G$1000=$AV21)*('Evaluation details_input'!$H$4:$H$1000=$AW$3))</f>
        <v>0</v>
      </c>
      <c r="AX21" s="203">
        <f t="shared" si="7"/>
        <v>0</v>
      </c>
      <c r="AY21" s="238">
        <f xml:space="preserve">
COUNTIFS('Evaluation details_input'!$P$3:$P$1000,$AV$18,'Evaluation details_input'!$Q$3:$Q$1000,$AV21,'Evaluation details_input'!$R$3:$R$1000,$AY$3)
+COUNTIFS('Evaluation details_input'!$F$3:$F$1000,$AV$18,'Evaluation details_input'!$G$3:$G$1000,$AV21,'Evaluation details_input'!$H$3:$H$1000,$AY$3,'Evaluation details_input'!$J$3:$J$1000,"Not accepted",'Evaluation details_input'!$N$3:$N$1000,"Disagree with original translator", 'Evaluation details_input'!$P$3:$P$1000,"")
+COUNTIFS('Evaluation details_input'!$F$3:$F$1000,$AV$18,'Evaluation details_input'!$G$3:$G$1000,$AV21,'Evaluation details_input'!$H$3:$H$1000,$AY$3,'Evaluation details_input'!$J$3:$J$1000,"Accepted", 'Evaluation details_input'!$P$3:$P$1000,"")
+COUNTIFS('Evaluation details_input'!$F$3:$F$1000,$AV$18,'Evaluation details_input'!$G$3:$G$1000,$AV21,'Evaluation details_input'!$H$3:$H$1000,$AY$3,'Evaluation details_input'!$J$3:$J$1000,"")</f>
        <v>0</v>
      </c>
      <c r="AZ21" s="203">
        <f t="shared" si="8"/>
        <v>0</v>
      </c>
      <c r="BA21" s="238">
        <f>SUMPRODUCT(('Evaluation details_input'!$F$4:$F$1000=$AV$18)*('Evaluation details_input'!$G$4:$G$1000=$AV21)*('Evaluation details_input'!$H$4:$H$1000=$BA$3))</f>
        <v>0</v>
      </c>
      <c r="BB21" s="203">
        <f xml:space="preserve">
IF($AW$2=$AA$3,$BA21*$AC24,
IF($AW$2=$AF$3,$BA21*$AH24,
$BA21*$X24))</f>
        <v>0</v>
      </c>
      <c r="BC21" s="238">
        <f xml:space="preserve">
COUNTIFS('Evaluation details_input'!$P$3:$P$1000,$AV$18,'Evaluation details_input'!$Q$3:$Q$1000,$AV21,'Evaluation details_input'!$R$3:$R$1000,$BC$3)
+COUNTIFS('Evaluation details_input'!$F$3:$F$1000,$AV$18,'Evaluation details_input'!$G$3:$G$1000,$AV21,'Evaluation details_input'!$H$3:$H$1000,$BC$3,'Evaluation details_input'!$J$3:$J$1000,"Not accepted",'Evaluation details_input'!$N$3:$N$1000,"Disagree with original translator", 'Evaluation details_input'!$P$3:$P$1000,"")
+COUNTIFS('Evaluation details_input'!$F$3:$F$1000,$AV$18,'Evaluation details_input'!$G$3:$G$1000,$AV21,'Evaluation details_input'!$H$3:$H$1000,$BC$3,'Evaluation details_input'!$J$3:$J$1000,"Accepted", 'Evaluation details_input'!$P$3:$P$1000,"")
+COUNTIFS('Evaluation details_input'!$F$3:$F$1000,$AV$18,'Evaluation details_input'!$G$3:$G$1000,$AV21,'Evaluation details_input'!$H$3:$H$1000,$BC$3,'Evaluation details_input'!$J$3:$J$1000,"")</f>
        <v>0</v>
      </c>
      <c r="BD21" s="203">
        <f t="shared" si="10"/>
        <v>0</v>
      </c>
    </row>
    <row r="22" spans="2:57" ht="15" customHeight="1">
      <c r="B22" s="185" t="s">
        <v>2656</v>
      </c>
      <c r="C22" s="192" t="s">
        <v>138</v>
      </c>
      <c r="E22" s="32"/>
      <c r="S22" s="271" t="s">
        <v>1222</v>
      </c>
      <c r="T22" s="272" t="s">
        <v>187</v>
      </c>
      <c r="V22" s="229" t="str">
        <f>$L$3</f>
        <v>Grammar</v>
      </c>
      <c r="W22" s="197">
        <v>1</v>
      </c>
      <c r="X22" s="197">
        <v>5</v>
      </c>
      <c r="Y22" s="222">
        <v>100</v>
      </c>
      <c r="Z22" s="198">
        <v>0</v>
      </c>
      <c r="AA22" s="229" t="str">
        <f>$L$3</f>
        <v>Grammar</v>
      </c>
      <c r="AB22" s="197">
        <v>1</v>
      </c>
      <c r="AC22" s="197">
        <v>5</v>
      </c>
      <c r="AD22" s="222">
        <v>100</v>
      </c>
      <c r="AE22" s="198">
        <v>0</v>
      </c>
      <c r="AF22" s="229" t="str">
        <f>$L$3</f>
        <v>Grammar</v>
      </c>
      <c r="AG22" s="197">
        <v>1.5</v>
      </c>
      <c r="AH22" s="197">
        <v>5</v>
      </c>
      <c r="AI22" s="222">
        <v>100</v>
      </c>
      <c r="AJ22" s="198">
        <v>0</v>
      </c>
      <c r="AK22" s="229" t="str">
        <f>$L$3</f>
        <v>Grammar</v>
      </c>
      <c r="AL22" s="197">
        <v>1</v>
      </c>
      <c r="AM22" s="197">
        <v>5</v>
      </c>
      <c r="AN22" s="222">
        <v>100</v>
      </c>
      <c r="AO22" s="198">
        <v>0</v>
      </c>
      <c r="AP22" s="229" t="str">
        <f>$L$3</f>
        <v>Grammar</v>
      </c>
      <c r="AQ22" s="197">
        <v>1</v>
      </c>
      <c r="AR22" s="197">
        <v>5</v>
      </c>
      <c r="AS22" s="222">
        <v>100</v>
      </c>
      <c r="AT22" s="198">
        <v>0</v>
      </c>
      <c r="AV22" s="246" t="str">
        <f t="shared" si="6"/>
        <v>Unintelligible</v>
      </c>
      <c r="AW22" s="242">
        <f>SUMPRODUCT(('Evaluation details_input'!$F$4:$F$1000=$AV$18)*('Evaluation details_input'!$G$4:$G$1000=$AV22)*('Evaluation details_input'!$H$4:$H$1000=$AW$3))</f>
        <v>0</v>
      </c>
      <c r="AX22" s="203">
        <f t="shared" si="7"/>
        <v>0</v>
      </c>
      <c r="AY22" s="238">
        <f xml:space="preserve">
COUNTIFS('Evaluation details_input'!$P$3:$P$1000,$AV$18,'Evaluation details_input'!$Q$3:$Q$1000,$AV22,'Evaluation details_input'!$R$3:$R$1000,$AY$3)
+COUNTIFS('Evaluation details_input'!$F$3:$F$1000,$AV$18,'Evaluation details_input'!$G$3:$G$1000,$AV22,'Evaluation details_input'!$H$3:$H$1000,$AY$3,'Evaluation details_input'!$J$3:$J$1000,"Not accepted",'Evaluation details_input'!$N$3:$N$1000,"Disagree with original translator", 'Evaluation details_input'!$P$3:$P$1000,"")
+COUNTIFS('Evaluation details_input'!$F$3:$F$1000,$AV$18,'Evaluation details_input'!$G$3:$G$1000,$AV22,'Evaluation details_input'!$H$3:$H$1000,$AY$3,'Evaluation details_input'!$J$3:$J$1000,"Accepted", 'Evaluation details_input'!$P$3:$P$1000,"")
+COUNTIFS('Evaluation details_input'!$F$3:$F$1000,$AV$18,'Evaluation details_input'!$G$3:$G$1000,$AV22,'Evaluation details_input'!$H$3:$H$1000,$AY$3,'Evaluation details_input'!$J$3:$J$1000,"")</f>
        <v>0</v>
      </c>
      <c r="AZ22" s="203">
        <f t="shared" si="8"/>
        <v>0</v>
      </c>
      <c r="BA22" s="238">
        <f>SUMPRODUCT(('Evaluation details_input'!$F$4:$F$1000=$AV$18)*('Evaluation details_input'!$G$4:$G$1000=$AV22)*('Evaluation details_input'!$H$4:$H$1000=$BA$3))</f>
        <v>0</v>
      </c>
      <c r="BB22" s="203">
        <f xml:space="preserve">
IF($AW$2=$AA$3,$BA22*$AC25,
IF($AW$2=$AF$3,$BA22*$AH25,
$BA22*$X25))</f>
        <v>0</v>
      </c>
      <c r="BC22" s="238">
        <f xml:space="preserve">
COUNTIFS('Evaluation details_input'!$P$3:$P$1000,$AV$18,'Evaluation details_input'!$Q$3:$Q$1000,$AV22,'Evaluation details_input'!$R$3:$R$1000,$BC$3)
+COUNTIFS('Evaluation details_input'!$F$3:$F$1000,$AV$18,'Evaluation details_input'!$G$3:$G$1000,$AV22,'Evaluation details_input'!$H$3:$H$1000,$BC$3,'Evaluation details_input'!$J$3:$J$1000,"Not accepted",'Evaluation details_input'!$N$3:$N$1000,"Disagree with original translator", 'Evaluation details_input'!$P$3:$P$1000,"")
+COUNTIFS('Evaluation details_input'!$F$3:$F$1000,$AV$18,'Evaluation details_input'!$G$3:$G$1000,$AV22,'Evaluation details_input'!$H$3:$H$1000,$BC$3,'Evaluation details_input'!$J$3:$J$1000,"Accepted", 'Evaluation details_input'!$P$3:$P$1000,"")
+COUNTIFS('Evaluation details_input'!$F$3:$F$1000,$AV$18,'Evaluation details_input'!$G$3:$G$1000,$AV22,'Evaluation details_input'!$H$3:$H$1000,$BC$3,'Evaluation details_input'!$J$3:$J$1000,"")</f>
        <v>0</v>
      </c>
      <c r="BD22" s="203">
        <f t="shared" si="10"/>
        <v>0</v>
      </c>
    </row>
    <row r="23" spans="2:57" ht="22.5">
      <c r="B23" s="185" t="s">
        <v>2658</v>
      </c>
      <c r="C23" s="192" t="s">
        <v>1152</v>
      </c>
      <c r="E23" s="32"/>
      <c r="S23" s="271" t="s">
        <v>1223</v>
      </c>
      <c r="T23" s="272" t="s">
        <v>792</v>
      </c>
      <c r="V23" s="229" t="str">
        <f>$L$4</f>
        <v>Punctuation</v>
      </c>
      <c r="W23" s="197">
        <v>1</v>
      </c>
      <c r="X23" s="197">
        <v>5</v>
      </c>
      <c r="Y23" s="222">
        <v>100</v>
      </c>
      <c r="Z23" s="198">
        <v>0</v>
      </c>
      <c r="AA23" s="229" t="str">
        <f>$L$4</f>
        <v>Punctuation</v>
      </c>
      <c r="AB23" s="197">
        <v>1</v>
      </c>
      <c r="AC23" s="197">
        <v>5</v>
      </c>
      <c r="AD23" s="222">
        <v>100</v>
      </c>
      <c r="AE23" s="198">
        <v>0</v>
      </c>
      <c r="AF23" s="229" t="str">
        <f>$L$4</f>
        <v>Punctuation</v>
      </c>
      <c r="AG23" s="197">
        <v>1.5</v>
      </c>
      <c r="AH23" s="197">
        <v>5</v>
      </c>
      <c r="AI23" s="222">
        <v>100</v>
      </c>
      <c r="AJ23" s="198">
        <v>0</v>
      </c>
      <c r="AK23" s="229" t="str">
        <f>$L$4</f>
        <v>Punctuation</v>
      </c>
      <c r="AL23" s="197">
        <v>1</v>
      </c>
      <c r="AM23" s="197">
        <v>5</v>
      </c>
      <c r="AN23" s="222">
        <v>100</v>
      </c>
      <c r="AO23" s="198">
        <v>0</v>
      </c>
      <c r="AP23" s="229" t="str">
        <f>$L$4</f>
        <v>Punctuation</v>
      </c>
      <c r="AQ23" s="197">
        <v>1</v>
      </c>
      <c r="AR23" s="197">
        <v>5</v>
      </c>
      <c r="AS23" s="222">
        <v>100</v>
      </c>
      <c r="AT23" s="198">
        <v>0</v>
      </c>
      <c r="AV23" s="246" t="str">
        <f t="shared" si="6"/>
        <v>Character encoding</v>
      </c>
      <c r="AW23" s="242">
        <f>SUMPRODUCT(('Evaluation details_input'!$F$4:$F$1000=$AV$18)*('Evaluation details_input'!$G$4:$G$1000=$AV23)*('Evaluation details_input'!$H$4:$H$1000=$AW$3))</f>
        <v>0</v>
      </c>
      <c r="AX23" s="203">
        <f t="shared" si="7"/>
        <v>0</v>
      </c>
      <c r="AY23" s="238">
        <f xml:space="preserve">
COUNTIFS('Evaluation details_input'!$P$3:$P$1000,$AV$18,'Evaluation details_input'!$Q$3:$Q$1000,$AV23,'Evaluation details_input'!$R$3:$R$1000,$AY$3)
+COUNTIFS('Evaluation details_input'!$F$3:$F$1000,$AV$18,'Evaluation details_input'!$G$3:$G$1000,$AV23,'Evaluation details_input'!$H$3:$H$1000,$AY$3,'Evaluation details_input'!$J$3:$J$1000,"Not accepted",'Evaluation details_input'!$N$3:$N$1000,"Disagree with original translator", 'Evaluation details_input'!$P$3:$P$1000,"")
+COUNTIFS('Evaluation details_input'!$F$3:$F$1000,$AV$18,'Evaluation details_input'!$G$3:$G$1000,$AV23,'Evaluation details_input'!$H$3:$H$1000,$AY$3,'Evaluation details_input'!$J$3:$J$1000,"Accepted", 'Evaluation details_input'!$P$3:$P$1000,"")
+COUNTIFS('Evaluation details_input'!$F$3:$F$1000,$AV$18,'Evaluation details_input'!$G$3:$G$1000,$AV23,'Evaluation details_input'!$H$3:$H$1000,$AY$3,'Evaluation details_input'!$J$3:$J$1000,"")</f>
        <v>0</v>
      </c>
      <c r="AZ23" s="203">
        <f t="shared" si="8"/>
        <v>0</v>
      </c>
      <c r="BA23" s="238">
        <f>SUMPRODUCT(('Evaluation details_input'!$F$4:$F$1000=$AV$18)*('Evaluation details_input'!$G$4:$G$1000=$AV23)*('Evaluation details_input'!$H$4:$H$1000=$BA$3))</f>
        <v>0</v>
      </c>
      <c r="BB23" s="203">
        <f t="shared" si="9"/>
        <v>0</v>
      </c>
      <c r="BC23" s="238">
        <f xml:space="preserve">
COUNTIFS('Evaluation details_input'!$P$3:$P$1000,$AV$18,'Evaluation details_input'!$Q$3:$Q$1000,$AV23,'Evaluation details_input'!$R$3:$R$1000,$BC$3)
+COUNTIFS('Evaluation details_input'!$F$3:$F$1000,$AV$18,'Evaluation details_input'!$G$3:$G$1000,$AV23,'Evaluation details_input'!$H$3:$H$1000,$BC$3,'Evaluation details_input'!$J$3:$J$1000,"Not accepted",'Evaluation details_input'!$N$3:$N$1000,"Disagree with original translator", 'Evaluation details_input'!$P$3:$P$1000,"")
+COUNTIFS('Evaluation details_input'!$F$3:$F$1000,$AV$18,'Evaluation details_input'!$G$3:$G$1000,$AV23,'Evaluation details_input'!$H$3:$H$1000,$BC$3,'Evaluation details_input'!$J$3:$J$1000,"Accepted", 'Evaluation details_input'!$P$3:$P$1000,"")
+COUNTIFS('Evaluation details_input'!$F$3:$F$1000,$AV$18,'Evaluation details_input'!$G$3:$G$1000,$AV23,'Evaluation details_input'!$H$3:$H$1000,$BC$3,'Evaluation details_input'!$J$3:$J$1000,"")</f>
        <v>0</v>
      </c>
      <c r="BD23" s="203">
        <f t="shared" si="10"/>
        <v>0</v>
      </c>
    </row>
    <row r="24" spans="2:57" ht="13.5" thickBot="1">
      <c r="B24" s="185" t="s">
        <v>2659</v>
      </c>
      <c r="C24" s="192" t="s">
        <v>39</v>
      </c>
      <c r="E24" s="32"/>
      <c r="S24" s="271" t="s">
        <v>2684</v>
      </c>
      <c r="T24" s="272" t="s">
        <v>3041</v>
      </c>
      <c r="V24" s="229" t="str">
        <f>$L$5</f>
        <v>Spelling</v>
      </c>
      <c r="W24" s="197">
        <v>1</v>
      </c>
      <c r="X24" s="197">
        <v>5</v>
      </c>
      <c r="Y24" s="222">
        <v>100</v>
      </c>
      <c r="Z24" s="198">
        <v>0</v>
      </c>
      <c r="AA24" s="229" t="str">
        <f>$L$5</f>
        <v>Spelling</v>
      </c>
      <c r="AB24" s="197">
        <v>1</v>
      </c>
      <c r="AC24" s="197">
        <v>5</v>
      </c>
      <c r="AD24" s="222">
        <v>100</v>
      </c>
      <c r="AE24" s="198">
        <v>0</v>
      </c>
      <c r="AF24" s="229" t="str">
        <f>$L$5</f>
        <v>Spelling</v>
      </c>
      <c r="AG24" s="197">
        <v>1.5</v>
      </c>
      <c r="AH24" s="197">
        <v>5</v>
      </c>
      <c r="AI24" s="222">
        <v>100</v>
      </c>
      <c r="AJ24" s="198">
        <v>0</v>
      </c>
      <c r="AK24" s="229" t="str">
        <f>$L$5</f>
        <v>Spelling</v>
      </c>
      <c r="AL24" s="197">
        <v>1</v>
      </c>
      <c r="AM24" s="197">
        <v>5</v>
      </c>
      <c r="AN24" s="222">
        <v>100</v>
      </c>
      <c r="AO24" s="198">
        <v>0</v>
      </c>
      <c r="AP24" s="229" t="str">
        <f>$L$5</f>
        <v>Spelling</v>
      </c>
      <c r="AQ24" s="197">
        <v>1</v>
      </c>
      <c r="AR24" s="197">
        <v>5</v>
      </c>
      <c r="AS24" s="222">
        <v>100</v>
      </c>
      <c r="AT24" s="198">
        <v>0</v>
      </c>
      <c r="AV24" s="248" t="str">
        <f t="shared" si="6"/>
        <v>Other</v>
      </c>
      <c r="AW24" s="242">
        <f>SUMPRODUCT(('Evaluation details_input'!$F$4:$F$1000=$AV$18)*('Evaluation details_input'!$G$4:$G$1000=$AV24)*('Evaluation details_input'!$H$4:$H$1000=$AW$3))</f>
        <v>0</v>
      </c>
      <c r="AX24" s="203">
        <f t="shared" si="7"/>
        <v>0</v>
      </c>
      <c r="AY24" s="238">
        <f xml:space="preserve">
COUNTIFS('Evaluation details_input'!$P$3:$P$1000,$AV$18,'Evaluation details_input'!$Q$3:$Q$1000,$AV24,'Evaluation details_input'!$R$3:$R$1000,$AY$3)
+COUNTIFS('Evaluation details_input'!$F$3:$F$1000,$AV$18,'Evaluation details_input'!$G$3:$G$1000,$AV24,'Evaluation details_input'!$H$3:$H$1000,$AY$3,'Evaluation details_input'!$J$3:$J$1000,"Not accepted",'Evaluation details_input'!$N$3:$N$1000,"Disagree with original translator", 'Evaluation details_input'!$P$3:$P$1000,"")
+COUNTIFS('Evaluation details_input'!$F$3:$F$1000,$AV$18,'Evaluation details_input'!$G$3:$G$1000,$AV24,'Evaluation details_input'!$H$3:$H$1000,$AY$3,'Evaluation details_input'!$J$3:$J$1000,"Accepted", 'Evaluation details_input'!$P$3:$P$1000,"")
+COUNTIFS('Evaluation details_input'!$F$3:$F$1000,$AV$18,'Evaluation details_input'!$G$3:$G$1000,$AV24,'Evaluation details_input'!$H$3:$H$1000,$AY$3,'Evaluation details_input'!$J$3:$J$1000,"")</f>
        <v>0</v>
      </c>
      <c r="AZ24" s="203">
        <f t="shared" si="8"/>
        <v>0</v>
      </c>
      <c r="BA24" s="238">
        <f>SUMPRODUCT(('Evaluation details_input'!$F$4:$F$1000=$AV$18)*('Evaluation details_input'!$G$4:$G$1000=$AV24)*('Evaluation details_input'!$H$4:$H$1000=$BA$3))</f>
        <v>0</v>
      </c>
      <c r="BB24" s="203">
        <f t="shared" si="9"/>
        <v>0</v>
      </c>
      <c r="BC24" s="238">
        <f xml:space="preserve">
COUNTIFS('Evaluation details_input'!$P$3:$P$1000,$AV$18,'Evaluation details_input'!$Q$3:$Q$1000,$AV24,'Evaluation details_input'!$R$3:$R$1000,$BC$3)
+COUNTIFS('Evaluation details_input'!$F$3:$F$1000,$AV$18,'Evaluation details_input'!$G$3:$G$1000,$AV24,'Evaluation details_input'!$H$3:$H$1000,$BC$3,'Evaluation details_input'!$J$3:$J$1000,"Not accepted",'Evaluation details_input'!$N$3:$N$1000,"Disagree with original translator", 'Evaluation details_input'!$P$3:$P$1000,"")
+COUNTIFS('Evaluation details_input'!$F$3:$F$1000,$AV$18,'Evaluation details_input'!$G$3:$G$1000,$AV24,'Evaluation details_input'!$H$3:$H$1000,$BC$3,'Evaluation details_input'!$J$3:$J$1000,"Accepted", 'Evaluation details_input'!$P$3:$P$1000,"")
+COUNTIFS('Evaluation details_input'!$F$3:$F$1000,$AV$18,'Evaluation details_input'!$G$3:$G$1000,$AV24,'Evaluation details_input'!$H$3:$H$1000,$BC$3,'Evaluation details_input'!$J$3:$J$1000,"")</f>
        <v>0</v>
      </c>
      <c r="BD24" s="203">
        <f t="shared" si="10"/>
        <v>0</v>
      </c>
    </row>
    <row r="25" spans="2:57">
      <c r="B25" s="185" t="s">
        <v>2660</v>
      </c>
      <c r="C25" s="192" t="s">
        <v>1153</v>
      </c>
      <c r="E25" s="32"/>
      <c r="S25" s="271" t="s">
        <v>1224</v>
      </c>
      <c r="T25" s="272" t="s">
        <v>188</v>
      </c>
      <c r="V25" s="229" t="str">
        <f>$L$6</f>
        <v>Unintelligible</v>
      </c>
      <c r="W25" s="197">
        <v>1</v>
      </c>
      <c r="X25" s="197">
        <v>5</v>
      </c>
      <c r="Y25" s="222">
        <v>100</v>
      </c>
      <c r="Z25" s="198">
        <v>0</v>
      </c>
      <c r="AA25" s="229" t="str">
        <f>$L$6</f>
        <v>Unintelligible</v>
      </c>
      <c r="AB25" s="197">
        <v>1</v>
      </c>
      <c r="AC25" s="197">
        <v>5</v>
      </c>
      <c r="AD25" s="222">
        <v>100</v>
      </c>
      <c r="AE25" s="198">
        <v>0</v>
      </c>
      <c r="AF25" s="229" t="str">
        <f>$L$6</f>
        <v>Unintelligible</v>
      </c>
      <c r="AG25" s="197">
        <v>1.5</v>
      </c>
      <c r="AH25" s="197">
        <v>5</v>
      </c>
      <c r="AI25" s="222">
        <v>100</v>
      </c>
      <c r="AJ25" s="198">
        <v>0</v>
      </c>
      <c r="AK25" s="229" t="str">
        <f>$L$6</f>
        <v>Unintelligible</v>
      </c>
      <c r="AL25" s="197">
        <v>1</v>
      </c>
      <c r="AM25" s="197">
        <v>5</v>
      </c>
      <c r="AN25" s="222">
        <v>100</v>
      </c>
      <c r="AO25" s="198">
        <v>0</v>
      </c>
      <c r="AP25" s="229" t="str">
        <f>$L$6</f>
        <v>Unintelligible</v>
      </c>
      <c r="AQ25" s="197">
        <v>1</v>
      </c>
      <c r="AR25" s="197">
        <v>5</v>
      </c>
      <c r="AS25" s="222">
        <v>100</v>
      </c>
      <c r="AT25" s="198">
        <v>0</v>
      </c>
      <c r="AV25" s="250" t="str">
        <f>M2</f>
        <v>Style</v>
      </c>
      <c r="AW25" s="243"/>
      <c r="AX25" s="209"/>
      <c r="AY25" s="209"/>
      <c r="AZ25" s="209"/>
      <c r="BA25" s="239"/>
      <c r="BB25" s="209"/>
      <c r="BC25" s="209"/>
      <c r="BD25" s="209"/>
    </row>
    <row r="26" spans="2:57" ht="22.5">
      <c r="B26" s="185" t="s">
        <v>2661</v>
      </c>
      <c r="C26" s="192" t="s">
        <v>40</v>
      </c>
      <c r="E26" s="32"/>
      <c r="S26" s="271" t="s">
        <v>1225</v>
      </c>
      <c r="T26" s="272" t="s">
        <v>589</v>
      </c>
      <c r="V26" s="229" t="str">
        <f>$L$7</f>
        <v>Character encoding</v>
      </c>
      <c r="W26" s="197">
        <v>1</v>
      </c>
      <c r="X26" s="197">
        <v>5</v>
      </c>
      <c r="Y26" s="222">
        <v>100</v>
      </c>
      <c r="Z26" s="198">
        <v>0</v>
      </c>
      <c r="AA26" s="229" t="str">
        <f>$L$7</f>
        <v>Character encoding</v>
      </c>
      <c r="AB26" s="197">
        <v>1</v>
      </c>
      <c r="AC26" s="197">
        <v>5</v>
      </c>
      <c r="AD26" s="222">
        <v>100</v>
      </c>
      <c r="AE26" s="198">
        <v>0</v>
      </c>
      <c r="AF26" s="229" t="str">
        <f>$L$7</f>
        <v>Character encoding</v>
      </c>
      <c r="AG26" s="197">
        <v>1.5</v>
      </c>
      <c r="AH26" s="197">
        <v>5</v>
      </c>
      <c r="AI26" s="222">
        <v>100</v>
      </c>
      <c r="AJ26" s="198">
        <v>0</v>
      </c>
      <c r="AK26" s="229" t="str">
        <f>$L$7</f>
        <v>Character encoding</v>
      </c>
      <c r="AL26" s="197">
        <v>1</v>
      </c>
      <c r="AM26" s="197">
        <v>5</v>
      </c>
      <c r="AN26" s="222">
        <v>100</v>
      </c>
      <c r="AO26" s="198">
        <v>0</v>
      </c>
      <c r="AP26" s="229" t="str">
        <f>$L$7</f>
        <v>Character encoding</v>
      </c>
      <c r="AQ26" s="197">
        <v>1</v>
      </c>
      <c r="AR26" s="197">
        <v>5</v>
      </c>
      <c r="AS26" s="222">
        <v>100</v>
      </c>
      <c r="AT26" s="198">
        <v>0</v>
      </c>
      <c r="AV26" s="246" t="str">
        <f t="shared" ref="AV26:AV33" si="11">$M3</f>
        <v>Organizational style</v>
      </c>
      <c r="AW26" s="242">
        <f>SUMPRODUCT(('Evaluation details_input'!$F$4:$F$1000=$AV$25)*('Evaluation details_input'!$G$4:$G$1000=$AV26)*('Evaluation details_input'!$H$4:$H$1000=$AW$3))</f>
        <v>0</v>
      </c>
      <c r="AX26" s="203">
        <f t="shared" ref="AX26:AX33" si="12" xml:space="preserve">
IF($AW$2=$AA$3,$AW26*$AB29,
IF($AW$2=$AF$3,$AW26*$AG29,
$AW26*$W29))</f>
        <v>0</v>
      </c>
      <c r="AY26" s="238">
        <f xml:space="preserve">
COUNTIFS('Evaluation details_input'!$P$3:$P$1000,$AV$25,'Evaluation details_input'!$Q$3:$Q$1000,$AV26,'Evaluation details_input'!$R$3:$R$1000,$AY$3)
+COUNTIFS('Evaluation details_input'!$F$3:$F$1000,$AV$25,'Evaluation details_input'!$G$3:$G$1000,$AV26,'Evaluation details_input'!$H$3:$H$1000,$AY$3,'Evaluation details_input'!$J$3:$J$1000,"Not accepted",'Evaluation details_input'!$N$3:$N$1000,"Disagree with original translator", 'Evaluation details_input'!$P$3:$P$1000,"")
+COUNTIFS('Evaluation details_input'!$F$3:$F$1000,$AV$25,'Evaluation details_input'!$G$3:$G$1000,$AV26,'Evaluation details_input'!$H$3:$H$1000,$AY$3,'Evaluation details_input'!$J$3:$J$1000,"Accepted", 'Evaluation details_input'!$P$3:$P$1000,"")
+COUNTIFS('Evaluation details_input'!$F$3:$F$1000,$AV$25,'Evaluation details_input'!$G$3:$G$1000,$AV26,'Evaluation details_input'!$H$3:$H$1000,$AY$3,'Evaluation details_input'!$J$3:$J$1000,"")</f>
        <v>0</v>
      </c>
      <c r="AZ26" s="203">
        <f t="shared" ref="AZ26:AZ33" si="13" xml:space="preserve">
IF($AW$2=$AA$3,$AY26*$AB29,
IF($AW$2=$AF$3,$AY26*$AG29,
$AY26*$W29))</f>
        <v>0</v>
      </c>
      <c r="BA26" s="238">
        <f>SUMPRODUCT(('Evaluation details_input'!$F$4:$F$1000=$AV$25)*('Evaluation details_input'!$G$4:$G$1000=$AV26)*('Evaluation details_input'!$H$4:$H$1000=$BA$3))</f>
        <v>0</v>
      </c>
      <c r="BB26" s="203">
        <f xml:space="preserve">
IF($AW$2=$AA$3,$BA26*$AC29,
IF($AW$2=$AF$3,$BA26*$AH29,
$BA26*$X29))</f>
        <v>0</v>
      </c>
      <c r="BC26" s="238">
        <f xml:space="preserve">
COUNTIFS('Evaluation details_input'!$P$3:$P$1000,$AV$25,'Evaluation details_input'!$Q$3:$Q$1000,$AV26,'Evaluation details_input'!$R$3:$R$1000,$BC$3)
+COUNTIFS('Evaluation details_input'!$F$3:$F$1000,$AV$25,'Evaluation details_input'!$G$3:$G$1000,$AV26,'Evaluation details_input'!$H$3:$H$1000,$BC$3,'Evaluation details_input'!$J$3:$J$1000,"Not accepted",'Evaluation details_input'!$N$3:$N$1000,"Disagree with original translator", 'Evaluation details_input'!$P$3:$P$1000,"")
+COUNTIFS('Evaluation details_input'!$F$3:$F$1000,$AV$25,'Evaluation details_input'!$G$3:$G$1000,$AV26,'Evaluation details_input'!$H$3:$H$1000,$BC$3,'Evaluation details_input'!$J$3:$J$1000,"Accepted", 'Evaluation details_input'!$P$3:$P$1000,"")
+COUNTIFS('Evaluation details_input'!$F$3:$F$1000,$AV$25,'Evaluation details_input'!$G$3:$G$1000,$AV26,'Evaluation details_input'!$H$3:$H$1000,$BC$3,'Evaluation details_input'!$J$3:$J$1000,"")</f>
        <v>0</v>
      </c>
      <c r="BD26" s="203">
        <f xml:space="preserve">
IF($AW$2=$AA$3,$BC26*$AC29,
IF($AW$2=$AF$3,$BC26*$AH29,
$BC26*$X29))</f>
        <v>0</v>
      </c>
    </row>
    <row r="27" spans="2:57" ht="22.5">
      <c r="B27" s="185" t="s">
        <v>2662</v>
      </c>
      <c r="C27" s="192" t="s">
        <v>41</v>
      </c>
      <c r="E27" s="32"/>
      <c r="S27" s="271" t="s">
        <v>1226</v>
      </c>
      <c r="T27" s="272" t="s">
        <v>793</v>
      </c>
      <c r="V27" s="229" t="str">
        <f>$L$8</f>
        <v>Other</v>
      </c>
      <c r="W27" s="197">
        <v>1</v>
      </c>
      <c r="X27" s="197">
        <v>5</v>
      </c>
      <c r="Y27" s="222">
        <v>100</v>
      </c>
      <c r="Z27" s="198">
        <v>0</v>
      </c>
      <c r="AA27" s="229" t="str">
        <f>$L$8</f>
        <v>Other</v>
      </c>
      <c r="AB27" s="197">
        <v>1</v>
      </c>
      <c r="AC27" s="197">
        <v>5</v>
      </c>
      <c r="AD27" s="222">
        <v>100</v>
      </c>
      <c r="AE27" s="198">
        <v>0</v>
      </c>
      <c r="AF27" s="229" t="str">
        <f>$L$8</f>
        <v>Other</v>
      </c>
      <c r="AG27" s="197">
        <v>1.5</v>
      </c>
      <c r="AH27" s="197">
        <v>5</v>
      </c>
      <c r="AI27" s="222">
        <v>100</v>
      </c>
      <c r="AJ27" s="198">
        <v>0</v>
      </c>
      <c r="AK27" s="229" t="str">
        <f>$L$8</f>
        <v>Other</v>
      </c>
      <c r="AL27" s="197">
        <v>1</v>
      </c>
      <c r="AM27" s="197">
        <v>5</v>
      </c>
      <c r="AN27" s="222">
        <v>100</v>
      </c>
      <c r="AO27" s="198">
        <v>0</v>
      </c>
      <c r="AP27" s="229" t="str">
        <f>$L$8</f>
        <v>Other</v>
      </c>
      <c r="AQ27" s="197">
        <v>1</v>
      </c>
      <c r="AR27" s="197">
        <v>5</v>
      </c>
      <c r="AS27" s="222">
        <v>100</v>
      </c>
      <c r="AT27" s="198">
        <v>0</v>
      </c>
      <c r="AV27" s="246" t="str">
        <f t="shared" si="11"/>
        <v>Third-party style</v>
      </c>
      <c r="AW27" s="242">
        <f>SUMPRODUCT(('Evaluation details_input'!$F$4:$F$1000=$AV$25)*('Evaluation details_input'!$G$4:$G$1000=$AV27)*('Evaluation details_input'!$H$4:$H$1000=$AW$3))</f>
        <v>0</v>
      </c>
      <c r="AX27" s="203">
        <f t="shared" si="12"/>
        <v>0</v>
      </c>
      <c r="AY27" s="238">
        <f xml:space="preserve">
COUNTIFS('Evaluation details_input'!$P$3:$P$1000,$AV$25,'Evaluation details_input'!$Q$3:$Q$1000,$AV27,'Evaluation details_input'!$R$3:$R$1000,$AY$3)
+COUNTIFS('Evaluation details_input'!$F$3:$F$1000,$AV$25,'Evaluation details_input'!$G$3:$G$1000,$AV27,'Evaluation details_input'!$H$3:$H$1000,$AY$3,'Evaluation details_input'!$J$3:$J$1000,"Not accepted",'Evaluation details_input'!$N$3:$N$1000,"Disagree with original translator", 'Evaluation details_input'!$P$3:$P$1000,"")
+COUNTIFS('Evaluation details_input'!$F$3:$F$1000,$AV$25,'Evaluation details_input'!$G$3:$G$1000,$AV27,'Evaluation details_input'!$H$3:$H$1000,$AY$3,'Evaluation details_input'!$J$3:$J$1000,"Accepted", 'Evaluation details_input'!$P$3:$P$1000,"")
+COUNTIFS('Evaluation details_input'!$F$3:$F$1000,$AV$25,'Evaluation details_input'!$G$3:$G$1000,$AV27,'Evaluation details_input'!$H$3:$H$1000,$AY$3,'Evaluation details_input'!$J$3:$J$1000,"")</f>
        <v>0</v>
      </c>
      <c r="AZ27" s="203">
        <f t="shared" si="13"/>
        <v>0</v>
      </c>
      <c r="BA27" s="238">
        <f>SUMPRODUCT(('Evaluation details_input'!$F$4:$F$1000=$AV$25)*('Evaluation details_input'!$G$4:$G$1000=$AV27)*('Evaluation details_input'!$H$4:$H$1000=$BA$3))</f>
        <v>0</v>
      </c>
      <c r="BB27" s="203">
        <f t="shared" ref="BB27:BB33" si="14" xml:space="preserve">
IF($AW$2=$AA$3,$BA27*$AC30,
IF($AW$2=$AF$3,$BA27*$AH30,
$BA27*$X30))</f>
        <v>0</v>
      </c>
      <c r="BC27" s="238">
        <f xml:space="preserve">
COUNTIFS('Evaluation details_input'!$P$3:$P$1000,$AV$25,'Evaluation details_input'!$Q$3:$Q$1000,$AV27,'Evaluation details_input'!$R$3:$R$1000,$BC$3)
+COUNTIFS('Evaluation details_input'!$F$3:$F$1000,$AV$25,'Evaluation details_input'!$G$3:$G$1000,$AV27,'Evaluation details_input'!$H$3:$H$1000,$BC$3,'Evaluation details_input'!$J$3:$J$1000,"Not accepted",'Evaluation details_input'!$N$3:$N$1000,"Disagree with original translator", 'Evaluation details_input'!$P$3:$P$1000,"")
+COUNTIFS('Evaluation details_input'!$F$3:$F$1000,$AV$25,'Evaluation details_input'!$G$3:$G$1000,$AV27,'Evaluation details_input'!$H$3:$H$1000,$BC$3,'Evaluation details_input'!$J$3:$J$1000,"Accepted", 'Evaluation details_input'!$P$3:$P$1000,"")
+COUNTIFS('Evaluation details_input'!$F$3:$F$1000,$AV$25,'Evaluation details_input'!$G$3:$G$1000,$AV27,'Evaluation details_input'!$H$3:$H$1000,$BC$3,'Evaluation details_input'!$J$3:$J$1000,"")</f>
        <v>0</v>
      </c>
      <c r="BD27" s="203">
        <f t="shared" ref="BD27:BD33" si="15" xml:space="preserve">
IF($AW$2=$AA$3,$BC27*$AC30,
IF($AW$2=$AF$3,$BC27*$AH30,
$BC27*$X30))</f>
        <v>0</v>
      </c>
    </row>
    <row r="28" spans="2:57" ht="33.75">
      <c r="B28" s="185" t="s">
        <v>2663</v>
      </c>
      <c r="C28" s="192" t="s">
        <v>42</v>
      </c>
      <c r="E28" s="32"/>
      <c r="S28" s="271" t="s">
        <v>1227</v>
      </c>
      <c r="T28" s="272" t="s">
        <v>794</v>
      </c>
      <c r="V28" s="230" t="str">
        <f>$M$2</f>
        <v>Style</v>
      </c>
      <c r="W28" s="213"/>
      <c r="X28" s="213"/>
      <c r="Y28" s="223"/>
      <c r="Z28" s="214"/>
      <c r="AA28" s="230" t="str">
        <f>$M$2</f>
        <v>Style</v>
      </c>
      <c r="AB28" s="213"/>
      <c r="AC28" s="213"/>
      <c r="AD28" s="223"/>
      <c r="AE28" s="214"/>
      <c r="AF28" s="230" t="str">
        <f>$M$2</f>
        <v>Style</v>
      </c>
      <c r="AG28" s="213"/>
      <c r="AH28" s="213"/>
      <c r="AI28" s="223"/>
      <c r="AJ28" s="214"/>
      <c r="AK28" s="230" t="str">
        <f>$M$2</f>
        <v>Style</v>
      </c>
      <c r="AL28" s="213"/>
      <c r="AM28" s="213"/>
      <c r="AN28" s="223"/>
      <c r="AO28" s="214"/>
      <c r="AP28" s="230" t="str">
        <f>$M$2</f>
        <v>Style</v>
      </c>
      <c r="AQ28" s="213"/>
      <c r="AR28" s="213"/>
      <c r="AS28" s="223"/>
      <c r="AT28" s="214"/>
      <c r="AV28" s="246" t="str">
        <f t="shared" si="11"/>
        <v>Inconsistent with external reference</v>
      </c>
      <c r="AW28" s="242">
        <f>SUMPRODUCT(('Evaluation details_input'!$F$4:$F$1000=$AV$25)*('Evaluation details_input'!$G$4:$G$1000=$AV28)*('Evaluation details_input'!$H$4:$H$1000=$AW$3))</f>
        <v>0</v>
      </c>
      <c r="AX28" s="203">
        <f t="shared" si="12"/>
        <v>0</v>
      </c>
      <c r="AY28" s="238">
        <f xml:space="preserve">
COUNTIFS('Evaluation details_input'!$P$3:$P$1000,$AV$25,'Evaluation details_input'!$Q$3:$Q$1000,$AV28,'Evaluation details_input'!$R$3:$R$1000,$AY$3)
+COUNTIFS('Evaluation details_input'!$F$3:$F$1000,$AV$25,'Evaluation details_input'!$G$3:$G$1000,$AV28,'Evaluation details_input'!$H$3:$H$1000,$AY$3,'Evaluation details_input'!$J$3:$J$1000,"Not accepted",'Evaluation details_input'!$N$3:$N$1000,"Disagree with original translator", 'Evaluation details_input'!$P$3:$P$1000,"")
+COUNTIFS('Evaluation details_input'!$F$3:$F$1000,$AV$25,'Evaluation details_input'!$G$3:$G$1000,$AV28,'Evaluation details_input'!$H$3:$H$1000,$AY$3,'Evaluation details_input'!$J$3:$J$1000,"Accepted", 'Evaluation details_input'!$P$3:$P$1000,"")
+COUNTIFS('Evaluation details_input'!$F$3:$F$1000,$AV$25,'Evaluation details_input'!$G$3:$G$1000,$AV28,'Evaluation details_input'!$H$3:$H$1000,$AY$3,'Evaluation details_input'!$J$3:$J$1000,"")</f>
        <v>0</v>
      </c>
      <c r="AZ28" s="203">
        <f t="shared" si="13"/>
        <v>0</v>
      </c>
      <c r="BA28" s="238">
        <f>SUMPRODUCT(('Evaluation details_input'!$F$4:$F$1000=$AV$25)*('Evaluation details_input'!$G$4:$G$1000=$AV28)*('Evaluation details_input'!$H$4:$H$1000=$BA$3))</f>
        <v>0</v>
      </c>
      <c r="BB28" s="203">
        <f t="shared" si="14"/>
        <v>0</v>
      </c>
      <c r="BC28" s="238">
        <f xml:space="preserve">
COUNTIFS('Evaluation details_input'!$P$3:$P$1000,$AV$25,'Evaluation details_input'!$Q$3:$Q$1000,$AV28,'Evaluation details_input'!$R$3:$R$1000,$BC$3)
+COUNTIFS('Evaluation details_input'!$F$3:$F$1000,$AV$25,'Evaluation details_input'!$G$3:$G$1000,$AV28,'Evaluation details_input'!$H$3:$H$1000,$BC$3,'Evaluation details_input'!$J$3:$J$1000,"Not accepted",'Evaluation details_input'!$N$3:$N$1000,"Disagree with original translator", 'Evaluation details_input'!$P$3:$P$1000,"")
+COUNTIFS('Evaluation details_input'!$F$3:$F$1000,$AV$25,'Evaluation details_input'!$G$3:$G$1000,$AV28,'Evaluation details_input'!$H$3:$H$1000,$BC$3,'Evaluation details_input'!$J$3:$J$1000,"Accepted", 'Evaluation details_input'!$P$3:$P$1000,"")
+COUNTIFS('Evaluation details_input'!$F$3:$F$1000,$AV$25,'Evaluation details_input'!$G$3:$G$1000,$AV28,'Evaluation details_input'!$H$3:$H$1000,$BC$3,'Evaluation details_input'!$J$3:$J$1000,"")</f>
        <v>0</v>
      </c>
      <c r="BD28" s="203">
        <f t="shared" si="15"/>
        <v>0</v>
      </c>
    </row>
    <row r="29" spans="2:57" ht="12.75" customHeight="1">
      <c r="B29" s="185" t="s">
        <v>2664</v>
      </c>
      <c r="C29" s="192" t="s">
        <v>103</v>
      </c>
      <c r="E29" s="32"/>
      <c r="S29" s="271" t="s">
        <v>1228</v>
      </c>
      <c r="T29" s="272" t="s">
        <v>1229</v>
      </c>
      <c r="V29" s="229" t="str">
        <f>$M$3</f>
        <v>Organizational style</v>
      </c>
      <c r="W29" s="197">
        <v>1</v>
      </c>
      <c r="X29" s="197">
        <v>5</v>
      </c>
      <c r="Y29" s="222">
        <v>100</v>
      </c>
      <c r="Z29" s="198">
        <v>0</v>
      </c>
      <c r="AA29" s="229" t="str">
        <f>$M$3</f>
        <v>Organizational style</v>
      </c>
      <c r="AB29" s="197">
        <v>1</v>
      </c>
      <c r="AC29" s="197">
        <v>5</v>
      </c>
      <c r="AD29" s="222">
        <v>100</v>
      </c>
      <c r="AE29" s="198">
        <v>0</v>
      </c>
      <c r="AF29" s="229" t="str">
        <f>$M$3</f>
        <v>Organizational style</v>
      </c>
      <c r="AG29" s="197">
        <v>1.5</v>
      </c>
      <c r="AH29" s="197">
        <v>5</v>
      </c>
      <c r="AI29" s="222">
        <v>100</v>
      </c>
      <c r="AJ29" s="198">
        <v>0</v>
      </c>
      <c r="AK29" s="229" t="str">
        <f>$M$3</f>
        <v>Organizational style</v>
      </c>
      <c r="AL29" s="197">
        <v>1</v>
      </c>
      <c r="AM29" s="197">
        <v>5</v>
      </c>
      <c r="AN29" s="222">
        <v>100</v>
      </c>
      <c r="AO29" s="198">
        <v>0</v>
      </c>
      <c r="AP29" s="229" t="str">
        <f>$M$3</f>
        <v>Organizational style</v>
      </c>
      <c r="AQ29" s="197" t="s">
        <v>1110</v>
      </c>
      <c r="AR29" s="197" t="s">
        <v>1110</v>
      </c>
      <c r="AS29" s="222" t="s">
        <v>1110</v>
      </c>
      <c r="AT29" s="198">
        <v>0</v>
      </c>
      <c r="AV29" s="246" t="str">
        <f t="shared" si="11"/>
        <v>Register</v>
      </c>
      <c r="AW29" s="242">
        <f>SUMPRODUCT(('Evaluation details_input'!$F$4:$F$1000=$AV$25)*('Evaluation details_input'!$G$4:$G$1000=$AV29)*('Evaluation details_input'!$H$4:$H$1000=$AW$3))</f>
        <v>0</v>
      </c>
      <c r="AX29" s="203">
        <f t="shared" si="12"/>
        <v>0</v>
      </c>
      <c r="AY29" s="238">
        <f xml:space="preserve">
COUNTIFS('Evaluation details_input'!$P$3:$P$1000,$AV$25,'Evaluation details_input'!$Q$3:$Q$1000,$AV29,'Evaluation details_input'!$R$3:$R$1000,$AY$3)
+COUNTIFS('Evaluation details_input'!$F$3:$F$1000,$AV$25,'Evaluation details_input'!$G$3:$G$1000,$AV29,'Evaluation details_input'!$H$3:$H$1000,$AY$3,'Evaluation details_input'!$J$3:$J$1000,"Not accepted",'Evaluation details_input'!$N$3:$N$1000,"Disagree with original translator", 'Evaluation details_input'!$P$3:$P$1000,"")
+COUNTIFS('Evaluation details_input'!$F$3:$F$1000,$AV$25,'Evaluation details_input'!$G$3:$G$1000,$AV29,'Evaluation details_input'!$H$3:$H$1000,$AY$3,'Evaluation details_input'!$J$3:$J$1000,"Accepted", 'Evaluation details_input'!$P$3:$P$1000,"")
+COUNTIFS('Evaluation details_input'!$F$3:$F$1000,$AV$25,'Evaluation details_input'!$G$3:$G$1000,$AV29,'Evaluation details_input'!$H$3:$H$1000,$AY$3,'Evaluation details_input'!$J$3:$J$1000,"")</f>
        <v>0</v>
      </c>
      <c r="AZ29" s="203">
        <f t="shared" si="13"/>
        <v>0</v>
      </c>
      <c r="BA29" s="238">
        <f>SUMPRODUCT(('Evaluation details_input'!$F$4:$F$1000=$AV$25)*('Evaluation details_input'!$G$4:$G$1000=$AV29)*('Evaluation details_input'!$H$4:$H$1000=$BA$3))</f>
        <v>0</v>
      </c>
      <c r="BB29" s="203">
        <f t="shared" si="14"/>
        <v>0</v>
      </c>
      <c r="BC29" s="238">
        <f xml:space="preserve">
COUNTIFS('Evaluation details_input'!$P$3:$P$1000,$AV$25,'Evaluation details_input'!$Q$3:$Q$1000,$AV29,'Evaluation details_input'!$R$3:$R$1000,$BC$3)
+COUNTIFS('Evaluation details_input'!$F$3:$F$1000,$AV$25,'Evaluation details_input'!$G$3:$G$1000,$AV29,'Evaluation details_input'!$H$3:$H$1000,$BC$3,'Evaluation details_input'!$J$3:$J$1000,"Not accepted",'Evaluation details_input'!$N$3:$N$1000,"Disagree with original translator", 'Evaluation details_input'!$P$3:$P$1000,"")
+COUNTIFS('Evaluation details_input'!$F$3:$F$1000,$AV$25,'Evaluation details_input'!$G$3:$G$1000,$AV29,'Evaluation details_input'!$H$3:$H$1000,$BC$3,'Evaluation details_input'!$J$3:$J$1000,"Accepted", 'Evaluation details_input'!$P$3:$P$1000,"")
+COUNTIFS('Evaluation details_input'!$F$3:$F$1000,$AV$25,'Evaluation details_input'!$G$3:$G$1000,$AV29,'Evaluation details_input'!$H$3:$H$1000,$BC$3,'Evaluation details_input'!$J$3:$J$1000,"")</f>
        <v>0</v>
      </c>
      <c r="BD29" s="203">
        <f t="shared" si="15"/>
        <v>0</v>
      </c>
    </row>
    <row r="30" spans="2:57" ht="22.5">
      <c r="B30" s="185" t="s">
        <v>2665</v>
      </c>
      <c r="C30" s="192" t="s">
        <v>500</v>
      </c>
      <c r="E30" s="32"/>
      <c r="S30" s="271" t="s">
        <v>1230</v>
      </c>
      <c r="T30" s="272" t="s">
        <v>634</v>
      </c>
      <c r="V30" s="229" t="str">
        <f>$M$4</f>
        <v>Third-party style</v>
      </c>
      <c r="W30" s="197">
        <v>1</v>
      </c>
      <c r="X30" s="197">
        <v>5</v>
      </c>
      <c r="Y30" s="222">
        <v>100</v>
      </c>
      <c r="Z30" s="198">
        <v>0</v>
      </c>
      <c r="AA30" s="229" t="str">
        <f>$M$4</f>
        <v>Third-party style</v>
      </c>
      <c r="AB30" s="197">
        <v>1</v>
      </c>
      <c r="AC30" s="197">
        <v>5</v>
      </c>
      <c r="AD30" s="222">
        <v>100</v>
      </c>
      <c r="AE30" s="198">
        <v>0</v>
      </c>
      <c r="AF30" s="229" t="str">
        <f>$M$4</f>
        <v>Third-party style</v>
      </c>
      <c r="AG30" s="197">
        <v>1.5</v>
      </c>
      <c r="AH30" s="197">
        <v>5</v>
      </c>
      <c r="AI30" s="222">
        <v>100</v>
      </c>
      <c r="AJ30" s="198">
        <v>0</v>
      </c>
      <c r="AK30" s="229" t="str">
        <f>$M$4</f>
        <v>Third-party style</v>
      </c>
      <c r="AL30" s="197">
        <v>1</v>
      </c>
      <c r="AM30" s="197">
        <v>5</v>
      </c>
      <c r="AN30" s="222">
        <v>100</v>
      </c>
      <c r="AO30" s="198">
        <v>0</v>
      </c>
      <c r="AP30" s="229" t="str">
        <f>$M$4</f>
        <v>Third-party style</v>
      </c>
      <c r="AQ30" s="197" t="s">
        <v>1110</v>
      </c>
      <c r="AR30" s="197" t="s">
        <v>1110</v>
      </c>
      <c r="AS30" s="222" t="s">
        <v>1110</v>
      </c>
      <c r="AT30" s="198">
        <v>0</v>
      </c>
      <c r="AV30" s="246" t="str">
        <f t="shared" si="11"/>
        <v>Awkward style</v>
      </c>
      <c r="AW30" s="242">
        <f>SUMPRODUCT(('Evaluation details_input'!$F$4:$F$1000=$AV$25)*('Evaluation details_input'!$G$4:$G$1000=$AV30)*('Evaluation details_input'!$H$4:$H$1000=$AW$3))</f>
        <v>0</v>
      </c>
      <c r="AX30" s="203">
        <f t="shared" si="12"/>
        <v>0</v>
      </c>
      <c r="AY30" s="238">
        <f xml:space="preserve">
COUNTIFS('Evaluation details_input'!$P$3:$P$1000,$AV$25,'Evaluation details_input'!$Q$3:$Q$1000,$AV30,'Evaluation details_input'!$R$3:$R$1000,$AY$3)
+COUNTIFS('Evaluation details_input'!$F$3:$F$1000,$AV$25,'Evaluation details_input'!$G$3:$G$1000,$AV30,'Evaluation details_input'!$H$3:$H$1000,$AY$3,'Evaluation details_input'!$J$3:$J$1000,"Not accepted",'Evaluation details_input'!$N$3:$N$1000,"Disagree with original translator", 'Evaluation details_input'!$P$3:$P$1000,"")
+COUNTIFS('Evaluation details_input'!$F$3:$F$1000,$AV$25,'Evaluation details_input'!$G$3:$G$1000,$AV30,'Evaluation details_input'!$H$3:$H$1000,$AY$3,'Evaluation details_input'!$J$3:$J$1000,"Accepted", 'Evaluation details_input'!$P$3:$P$1000,"")
+COUNTIFS('Evaluation details_input'!$F$3:$F$1000,$AV$25,'Evaluation details_input'!$G$3:$G$1000,$AV30,'Evaluation details_input'!$H$3:$H$1000,$AY$3,'Evaluation details_input'!$J$3:$J$1000,"")</f>
        <v>0</v>
      </c>
      <c r="AZ30" s="203">
        <f t="shared" si="13"/>
        <v>0</v>
      </c>
      <c r="BA30" s="238">
        <f>SUMPRODUCT(('Evaluation details_input'!$F$4:$F$1000=$AV$25)*('Evaluation details_input'!$G$4:$G$1000=$AV30)*('Evaluation details_input'!$H$4:$H$1000=$BA$3))</f>
        <v>0</v>
      </c>
      <c r="BB30" s="203">
        <f t="shared" si="14"/>
        <v>0</v>
      </c>
      <c r="BC30" s="238">
        <f xml:space="preserve">
COUNTIFS('Evaluation details_input'!$P$3:$P$1000,$AV$25,'Evaluation details_input'!$Q$3:$Q$1000,$AV30,'Evaluation details_input'!$R$3:$R$1000,$BC$3)
+COUNTIFS('Evaluation details_input'!$F$3:$F$1000,$AV$25,'Evaluation details_input'!$G$3:$G$1000,$AV30,'Evaluation details_input'!$H$3:$H$1000,$BC$3,'Evaluation details_input'!$J$3:$J$1000,"Not accepted",'Evaluation details_input'!$N$3:$N$1000,"Disagree with original translator", 'Evaluation details_input'!$P$3:$P$1000,"")
+COUNTIFS('Evaluation details_input'!$F$3:$F$1000,$AV$25,'Evaluation details_input'!$G$3:$G$1000,$AV30,'Evaluation details_input'!$H$3:$H$1000,$BC$3,'Evaluation details_input'!$J$3:$J$1000,"Accepted", 'Evaluation details_input'!$P$3:$P$1000,"")
+COUNTIFS('Evaluation details_input'!$F$3:$F$1000,$AV$25,'Evaluation details_input'!$G$3:$G$1000,$AV30,'Evaluation details_input'!$H$3:$H$1000,$BC$3,'Evaluation details_input'!$J$3:$J$1000,"")</f>
        <v>0</v>
      </c>
      <c r="BD30" s="203">
        <f t="shared" si="15"/>
        <v>0</v>
      </c>
    </row>
    <row r="31" spans="2:57" ht="22.5">
      <c r="B31" s="185" t="s">
        <v>2666</v>
      </c>
      <c r="C31" s="192" t="s">
        <v>139</v>
      </c>
      <c r="E31" s="32"/>
      <c r="S31" s="271" t="s">
        <v>1231</v>
      </c>
      <c r="T31" s="272" t="s">
        <v>189</v>
      </c>
      <c r="V31" s="229" t="str">
        <f>$M$5</f>
        <v>Inconsistent with external reference</v>
      </c>
      <c r="W31" s="197">
        <v>1</v>
      </c>
      <c r="X31" s="197">
        <v>5</v>
      </c>
      <c r="Y31" s="222">
        <v>100</v>
      </c>
      <c r="Z31" s="198">
        <v>0</v>
      </c>
      <c r="AA31" s="229" t="str">
        <f>$M$5</f>
        <v>Inconsistent with external reference</v>
      </c>
      <c r="AB31" s="197">
        <v>1</v>
      </c>
      <c r="AC31" s="197">
        <v>5</v>
      </c>
      <c r="AD31" s="222">
        <v>100</v>
      </c>
      <c r="AE31" s="198">
        <v>0</v>
      </c>
      <c r="AF31" s="229" t="str">
        <f>$M$5</f>
        <v>Inconsistent with external reference</v>
      </c>
      <c r="AG31" s="197">
        <v>1.5</v>
      </c>
      <c r="AH31" s="197">
        <v>5</v>
      </c>
      <c r="AI31" s="222">
        <v>100</v>
      </c>
      <c r="AJ31" s="198">
        <v>0</v>
      </c>
      <c r="AK31" s="229" t="str">
        <f>$M$5</f>
        <v>Inconsistent with external reference</v>
      </c>
      <c r="AL31" s="197">
        <v>1</v>
      </c>
      <c r="AM31" s="197">
        <v>5</v>
      </c>
      <c r="AN31" s="222">
        <v>100</v>
      </c>
      <c r="AO31" s="198">
        <v>0</v>
      </c>
      <c r="AP31" s="229" t="str">
        <f>$M$5</f>
        <v>Inconsistent with external reference</v>
      </c>
      <c r="AQ31" s="197" t="s">
        <v>1110</v>
      </c>
      <c r="AR31" s="197" t="s">
        <v>1110</v>
      </c>
      <c r="AS31" s="222" t="s">
        <v>1110</v>
      </c>
      <c r="AT31" s="198">
        <v>0</v>
      </c>
      <c r="AV31" s="246" t="str">
        <f t="shared" si="11"/>
        <v>Unidiomatic style</v>
      </c>
      <c r="AW31" s="242">
        <f>SUMPRODUCT(('Evaluation details_input'!$F$4:$F$1000=$AV$25)*('Evaluation details_input'!$G$4:$G$1000=$AV31)*('Evaluation details_input'!$H$4:$H$1000=$AW$3))</f>
        <v>0</v>
      </c>
      <c r="AX31" s="203">
        <f t="shared" si="12"/>
        <v>0</v>
      </c>
      <c r="AY31" s="238">
        <f xml:space="preserve">
COUNTIFS('Evaluation details_input'!$P$3:$P$1000,$AV$25,'Evaluation details_input'!$Q$3:$Q$1000,$AV31,'Evaluation details_input'!$R$3:$R$1000,$AY$3)
+COUNTIFS('Evaluation details_input'!$F$3:$F$1000,$AV$25,'Evaluation details_input'!$G$3:$G$1000,$AV31,'Evaluation details_input'!$H$3:$H$1000,$AY$3,'Evaluation details_input'!$J$3:$J$1000,"Not accepted",'Evaluation details_input'!$N$3:$N$1000,"Disagree with original translator", 'Evaluation details_input'!$P$3:$P$1000,"")
+COUNTIFS('Evaluation details_input'!$F$3:$F$1000,$AV$25,'Evaluation details_input'!$G$3:$G$1000,$AV31,'Evaluation details_input'!$H$3:$H$1000,$AY$3,'Evaluation details_input'!$J$3:$J$1000,"Accepted", 'Evaluation details_input'!$P$3:$P$1000,"")
+COUNTIFS('Evaluation details_input'!$F$3:$F$1000,$AV$25,'Evaluation details_input'!$G$3:$G$1000,$AV31,'Evaluation details_input'!$H$3:$H$1000,$AY$3,'Evaluation details_input'!$J$3:$J$1000,"")</f>
        <v>0</v>
      </c>
      <c r="AZ31" s="203">
        <f t="shared" si="13"/>
        <v>0</v>
      </c>
      <c r="BA31" s="238">
        <f>SUMPRODUCT(('Evaluation details_input'!$F$4:$F$1000=$AV$25)*('Evaluation details_input'!$G$4:$G$1000=$AV31)*('Evaluation details_input'!$H$4:$H$1000=$BA$3))</f>
        <v>0</v>
      </c>
      <c r="BB31" s="203">
        <f t="shared" si="14"/>
        <v>0</v>
      </c>
      <c r="BC31" s="238">
        <f xml:space="preserve">
COUNTIFS('Evaluation details_input'!$P$3:$P$1000,$AV$25,'Evaluation details_input'!$Q$3:$Q$1000,$AV31,'Evaluation details_input'!$R$3:$R$1000,$BC$3)
+COUNTIFS('Evaluation details_input'!$F$3:$F$1000,$AV$25,'Evaluation details_input'!$G$3:$G$1000,$AV31,'Evaluation details_input'!$H$3:$H$1000,$BC$3,'Evaluation details_input'!$J$3:$J$1000,"Not accepted",'Evaluation details_input'!$N$3:$N$1000,"Disagree with original translator", 'Evaluation details_input'!$P$3:$P$1000,"")
+COUNTIFS('Evaluation details_input'!$F$3:$F$1000,$AV$25,'Evaluation details_input'!$G$3:$G$1000,$AV31,'Evaluation details_input'!$H$3:$H$1000,$BC$3,'Evaluation details_input'!$J$3:$J$1000,"Accepted", 'Evaluation details_input'!$P$3:$P$1000,"")
+COUNTIFS('Evaluation details_input'!$F$3:$F$1000,$AV$25,'Evaluation details_input'!$G$3:$G$1000,$AV31,'Evaluation details_input'!$H$3:$H$1000,$BC$3,'Evaluation details_input'!$J$3:$J$1000,"")</f>
        <v>0</v>
      </c>
      <c r="BD31" s="203">
        <f t="shared" si="15"/>
        <v>0</v>
      </c>
    </row>
    <row r="32" spans="2:57" ht="22.5">
      <c r="B32" s="185" t="s">
        <v>2667</v>
      </c>
      <c r="C32" s="192" t="s">
        <v>140</v>
      </c>
      <c r="E32" s="32"/>
      <c r="S32" s="271" t="s">
        <v>1232</v>
      </c>
      <c r="T32" s="272" t="s">
        <v>190</v>
      </c>
      <c r="V32" s="229" t="str">
        <f>$M$6</f>
        <v>Register</v>
      </c>
      <c r="W32" s="197">
        <v>1</v>
      </c>
      <c r="X32" s="197">
        <v>5</v>
      </c>
      <c r="Y32" s="222">
        <v>100</v>
      </c>
      <c r="Z32" s="198">
        <v>0</v>
      </c>
      <c r="AA32" s="229" t="str">
        <f>$M$6</f>
        <v>Register</v>
      </c>
      <c r="AB32" s="197">
        <v>1</v>
      </c>
      <c r="AC32" s="197">
        <v>5</v>
      </c>
      <c r="AD32" s="222">
        <v>100</v>
      </c>
      <c r="AE32" s="198">
        <v>0</v>
      </c>
      <c r="AF32" s="229" t="str">
        <f>$M$6</f>
        <v>Register</v>
      </c>
      <c r="AG32" s="197">
        <v>1.5</v>
      </c>
      <c r="AH32" s="197">
        <v>5</v>
      </c>
      <c r="AI32" s="222">
        <v>100</v>
      </c>
      <c r="AJ32" s="198">
        <v>0</v>
      </c>
      <c r="AK32" s="229" t="str">
        <f>$M$6</f>
        <v>Register</v>
      </c>
      <c r="AL32" s="197">
        <v>1</v>
      </c>
      <c r="AM32" s="197">
        <v>5</v>
      </c>
      <c r="AN32" s="222">
        <v>100</v>
      </c>
      <c r="AO32" s="198">
        <v>0</v>
      </c>
      <c r="AP32" s="229" t="str">
        <f>$M$6</f>
        <v>Register</v>
      </c>
      <c r="AQ32" s="197" t="s">
        <v>1110</v>
      </c>
      <c r="AR32" s="197" t="s">
        <v>1110</v>
      </c>
      <c r="AS32" s="222" t="s">
        <v>1110</v>
      </c>
      <c r="AT32" s="198">
        <v>0</v>
      </c>
      <c r="AV32" s="246" t="str">
        <f t="shared" si="11"/>
        <v>Inconsistent style</v>
      </c>
      <c r="AW32" s="242">
        <f>SUMPRODUCT(('Evaluation details_input'!$F$4:$F$1000=$AV$25)*('Evaluation details_input'!$G$4:$G$1000=$AV32)*('Evaluation details_input'!$H$4:$H$1000=$AW$3))</f>
        <v>0</v>
      </c>
      <c r="AX32" s="203">
        <f t="shared" si="12"/>
        <v>0</v>
      </c>
      <c r="AY32" s="238">
        <f xml:space="preserve">
COUNTIFS('Evaluation details_input'!$P$3:$P$1000,$AV$25,'Evaluation details_input'!$Q$3:$Q$1000,$AV32,'Evaluation details_input'!$R$3:$R$1000,$AY$3)
+COUNTIFS('Evaluation details_input'!$F$3:$F$1000,$AV$25,'Evaluation details_input'!$G$3:$G$1000,$AV32,'Evaluation details_input'!$H$3:$H$1000,$AY$3,'Evaluation details_input'!$J$3:$J$1000,"Not accepted",'Evaluation details_input'!$N$3:$N$1000,"Disagree with original translator", 'Evaluation details_input'!$P$3:$P$1000,"")
+COUNTIFS('Evaluation details_input'!$F$3:$F$1000,$AV$25,'Evaluation details_input'!$G$3:$G$1000,$AV32,'Evaluation details_input'!$H$3:$H$1000,$AY$3,'Evaluation details_input'!$J$3:$J$1000,"Accepted", 'Evaluation details_input'!$P$3:$P$1000,"")
+COUNTIFS('Evaluation details_input'!$F$3:$F$1000,$AV$25,'Evaluation details_input'!$G$3:$G$1000,$AV32,'Evaluation details_input'!$H$3:$H$1000,$AY$3,'Evaluation details_input'!$J$3:$J$1000,"")</f>
        <v>0</v>
      </c>
      <c r="AZ32" s="203">
        <f t="shared" si="13"/>
        <v>0</v>
      </c>
      <c r="BA32" s="238">
        <f>SUMPRODUCT(('Evaluation details_input'!$F$4:$F$1000=$AV$25)*('Evaluation details_input'!$G$4:$G$1000=$AV32)*('Evaluation details_input'!$H$4:$H$1000=$BA$3))</f>
        <v>0</v>
      </c>
      <c r="BB32" s="203">
        <f t="shared" si="14"/>
        <v>0</v>
      </c>
      <c r="BC32" s="238">
        <f xml:space="preserve">
COUNTIFS('Evaluation details_input'!$P$3:$P$1000,$AV$25,'Evaluation details_input'!$Q$3:$Q$1000,$AV32,'Evaluation details_input'!$R$3:$R$1000,$BC$3)
+COUNTIFS('Evaluation details_input'!$F$3:$F$1000,$AV$25,'Evaluation details_input'!$G$3:$G$1000,$AV32,'Evaluation details_input'!$H$3:$H$1000,$BC$3,'Evaluation details_input'!$J$3:$J$1000,"Not accepted",'Evaluation details_input'!$N$3:$N$1000,"Disagree with original translator", 'Evaluation details_input'!$P$3:$P$1000,"")
+COUNTIFS('Evaluation details_input'!$F$3:$F$1000,$AV$25,'Evaluation details_input'!$G$3:$G$1000,$AV32,'Evaluation details_input'!$H$3:$H$1000,$BC$3,'Evaluation details_input'!$J$3:$J$1000,"Accepted", 'Evaluation details_input'!$P$3:$P$1000,"")
+COUNTIFS('Evaluation details_input'!$F$3:$F$1000,$AV$25,'Evaluation details_input'!$G$3:$G$1000,$AV32,'Evaluation details_input'!$H$3:$H$1000,$BC$3,'Evaluation details_input'!$J$3:$J$1000,"")</f>
        <v>0</v>
      </c>
      <c r="BD32" s="203">
        <f t="shared" si="15"/>
        <v>0</v>
      </c>
    </row>
    <row r="33" spans="2:56" ht="23.25" thickBot="1">
      <c r="B33" s="185" t="s">
        <v>2668</v>
      </c>
      <c r="C33" s="192" t="s">
        <v>1154</v>
      </c>
      <c r="E33" s="32"/>
      <c r="S33" s="271" t="s">
        <v>1233</v>
      </c>
      <c r="T33" s="272" t="s">
        <v>517</v>
      </c>
      <c r="V33" s="229" t="str">
        <f>$M$7</f>
        <v>Awkward style</v>
      </c>
      <c r="W33" s="197">
        <v>1</v>
      </c>
      <c r="X33" s="197">
        <v>5</v>
      </c>
      <c r="Y33" s="222">
        <v>100</v>
      </c>
      <c r="Z33" s="198">
        <v>0</v>
      </c>
      <c r="AA33" s="229" t="str">
        <f>$M$7</f>
        <v>Awkward style</v>
      </c>
      <c r="AB33" s="197">
        <v>1</v>
      </c>
      <c r="AC33" s="197">
        <v>5</v>
      </c>
      <c r="AD33" s="222">
        <v>100</v>
      </c>
      <c r="AE33" s="198">
        <v>0</v>
      </c>
      <c r="AF33" s="229" t="str">
        <f>$M$7</f>
        <v>Awkward style</v>
      </c>
      <c r="AG33" s="197">
        <v>1.5</v>
      </c>
      <c r="AH33" s="197">
        <v>5</v>
      </c>
      <c r="AI33" s="222">
        <v>100</v>
      </c>
      <c r="AJ33" s="198">
        <v>0</v>
      </c>
      <c r="AK33" s="229" t="str">
        <f>$M$7</f>
        <v>Awkward style</v>
      </c>
      <c r="AL33" s="197">
        <v>1</v>
      </c>
      <c r="AM33" s="197">
        <v>5</v>
      </c>
      <c r="AN33" s="222">
        <v>100</v>
      </c>
      <c r="AO33" s="198">
        <v>0</v>
      </c>
      <c r="AP33" s="229" t="str">
        <f>$M$7</f>
        <v>Awkward style</v>
      </c>
      <c r="AQ33" s="197" t="s">
        <v>1110</v>
      </c>
      <c r="AR33" s="197" t="s">
        <v>1110</v>
      </c>
      <c r="AS33" s="222" t="s">
        <v>1110</v>
      </c>
      <c r="AT33" s="198">
        <v>0</v>
      </c>
      <c r="AV33" s="248" t="str">
        <f t="shared" si="11"/>
        <v>Other</v>
      </c>
      <c r="AW33" s="242">
        <f>SUMPRODUCT(('Evaluation details_input'!$F$4:$F$1000=$AV$25)*('Evaluation details_input'!$G$4:$G$1000=$AV33)*('Evaluation details_input'!$H$4:$H$1000=$AW$3))</f>
        <v>0</v>
      </c>
      <c r="AX33" s="203">
        <f t="shared" si="12"/>
        <v>0</v>
      </c>
      <c r="AY33" s="238">
        <f xml:space="preserve">
COUNTIFS('Evaluation details_input'!$P$3:$P$1000,$AV$25,'Evaluation details_input'!$Q$3:$Q$1000,$AV33,'Evaluation details_input'!$R$3:$R$1000,$AY$3)
+COUNTIFS('Evaluation details_input'!$F$3:$F$1000,$AV$25,'Evaluation details_input'!$G$3:$G$1000,$AV33,'Evaluation details_input'!$H$3:$H$1000,$AY$3,'Evaluation details_input'!$J$3:$J$1000,"Not accepted",'Evaluation details_input'!$N$3:$N$1000,"Disagree with original translator", 'Evaluation details_input'!$P$3:$P$1000,"")
+COUNTIFS('Evaluation details_input'!$F$3:$F$1000,$AV$25,'Evaluation details_input'!$G$3:$G$1000,$AV33,'Evaluation details_input'!$H$3:$H$1000,$AY$3,'Evaluation details_input'!$J$3:$J$1000,"Accepted", 'Evaluation details_input'!$P$3:$P$1000,"")
+COUNTIFS('Evaluation details_input'!$F$3:$F$1000,$AV$25,'Evaluation details_input'!$G$3:$G$1000,$AV33,'Evaluation details_input'!$H$3:$H$1000,$AY$3,'Evaluation details_input'!$J$3:$J$1000,"")</f>
        <v>0</v>
      </c>
      <c r="AZ33" s="203">
        <f t="shared" si="13"/>
        <v>0</v>
      </c>
      <c r="BA33" s="238">
        <f>SUMPRODUCT(('Evaluation details_input'!$F$4:$F$1000=$AV$25)*('Evaluation details_input'!$G$4:$G$1000=$AV33)*('Evaluation details_input'!$H$4:$H$1000=$BA$3))</f>
        <v>0</v>
      </c>
      <c r="BB33" s="203">
        <f t="shared" si="14"/>
        <v>0</v>
      </c>
      <c r="BC33" s="238">
        <f xml:space="preserve">
COUNTIFS('Evaluation details_input'!$P$3:$P$1000,$AV$25,'Evaluation details_input'!$Q$3:$Q$1000,$AV33,'Evaluation details_input'!$R$3:$R$1000,$BC$3)
+COUNTIFS('Evaluation details_input'!$F$3:$F$1000,$AV$25,'Evaluation details_input'!$G$3:$G$1000,$AV33,'Evaluation details_input'!$H$3:$H$1000,$BC$3,'Evaluation details_input'!$J$3:$J$1000,"Not accepted",'Evaluation details_input'!$N$3:$N$1000,"Disagree with original translator", 'Evaluation details_input'!$P$3:$P$1000,"")
+COUNTIFS('Evaluation details_input'!$F$3:$F$1000,$AV$25,'Evaluation details_input'!$G$3:$G$1000,$AV33,'Evaluation details_input'!$H$3:$H$1000,$BC$3,'Evaluation details_input'!$J$3:$J$1000,"Accepted", 'Evaluation details_input'!$P$3:$P$1000,"")
+COUNTIFS('Evaluation details_input'!$F$3:$F$1000,$AV$25,'Evaluation details_input'!$G$3:$G$1000,$AV33,'Evaluation details_input'!$H$3:$H$1000,$BC$3,'Evaluation details_input'!$J$3:$J$1000,"")</f>
        <v>0</v>
      </c>
      <c r="BD33" s="203">
        <f t="shared" si="15"/>
        <v>0</v>
      </c>
    </row>
    <row r="34" spans="2:56" ht="22.5">
      <c r="B34" s="185" t="s">
        <v>2669</v>
      </c>
      <c r="C34" s="192" t="s">
        <v>1155</v>
      </c>
      <c r="E34" s="32"/>
      <c r="S34" s="271" t="s">
        <v>1234</v>
      </c>
      <c r="T34" s="272" t="s">
        <v>795</v>
      </c>
      <c r="V34" s="229" t="str">
        <f>$M$8</f>
        <v>Unidiomatic style</v>
      </c>
      <c r="W34" s="197">
        <v>1</v>
      </c>
      <c r="X34" s="197">
        <v>5</v>
      </c>
      <c r="Y34" s="222">
        <v>100</v>
      </c>
      <c r="Z34" s="198">
        <v>0</v>
      </c>
      <c r="AA34" s="229" t="str">
        <f>$M$8</f>
        <v>Unidiomatic style</v>
      </c>
      <c r="AB34" s="197">
        <v>1</v>
      </c>
      <c r="AC34" s="197">
        <v>5</v>
      </c>
      <c r="AD34" s="222">
        <v>100</v>
      </c>
      <c r="AE34" s="198">
        <v>0</v>
      </c>
      <c r="AF34" s="229" t="str">
        <f>$M$8</f>
        <v>Unidiomatic style</v>
      </c>
      <c r="AG34" s="197">
        <v>1.5</v>
      </c>
      <c r="AH34" s="197">
        <v>5</v>
      </c>
      <c r="AI34" s="222">
        <v>100</v>
      </c>
      <c r="AJ34" s="198">
        <v>0</v>
      </c>
      <c r="AK34" s="229" t="str">
        <f>$M$8</f>
        <v>Unidiomatic style</v>
      </c>
      <c r="AL34" s="197">
        <v>1</v>
      </c>
      <c r="AM34" s="197">
        <v>5</v>
      </c>
      <c r="AN34" s="222">
        <v>100</v>
      </c>
      <c r="AO34" s="198">
        <v>0</v>
      </c>
      <c r="AP34" s="229" t="str">
        <f>$M$8</f>
        <v>Unidiomatic style</v>
      </c>
      <c r="AQ34" s="197" t="s">
        <v>1110</v>
      </c>
      <c r="AR34" s="197" t="s">
        <v>1110</v>
      </c>
      <c r="AS34" s="222" t="s">
        <v>1110</v>
      </c>
      <c r="AT34" s="198">
        <v>0</v>
      </c>
      <c r="AV34" s="250" t="str">
        <f>N2</f>
        <v>Locale conventions</v>
      </c>
      <c r="AW34" s="243"/>
      <c r="AX34" s="209"/>
      <c r="AY34" s="209"/>
      <c r="AZ34" s="209"/>
      <c r="BA34" s="239"/>
      <c r="BB34" s="209"/>
      <c r="BC34" s="209"/>
      <c r="BD34" s="209"/>
    </row>
    <row r="35" spans="2:56" ht="22.5">
      <c r="B35" s="185" t="s">
        <v>2670</v>
      </c>
      <c r="C35" s="192" t="s">
        <v>43</v>
      </c>
      <c r="E35" s="32"/>
      <c r="S35" s="271" t="s">
        <v>1235</v>
      </c>
      <c r="T35" s="272" t="s">
        <v>796</v>
      </c>
      <c r="V35" s="229" t="str">
        <f>$M$9</f>
        <v>Inconsistent style</v>
      </c>
      <c r="W35" s="197">
        <v>1</v>
      </c>
      <c r="X35" s="197">
        <v>5</v>
      </c>
      <c r="Y35" s="222">
        <v>100</v>
      </c>
      <c r="Z35" s="198">
        <v>0</v>
      </c>
      <c r="AA35" s="229" t="str">
        <f>$M$9</f>
        <v>Inconsistent style</v>
      </c>
      <c r="AB35" s="197">
        <v>1</v>
      </c>
      <c r="AC35" s="197">
        <v>5</v>
      </c>
      <c r="AD35" s="222">
        <v>100</v>
      </c>
      <c r="AE35" s="198">
        <v>0</v>
      </c>
      <c r="AF35" s="229" t="str">
        <f>$M$9</f>
        <v>Inconsistent style</v>
      </c>
      <c r="AG35" s="197">
        <v>1.5</v>
      </c>
      <c r="AH35" s="197">
        <v>5</v>
      </c>
      <c r="AI35" s="222">
        <v>100</v>
      </c>
      <c r="AJ35" s="198">
        <v>0</v>
      </c>
      <c r="AK35" s="229" t="str">
        <f>$M$9</f>
        <v>Inconsistent style</v>
      </c>
      <c r="AL35" s="197">
        <v>1</v>
      </c>
      <c r="AM35" s="197">
        <v>5</v>
      </c>
      <c r="AN35" s="222">
        <v>100</v>
      </c>
      <c r="AO35" s="198">
        <v>0</v>
      </c>
      <c r="AP35" s="229" t="str">
        <f>$M$9</f>
        <v>Inconsistent style</v>
      </c>
      <c r="AQ35" s="197" t="s">
        <v>1110</v>
      </c>
      <c r="AR35" s="197" t="s">
        <v>1110</v>
      </c>
      <c r="AS35" s="222" t="s">
        <v>1110</v>
      </c>
      <c r="AT35" s="198">
        <v>0</v>
      </c>
      <c r="AV35" s="246" t="str">
        <f t="shared" ref="AV35:AV43" si="16">$N3</f>
        <v>Number format</v>
      </c>
      <c r="AW35" s="242">
        <f>SUMPRODUCT(('Evaluation details_input'!$F$4:$F$1000=$AV$34)*('Evaluation details_input'!$G$4:$G$1000=$AV35)*('Evaluation details_input'!$H$4:$H$1000=$AW$3))</f>
        <v>0</v>
      </c>
      <c r="AX35" s="203">
        <f t="shared" ref="AX35:AX43" si="17" xml:space="preserve">
IF($AW$2=$AA$3,$AW35*$AB38,
IF($AW$2=$AF$3,$AW35*$AG38,
$AW35*$W38))</f>
        <v>0</v>
      </c>
      <c r="AY35" s="238">
        <f xml:space="preserve">
COUNTIFS('Evaluation details_input'!$P$3:$P$1000,$AV$34,'Evaluation details_input'!$Q$3:$Q$1000,$AV35,'Evaluation details_input'!$R$3:$R$1000,$AY$3)
+COUNTIFS('Evaluation details_input'!$F$3:$F$1000,$AV$34,'Evaluation details_input'!$G$3:$G$1000,$AV35,'Evaluation details_input'!$H$3:$H$1000,$AY$3,'Evaluation details_input'!$J$3:$J$1000,"Not accepted",'Evaluation details_input'!$N$3:$N$1000,"Disagree with original translator", 'Evaluation details_input'!$P$3:$P$1000,"")
+COUNTIFS('Evaluation details_input'!$F$3:$F$1000,$AV$34,'Evaluation details_input'!$G$3:$G$1000,$AV35,'Evaluation details_input'!$H$3:$H$1000,$AY$3,'Evaluation details_input'!$J$3:$J$1000,"Accepted", 'Evaluation details_input'!$P$3:$P$1000,"")
+COUNTIFS('Evaluation details_input'!$F$3:$F$1000,$AV$34,'Evaluation details_input'!$G$3:$G$1000,$AV35,'Evaluation details_input'!$H$3:$H$1000,$AY$3,'Evaluation details_input'!$J$3:$J$1000,"")</f>
        <v>0</v>
      </c>
      <c r="AZ35" s="203">
        <f t="shared" ref="AZ35:AZ43" si="18" xml:space="preserve">
IF($AW$2=$AA$3,$AY35*$AB38,
IF($AW$2=$AF$3,$AY35*$AG38,
$AY35*$W38))</f>
        <v>0</v>
      </c>
      <c r="BA35" s="238">
        <f>SUMPRODUCT(('Evaluation details_input'!$F$4:$F$1000=$AV$34)*('Evaluation details_input'!$G$4:$G$1000=$AV35)*('Evaluation details_input'!$H$4:$H$1000=$BA$3))</f>
        <v>0</v>
      </c>
      <c r="BB35" s="203">
        <f xml:space="preserve">
IF($AW$2=$AA$3,$BA35*$AC38,
IF($AW$2=$AF$3,$BA35*$AH38,
$BA35*$X38))</f>
        <v>0</v>
      </c>
      <c r="BC35" s="238">
        <f xml:space="preserve">
COUNTIFS('Evaluation details_input'!$P$3:$P$1000,$AV$34,'Evaluation details_input'!$Q$3:$Q$1000,$AV35,'Evaluation details_input'!$R$3:$R$1000,$BC$3)
+COUNTIFS('Evaluation details_input'!$F$3:$F$1000,$AV$34,'Evaluation details_input'!$G$3:$G$1000,$AV35,'Evaluation details_input'!$H$3:$H$1000,$BC$3,'Evaluation details_input'!$J$3:$J$1000,"Not accepted",'Evaluation details_input'!$N$3:$N$1000,"Disagree with original translator", 'Evaluation details_input'!$P$3:$P$1000,"")
+COUNTIFS('Evaluation details_input'!$F$3:$F$1000,$AV$34,'Evaluation details_input'!$G$3:$G$1000,$AV35,'Evaluation details_input'!$H$3:$H$1000,$BC$3,'Evaluation details_input'!$J$3:$J$1000,"Accepted", 'Evaluation details_input'!$P$3:$P$1000,"")
+COUNTIFS('Evaluation details_input'!$F$3:$F$1000,$AV$34,'Evaluation details_input'!$G$3:$G$1000,$AV35,'Evaluation details_input'!$H$3:$H$1000,$BC$3,'Evaluation details_input'!$J$3:$J$1000,"")</f>
        <v>0</v>
      </c>
      <c r="BD35" s="203">
        <f xml:space="preserve">
IF($AW$2=$AA$3,$BC35*$AC38,
IF($AW$2=$AF$3,$BC35*$AH38,
$BC35*$X38))</f>
        <v>0</v>
      </c>
    </row>
    <row r="36" spans="2:56" ht="23.25" thickBot="1">
      <c r="B36" s="186" t="s">
        <v>2671</v>
      </c>
      <c r="C36" s="192" t="s">
        <v>1156</v>
      </c>
      <c r="E36" s="32"/>
      <c r="S36" s="271" t="s">
        <v>1236</v>
      </c>
      <c r="T36" s="272" t="s">
        <v>1237</v>
      </c>
      <c r="V36" s="229" t="str">
        <f>$M$10</f>
        <v>Other</v>
      </c>
      <c r="W36" s="197">
        <v>1</v>
      </c>
      <c r="X36" s="197">
        <v>5</v>
      </c>
      <c r="Y36" s="222">
        <v>100</v>
      </c>
      <c r="Z36" s="198">
        <v>0</v>
      </c>
      <c r="AA36" s="229" t="str">
        <f>$M$10</f>
        <v>Other</v>
      </c>
      <c r="AB36" s="197">
        <v>1</v>
      </c>
      <c r="AC36" s="197">
        <v>5</v>
      </c>
      <c r="AD36" s="222">
        <v>100</v>
      </c>
      <c r="AE36" s="198">
        <v>0</v>
      </c>
      <c r="AF36" s="229" t="str">
        <f>$M$10</f>
        <v>Other</v>
      </c>
      <c r="AG36" s="197">
        <v>1.5</v>
      </c>
      <c r="AH36" s="197">
        <v>5</v>
      </c>
      <c r="AI36" s="222">
        <v>100</v>
      </c>
      <c r="AJ36" s="198">
        <v>0</v>
      </c>
      <c r="AK36" s="229" t="str">
        <f>$M$10</f>
        <v>Other</v>
      </c>
      <c r="AL36" s="197">
        <v>1</v>
      </c>
      <c r="AM36" s="197">
        <v>5</v>
      </c>
      <c r="AN36" s="222">
        <v>100</v>
      </c>
      <c r="AO36" s="198">
        <v>0</v>
      </c>
      <c r="AP36" s="229" t="str">
        <f>$M$10</f>
        <v>Other</v>
      </c>
      <c r="AQ36" s="197" t="s">
        <v>1110</v>
      </c>
      <c r="AR36" s="197" t="s">
        <v>1110</v>
      </c>
      <c r="AS36" s="222" t="s">
        <v>1110</v>
      </c>
      <c r="AT36" s="198">
        <v>0</v>
      </c>
      <c r="AV36" s="246" t="str">
        <f t="shared" si="16"/>
        <v>Currency format</v>
      </c>
      <c r="AW36" s="242">
        <f>SUMPRODUCT(('Evaluation details_input'!$F$4:$F$1000=$AV$34)*('Evaluation details_input'!$G$4:$G$1000=$AV36)*('Evaluation details_input'!$H$4:$H$1000=$AW$3))</f>
        <v>0</v>
      </c>
      <c r="AX36" s="203">
        <f t="shared" si="17"/>
        <v>0</v>
      </c>
      <c r="AY36" s="238">
        <f xml:space="preserve">
COUNTIFS('Evaluation details_input'!$P$3:$P$1000,$AV$34,'Evaluation details_input'!$Q$3:$Q$1000,$AV36,'Evaluation details_input'!$R$3:$R$1000,$AY$3)
+COUNTIFS('Evaluation details_input'!$F$3:$F$1000,$AV$34,'Evaluation details_input'!$G$3:$G$1000,$AV36,'Evaluation details_input'!$H$3:$H$1000,$AY$3,'Evaluation details_input'!$J$3:$J$1000,"Not accepted",'Evaluation details_input'!$N$3:$N$1000,"Disagree with original translator", 'Evaluation details_input'!$P$3:$P$1000,"")
+COUNTIFS('Evaluation details_input'!$F$3:$F$1000,$AV$34,'Evaluation details_input'!$G$3:$G$1000,$AV36,'Evaluation details_input'!$H$3:$H$1000,$AY$3,'Evaluation details_input'!$J$3:$J$1000,"Accepted", 'Evaluation details_input'!$P$3:$P$1000,"")
+COUNTIFS('Evaluation details_input'!$F$3:$F$1000,$AV$34,'Evaluation details_input'!$G$3:$G$1000,$AV36,'Evaluation details_input'!$H$3:$H$1000,$AY$3,'Evaluation details_input'!$J$3:$J$1000,"")</f>
        <v>0</v>
      </c>
      <c r="AZ36" s="203">
        <f t="shared" si="18"/>
        <v>0</v>
      </c>
      <c r="BA36" s="238">
        <f>SUMPRODUCT(('Evaluation details_input'!$F$4:$F$1000=$AV$34)*('Evaluation details_input'!$G$4:$G$1000=$AV36)*('Evaluation details_input'!$H$4:$H$1000=$BA$3))</f>
        <v>0</v>
      </c>
      <c r="BB36" s="203">
        <f t="shared" ref="BB36:BB43" si="19" xml:space="preserve">
IF($AW$2=$AA$3,$BA36*$AC39,
IF($AW$2=$AF$3,$BA36*$AH39,
$BA36*$X39))</f>
        <v>0</v>
      </c>
      <c r="BC36" s="238">
        <f xml:space="preserve">
COUNTIFS('Evaluation details_input'!$P$3:$P$1000,$AV$34,'Evaluation details_input'!$Q$3:$Q$1000,$AV36,'Evaluation details_input'!$R$3:$R$1000,$BC$3)
+COUNTIFS('Evaluation details_input'!$F$3:$F$1000,$AV$34,'Evaluation details_input'!$G$3:$G$1000,$AV36,'Evaluation details_input'!$H$3:$H$1000,$BC$3,'Evaluation details_input'!$J$3:$J$1000,"Not accepted",'Evaluation details_input'!$N$3:$N$1000,"Disagree with original translator", 'Evaluation details_input'!$P$3:$P$1000,"")
+COUNTIFS('Evaluation details_input'!$F$3:$F$1000,$AV$34,'Evaluation details_input'!$G$3:$G$1000,$AV36,'Evaluation details_input'!$H$3:$H$1000,$BC$3,'Evaluation details_input'!$J$3:$J$1000,"Accepted", 'Evaluation details_input'!$P$3:$P$1000,"")
+COUNTIFS('Evaluation details_input'!$F$3:$F$1000,$AV$34,'Evaluation details_input'!$G$3:$G$1000,$AV36,'Evaluation details_input'!$H$3:$H$1000,$BC$3,'Evaluation details_input'!$J$3:$J$1000,"")</f>
        <v>0</v>
      </c>
      <c r="BD36" s="203">
        <f t="shared" ref="BD36:BD42" si="20" xml:space="preserve">
IF($AW$2=$AA$3,$BC36*$AC39,
IF($AW$2=$AF$3,$BC36*$AH39,
$BC36*$X39))</f>
        <v>0</v>
      </c>
    </row>
    <row r="37" spans="2:56" ht="22.5">
      <c r="C37" s="192" t="s">
        <v>104</v>
      </c>
      <c r="E37" s="32"/>
      <c r="S37" s="271" t="s">
        <v>2685</v>
      </c>
      <c r="T37" s="272" t="s">
        <v>3042</v>
      </c>
      <c r="V37" s="230" t="str">
        <f>$N$2</f>
        <v>Locale conventions</v>
      </c>
      <c r="W37" s="213"/>
      <c r="X37" s="213"/>
      <c r="Y37" s="223"/>
      <c r="Z37" s="214"/>
      <c r="AA37" s="230" t="str">
        <f>$N$2</f>
        <v>Locale conventions</v>
      </c>
      <c r="AB37" s="213"/>
      <c r="AC37" s="213"/>
      <c r="AD37" s="223"/>
      <c r="AE37" s="214"/>
      <c r="AF37" s="230" t="str">
        <f>$N$2</f>
        <v>Locale conventions</v>
      </c>
      <c r="AG37" s="213"/>
      <c r="AH37" s="213"/>
      <c r="AI37" s="223"/>
      <c r="AJ37" s="214"/>
      <c r="AK37" s="230" t="str">
        <f>$N$2</f>
        <v>Locale conventions</v>
      </c>
      <c r="AL37" s="213"/>
      <c r="AM37" s="213"/>
      <c r="AN37" s="223"/>
      <c r="AO37" s="214"/>
      <c r="AP37" s="230" t="str">
        <f>$N$2</f>
        <v>Locale conventions</v>
      </c>
      <c r="AQ37" s="213"/>
      <c r="AR37" s="213"/>
      <c r="AS37" s="223"/>
      <c r="AT37" s="214"/>
      <c r="AV37" s="246" t="str">
        <f t="shared" si="16"/>
        <v>Measurement format</v>
      </c>
      <c r="AW37" s="242">
        <f>SUMPRODUCT(('Evaluation details_input'!$F$4:$F$1000=$AV$34)*('Evaluation details_input'!$G$4:$G$1000=$AV37)*('Evaluation details_input'!$H$4:$H$1000=$AW$3))</f>
        <v>0</v>
      </c>
      <c r="AX37" s="203">
        <f t="shared" si="17"/>
        <v>0</v>
      </c>
      <c r="AY37" s="238">
        <f xml:space="preserve">
COUNTIFS('Evaluation details_input'!$P$3:$P$1000,$AV$34,'Evaluation details_input'!$Q$3:$Q$1000,$AV37,'Evaluation details_input'!$R$3:$R$1000,$AY$3)
+COUNTIFS('Evaluation details_input'!$F$3:$F$1000,$AV$34,'Evaluation details_input'!$G$3:$G$1000,$AV37,'Evaluation details_input'!$H$3:$H$1000,$AY$3,'Evaluation details_input'!$J$3:$J$1000,"Not accepted",'Evaluation details_input'!$N$3:$N$1000,"Disagree with original translator", 'Evaluation details_input'!$P$3:$P$1000,"")
+COUNTIFS('Evaluation details_input'!$F$3:$F$1000,$AV$34,'Evaluation details_input'!$G$3:$G$1000,$AV37,'Evaluation details_input'!$H$3:$H$1000,$AY$3,'Evaluation details_input'!$J$3:$J$1000,"Accepted", 'Evaluation details_input'!$P$3:$P$1000,"")
+COUNTIFS('Evaluation details_input'!$F$3:$F$1000,$AV$34,'Evaluation details_input'!$G$3:$G$1000,$AV37,'Evaluation details_input'!$H$3:$H$1000,$AY$3,'Evaluation details_input'!$J$3:$J$1000,"")</f>
        <v>0</v>
      </c>
      <c r="AZ37" s="203">
        <f t="shared" si="18"/>
        <v>0</v>
      </c>
      <c r="BA37" s="238">
        <f>SUMPRODUCT(('Evaluation details_input'!$F$4:$F$1000=$AV$34)*('Evaluation details_input'!$G$4:$G$1000=$AV37)*('Evaluation details_input'!$H$4:$H$1000=$BA$3))</f>
        <v>0</v>
      </c>
      <c r="BB37" s="203">
        <f t="shared" si="19"/>
        <v>0</v>
      </c>
      <c r="BC37" s="238">
        <f xml:space="preserve">
COUNTIFS('Evaluation details_input'!$P$3:$P$1000,$AV$34,'Evaluation details_input'!$Q$3:$Q$1000,$AV37,'Evaluation details_input'!$R$3:$R$1000,$BC$3)
+COUNTIFS('Evaluation details_input'!$F$3:$F$1000,$AV$34,'Evaluation details_input'!$G$3:$G$1000,$AV37,'Evaluation details_input'!$H$3:$H$1000,$BC$3,'Evaluation details_input'!$J$3:$J$1000,"Not accepted",'Evaluation details_input'!$N$3:$N$1000,"Disagree with original translator", 'Evaluation details_input'!$P$3:$P$1000,"")
+COUNTIFS('Evaluation details_input'!$F$3:$F$1000,$AV$34,'Evaluation details_input'!$G$3:$G$1000,$AV37,'Evaluation details_input'!$H$3:$H$1000,$BC$3,'Evaluation details_input'!$J$3:$J$1000,"Accepted", 'Evaluation details_input'!$P$3:$P$1000,"")
+COUNTIFS('Evaluation details_input'!$F$3:$F$1000,$AV$34,'Evaluation details_input'!$G$3:$G$1000,$AV37,'Evaluation details_input'!$H$3:$H$1000,$BC$3,'Evaluation details_input'!$J$3:$J$1000,"")</f>
        <v>0</v>
      </c>
      <c r="BD37" s="203">
        <f t="shared" si="20"/>
        <v>0</v>
      </c>
    </row>
    <row r="38" spans="2:56">
      <c r="C38" s="192" t="s">
        <v>1157</v>
      </c>
      <c r="E38" s="32"/>
      <c r="S38" s="271" t="s">
        <v>1238</v>
      </c>
      <c r="T38" s="272" t="s">
        <v>191</v>
      </c>
      <c r="V38" s="229" t="str">
        <f>$N$3</f>
        <v>Number format</v>
      </c>
      <c r="W38" s="197">
        <v>1</v>
      </c>
      <c r="X38" s="197">
        <v>5</v>
      </c>
      <c r="Y38" s="222">
        <v>100</v>
      </c>
      <c r="Z38" s="198">
        <v>0</v>
      </c>
      <c r="AA38" s="229" t="str">
        <f>$N$3</f>
        <v>Number format</v>
      </c>
      <c r="AB38" s="197">
        <v>1</v>
      </c>
      <c r="AC38" s="197">
        <v>5</v>
      </c>
      <c r="AD38" s="222">
        <v>100</v>
      </c>
      <c r="AE38" s="198">
        <v>0</v>
      </c>
      <c r="AF38" s="229" t="str">
        <f>$N$3</f>
        <v>Number format</v>
      </c>
      <c r="AG38" s="197">
        <v>1</v>
      </c>
      <c r="AH38" s="197">
        <v>5</v>
      </c>
      <c r="AI38" s="222">
        <v>100</v>
      </c>
      <c r="AJ38" s="198">
        <v>0</v>
      </c>
      <c r="AK38" s="229" t="str">
        <f>$N$3</f>
        <v>Number format</v>
      </c>
      <c r="AL38" s="197">
        <v>1</v>
      </c>
      <c r="AM38" s="197">
        <v>5</v>
      </c>
      <c r="AN38" s="222">
        <v>100</v>
      </c>
      <c r="AO38" s="198">
        <v>0</v>
      </c>
      <c r="AP38" s="229" t="str">
        <f>$N$3</f>
        <v>Number format</v>
      </c>
      <c r="AQ38" s="197">
        <v>1</v>
      </c>
      <c r="AR38" s="197">
        <v>5</v>
      </c>
      <c r="AS38" s="222">
        <v>100</v>
      </c>
      <c r="AT38" s="198">
        <v>0</v>
      </c>
      <c r="AV38" s="246" t="str">
        <f t="shared" si="16"/>
        <v>Time format</v>
      </c>
      <c r="AW38" s="242">
        <f>SUMPRODUCT(('Evaluation details_input'!$F$4:$F$1000=$AV$34)*('Evaluation details_input'!$G$4:$G$1000=$AV38)*('Evaluation details_input'!$H$4:$H$1000=$AW$3))</f>
        <v>0</v>
      </c>
      <c r="AX38" s="203">
        <f t="shared" si="17"/>
        <v>0</v>
      </c>
      <c r="AY38" s="238">
        <f xml:space="preserve">
COUNTIFS('Evaluation details_input'!$P$3:$P$1000,$AV$34,'Evaluation details_input'!$Q$3:$Q$1000,$AV38,'Evaluation details_input'!$R$3:$R$1000,$AY$3)
+COUNTIFS('Evaluation details_input'!$F$3:$F$1000,$AV$34,'Evaluation details_input'!$G$3:$G$1000,$AV38,'Evaluation details_input'!$H$3:$H$1000,$AY$3,'Evaluation details_input'!$J$3:$J$1000,"Not accepted",'Evaluation details_input'!$N$3:$N$1000,"Disagree with original translator", 'Evaluation details_input'!$P$3:$P$1000,"")
+COUNTIFS('Evaluation details_input'!$F$3:$F$1000,$AV$34,'Evaluation details_input'!$G$3:$G$1000,$AV38,'Evaluation details_input'!$H$3:$H$1000,$AY$3,'Evaluation details_input'!$J$3:$J$1000,"Accepted", 'Evaluation details_input'!$P$3:$P$1000,"")
+COUNTIFS('Evaluation details_input'!$F$3:$F$1000,$AV$34,'Evaluation details_input'!$G$3:$G$1000,$AV38,'Evaluation details_input'!$H$3:$H$1000,$AY$3,'Evaluation details_input'!$J$3:$J$1000,"")</f>
        <v>0</v>
      </c>
      <c r="AZ38" s="203">
        <f t="shared" si="18"/>
        <v>0</v>
      </c>
      <c r="BA38" s="238">
        <f>SUMPRODUCT(('Evaluation details_input'!$F$4:$F$1000=$AV$34)*('Evaluation details_input'!$G$4:$G$1000=$AV38)*('Evaluation details_input'!$H$4:$H$1000=$BA$3))</f>
        <v>0</v>
      </c>
      <c r="BB38" s="203">
        <f t="shared" si="19"/>
        <v>0</v>
      </c>
      <c r="BC38" s="238">
        <f xml:space="preserve">
COUNTIFS('Evaluation details_input'!$P$3:$P$1000,$AV$34,'Evaluation details_input'!$Q$3:$Q$1000,$AV38,'Evaluation details_input'!$R$3:$R$1000,$BC$3)
+COUNTIFS('Evaluation details_input'!$F$3:$F$1000,$AV$34,'Evaluation details_input'!$G$3:$G$1000,$AV38,'Evaluation details_input'!$H$3:$H$1000,$BC$3,'Evaluation details_input'!$J$3:$J$1000,"Not accepted",'Evaluation details_input'!$N$3:$N$1000,"Disagree with original translator", 'Evaluation details_input'!$P$3:$P$1000,"")
+COUNTIFS('Evaluation details_input'!$F$3:$F$1000,$AV$34,'Evaluation details_input'!$G$3:$G$1000,$AV38,'Evaluation details_input'!$H$3:$H$1000,$BC$3,'Evaluation details_input'!$J$3:$J$1000,"Accepted", 'Evaluation details_input'!$P$3:$P$1000,"")
+COUNTIFS('Evaluation details_input'!$F$3:$F$1000,$AV$34,'Evaluation details_input'!$G$3:$G$1000,$AV38,'Evaluation details_input'!$H$3:$H$1000,$BC$3,'Evaluation details_input'!$J$3:$J$1000,"")</f>
        <v>0</v>
      </c>
      <c r="BD38" s="203">
        <f t="shared" si="20"/>
        <v>0</v>
      </c>
    </row>
    <row r="39" spans="2:56">
      <c r="C39" s="192" t="s">
        <v>44</v>
      </c>
      <c r="E39" s="32"/>
      <c r="S39" s="271" t="s">
        <v>2686</v>
      </c>
      <c r="T39" s="272" t="s">
        <v>3043</v>
      </c>
      <c r="V39" s="229" t="str">
        <f>$N$4</f>
        <v>Currency format</v>
      </c>
      <c r="W39" s="197">
        <v>1</v>
      </c>
      <c r="X39" s="197">
        <v>5</v>
      </c>
      <c r="Y39" s="222">
        <v>100</v>
      </c>
      <c r="Z39" s="198">
        <v>0</v>
      </c>
      <c r="AA39" s="229" t="str">
        <f>$N$4</f>
        <v>Currency format</v>
      </c>
      <c r="AB39" s="197">
        <v>1</v>
      </c>
      <c r="AC39" s="197">
        <v>5</v>
      </c>
      <c r="AD39" s="222">
        <v>100</v>
      </c>
      <c r="AE39" s="198">
        <v>0</v>
      </c>
      <c r="AF39" s="229" t="str">
        <f>$N$4</f>
        <v>Currency format</v>
      </c>
      <c r="AG39" s="197">
        <v>1</v>
      </c>
      <c r="AH39" s="197">
        <v>5</v>
      </c>
      <c r="AI39" s="222">
        <v>100</v>
      </c>
      <c r="AJ39" s="198">
        <v>0</v>
      </c>
      <c r="AK39" s="229" t="str">
        <f>$N$4</f>
        <v>Currency format</v>
      </c>
      <c r="AL39" s="197">
        <v>1</v>
      </c>
      <c r="AM39" s="197">
        <v>5</v>
      </c>
      <c r="AN39" s="222">
        <v>100</v>
      </c>
      <c r="AO39" s="198">
        <v>0</v>
      </c>
      <c r="AP39" s="229" t="str">
        <f>$N$4</f>
        <v>Currency format</v>
      </c>
      <c r="AQ39" s="197">
        <v>1</v>
      </c>
      <c r="AR39" s="197">
        <v>5</v>
      </c>
      <c r="AS39" s="222">
        <v>100</v>
      </c>
      <c r="AT39" s="198">
        <v>0</v>
      </c>
      <c r="AV39" s="246" t="str">
        <f t="shared" si="16"/>
        <v>Date format</v>
      </c>
      <c r="AW39" s="242">
        <f>SUMPRODUCT(('Evaluation details_input'!$F$4:$F$1000=$AV$34)*('Evaluation details_input'!$G$4:$G$1000=$AV39)*('Evaluation details_input'!$H$4:$H$1000=$AW$3))</f>
        <v>0</v>
      </c>
      <c r="AX39" s="203">
        <f t="shared" si="17"/>
        <v>0</v>
      </c>
      <c r="AY39" s="238">
        <f xml:space="preserve">
COUNTIFS('Evaluation details_input'!$P$3:$P$1000,$AV$34,'Evaluation details_input'!$Q$3:$Q$1000,$AV39,'Evaluation details_input'!$R$3:$R$1000,$AY$3)
+COUNTIFS('Evaluation details_input'!$F$3:$F$1000,$AV$34,'Evaluation details_input'!$G$3:$G$1000,$AV39,'Evaluation details_input'!$H$3:$H$1000,$AY$3,'Evaluation details_input'!$J$3:$J$1000,"Not accepted",'Evaluation details_input'!$N$3:$N$1000,"Disagree with original translator", 'Evaluation details_input'!$P$3:$P$1000,"")
+COUNTIFS('Evaluation details_input'!$F$3:$F$1000,$AV$34,'Evaluation details_input'!$G$3:$G$1000,$AV39,'Evaluation details_input'!$H$3:$H$1000,$AY$3,'Evaluation details_input'!$J$3:$J$1000,"Accepted", 'Evaluation details_input'!$P$3:$P$1000,"")
+COUNTIFS('Evaluation details_input'!$F$3:$F$1000,$AV$34,'Evaluation details_input'!$G$3:$G$1000,$AV39,'Evaluation details_input'!$H$3:$H$1000,$AY$3,'Evaluation details_input'!$J$3:$J$1000,"")</f>
        <v>0</v>
      </c>
      <c r="AZ39" s="203">
        <f t="shared" si="18"/>
        <v>0</v>
      </c>
      <c r="BA39" s="238">
        <f>SUMPRODUCT(('Evaluation details_input'!$F$4:$F$1000=$AV$34)*('Evaluation details_input'!$G$4:$G$1000=$AV39)*('Evaluation details_input'!$H$4:$H$1000=$BA$3))</f>
        <v>0</v>
      </c>
      <c r="BB39" s="203">
        <f t="shared" si="19"/>
        <v>0</v>
      </c>
      <c r="BC39" s="238">
        <f xml:space="preserve">
COUNTIFS('Evaluation details_input'!$P$3:$P$1000,$AV$34,'Evaluation details_input'!$Q$3:$Q$1000,$AV39,'Evaluation details_input'!$R$3:$R$1000,$BC$3)
+COUNTIFS('Evaluation details_input'!$F$3:$F$1000,$AV$34,'Evaluation details_input'!$G$3:$G$1000,$AV39,'Evaluation details_input'!$H$3:$H$1000,$BC$3,'Evaluation details_input'!$J$3:$J$1000,"Not accepted",'Evaluation details_input'!$N$3:$N$1000,"Disagree with original translator", 'Evaluation details_input'!$P$3:$P$1000,"")
+COUNTIFS('Evaluation details_input'!$F$3:$F$1000,$AV$34,'Evaluation details_input'!$G$3:$G$1000,$AV39,'Evaluation details_input'!$H$3:$H$1000,$BC$3,'Evaluation details_input'!$J$3:$J$1000,"Accepted", 'Evaluation details_input'!$P$3:$P$1000,"")
+COUNTIFS('Evaluation details_input'!$F$3:$F$1000,$AV$34,'Evaluation details_input'!$G$3:$G$1000,$AV39,'Evaluation details_input'!$H$3:$H$1000,$BC$3,'Evaluation details_input'!$J$3:$J$1000,"")</f>
        <v>0</v>
      </c>
      <c r="BD39" s="203">
        <f t="shared" si="20"/>
        <v>0</v>
      </c>
    </row>
    <row r="40" spans="2:56" ht="22.5">
      <c r="C40" s="192" t="s">
        <v>45</v>
      </c>
      <c r="E40" s="32"/>
      <c r="S40" s="271" t="s">
        <v>1239</v>
      </c>
      <c r="T40" s="272" t="s">
        <v>192</v>
      </c>
      <c r="V40" s="229" t="str">
        <f>$N$5</f>
        <v>Measurement format</v>
      </c>
      <c r="W40" s="197">
        <v>1</v>
      </c>
      <c r="X40" s="197">
        <v>5</v>
      </c>
      <c r="Y40" s="222">
        <v>100</v>
      </c>
      <c r="Z40" s="198">
        <v>0</v>
      </c>
      <c r="AA40" s="229" t="str">
        <f>$N$5</f>
        <v>Measurement format</v>
      </c>
      <c r="AB40" s="197">
        <v>1</v>
      </c>
      <c r="AC40" s="197">
        <v>5</v>
      </c>
      <c r="AD40" s="222">
        <v>100</v>
      </c>
      <c r="AE40" s="198">
        <v>0</v>
      </c>
      <c r="AF40" s="229" t="str">
        <f>$N$5</f>
        <v>Measurement format</v>
      </c>
      <c r="AG40" s="197">
        <v>1</v>
      </c>
      <c r="AH40" s="197">
        <v>5</v>
      </c>
      <c r="AI40" s="222">
        <v>100</v>
      </c>
      <c r="AJ40" s="198">
        <v>0</v>
      </c>
      <c r="AK40" s="229" t="str">
        <f>$N$5</f>
        <v>Measurement format</v>
      </c>
      <c r="AL40" s="197">
        <v>1</v>
      </c>
      <c r="AM40" s="197">
        <v>5</v>
      </c>
      <c r="AN40" s="222">
        <v>100</v>
      </c>
      <c r="AO40" s="198">
        <v>0</v>
      </c>
      <c r="AP40" s="229" t="str">
        <f>$N$5</f>
        <v>Measurement format</v>
      </c>
      <c r="AQ40" s="197">
        <v>1</v>
      </c>
      <c r="AR40" s="197">
        <v>5</v>
      </c>
      <c r="AS40" s="222">
        <v>100</v>
      </c>
      <c r="AT40" s="198">
        <v>0</v>
      </c>
      <c r="AV40" s="246" t="str">
        <f t="shared" si="16"/>
        <v>Address format</v>
      </c>
      <c r="AW40" s="242">
        <f>SUMPRODUCT(('Evaluation details_input'!$F$4:$F$1000=$AV$34)*('Evaluation details_input'!$G$4:$G$1000=$AV40)*('Evaluation details_input'!$H$4:$H$1000=$AW$3))</f>
        <v>0</v>
      </c>
      <c r="AX40" s="203">
        <f t="shared" si="17"/>
        <v>0</v>
      </c>
      <c r="AY40" s="238">
        <f xml:space="preserve">
COUNTIFS('Evaluation details_input'!$P$3:$P$1000,$AV$34,'Evaluation details_input'!$Q$3:$Q$1000,$AV40,'Evaluation details_input'!$R$3:$R$1000,$AY$3)
+COUNTIFS('Evaluation details_input'!$F$3:$F$1000,$AV$34,'Evaluation details_input'!$G$3:$G$1000,$AV40,'Evaluation details_input'!$H$3:$H$1000,$AY$3,'Evaluation details_input'!$J$3:$J$1000,"Not accepted",'Evaluation details_input'!$N$3:$N$1000,"Disagree with original translator", 'Evaluation details_input'!$P$3:$P$1000,"")
+COUNTIFS('Evaluation details_input'!$F$3:$F$1000,$AV$34,'Evaluation details_input'!$G$3:$G$1000,$AV40,'Evaluation details_input'!$H$3:$H$1000,$AY$3,'Evaluation details_input'!$J$3:$J$1000,"Accepted", 'Evaluation details_input'!$P$3:$P$1000,"")
+COUNTIFS('Evaluation details_input'!$F$3:$F$1000,$AV$34,'Evaluation details_input'!$G$3:$G$1000,$AV40,'Evaluation details_input'!$H$3:$H$1000,$AY$3,'Evaluation details_input'!$J$3:$J$1000,"")</f>
        <v>0</v>
      </c>
      <c r="AZ40" s="203">
        <f t="shared" si="18"/>
        <v>0</v>
      </c>
      <c r="BA40" s="238">
        <f>SUMPRODUCT(('Evaluation details_input'!$F$4:$F$1000=$AV$34)*('Evaluation details_input'!$G$4:$G$1000=$AV40)*('Evaluation details_input'!$H$4:$H$1000=$BA$3))</f>
        <v>0</v>
      </c>
      <c r="BB40" s="203">
        <f t="shared" si="19"/>
        <v>0</v>
      </c>
      <c r="BC40" s="238">
        <f xml:space="preserve">
COUNTIFS('Evaluation details_input'!$P$3:$P$1000,$AV$34,'Evaluation details_input'!$Q$3:$Q$1000,$AV40,'Evaluation details_input'!$R$3:$R$1000,$BC$3)
+COUNTIFS('Evaluation details_input'!$F$3:$F$1000,$AV$34,'Evaluation details_input'!$G$3:$G$1000,$AV40,'Evaluation details_input'!$H$3:$H$1000,$BC$3,'Evaluation details_input'!$J$3:$J$1000,"Not accepted",'Evaluation details_input'!$N$3:$N$1000,"Disagree with original translator", 'Evaluation details_input'!$P$3:$P$1000,"")
+COUNTIFS('Evaluation details_input'!$F$3:$F$1000,$AV$34,'Evaluation details_input'!$G$3:$G$1000,$AV40,'Evaluation details_input'!$H$3:$H$1000,$BC$3,'Evaluation details_input'!$J$3:$J$1000,"Accepted", 'Evaluation details_input'!$P$3:$P$1000,"")
+COUNTIFS('Evaluation details_input'!$F$3:$F$1000,$AV$34,'Evaluation details_input'!$G$3:$G$1000,$AV40,'Evaluation details_input'!$H$3:$H$1000,$BC$3,'Evaluation details_input'!$J$3:$J$1000,"")</f>
        <v>0</v>
      </c>
      <c r="BD40" s="203">
        <f t="shared" si="20"/>
        <v>0</v>
      </c>
    </row>
    <row r="41" spans="2:56" ht="22.5">
      <c r="C41" s="192" t="s">
        <v>46</v>
      </c>
      <c r="E41" s="32"/>
      <c r="S41" s="271" t="s">
        <v>2687</v>
      </c>
      <c r="T41" s="272" t="s">
        <v>3044</v>
      </c>
      <c r="V41" s="229" t="str">
        <f>$N$6</f>
        <v>Time format</v>
      </c>
      <c r="W41" s="197">
        <v>1</v>
      </c>
      <c r="X41" s="197">
        <v>5</v>
      </c>
      <c r="Y41" s="222">
        <v>100</v>
      </c>
      <c r="Z41" s="198">
        <v>0</v>
      </c>
      <c r="AA41" s="229" t="str">
        <f>$N$6</f>
        <v>Time format</v>
      </c>
      <c r="AB41" s="197">
        <v>1</v>
      </c>
      <c r="AC41" s="197">
        <v>5</v>
      </c>
      <c r="AD41" s="222">
        <v>100</v>
      </c>
      <c r="AE41" s="198">
        <v>0</v>
      </c>
      <c r="AF41" s="229" t="str">
        <f>$N$6</f>
        <v>Time format</v>
      </c>
      <c r="AG41" s="197">
        <v>1</v>
      </c>
      <c r="AH41" s="197">
        <v>5</v>
      </c>
      <c r="AI41" s="222">
        <v>100</v>
      </c>
      <c r="AJ41" s="198">
        <v>0</v>
      </c>
      <c r="AK41" s="229" t="str">
        <f>$N$6</f>
        <v>Time format</v>
      </c>
      <c r="AL41" s="197">
        <v>1</v>
      </c>
      <c r="AM41" s="197">
        <v>5</v>
      </c>
      <c r="AN41" s="222">
        <v>100</v>
      </c>
      <c r="AO41" s="198">
        <v>0</v>
      </c>
      <c r="AP41" s="229" t="str">
        <f>$N$6</f>
        <v>Time format</v>
      </c>
      <c r="AQ41" s="197">
        <v>1</v>
      </c>
      <c r="AR41" s="197">
        <v>5</v>
      </c>
      <c r="AS41" s="222">
        <v>100</v>
      </c>
      <c r="AT41" s="198">
        <v>0</v>
      </c>
      <c r="AV41" s="246" t="str">
        <f t="shared" si="16"/>
        <v>Telephone format</v>
      </c>
      <c r="AW41" s="242">
        <f>SUMPRODUCT(('Evaluation details_input'!$F$4:$F$1000=$AV$34)*('Evaluation details_input'!$G$4:$G$1000=$AV41)*('Evaluation details_input'!$H$4:$H$1000=$AW$3))</f>
        <v>0</v>
      </c>
      <c r="AX41" s="203">
        <f t="shared" si="17"/>
        <v>0</v>
      </c>
      <c r="AY41" s="238">
        <f xml:space="preserve">
COUNTIFS('Evaluation details_input'!$P$3:$P$1000,$AV$34,'Evaluation details_input'!$Q$3:$Q$1000,$AV41,'Evaluation details_input'!$R$3:$R$1000,$AY$3)
+COUNTIFS('Evaluation details_input'!$F$3:$F$1000,$AV$34,'Evaluation details_input'!$G$3:$G$1000,$AV41,'Evaluation details_input'!$H$3:$H$1000,$AY$3,'Evaluation details_input'!$J$3:$J$1000,"Not accepted",'Evaluation details_input'!$N$3:$N$1000,"Disagree with original translator", 'Evaluation details_input'!$P$3:$P$1000,"")
+COUNTIFS('Evaluation details_input'!$F$3:$F$1000,$AV$34,'Evaluation details_input'!$G$3:$G$1000,$AV41,'Evaluation details_input'!$H$3:$H$1000,$AY$3,'Evaluation details_input'!$J$3:$J$1000,"Accepted", 'Evaluation details_input'!$P$3:$P$1000,"")
+COUNTIFS('Evaluation details_input'!$F$3:$F$1000,$AV$34,'Evaluation details_input'!$G$3:$G$1000,$AV41,'Evaluation details_input'!$H$3:$H$1000,$AY$3,'Evaluation details_input'!$J$3:$J$1000,"")</f>
        <v>0</v>
      </c>
      <c r="AZ41" s="203">
        <f t="shared" si="18"/>
        <v>0</v>
      </c>
      <c r="BA41" s="238">
        <f>SUMPRODUCT(('Evaluation details_input'!$F$4:$F$1000=$AV$34)*('Evaluation details_input'!$G$4:$G$1000=$AV41)*('Evaluation details_input'!$H$4:$H$1000=$BA$3))</f>
        <v>0</v>
      </c>
      <c r="BB41" s="203">
        <f t="shared" si="19"/>
        <v>0</v>
      </c>
      <c r="BC41" s="238">
        <f xml:space="preserve">
COUNTIFS('Evaluation details_input'!$P$3:$P$1000,$AV$34,'Evaluation details_input'!$Q$3:$Q$1000,$AV41,'Evaluation details_input'!$R$3:$R$1000,$BC$3)
+COUNTIFS('Evaluation details_input'!$F$3:$F$1000,$AV$34,'Evaluation details_input'!$G$3:$G$1000,$AV41,'Evaluation details_input'!$H$3:$H$1000,$BC$3,'Evaluation details_input'!$J$3:$J$1000,"Not accepted",'Evaluation details_input'!$N$3:$N$1000,"Disagree with original translator", 'Evaluation details_input'!$P$3:$P$1000,"")
+COUNTIFS('Evaluation details_input'!$F$3:$F$1000,$AV$34,'Evaluation details_input'!$G$3:$G$1000,$AV41,'Evaluation details_input'!$H$3:$H$1000,$BC$3,'Evaluation details_input'!$J$3:$J$1000,"Accepted", 'Evaluation details_input'!$P$3:$P$1000,"")
+COUNTIFS('Evaluation details_input'!$F$3:$F$1000,$AV$34,'Evaluation details_input'!$G$3:$G$1000,$AV41,'Evaluation details_input'!$H$3:$H$1000,$BC$3,'Evaluation details_input'!$J$3:$J$1000,"")</f>
        <v>0</v>
      </c>
      <c r="BD41" s="203">
        <f t="shared" si="20"/>
        <v>0</v>
      </c>
    </row>
    <row r="42" spans="2:56">
      <c r="C42" s="192" t="s">
        <v>105</v>
      </c>
      <c r="E42" s="32"/>
      <c r="S42" s="271" t="s">
        <v>2688</v>
      </c>
      <c r="T42" s="272" t="s">
        <v>3045</v>
      </c>
      <c r="V42" s="229" t="str">
        <f>$N$7</f>
        <v>Date format</v>
      </c>
      <c r="W42" s="197">
        <v>1</v>
      </c>
      <c r="X42" s="197">
        <v>5</v>
      </c>
      <c r="Y42" s="222">
        <v>100</v>
      </c>
      <c r="Z42" s="198">
        <v>0</v>
      </c>
      <c r="AA42" s="229" t="str">
        <f>$N$7</f>
        <v>Date format</v>
      </c>
      <c r="AB42" s="197">
        <v>1</v>
      </c>
      <c r="AC42" s="197">
        <v>5</v>
      </c>
      <c r="AD42" s="222">
        <v>100</v>
      </c>
      <c r="AE42" s="198">
        <v>0</v>
      </c>
      <c r="AF42" s="229" t="str">
        <f>$N$7</f>
        <v>Date format</v>
      </c>
      <c r="AG42" s="197">
        <v>1</v>
      </c>
      <c r="AH42" s="197">
        <v>5</v>
      </c>
      <c r="AI42" s="222">
        <v>100</v>
      </c>
      <c r="AJ42" s="198">
        <v>0</v>
      </c>
      <c r="AK42" s="229" t="str">
        <f>$N$7</f>
        <v>Date format</v>
      </c>
      <c r="AL42" s="197">
        <v>1</v>
      </c>
      <c r="AM42" s="197">
        <v>5</v>
      </c>
      <c r="AN42" s="222">
        <v>100</v>
      </c>
      <c r="AO42" s="198">
        <v>0</v>
      </c>
      <c r="AP42" s="229" t="str">
        <f>$N$7</f>
        <v>Date format</v>
      </c>
      <c r="AQ42" s="197">
        <v>1</v>
      </c>
      <c r="AR42" s="197">
        <v>5</v>
      </c>
      <c r="AS42" s="222">
        <v>100</v>
      </c>
      <c r="AT42" s="198">
        <v>0</v>
      </c>
      <c r="AV42" s="246" t="str">
        <f t="shared" si="16"/>
        <v>Shortcut key</v>
      </c>
      <c r="AW42" s="242">
        <f>SUMPRODUCT(('Evaluation details_input'!$F$4:$F$1000=$AV$34)*('Evaluation details_input'!$G$4:$G$1000=$AV42)*('Evaluation details_input'!$H$4:$H$1000=$AW$3))</f>
        <v>0</v>
      </c>
      <c r="AX42" s="203">
        <f t="shared" si="17"/>
        <v>0</v>
      </c>
      <c r="AY42" s="238">
        <f xml:space="preserve">
COUNTIFS('Evaluation details_input'!$P$3:$P$1000,$AV$34,'Evaluation details_input'!$Q$3:$Q$1000,$AV42,'Evaluation details_input'!$R$3:$R$1000,$AY$3)
+COUNTIFS('Evaluation details_input'!$F$3:$F$1000,$AV$34,'Evaluation details_input'!$G$3:$G$1000,$AV42,'Evaluation details_input'!$H$3:$H$1000,$AY$3,'Evaluation details_input'!$J$3:$J$1000,"Not accepted",'Evaluation details_input'!$N$3:$N$1000,"Disagree with original translator", 'Evaluation details_input'!$P$3:$P$1000,"")
+COUNTIFS('Evaluation details_input'!$F$3:$F$1000,$AV$34,'Evaluation details_input'!$G$3:$G$1000,$AV42,'Evaluation details_input'!$H$3:$H$1000,$AY$3,'Evaluation details_input'!$J$3:$J$1000,"Accepted", 'Evaluation details_input'!$P$3:$P$1000,"")
+COUNTIFS('Evaluation details_input'!$F$3:$F$1000,$AV$34,'Evaluation details_input'!$G$3:$G$1000,$AV42,'Evaluation details_input'!$H$3:$H$1000,$AY$3,'Evaluation details_input'!$J$3:$J$1000,"")</f>
        <v>0</v>
      </c>
      <c r="AZ42" s="203">
        <f t="shared" si="18"/>
        <v>0</v>
      </c>
      <c r="BA42" s="238">
        <f>SUMPRODUCT(('Evaluation details_input'!$F$4:$F$1000=$AV$34)*('Evaluation details_input'!$G$4:$G$1000=$AV42)*('Evaluation details_input'!$H$4:$H$1000=$BA$3))</f>
        <v>0</v>
      </c>
      <c r="BB42" s="203">
        <f t="shared" si="19"/>
        <v>0</v>
      </c>
      <c r="BC42" s="238">
        <f xml:space="preserve">
COUNTIFS('Evaluation details_input'!$P$3:$P$1000,$AV$34,'Evaluation details_input'!$Q$3:$Q$1000,$AV42,'Evaluation details_input'!$R$3:$R$1000,$BC$3)
+COUNTIFS('Evaluation details_input'!$F$3:$F$1000,$AV$34,'Evaluation details_input'!$G$3:$G$1000,$AV42,'Evaluation details_input'!$H$3:$H$1000,$BC$3,'Evaluation details_input'!$J$3:$J$1000,"Not accepted",'Evaluation details_input'!$N$3:$N$1000,"Disagree with original translator", 'Evaluation details_input'!$P$3:$P$1000,"")
+COUNTIFS('Evaluation details_input'!$F$3:$F$1000,$AV$34,'Evaluation details_input'!$G$3:$G$1000,$AV42,'Evaluation details_input'!$H$3:$H$1000,$BC$3,'Evaluation details_input'!$J$3:$J$1000,"Accepted", 'Evaluation details_input'!$P$3:$P$1000,"")
+COUNTIFS('Evaluation details_input'!$F$3:$F$1000,$AV$34,'Evaluation details_input'!$G$3:$G$1000,$AV42,'Evaluation details_input'!$H$3:$H$1000,$BC$3,'Evaluation details_input'!$J$3:$J$1000,"")</f>
        <v>0</v>
      </c>
      <c r="BD42" s="203">
        <f t="shared" si="20"/>
        <v>0</v>
      </c>
    </row>
    <row r="43" spans="2:56" ht="13.5" thickBot="1">
      <c r="C43" s="192" t="s">
        <v>1158</v>
      </c>
      <c r="E43" s="32"/>
      <c r="S43" s="271" t="s">
        <v>1240</v>
      </c>
      <c r="T43" s="272" t="s">
        <v>797</v>
      </c>
      <c r="V43" s="229" t="str">
        <f>$N$8</f>
        <v>Address format</v>
      </c>
      <c r="W43" s="197">
        <v>1</v>
      </c>
      <c r="X43" s="197">
        <v>5</v>
      </c>
      <c r="Y43" s="222">
        <v>100</v>
      </c>
      <c r="Z43" s="198">
        <v>0</v>
      </c>
      <c r="AA43" s="229" t="str">
        <f>$N$8</f>
        <v>Address format</v>
      </c>
      <c r="AB43" s="197">
        <v>1</v>
      </c>
      <c r="AC43" s="197">
        <v>5</v>
      </c>
      <c r="AD43" s="222">
        <v>100</v>
      </c>
      <c r="AE43" s="198">
        <v>0</v>
      </c>
      <c r="AF43" s="229" t="str">
        <f>$N$8</f>
        <v>Address format</v>
      </c>
      <c r="AG43" s="197">
        <v>1</v>
      </c>
      <c r="AH43" s="197">
        <v>5</v>
      </c>
      <c r="AI43" s="222">
        <v>100</v>
      </c>
      <c r="AJ43" s="198">
        <v>0</v>
      </c>
      <c r="AK43" s="229" t="str">
        <f>$N$8</f>
        <v>Address format</v>
      </c>
      <c r="AL43" s="197">
        <v>1</v>
      </c>
      <c r="AM43" s="197">
        <v>5</v>
      </c>
      <c r="AN43" s="222">
        <v>100</v>
      </c>
      <c r="AO43" s="198">
        <v>0</v>
      </c>
      <c r="AP43" s="229" t="str">
        <f>$N$8</f>
        <v>Address format</v>
      </c>
      <c r="AQ43" s="197">
        <v>1</v>
      </c>
      <c r="AR43" s="197">
        <v>5</v>
      </c>
      <c r="AS43" s="222">
        <v>100</v>
      </c>
      <c r="AT43" s="198">
        <v>0</v>
      </c>
      <c r="AV43" s="248" t="str">
        <f t="shared" si="16"/>
        <v>Other</v>
      </c>
      <c r="AW43" s="242">
        <f>SUMPRODUCT(('Evaluation details_input'!$F$4:$F$1000=$AV$34)*('Evaluation details_input'!$G$4:$G$1000=$AV43)*('Evaluation details_input'!$H$4:$H$1000=$AW$3))</f>
        <v>0</v>
      </c>
      <c r="AX43" s="203">
        <f t="shared" si="17"/>
        <v>0</v>
      </c>
      <c r="AY43" s="238">
        <f xml:space="preserve">
COUNTIFS('Evaluation details_input'!$P$3:$P$1000,$AV$34,'Evaluation details_input'!$Q$3:$Q$1000,$AV43,'Evaluation details_input'!$R$3:$R$1000,$AY$3)
+COUNTIFS('Evaluation details_input'!$F$3:$F$1000,$AV$34,'Evaluation details_input'!$G$3:$G$1000,$AV43,'Evaluation details_input'!$H$3:$H$1000,$AY$3,'Evaluation details_input'!$J$3:$J$1000,"Not accepted",'Evaluation details_input'!$N$3:$N$1000,"Disagree with original translator", 'Evaluation details_input'!$P$3:$P$1000,"")
+COUNTIFS('Evaluation details_input'!$F$3:$F$1000,$AV$34,'Evaluation details_input'!$G$3:$G$1000,$AV43,'Evaluation details_input'!$H$3:$H$1000,$AY$3,'Evaluation details_input'!$J$3:$J$1000,"Accepted", 'Evaluation details_input'!$P$3:$P$1000,"")
+COUNTIFS('Evaluation details_input'!$F$3:$F$1000,$AV$34,'Evaluation details_input'!$G$3:$G$1000,$AV43,'Evaluation details_input'!$H$3:$H$1000,$AY$3,'Evaluation details_input'!$J$3:$J$1000,"")</f>
        <v>0</v>
      </c>
      <c r="AZ43" s="203">
        <f t="shared" si="18"/>
        <v>0</v>
      </c>
      <c r="BA43" s="238">
        <f>SUMPRODUCT(('Evaluation details_input'!$F$4:$F$1000=$AV$34)*('Evaluation details_input'!$G$4:$G$1000=$AV43)*('Evaluation details_input'!$H$4:$H$1000=$BA$3))</f>
        <v>0</v>
      </c>
      <c r="BB43" s="203">
        <f t="shared" si="19"/>
        <v>0</v>
      </c>
      <c r="BC43" s="238">
        <f xml:space="preserve">
COUNTIFS('Evaluation details_input'!$P$3:$P$1000,$AV$34,'Evaluation details_input'!$Q$3:$Q$1000,$AV43,'Evaluation details_input'!$R$3:$R$1000,$BC$3)
+COUNTIFS('Evaluation details_input'!$F$3:$F$1000,$AV$34,'Evaluation details_input'!$G$3:$G$1000,$AV43,'Evaluation details_input'!$H$3:$H$1000,$BC$3,'Evaluation details_input'!$J$3:$J$1000,"Not accepted",'Evaluation details_input'!$N$3:$N$1000,"Disagree with original translator", 'Evaluation details_input'!$P$3:$P$1000,"")
+COUNTIFS('Evaluation details_input'!$F$3:$F$1000,$AV$34,'Evaluation details_input'!$G$3:$G$1000,$AV43,'Evaluation details_input'!$H$3:$H$1000,$BC$3,'Evaluation details_input'!$J$3:$J$1000,"Accepted", 'Evaluation details_input'!$P$3:$P$1000,"")
+COUNTIFS('Evaluation details_input'!$F$3:$F$1000,$AV$34,'Evaluation details_input'!$G$3:$G$1000,$AV43,'Evaluation details_input'!$H$3:$H$1000,$BC$3,'Evaluation details_input'!$J$3:$J$1000,"")</f>
        <v>0</v>
      </c>
      <c r="BD43" s="203">
        <f xml:space="preserve">
IF($AW$2=$AA$3,$BC43*$AC46,
IF($AW$2=$AF$3,$BC43*$AH46,
$BC43*$X46))</f>
        <v>0</v>
      </c>
    </row>
    <row r="44" spans="2:56" ht="33.75">
      <c r="C44" s="192" t="s">
        <v>141</v>
      </c>
      <c r="E44" s="32"/>
      <c r="S44" s="271" t="s">
        <v>1241</v>
      </c>
      <c r="T44" s="272" t="s">
        <v>1242</v>
      </c>
      <c r="V44" s="229" t="str">
        <f>$N$9</f>
        <v>Telephone format</v>
      </c>
      <c r="W44" s="197">
        <v>1</v>
      </c>
      <c r="X44" s="197">
        <v>5</v>
      </c>
      <c r="Y44" s="222">
        <v>100</v>
      </c>
      <c r="Z44" s="198">
        <v>0</v>
      </c>
      <c r="AA44" s="229" t="str">
        <f>$N$9</f>
        <v>Telephone format</v>
      </c>
      <c r="AB44" s="197">
        <v>1</v>
      </c>
      <c r="AC44" s="197">
        <v>5</v>
      </c>
      <c r="AD44" s="222">
        <v>100</v>
      </c>
      <c r="AE44" s="198">
        <v>0</v>
      </c>
      <c r="AF44" s="229" t="str">
        <f>$N$9</f>
        <v>Telephone format</v>
      </c>
      <c r="AG44" s="197">
        <v>1</v>
      </c>
      <c r="AH44" s="197">
        <v>5</v>
      </c>
      <c r="AI44" s="222">
        <v>100</v>
      </c>
      <c r="AJ44" s="198">
        <v>0</v>
      </c>
      <c r="AK44" s="229" t="str">
        <f>$N$9</f>
        <v>Telephone format</v>
      </c>
      <c r="AL44" s="197">
        <v>1</v>
      </c>
      <c r="AM44" s="197">
        <v>5</v>
      </c>
      <c r="AN44" s="222">
        <v>100</v>
      </c>
      <c r="AO44" s="198">
        <v>0</v>
      </c>
      <c r="AP44" s="229" t="str">
        <f>$N$9</f>
        <v>Telephone format</v>
      </c>
      <c r="AQ44" s="197">
        <v>1</v>
      </c>
      <c r="AR44" s="197">
        <v>5</v>
      </c>
      <c r="AS44" s="222">
        <v>100</v>
      </c>
      <c r="AT44" s="198">
        <v>0</v>
      </c>
      <c r="AV44" s="250" t="str">
        <f>O2</f>
        <v>Audience appropriateness</v>
      </c>
      <c r="AW44" s="243"/>
      <c r="AX44" s="209"/>
      <c r="AY44" s="209"/>
      <c r="AZ44" s="209"/>
      <c r="BA44" s="239"/>
      <c r="BB44" s="209"/>
      <c r="BC44" s="209"/>
      <c r="BD44" s="209"/>
    </row>
    <row r="45" spans="2:56" ht="33.75">
      <c r="C45" s="192" t="s">
        <v>47</v>
      </c>
      <c r="E45" s="32"/>
      <c r="S45" s="271" t="s">
        <v>1243</v>
      </c>
      <c r="T45" s="272" t="s">
        <v>798</v>
      </c>
      <c r="V45" s="229" t="str">
        <f>$N$10</f>
        <v>Shortcut key</v>
      </c>
      <c r="W45" s="197">
        <v>1</v>
      </c>
      <c r="X45" s="197">
        <v>5</v>
      </c>
      <c r="Y45" s="222">
        <v>100</v>
      </c>
      <c r="Z45" s="198">
        <v>0</v>
      </c>
      <c r="AA45" s="229" t="str">
        <f>$N$10</f>
        <v>Shortcut key</v>
      </c>
      <c r="AB45" s="197">
        <v>1</v>
      </c>
      <c r="AC45" s="197">
        <v>5</v>
      </c>
      <c r="AD45" s="222">
        <v>100</v>
      </c>
      <c r="AE45" s="198">
        <v>0</v>
      </c>
      <c r="AF45" s="229" t="str">
        <f>$N$10</f>
        <v>Shortcut key</v>
      </c>
      <c r="AG45" s="197">
        <v>1</v>
      </c>
      <c r="AH45" s="197">
        <v>5</v>
      </c>
      <c r="AI45" s="222">
        <v>100</v>
      </c>
      <c r="AJ45" s="198">
        <v>0</v>
      </c>
      <c r="AK45" s="229" t="str">
        <f>$N$10</f>
        <v>Shortcut key</v>
      </c>
      <c r="AL45" s="197">
        <v>1</v>
      </c>
      <c r="AM45" s="197">
        <v>5</v>
      </c>
      <c r="AN45" s="222">
        <v>100</v>
      </c>
      <c r="AO45" s="198">
        <v>0</v>
      </c>
      <c r="AP45" s="229" t="str">
        <f>$N$10</f>
        <v>Shortcut key</v>
      </c>
      <c r="AQ45" s="197">
        <v>1</v>
      </c>
      <c r="AR45" s="197">
        <v>5</v>
      </c>
      <c r="AS45" s="222">
        <v>100</v>
      </c>
      <c r="AT45" s="198">
        <v>0</v>
      </c>
      <c r="AV45" s="246" t="str">
        <f>$O3</f>
        <v>Culture-specific reference</v>
      </c>
      <c r="AW45" s="242">
        <f>SUMPRODUCT(('Evaluation details_input'!$F$4:$F$1000=$AV$44)*('Evaluation details_input'!$G$4:$G$1000=$AV45)*('Evaluation details_input'!$H$4:$H$1000=$AW$3))</f>
        <v>0</v>
      </c>
      <c r="AX45" s="203">
        <f xml:space="preserve">
IF($AW$2=$AA$3,$AW45*$AB48,
IF($AW$2=$AF$3,$AW45*$AG48,
$AW45*$W48))</f>
        <v>0</v>
      </c>
      <c r="AY45" s="238">
        <f xml:space="preserve">
COUNTIFS('Evaluation details_input'!$P$3:$P$1000,$AV$44,'Evaluation details_input'!$Q$3:$Q$1000,$AV45,'Evaluation details_input'!$R$3:$R$1000,$AY$3)
+COUNTIFS('Evaluation details_input'!$F$3:$F$1000,$AV$44,'Evaluation details_input'!$G$3:$G$1000,$AV45,'Evaluation details_input'!$H$3:$H$1000,$AY$3,'Evaluation details_input'!$J$3:$J$1000,"Not accepted",'Evaluation details_input'!$N$3:$N$1000,"Disagree with original translator", 'Evaluation details_input'!$P$3:$P$1000,"")
+COUNTIFS('Evaluation details_input'!$F$3:$F$1000,$AV$44,'Evaluation details_input'!$G$3:$G$1000,$AV45,'Evaluation details_input'!$H$3:$H$1000,$AY$3,'Evaluation details_input'!$J$3:$J$1000,"Accepted", 'Evaluation details_input'!$P$3:$P$1000,"")
+COUNTIFS('Evaluation details_input'!$F$3:$F$1000,$AV$44,'Evaluation details_input'!$G$3:$G$1000,$AV45,'Evaluation details_input'!$H$3:$H$1000,$AY$3,'Evaluation details_input'!$J$3:$J$1000,"")</f>
        <v>0</v>
      </c>
      <c r="AZ45" s="203">
        <f xml:space="preserve">
IF($AW$2=$AA$3,$AY45*$AB48,
IF($AW$2=$AF$3,$AY45*$AG48,
$AY45*$W48))</f>
        <v>0</v>
      </c>
      <c r="BA45" s="238">
        <f>SUMPRODUCT(('Evaluation details_input'!$F$4:$F$1000=$AV$44)*('Evaluation details_input'!$G$4:$G$1000=$AV45)*('Evaluation details_input'!$H$4:$H$1000=$BA$3))</f>
        <v>0</v>
      </c>
      <c r="BB45" s="203">
        <f xml:space="preserve">
IF($AW$2=$AA$3,$BA45*$AC48,
IF($AW$2=$AF$3,$BA45*$AH48,
$BA45*$X48))</f>
        <v>0</v>
      </c>
      <c r="BC45" s="238">
        <f xml:space="preserve">
COUNTIFS('Evaluation details_input'!$P$3:$P$1000,$AV$44,'Evaluation details_input'!$Q$3:$Q$1000,$AV45,'Evaluation details_input'!$R$3:$R$1000,$BC$3)
+COUNTIFS('Evaluation details_input'!$F$3:$F$1000,$AV$44,'Evaluation details_input'!$G$3:$G$1000,$AV45,'Evaluation details_input'!$H$3:$H$1000,$BC$3,'Evaluation details_input'!$J$3:$J$1000,"Not accepted",'Evaluation details_input'!$N$3:$N$1000,"Disagree with original translator", 'Evaluation details_input'!$P$3:$P$1000,"")
+COUNTIFS('Evaluation details_input'!$F$3:$F$1000,$AV$44,'Evaluation details_input'!$G$3:$G$1000,$AV45,'Evaluation details_input'!$H$3:$H$1000,$BC$3,'Evaluation details_input'!$J$3:$J$1000,"Accepted", 'Evaluation details_input'!$P$3:$P$1000,"")
+COUNTIFS('Evaluation details_input'!$F$3:$F$1000,$AV$44,'Evaluation details_input'!$G$3:$G$1000,$AV45,'Evaluation details_input'!$H$3:$H$1000,$BC$3,'Evaluation details_input'!$J$3:$J$1000,"")</f>
        <v>0</v>
      </c>
      <c r="BD45" s="203">
        <f xml:space="preserve">
IF($AW$2=$AA$3,$BC45*$AC48,
IF($AW$2=$AF$3,$BC45*$AH48,
$BC45*$X48))</f>
        <v>0</v>
      </c>
    </row>
    <row r="46" spans="2:56">
      <c r="C46" s="192" t="s">
        <v>142</v>
      </c>
      <c r="E46" s="32"/>
      <c r="S46" s="271" t="s">
        <v>1244</v>
      </c>
      <c r="T46" s="272" t="s">
        <v>799</v>
      </c>
      <c r="V46" s="229" t="str">
        <f>$N$11</f>
        <v>Other</v>
      </c>
      <c r="W46" s="197">
        <v>1</v>
      </c>
      <c r="X46" s="197">
        <v>5</v>
      </c>
      <c r="Y46" s="222">
        <v>100</v>
      </c>
      <c r="Z46" s="198">
        <v>0</v>
      </c>
      <c r="AA46" s="229" t="str">
        <f>$N$11</f>
        <v>Other</v>
      </c>
      <c r="AB46" s="197">
        <v>1</v>
      </c>
      <c r="AC46" s="197">
        <v>5</v>
      </c>
      <c r="AD46" s="222">
        <v>100</v>
      </c>
      <c r="AE46" s="198">
        <v>0</v>
      </c>
      <c r="AF46" s="229" t="str">
        <f>$N$11</f>
        <v>Other</v>
      </c>
      <c r="AG46" s="197">
        <v>1</v>
      </c>
      <c r="AH46" s="197">
        <v>5</v>
      </c>
      <c r="AI46" s="222">
        <v>100</v>
      </c>
      <c r="AJ46" s="198">
        <v>0</v>
      </c>
      <c r="AK46" s="229" t="str">
        <f>$N$11</f>
        <v>Other</v>
      </c>
      <c r="AL46" s="197">
        <v>1</v>
      </c>
      <c r="AM46" s="197">
        <v>5</v>
      </c>
      <c r="AN46" s="222">
        <v>100</v>
      </c>
      <c r="AO46" s="198">
        <v>0</v>
      </c>
      <c r="AP46" s="229" t="str">
        <f>$N$11</f>
        <v>Other</v>
      </c>
      <c r="AQ46" s="197">
        <v>1</v>
      </c>
      <c r="AR46" s="197">
        <v>5</v>
      </c>
      <c r="AS46" s="222">
        <v>100</v>
      </c>
      <c r="AT46" s="198">
        <v>0</v>
      </c>
      <c r="AV46" s="246" t="str">
        <f>$O4</f>
        <v>Other</v>
      </c>
      <c r="AW46" s="242">
        <f>SUMPRODUCT(('Evaluation details_input'!$F$4:$F$1000=$AV$44)*('Evaluation details_input'!$G$4:$G$1000=$AV46)*('Evaluation details_input'!$H$4:$H$1000=$AW$3))</f>
        <v>0</v>
      </c>
      <c r="AX46" s="203">
        <f xml:space="preserve">
IF($AW$2=$AA$3,$AW46*$AB49,
IF($AW$2=$AF$3,$AW46*$AG49,
$AW46*$W49))</f>
        <v>0</v>
      </c>
      <c r="AY46" s="238">
        <f xml:space="preserve">
COUNTIFS('Evaluation details_input'!$P$3:$P$1000,$AV$44,'Evaluation details_input'!$Q$3:$Q$1000,$AV46,'Evaluation details_input'!$R$3:$R$1000,$AY$3)
+COUNTIFS('Evaluation details_input'!$F$3:$F$1000,$AV$44,'Evaluation details_input'!$G$3:$G$1000,$AV46,'Evaluation details_input'!$H$3:$H$1000,$AY$3,'Evaluation details_input'!$J$3:$J$1000,"Not accepted",'Evaluation details_input'!$N$3:$N$1000,"Disagree with original translator", 'Evaluation details_input'!$P$3:$P$1000,"")
+COUNTIFS('Evaluation details_input'!$F$3:$F$1000,$AV$44,'Evaluation details_input'!$G$3:$G$1000,$AV46,'Evaluation details_input'!$H$3:$H$1000,$AY$3,'Evaluation details_input'!$J$3:$J$1000,"Accepted", 'Evaluation details_input'!$P$3:$P$1000,"")
+COUNTIFS('Evaluation details_input'!$F$3:$F$1000,$AV$44,'Evaluation details_input'!$G$3:$G$1000,$AV46,'Evaluation details_input'!$H$3:$H$1000,$AY$3,'Evaluation details_input'!$J$3:$J$1000,"")</f>
        <v>0</v>
      </c>
      <c r="AZ46" s="203">
        <f xml:space="preserve">
IF($AW$2=$AA$3,$AY46*$AB49,
IF($AW$2=$AF$3,$AY46*$AG49,
$AY46*$W49))</f>
        <v>0</v>
      </c>
      <c r="BA46" s="238">
        <f>SUMPRODUCT(('Evaluation details_input'!$F$4:$F$1000=$AV$44)*('Evaluation details_input'!$G$4:$G$1000=$AV46)*('Evaluation details_input'!$H$4:$H$1000=$BA$3))</f>
        <v>0</v>
      </c>
      <c r="BB46" s="203">
        <f xml:space="preserve">
IF($AW$2=$AA$3,$BA46*$AC49,
IF($AW$2=$AF$3,$BA46*$AH49,
$BA46*$X49))</f>
        <v>0</v>
      </c>
      <c r="BC46" s="238">
        <f xml:space="preserve">
COUNTIFS('Evaluation details_input'!$P$3:$P$1000,$AV$44,'Evaluation details_input'!$Q$3:$Q$1000,$AV46,'Evaluation details_input'!$R$3:$R$1000,$BC$3)
+COUNTIFS('Evaluation details_input'!$F$3:$F$1000,$AV$44,'Evaluation details_input'!$G$3:$G$1000,$AV46,'Evaluation details_input'!$H$3:$H$1000,$BC$3,'Evaluation details_input'!$J$3:$J$1000,"Not accepted",'Evaluation details_input'!$N$3:$N$1000,"Disagree with original translator", 'Evaluation details_input'!$P$3:$P$1000,"")
+COUNTIFS('Evaluation details_input'!$F$3:$F$1000,$AV$44,'Evaluation details_input'!$G$3:$G$1000,$AV46,'Evaluation details_input'!$H$3:$H$1000,$BC$3,'Evaluation details_input'!$J$3:$J$1000,"Accepted", 'Evaluation details_input'!$P$3:$P$1000,"")
+COUNTIFS('Evaluation details_input'!$F$3:$F$1000,$AV$44,'Evaluation details_input'!$G$3:$G$1000,$AV46,'Evaluation details_input'!$H$3:$H$1000,$BC$3,'Evaluation details_input'!$J$3:$J$1000,"")</f>
        <v>0</v>
      </c>
      <c r="BD46" s="203">
        <f xml:space="preserve">
IF($AW$2=$AA$3,$BC46*$AC49,
IF($AW$2=$AF$3,$BC46*$AH49,
$BC46*$X49))</f>
        <v>0</v>
      </c>
    </row>
    <row r="47" spans="2:56" ht="22.5">
      <c r="C47" s="192" t="s">
        <v>143</v>
      </c>
      <c r="E47" s="32"/>
      <c r="S47" s="271" t="s">
        <v>1245</v>
      </c>
      <c r="T47" s="272" t="s">
        <v>193</v>
      </c>
      <c r="V47" s="230" t="str">
        <f>$O$2</f>
        <v>Audience appropriateness</v>
      </c>
      <c r="W47" s="213"/>
      <c r="X47" s="213"/>
      <c r="Y47" s="223"/>
      <c r="Z47" s="214"/>
      <c r="AA47" s="230" t="str">
        <f>$O$2</f>
        <v>Audience appropriateness</v>
      </c>
      <c r="AB47" s="213"/>
      <c r="AC47" s="213"/>
      <c r="AD47" s="223"/>
      <c r="AE47" s="214"/>
      <c r="AF47" s="230" t="str">
        <f>$O$2</f>
        <v>Audience appropriateness</v>
      </c>
      <c r="AG47" s="213"/>
      <c r="AH47" s="213"/>
      <c r="AI47" s="223"/>
      <c r="AJ47" s="214"/>
      <c r="AK47" s="230" t="str">
        <f>$O$2</f>
        <v>Audience appropriateness</v>
      </c>
      <c r="AL47" s="213"/>
      <c r="AM47" s="213"/>
      <c r="AN47" s="223"/>
      <c r="AO47" s="214"/>
      <c r="AP47" s="230" t="str">
        <f>$O$2</f>
        <v>Audience appropriateness</v>
      </c>
      <c r="AQ47" s="213"/>
      <c r="AR47" s="213"/>
      <c r="AS47" s="223"/>
      <c r="AT47" s="214"/>
      <c r="AV47" s="247" t="str">
        <f>P2</f>
        <v>Design and markup</v>
      </c>
      <c r="AW47" s="243"/>
      <c r="AX47" s="209"/>
      <c r="AY47" s="209"/>
      <c r="AZ47" s="209"/>
      <c r="BA47" s="239"/>
      <c r="BB47" s="209"/>
      <c r="BC47" s="209"/>
      <c r="BD47" s="209"/>
    </row>
    <row r="48" spans="2:56" ht="22.5">
      <c r="C48" s="192" t="s">
        <v>1186</v>
      </c>
      <c r="E48" s="32"/>
      <c r="S48" s="271" t="s">
        <v>2689</v>
      </c>
      <c r="T48" s="272" t="s">
        <v>3046</v>
      </c>
      <c r="V48" s="229" t="str">
        <f>$O$3</f>
        <v>Culture-specific reference</v>
      </c>
      <c r="W48" s="197">
        <v>1</v>
      </c>
      <c r="X48" s="197">
        <v>5</v>
      </c>
      <c r="Y48" s="222">
        <v>100</v>
      </c>
      <c r="Z48" s="198">
        <v>0</v>
      </c>
      <c r="AA48" s="229" t="str">
        <f>$O$3</f>
        <v>Culture-specific reference</v>
      </c>
      <c r="AB48" s="197">
        <v>1.5</v>
      </c>
      <c r="AC48" s="197">
        <v>5</v>
      </c>
      <c r="AD48" s="222">
        <v>100</v>
      </c>
      <c r="AE48" s="198">
        <v>0</v>
      </c>
      <c r="AF48" s="229" t="str">
        <f>$O$3</f>
        <v>Culture-specific reference</v>
      </c>
      <c r="AG48" s="197">
        <v>1.5</v>
      </c>
      <c r="AH48" s="197">
        <v>5</v>
      </c>
      <c r="AI48" s="222">
        <v>100</v>
      </c>
      <c r="AJ48" s="198">
        <v>0</v>
      </c>
      <c r="AK48" s="229" t="str">
        <f>$O$3</f>
        <v>Culture-specific reference</v>
      </c>
      <c r="AL48" s="197">
        <v>1</v>
      </c>
      <c r="AM48" s="197">
        <v>5</v>
      </c>
      <c r="AN48" s="222">
        <v>100</v>
      </c>
      <c r="AO48" s="198">
        <v>0</v>
      </c>
      <c r="AP48" s="229" t="str">
        <f>$O$3</f>
        <v>Culture-specific reference</v>
      </c>
      <c r="AQ48" s="197" t="s">
        <v>1110</v>
      </c>
      <c r="AR48" s="197" t="s">
        <v>1110</v>
      </c>
      <c r="AS48" s="222" t="s">
        <v>1110</v>
      </c>
      <c r="AT48" s="198">
        <v>0</v>
      </c>
      <c r="AV48" s="246" t="str">
        <f t="shared" ref="AV48:AV54" si="21">$P3</f>
        <v>Character formatting</v>
      </c>
      <c r="AW48" s="242">
        <f>SUMPRODUCT(('Evaluation details_input'!$F$4:$F$1000=$AV$47)*('Evaluation details_input'!$G$4:$G$1000=$AV48)*('Evaluation details_input'!$H$4:$H$1000=$AW$3))</f>
        <v>0</v>
      </c>
      <c r="AX48" s="203">
        <f t="shared" ref="AX48:AX54" si="22" xml:space="preserve">
IF($AW$2=$AA$3,$AW48*$AB51,
IF($AW$2=$AF$3,$AW48*$AG51,
$AW48*$W51))</f>
        <v>0</v>
      </c>
      <c r="AY48" s="238">
        <f xml:space="preserve">
COUNTIFS('Evaluation details_input'!$P$3:$P$1000,$AV$47,'Evaluation details_input'!$Q$3:$Q$1000,$AV48,'Evaluation details_input'!$R$3:$R$1000,$AY$3)
+COUNTIFS('Evaluation details_input'!$F$3:$F$1000,$AV$47,'Evaluation details_input'!$G$3:$G$1000,$AV48,'Evaluation details_input'!$H$3:$H$1000,$AY$3,'Evaluation details_input'!$J$3:$J$1000,"Not accepted",'Evaluation details_input'!$N$3:$N$1000,"Disagree with original translator", 'Evaluation details_input'!$P$3:$P$1000,"")
+COUNTIFS('Evaluation details_input'!$F$3:$F$1000,$AV$47,'Evaluation details_input'!$G$3:$G$1000,$AV48,'Evaluation details_input'!$H$3:$H$1000,$AY$3,'Evaluation details_input'!$J$3:$J$1000,"Accepted", 'Evaluation details_input'!$P$3:$P$1000,"")
+COUNTIFS('Evaluation details_input'!$F$3:$F$1000,$AV$47,'Evaluation details_input'!$G$3:$G$1000,$AV48,'Evaluation details_input'!$H$3:$H$1000,$AY$3,'Evaluation details_input'!$J$3:$J$1000,"")</f>
        <v>0</v>
      </c>
      <c r="AZ48" s="203">
        <f t="shared" ref="AZ48:AZ54" si="23" xml:space="preserve">
IF($AW$2=$AA$3,$AY48*$AB51,
IF($AW$2=$AF$3,$AY48*$AG51,
$AY48*$W51))</f>
        <v>0</v>
      </c>
      <c r="BA48" s="238">
        <f>SUMPRODUCT(('Evaluation details_input'!$F$4:$F$1000=$AV$47)*('Evaluation details_input'!$G$4:$G$1000=$AV48)*('Evaluation details_input'!$H$4:$H$1000=$BA$3))</f>
        <v>0</v>
      </c>
      <c r="BB48" s="203">
        <f xml:space="preserve">
IF($AW$2=$AA$3,$BA48*$AC51,
IF($AW$2=$AF$3,$BA48*$AH51,
$BA48*$X51))</f>
        <v>0</v>
      </c>
      <c r="BC48" s="238">
        <f xml:space="preserve">
COUNTIFS('Evaluation details_input'!$P$3:$P$1000,$AV$47,'Evaluation details_input'!$Q$3:$Q$1000,$AV48,'Evaluation details_input'!$R$3:$R$1000,$BC$3)
+COUNTIFS('Evaluation details_input'!$F$3:$F$1000,$AV$47,'Evaluation details_input'!$G$3:$G$1000,$AV48,'Evaluation details_input'!$H$3:$H$1000,$BC$3,'Evaluation details_input'!$J$3:$J$1000,"Not accepted",'Evaluation details_input'!$N$3:$N$1000,"Disagree with original translator", 'Evaluation details_input'!$P$3:$P$1000,"")
+COUNTIFS('Evaluation details_input'!$F$3:$F$1000,$AV$47,'Evaluation details_input'!$G$3:$G$1000,$AV48,'Evaluation details_input'!$H$3:$H$1000,$BC$3,'Evaluation details_input'!$J$3:$J$1000,"Accepted", 'Evaluation details_input'!$P$3:$P$1000,"")
+COUNTIFS('Evaluation details_input'!$F$3:$F$1000,$AV$47,'Evaluation details_input'!$G$3:$G$1000,$AV48,'Evaluation details_input'!$H$3:$H$1000,$BC$3,'Evaluation details_input'!$J$3:$J$1000,"")</f>
        <v>0</v>
      </c>
      <c r="BD48" s="203">
        <f xml:space="preserve">
IF($AW$2=$AA$3,$BC48*$AC51,
IF($AW$2=$AF$3,$BC48*$AH51,
$BC48*$X51))</f>
        <v>0</v>
      </c>
    </row>
    <row r="49" spans="3:56" ht="22.5">
      <c r="C49" s="192" t="s">
        <v>128</v>
      </c>
      <c r="E49" s="32"/>
      <c r="S49" s="271" t="s">
        <v>1246</v>
      </c>
      <c r="T49" s="272" t="s">
        <v>1247</v>
      </c>
      <c r="V49" s="229" t="str">
        <f>$O$4</f>
        <v>Other</v>
      </c>
      <c r="W49" s="197">
        <v>1</v>
      </c>
      <c r="X49" s="197">
        <v>5</v>
      </c>
      <c r="Y49" s="222">
        <v>100</v>
      </c>
      <c r="Z49" s="198">
        <v>0</v>
      </c>
      <c r="AA49" s="229" t="str">
        <f>$O$4</f>
        <v>Other</v>
      </c>
      <c r="AB49" s="197">
        <v>1.5</v>
      </c>
      <c r="AC49" s="197">
        <v>5</v>
      </c>
      <c r="AD49" s="222">
        <v>100</v>
      </c>
      <c r="AE49" s="198">
        <v>0</v>
      </c>
      <c r="AF49" s="229" t="str">
        <f>$O$4</f>
        <v>Other</v>
      </c>
      <c r="AG49" s="197">
        <v>1.5</v>
      </c>
      <c r="AH49" s="197">
        <v>5</v>
      </c>
      <c r="AI49" s="222">
        <v>100</v>
      </c>
      <c r="AJ49" s="198">
        <v>0</v>
      </c>
      <c r="AK49" s="229" t="str">
        <f>$O$4</f>
        <v>Other</v>
      </c>
      <c r="AL49" s="197">
        <v>1</v>
      </c>
      <c r="AM49" s="197">
        <v>5</v>
      </c>
      <c r="AN49" s="222">
        <v>100</v>
      </c>
      <c r="AO49" s="198">
        <v>0</v>
      </c>
      <c r="AP49" s="229" t="str">
        <f>$O$4</f>
        <v>Other</v>
      </c>
      <c r="AQ49" s="197" t="s">
        <v>1110</v>
      </c>
      <c r="AR49" s="197" t="s">
        <v>1110</v>
      </c>
      <c r="AS49" s="222" t="s">
        <v>1110</v>
      </c>
      <c r="AT49" s="198">
        <v>0</v>
      </c>
      <c r="AV49" s="246" t="str">
        <f t="shared" si="21"/>
        <v>Layout</v>
      </c>
      <c r="AW49" s="242">
        <f>SUMPRODUCT(('Evaluation details_input'!$F$4:$F$1000=$AV$47)*('Evaluation details_input'!$G$4:$G$1000=$AV49)*('Evaluation details_input'!$H$4:$H$1000=$AW$3))</f>
        <v>0</v>
      </c>
      <c r="AX49" s="203">
        <f t="shared" si="22"/>
        <v>0</v>
      </c>
      <c r="AY49" s="238">
        <f xml:space="preserve">
COUNTIFS('Evaluation details_input'!$P$3:$P$1000,$AV$47,'Evaluation details_input'!$Q$3:$Q$1000,$AV49,'Evaluation details_input'!$R$3:$R$1000,$AY$3)
+COUNTIFS('Evaluation details_input'!$F$3:$F$1000,$AV$47,'Evaluation details_input'!$G$3:$G$1000,$AV49,'Evaluation details_input'!$H$3:$H$1000,$AY$3,'Evaluation details_input'!$J$3:$J$1000,"Not accepted",'Evaluation details_input'!$N$3:$N$1000,"Disagree with original translator", 'Evaluation details_input'!$P$3:$P$1000,"")
+COUNTIFS('Evaluation details_input'!$F$3:$F$1000,$AV$47,'Evaluation details_input'!$G$3:$G$1000,$AV49,'Evaluation details_input'!$H$3:$H$1000,$AY$3,'Evaluation details_input'!$J$3:$J$1000,"Accepted", 'Evaluation details_input'!$P$3:$P$1000,"")
+COUNTIFS('Evaluation details_input'!$F$3:$F$1000,$AV$47,'Evaluation details_input'!$G$3:$G$1000,$AV49,'Evaluation details_input'!$H$3:$H$1000,$AY$3,'Evaluation details_input'!$J$3:$J$1000,"")</f>
        <v>0</v>
      </c>
      <c r="AZ49" s="203">
        <f t="shared" si="23"/>
        <v>0</v>
      </c>
      <c r="BA49" s="238">
        <f>SUMPRODUCT(('Evaluation details_input'!$F$4:$F$1000=$AV$47)*('Evaluation details_input'!$G$4:$G$1000=$AV49)*('Evaluation details_input'!$H$4:$H$1000=$BA$3))</f>
        <v>0</v>
      </c>
      <c r="BB49" s="203">
        <f t="shared" ref="BB49:BB54" si="24" xml:space="preserve">
IF($AW$2=$AA$3,$BA49*$AC52,
IF($AW$2=$AF$3,$BA49*$AH52,
$BA49*$X52))</f>
        <v>0</v>
      </c>
      <c r="BC49" s="238">
        <f xml:space="preserve">
COUNTIFS('Evaluation details_input'!$P$3:$P$1000,$AV$47,'Evaluation details_input'!$Q$3:$Q$1000,$AV49,'Evaluation details_input'!$R$3:$R$1000,$BC$3)
+COUNTIFS('Evaluation details_input'!$F$3:$F$1000,$AV$47,'Evaluation details_input'!$G$3:$G$1000,$AV49,'Evaluation details_input'!$H$3:$H$1000,$BC$3,'Evaluation details_input'!$J$3:$J$1000,"Not accepted",'Evaluation details_input'!$N$3:$N$1000,"Disagree with original translator", 'Evaluation details_input'!$P$3:$P$1000,"")
+COUNTIFS('Evaluation details_input'!$F$3:$F$1000,$AV$47,'Evaluation details_input'!$G$3:$G$1000,$AV49,'Evaluation details_input'!$H$3:$H$1000,$BC$3,'Evaluation details_input'!$J$3:$J$1000,"Accepted", 'Evaluation details_input'!$P$3:$P$1000,"")
+COUNTIFS('Evaluation details_input'!$F$3:$F$1000,$AV$47,'Evaluation details_input'!$G$3:$G$1000,$AV49,'Evaluation details_input'!$H$3:$H$1000,$BC$3,'Evaluation details_input'!$J$3:$J$1000,"")</f>
        <v>0</v>
      </c>
      <c r="BD49" s="203">
        <f t="shared" ref="BD49:BD54" si="25" xml:space="preserve">
IF($AW$2=$AA$3,$BC49*$AC52,
IF($AW$2=$AF$3,$BC49*$AH52,
$BC49*$X52))</f>
        <v>0</v>
      </c>
    </row>
    <row r="50" spans="3:56" ht="22.5">
      <c r="C50" s="192" t="s">
        <v>1190</v>
      </c>
      <c r="E50" s="32"/>
      <c r="S50" s="271" t="s">
        <v>1248</v>
      </c>
      <c r="T50" s="272" t="s">
        <v>713</v>
      </c>
      <c r="V50" s="230" t="str">
        <f>$P$2</f>
        <v>Design and markup</v>
      </c>
      <c r="W50" s="213"/>
      <c r="X50" s="213"/>
      <c r="Y50" s="223"/>
      <c r="Z50" s="214"/>
      <c r="AA50" s="230" t="str">
        <f>$P$2</f>
        <v>Design and markup</v>
      </c>
      <c r="AB50" s="213"/>
      <c r="AC50" s="213"/>
      <c r="AD50" s="223"/>
      <c r="AE50" s="214"/>
      <c r="AF50" s="230" t="str">
        <f>$P$2</f>
        <v>Design and markup</v>
      </c>
      <c r="AG50" s="213"/>
      <c r="AH50" s="213"/>
      <c r="AI50" s="223"/>
      <c r="AJ50" s="214"/>
      <c r="AK50" s="230" t="str">
        <f>$P$2</f>
        <v>Design and markup</v>
      </c>
      <c r="AL50" s="213"/>
      <c r="AM50" s="213"/>
      <c r="AN50" s="223"/>
      <c r="AO50" s="214"/>
      <c r="AP50" s="230" t="str">
        <f>$P$2</f>
        <v>Design and markup</v>
      </c>
      <c r="AQ50" s="213"/>
      <c r="AR50" s="213"/>
      <c r="AS50" s="223"/>
      <c r="AT50" s="214"/>
      <c r="AV50" s="246" t="str">
        <f t="shared" si="21"/>
        <v>Markup tag</v>
      </c>
      <c r="AW50" s="242">
        <f>SUMPRODUCT(('Evaluation details_input'!$F$4:$F$1000=$AV$47)*('Evaluation details_input'!$G$4:$G$1000=$AV50)*('Evaluation details_input'!$H$4:$H$1000=$AW$3))</f>
        <v>0</v>
      </c>
      <c r="AX50" s="203">
        <f t="shared" si="22"/>
        <v>0</v>
      </c>
      <c r="AY50" s="238">
        <f xml:space="preserve">
COUNTIFS('Evaluation details_input'!$P$3:$P$1000,$AV$47,'Evaluation details_input'!$Q$3:$Q$1000,$AV50,'Evaluation details_input'!$R$3:$R$1000,$AY$3)
+COUNTIFS('Evaluation details_input'!$F$3:$F$1000,$AV$47,'Evaluation details_input'!$G$3:$G$1000,$AV50,'Evaluation details_input'!$H$3:$H$1000,$AY$3,'Evaluation details_input'!$J$3:$J$1000,"Not accepted",'Evaluation details_input'!$N$3:$N$1000,"Disagree with original translator", 'Evaluation details_input'!$P$3:$P$1000,"")
+COUNTIFS('Evaluation details_input'!$F$3:$F$1000,$AV$47,'Evaluation details_input'!$G$3:$G$1000,$AV50,'Evaluation details_input'!$H$3:$H$1000,$AY$3,'Evaluation details_input'!$J$3:$J$1000,"Accepted", 'Evaluation details_input'!$P$3:$P$1000,"")
+COUNTIFS('Evaluation details_input'!$F$3:$F$1000,$AV$47,'Evaluation details_input'!$G$3:$G$1000,$AV50,'Evaluation details_input'!$H$3:$H$1000,$AY$3,'Evaluation details_input'!$J$3:$J$1000,"")</f>
        <v>0</v>
      </c>
      <c r="AZ50" s="203">
        <f t="shared" si="23"/>
        <v>0</v>
      </c>
      <c r="BA50" s="238">
        <f>SUMPRODUCT(('Evaluation details_input'!$F$4:$F$1000=$AV$47)*('Evaluation details_input'!$G$4:$G$1000=$AV50)*('Evaluation details_input'!$H$4:$H$1000=$BA$3))</f>
        <v>0</v>
      </c>
      <c r="BB50" s="203">
        <f t="shared" si="24"/>
        <v>0</v>
      </c>
      <c r="BC50" s="238">
        <f xml:space="preserve">
COUNTIFS('Evaluation details_input'!$P$3:$P$1000,$AV$47,'Evaluation details_input'!$Q$3:$Q$1000,$AV50,'Evaluation details_input'!$R$3:$R$1000,$BC$3)
+COUNTIFS('Evaluation details_input'!$F$3:$F$1000,$AV$47,'Evaluation details_input'!$G$3:$G$1000,$AV50,'Evaluation details_input'!$H$3:$H$1000,$BC$3,'Evaluation details_input'!$J$3:$J$1000,"Not accepted",'Evaluation details_input'!$N$3:$N$1000,"Disagree with original translator", 'Evaluation details_input'!$P$3:$P$1000,"")
+COUNTIFS('Evaluation details_input'!$F$3:$F$1000,$AV$47,'Evaluation details_input'!$G$3:$G$1000,$AV50,'Evaluation details_input'!$H$3:$H$1000,$BC$3,'Evaluation details_input'!$J$3:$J$1000,"Accepted", 'Evaluation details_input'!$P$3:$P$1000,"")
+COUNTIFS('Evaluation details_input'!$F$3:$F$1000,$AV$47,'Evaluation details_input'!$G$3:$G$1000,$AV50,'Evaluation details_input'!$H$3:$H$1000,$BC$3,'Evaluation details_input'!$J$3:$J$1000,"")</f>
        <v>0</v>
      </c>
      <c r="BD50" s="203">
        <f t="shared" si="25"/>
        <v>0</v>
      </c>
    </row>
    <row r="51" spans="3:56" ht="22.5">
      <c r="C51" s="192" t="s">
        <v>144</v>
      </c>
      <c r="E51" s="32"/>
      <c r="S51" s="271" t="s">
        <v>1249</v>
      </c>
      <c r="T51" s="272" t="s">
        <v>800</v>
      </c>
      <c r="V51" s="229" t="str">
        <f>$P$3</f>
        <v>Character formatting</v>
      </c>
      <c r="W51" s="197">
        <v>1</v>
      </c>
      <c r="X51" s="197">
        <v>5</v>
      </c>
      <c r="Y51" s="222">
        <v>100</v>
      </c>
      <c r="Z51" s="198">
        <v>0</v>
      </c>
      <c r="AA51" s="229" t="str">
        <f>$P$3</f>
        <v>Character formatting</v>
      </c>
      <c r="AB51" s="197">
        <v>1</v>
      </c>
      <c r="AC51" s="197">
        <v>5</v>
      </c>
      <c r="AD51" s="222">
        <v>100</v>
      </c>
      <c r="AE51" s="198">
        <v>0</v>
      </c>
      <c r="AF51" s="229" t="str">
        <f>$P$3</f>
        <v>Character formatting</v>
      </c>
      <c r="AG51" s="197">
        <v>1</v>
      </c>
      <c r="AH51" s="197">
        <v>5</v>
      </c>
      <c r="AI51" s="222">
        <v>100</v>
      </c>
      <c r="AJ51" s="198">
        <v>0</v>
      </c>
      <c r="AK51" s="229" t="str">
        <f>$P$3</f>
        <v>Character formatting</v>
      </c>
      <c r="AL51" s="197">
        <v>1</v>
      </c>
      <c r="AM51" s="197">
        <v>5</v>
      </c>
      <c r="AN51" s="222">
        <v>100</v>
      </c>
      <c r="AO51" s="198">
        <v>0</v>
      </c>
      <c r="AP51" s="229" t="str">
        <f>$P$3</f>
        <v>Character formatting</v>
      </c>
      <c r="AQ51" s="197" t="s">
        <v>1110</v>
      </c>
      <c r="AR51" s="197" t="s">
        <v>1110</v>
      </c>
      <c r="AS51" s="222" t="s">
        <v>1110</v>
      </c>
      <c r="AT51" s="198">
        <v>0</v>
      </c>
      <c r="AV51" s="246" t="str">
        <f t="shared" si="21"/>
        <v>Truncation/text expansion</v>
      </c>
      <c r="AW51" s="242">
        <f>SUMPRODUCT(('Evaluation details_input'!$F$4:$F$1000=$AV$47)*('Evaluation details_input'!$G$4:$G$1000=$AV51)*('Evaluation details_input'!$H$4:$H$1000=$AW$3))</f>
        <v>0</v>
      </c>
      <c r="AX51" s="203">
        <f t="shared" si="22"/>
        <v>0</v>
      </c>
      <c r="AY51" s="238">
        <f xml:space="preserve">
COUNTIFS('Evaluation details_input'!$P$3:$P$1000,$AV$47,'Evaluation details_input'!$Q$3:$Q$1000,$AV51,'Evaluation details_input'!$R$3:$R$1000,$AY$3)
+COUNTIFS('Evaluation details_input'!$F$3:$F$1000,$AV$47,'Evaluation details_input'!$G$3:$G$1000,$AV51,'Evaluation details_input'!$H$3:$H$1000,$AY$3,'Evaluation details_input'!$J$3:$J$1000,"Not accepted",'Evaluation details_input'!$N$3:$N$1000,"Disagree with original translator", 'Evaluation details_input'!$P$3:$P$1000,"")
+COUNTIFS('Evaluation details_input'!$F$3:$F$1000,$AV$47,'Evaluation details_input'!$G$3:$G$1000,$AV51,'Evaluation details_input'!$H$3:$H$1000,$AY$3,'Evaluation details_input'!$J$3:$J$1000,"Accepted", 'Evaluation details_input'!$P$3:$P$1000,"")
+COUNTIFS('Evaluation details_input'!$F$3:$F$1000,$AV$47,'Evaluation details_input'!$G$3:$G$1000,$AV51,'Evaluation details_input'!$H$3:$H$1000,$AY$3,'Evaluation details_input'!$J$3:$J$1000,"")</f>
        <v>0</v>
      </c>
      <c r="AZ51" s="203">
        <f t="shared" si="23"/>
        <v>0</v>
      </c>
      <c r="BA51" s="238">
        <f>SUMPRODUCT(('Evaluation details_input'!$F$4:$F$1000=$AV$47)*('Evaluation details_input'!$G$4:$G$1000=$AV51)*('Evaluation details_input'!$H$4:$H$1000=$BA$3))</f>
        <v>0</v>
      </c>
      <c r="BB51" s="203">
        <f t="shared" si="24"/>
        <v>0</v>
      </c>
      <c r="BC51" s="238">
        <f xml:space="preserve">
COUNTIFS('Evaluation details_input'!$P$3:$P$1000,$AV$47,'Evaluation details_input'!$Q$3:$Q$1000,$AV51,'Evaluation details_input'!$R$3:$R$1000,$BC$3)
+COUNTIFS('Evaluation details_input'!$F$3:$F$1000,$AV$47,'Evaluation details_input'!$G$3:$G$1000,$AV51,'Evaluation details_input'!$H$3:$H$1000,$BC$3,'Evaluation details_input'!$J$3:$J$1000,"Not accepted",'Evaluation details_input'!$N$3:$N$1000,"Disagree with original translator", 'Evaluation details_input'!$P$3:$P$1000,"")
+COUNTIFS('Evaluation details_input'!$F$3:$F$1000,$AV$47,'Evaluation details_input'!$G$3:$G$1000,$AV51,'Evaluation details_input'!$H$3:$H$1000,$BC$3,'Evaluation details_input'!$J$3:$J$1000,"Accepted", 'Evaluation details_input'!$P$3:$P$1000,"")
+COUNTIFS('Evaluation details_input'!$F$3:$F$1000,$AV$47,'Evaluation details_input'!$G$3:$G$1000,$AV51,'Evaluation details_input'!$H$3:$H$1000,$BC$3,'Evaluation details_input'!$J$3:$J$1000,"")</f>
        <v>0</v>
      </c>
      <c r="BD51" s="203">
        <f t="shared" si="25"/>
        <v>0</v>
      </c>
    </row>
    <row r="52" spans="3:56" ht="22.5">
      <c r="C52" s="192" t="s">
        <v>145</v>
      </c>
      <c r="E52" s="32"/>
      <c r="S52" s="271" t="s">
        <v>1250</v>
      </c>
      <c r="T52" s="272" t="s">
        <v>1251</v>
      </c>
      <c r="V52" s="229" t="str">
        <f>$P$4</f>
        <v>Layout</v>
      </c>
      <c r="W52" s="197">
        <v>1</v>
      </c>
      <c r="X52" s="197">
        <v>5</v>
      </c>
      <c r="Y52" s="222">
        <v>100</v>
      </c>
      <c r="Z52" s="198">
        <v>0</v>
      </c>
      <c r="AA52" s="229" t="str">
        <f>$P$4</f>
        <v>Layout</v>
      </c>
      <c r="AB52" s="197">
        <v>1</v>
      </c>
      <c r="AC52" s="197">
        <v>5</v>
      </c>
      <c r="AD52" s="222">
        <v>100</v>
      </c>
      <c r="AE52" s="198">
        <v>0</v>
      </c>
      <c r="AF52" s="229" t="str">
        <f>$P$4</f>
        <v>Layout</v>
      </c>
      <c r="AG52" s="197">
        <v>1</v>
      </c>
      <c r="AH52" s="197">
        <v>5</v>
      </c>
      <c r="AI52" s="222">
        <v>100</v>
      </c>
      <c r="AJ52" s="198">
        <v>0</v>
      </c>
      <c r="AK52" s="229" t="str">
        <f>$P$4</f>
        <v>Layout</v>
      </c>
      <c r="AL52" s="197">
        <v>1</v>
      </c>
      <c r="AM52" s="197">
        <v>5</v>
      </c>
      <c r="AN52" s="222">
        <v>100</v>
      </c>
      <c r="AO52" s="198">
        <v>0</v>
      </c>
      <c r="AP52" s="229" t="str">
        <f>$P$4</f>
        <v>Layout</v>
      </c>
      <c r="AQ52" s="197" t="s">
        <v>1110</v>
      </c>
      <c r="AR52" s="197" t="s">
        <v>1110</v>
      </c>
      <c r="AS52" s="222" t="s">
        <v>1110</v>
      </c>
      <c r="AT52" s="198">
        <v>0</v>
      </c>
      <c r="AV52" s="246" t="str">
        <f t="shared" si="21"/>
        <v>Missing text</v>
      </c>
      <c r="AW52" s="242">
        <f>SUMPRODUCT(('Evaluation details_input'!$F$4:$F$1000=$AV$47)*('Evaluation details_input'!$G$4:$G$1000=$AV52)*('Evaluation details_input'!$H$4:$H$1000=$AW$3))</f>
        <v>0</v>
      </c>
      <c r="AX52" s="203">
        <f t="shared" si="22"/>
        <v>0</v>
      </c>
      <c r="AY52" s="238">
        <f xml:space="preserve">
COUNTIFS('Evaluation details_input'!$P$3:$P$1000,$AV$47,'Evaluation details_input'!$Q$3:$Q$1000,$AV52,'Evaluation details_input'!$R$3:$R$1000,$AY$3)
+COUNTIFS('Evaluation details_input'!$F$3:$F$1000,$AV$47,'Evaluation details_input'!$G$3:$G$1000,$AV52,'Evaluation details_input'!$H$3:$H$1000,$AY$3,'Evaluation details_input'!$J$3:$J$1000,"Not accepted",'Evaluation details_input'!$N$3:$N$1000,"Disagree with original translator", 'Evaluation details_input'!$P$3:$P$1000,"")
+COUNTIFS('Evaluation details_input'!$F$3:$F$1000,$AV$47,'Evaluation details_input'!$G$3:$G$1000,$AV52,'Evaluation details_input'!$H$3:$H$1000,$AY$3,'Evaluation details_input'!$J$3:$J$1000,"Accepted", 'Evaluation details_input'!$P$3:$P$1000,"")
+COUNTIFS('Evaluation details_input'!$F$3:$F$1000,$AV$47,'Evaluation details_input'!$G$3:$G$1000,$AV52,'Evaluation details_input'!$H$3:$H$1000,$AY$3,'Evaluation details_input'!$J$3:$J$1000,"")</f>
        <v>0</v>
      </c>
      <c r="AZ52" s="203">
        <f t="shared" si="23"/>
        <v>0</v>
      </c>
      <c r="BA52" s="238">
        <f>SUMPRODUCT(('Evaluation details_input'!$F$4:$F$1000=$AV$47)*('Evaluation details_input'!$G$4:$G$1000=$AV52)*('Evaluation details_input'!$H$4:$H$1000=$BA$3))</f>
        <v>0</v>
      </c>
      <c r="BB52" s="203">
        <f t="shared" si="24"/>
        <v>0</v>
      </c>
      <c r="BC52" s="238">
        <f xml:space="preserve">
COUNTIFS('Evaluation details_input'!$P$3:$P$1000,$AV$47,'Evaluation details_input'!$Q$3:$Q$1000,$AV52,'Evaluation details_input'!$R$3:$R$1000,$BC$3)
+COUNTIFS('Evaluation details_input'!$F$3:$F$1000,$AV$47,'Evaluation details_input'!$G$3:$G$1000,$AV52,'Evaluation details_input'!$H$3:$H$1000,$BC$3,'Evaluation details_input'!$J$3:$J$1000,"Not accepted",'Evaluation details_input'!$N$3:$N$1000,"Disagree with original translator", 'Evaluation details_input'!$P$3:$P$1000,"")
+COUNTIFS('Evaluation details_input'!$F$3:$F$1000,$AV$47,'Evaluation details_input'!$G$3:$G$1000,$AV52,'Evaluation details_input'!$H$3:$H$1000,$BC$3,'Evaluation details_input'!$J$3:$J$1000,"Accepted", 'Evaluation details_input'!$P$3:$P$1000,"")
+COUNTIFS('Evaluation details_input'!$F$3:$F$1000,$AV$47,'Evaluation details_input'!$G$3:$G$1000,$AV52,'Evaluation details_input'!$H$3:$H$1000,$BC$3,'Evaluation details_input'!$J$3:$J$1000,"")</f>
        <v>0</v>
      </c>
      <c r="BD52" s="203">
        <f t="shared" si="25"/>
        <v>0</v>
      </c>
    </row>
    <row r="53" spans="3:56" ht="22.5">
      <c r="C53" s="192" t="s">
        <v>1196</v>
      </c>
      <c r="E53" s="32"/>
      <c r="S53" s="271" t="s">
        <v>1252</v>
      </c>
      <c r="T53" s="272" t="s">
        <v>1253</v>
      </c>
      <c r="V53" s="229" t="str">
        <f>$P$5</f>
        <v>Markup tag</v>
      </c>
      <c r="W53" s="197">
        <v>1</v>
      </c>
      <c r="X53" s="197">
        <v>5</v>
      </c>
      <c r="Y53" s="222">
        <v>100</v>
      </c>
      <c r="Z53" s="198">
        <v>0</v>
      </c>
      <c r="AA53" s="229" t="str">
        <f>$P$5</f>
        <v>Markup tag</v>
      </c>
      <c r="AB53" s="197">
        <v>1</v>
      </c>
      <c r="AC53" s="197">
        <v>5</v>
      </c>
      <c r="AD53" s="222">
        <v>100</v>
      </c>
      <c r="AE53" s="198">
        <v>0</v>
      </c>
      <c r="AF53" s="229" t="str">
        <f>$P$5</f>
        <v>Markup tag</v>
      </c>
      <c r="AG53" s="197">
        <v>1</v>
      </c>
      <c r="AH53" s="197">
        <v>5</v>
      </c>
      <c r="AI53" s="222">
        <v>100</v>
      </c>
      <c r="AJ53" s="198">
        <v>0</v>
      </c>
      <c r="AK53" s="229" t="str">
        <f>$P$5</f>
        <v>Markup tag</v>
      </c>
      <c r="AL53" s="197">
        <v>1</v>
      </c>
      <c r="AM53" s="197">
        <v>5</v>
      </c>
      <c r="AN53" s="222">
        <v>100</v>
      </c>
      <c r="AO53" s="198">
        <v>0</v>
      </c>
      <c r="AP53" s="229" t="str">
        <f>$P$5</f>
        <v>Markup tag</v>
      </c>
      <c r="AQ53" s="197" t="s">
        <v>1110</v>
      </c>
      <c r="AR53" s="197" t="s">
        <v>1110</v>
      </c>
      <c r="AS53" s="222" t="s">
        <v>1110</v>
      </c>
      <c r="AT53" s="198">
        <v>0</v>
      </c>
      <c r="AV53" s="246" t="str">
        <f t="shared" si="21"/>
        <v>Link/cross-reference</v>
      </c>
      <c r="AW53" s="242">
        <f>SUMPRODUCT(('Evaluation details_input'!$F$4:$F$1000=$AV$47)*('Evaluation details_input'!$G$4:$G$1000=$AV53)*('Evaluation details_input'!$H$4:$H$1000=$AW$3))</f>
        <v>0</v>
      </c>
      <c r="AX53" s="203">
        <f t="shared" si="22"/>
        <v>0</v>
      </c>
      <c r="AY53" s="238">
        <f xml:space="preserve">
COUNTIFS('Evaluation details_input'!$P$3:$P$1000,$AV$47,'Evaluation details_input'!$Q$3:$Q$1000,$AV53,'Evaluation details_input'!$R$3:$R$1000,$AY$3)
+COUNTIFS('Evaluation details_input'!$F$3:$F$1000,$AV$47,'Evaluation details_input'!$G$3:$G$1000,$AV53,'Evaluation details_input'!$H$3:$H$1000,$AY$3,'Evaluation details_input'!$J$3:$J$1000,"Not accepted",'Evaluation details_input'!$N$3:$N$1000,"Disagree with original translator", 'Evaluation details_input'!$P$3:$P$1000,"")
+COUNTIFS('Evaluation details_input'!$F$3:$F$1000,$AV$47,'Evaluation details_input'!$G$3:$G$1000,$AV53,'Evaluation details_input'!$H$3:$H$1000,$AY$3,'Evaluation details_input'!$J$3:$J$1000,"Accepted", 'Evaluation details_input'!$P$3:$P$1000,"")
+COUNTIFS('Evaluation details_input'!$F$3:$F$1000,$AV$47,'Evaluation details_input'!$G$3:$G$1000,$AV53,'Evaluation details_input'!$H$3:$H$1000,$AY$3,'Evaluation details_input'!$J$3:$J$1000,"")</f>
        <v>0</v>
      </c>
      <c r="AZ53" s="203">
        <f t="shared" si="23"/>
        <v>0</v>
      </c>
      <c r="BA53" s="238">
        <f>SUMPRODUCT(('Evaluation details_input'!$F$4:$F$1000=$AV$47)*('Evaluation details_input'!$G$4:$G$1000=$AV53)*('Evaluation details_input'!$H$4:$H$1000=$BA$3))</f>
        <v>0</v>
      </c>
      <c r="BB53" s="203">
        <f t="shared" si="24"/>
        <v>0</v>
      </c>
      <c r="BC53" s="238">
        <f xml:space="preserve">
COUNTIFS('Evaluation details_input'!$P$3:$P$1000,$AV$47,'Evaluation details_input'!$Q$3:$Q$1000,$AV53,'Evaluation details_input'!$R$3:$R$1000,$BC$3)
+COUNTIFS('Evaluation details_input'!$F$3:$F$1000,$AV$47,'Evaluation details_input'!$G$3:$G$1000,$AV53,'Evaluation details_input'!$H$3:$H$1000,$BC$3,'Evaluation details_input'!$J$3:$J$1000,"Not accepted",'Evaluation details_input'!$N$3:$N$1000,"Disagree with original translator", 'Evaluation details_input'!$P$3:$P$1000,"")
+COUNTIFS('Evaluation details_input'!$F$3:$F$1000,$AV$47,'Evaluation details_input'!$G$3:$G$1000,$AV53,'Evaluation details_input'!$H$3:$H$1000,$BC$3,'Evaluation details_input'!$J$3:$J$1000,"Accepted", 'Evaluation details_input'!$P$3:$P$1000,"")
+COUNTIFS('Evaluation details_input'!$F$3:$F$1000,$AV$47,'Evaluation details_input'!$G$3:$G$1000,$AV53,'Evaluation details_input'!$H$3:$H$1000,$BC$3,'Evaluation details_input'!$J$3:$J$1000,"")</f>
        <v>0</v>
      </c>
      <c r="BD53" s="203">
        <f t="shared" si="25"/>
        <v>0</v>
      </c>
    </row>
    <row r="54" spans="3:56" ht="23.25" thickBot="1">
      <c r="C54" s="192" t="s">
        <v>146</v>
      </c>
      <c r="E54" s="32"/>
      <c r="S54" s="271" t="s">
        <v>1254</v>
      </c>
      <c r="T54" s="272" t="s">
        <v>194</v>
      </c>
      <c r="V54" s="229" t="str">
        <f>$P$6</f>
        <v>Truncation/text expansion</v>
      </c>
      <c r="W54" s="197">
        <v>1</v>
      </c>
      <c r="X54" s="197">
        <v>5</v>
      </c>
      <c r="Y54" s="222">
        <v>100</v>
      </c>
      <c r="Z54" s="198">
        <v>0</v>
      </c>
      <c r="AA54" s="229" t="str">
        <f>$P$6</f>
        <v>Truncation/text expansion</v>
      </c>
      <c r="AB54" s="197">
        <v>1</v>
      </c>
      <c r="AC54" s="197">
        <v>5</v>
      </c>
      <c r="AD54" s="222">
        <v>100</v>
      </c>
      <c r="AE54" s="198">
        <v>0</v>
      </c>
      <c r="AF54" s="229" t="str">
        <f>$P$6</f>
        <v>Truncation/text expansion</v>
      </c>
      <c r="AG54" s="197">
        <v>1</v>
      </c>
      <c r="AH54" s="197">
        <v>5</v>
      </c>
      <c r="AI54" s="222">
        <v>100</v>
      </c>
      <c r="AJ54" s="198">
        <v>0</v>
      </c>
      <c r="AK54" s="229" t="str">
        <f>$P$6</f>
        <v>Truncation/text expansion</v>
      </c>
      <c r="AL54" s="197">
        <v>1</v>
      </c>
      <c r="AM54" s="197">
        <v>5</v>
      </c>
      <c r="AN54" s="222">
        <v>100</v>
      </c>
      <c r="AO54" s="198">
        <v>0</v>
      </c>
      <c r="AP54" s="229" t="str">
        <f>$P$6</f>
        <v>Truncation/text expansion</v>
      </c>
      <c r="AQ54" s="197" t="s">
        <v>1110</v>
      </c>
      <c r="AR54" s="197" t="s">
        <v>1110</v>
      </c>
      <c r="AS54" s="222" t="s">
        <v>1110</v>
      </c>
      <c r="AT54" s="198">
        <v>0</v>
      </c>
      <c r="AV54" s="248" t="str">
        <f t="shared" si="21"/>
        <v>Other</v>
      </c>
      <c r="AW54" s="242">
        <f>SUMPRODUCT(('Evaluation details_input'!$F$4:$F$1000=$AV$47)*('Evaluation details_input'!$G$4:$G$1000=$AV54)*('Evaluation details_input'!$H$4:$H$1000=$AW$3))</f>
        <v>0</v>
      </c>
      <c r="AX54" s="203">
        <f t="shared" si="22"/>
        <v>0</v>
      </c>
      <c r="AY54" s="238">
        <f xml:space="preserve">
COUNTIFS('Evaluation details_input'!$P$3:$P$1000,$AV$47,'Evaluation details_input'!$Q$3:$Q$1000,$AV54,'Evaluation details_input'!$R$3:$R$1000,$AY$3)
+COUNTIFS('Evaluation details_input'!$F$3:$F$1000,$AV$47,'Evaluation details_input'!$G$3:$G$1000,$AV54,'Evaluation details_input'!$H$3:$H$1000,$AY$3,'Evaluation details_input'!$J$3:$J$1000,"Not accepted",'Evaluation details_input'!$N$3:$N$1000,"Disagree with original translator", 'Evaluation details_input'!$P$3:$P$1000,"")
+COUNTIFS('Evaluation details_input'!$F$3:$F$1000,$AV$47,'Evaluation details_input'!$G$3:$G$1000,$AV54,'Evaluation details_input'!$H$3:$H$1000,$AY$3,'Evaluation details_input'!$J$3:$J$1000,"Accepted", 'Evaluation details_input'!$P$3:$P$1000,"")
+COUNTIFS('Evaluation details_input'!$F$3:$F$1000,$AV$47,'Evaluation details_input'!$G$3:$G$1000,$AV54,'Evaluation details_input'!$H$3:$H$1000,$AY$3,'Evaluation details_input'!$J$3:$J$1000,"")</f>
        <v>0</v>
      </c>
      <c r="AZ54" s="203">
        <f t="shared" si="23"/>
        <v>0</v>
      </c>
      <c r="BA54" s="238">
        <f>SUMPRODUCT(('Evaluation details_input'!$F$4:$F$1000=$AV$47)*('Evaluation details_input'!$G$4:$G$1000=$AV54)*('Evaluation details_input'!$H$4:$H$1000=$BA$3))</f>
        <v>0</v>
      </c>
      <c r="BB54" s="203">
        <f t="shared" si="24"/>
        <v>0</v>
      </c>
      <c r="BC54" s="238">
        <f xml:space="preserve">
COUNTIFS('Evaluation details_input'!$P$3:$P$1000,$AV$47,'Evaluation details_input'!$Q$3:$Q$1000,$AV54,'Evaluation details_input'!$R$3:$R$1000,$BC$3)
+COUNTIFS('Evaluation details_input'!$F$3:$F$1000,$AV$47,'Evaluation details_input'!$G$3:$G$1000,$AV54,'Evaluation details_input'!$H$3:$H$1000,$BC$3,'Evaluation details_input'!$J$3:$J$1000,"Not accepted",'Evaluation details_input'!$N$3:$N$1000,"Disagree with original translator", 'Evaluation details_input'!$P$3:$P$1000,"")
+COUNTIFS('Evaluation details_input'!$F$3:$F$1000,$AV$47,'Evaluation details_input'!$G$3:$G$1000,$AV54,'Evaluation details_input'!$H$3:$H$1000,$BC$3,'Evaluation details_input'!$J$3:$J$1000,"Accepted", 'Evaluation details_input'!$P$3:$P$1000,"")
+COUNTIFS('Evaluation details_input'!$F$3:$F$1000,$AV$47,'Evaluation details_input'!$G$3:$G$1000,$AV54,'Evaluation details_input'!$H$3:$H$1000,$BC$3,'Evaluation details_input'!$J$3:$J$1000,"")</f>
        <v>0</v>
      </c>
      <c r="BD54" s="203">
        <f t="shared" si="25"/>
        <v>0</v>
      </c>
    </row>
    <row r="55" spans="3:56" ht="22.5">
      <c r="C55" s="192" t="s">
        <v>48</v>
      </c>
      <c r="E55" s="32"/>
      <c r="S55" s="271" t="s">
        <v>2690</v>
      </c>
      <c r="T55" s="272" t="s">
        <v>3047</v>
      </c>
      <c r="V55" s="229" t="str">
        <f>$P$7</f>
        <v>Missing text</v>
      </c>
      <c r="W55" s="197">
        <v>1</v>
      </c>
      <c r="X55" s="197">
        <v>5</v>
      </c>
      <c r="Y55" s="222">
        <v>100</v>
      </c>
      <c r="Z55" s="198">
        <v>0</v>
      </c>
      <c r="AA55" s="229" t="str">
        <f>$P$7</f>
        <v>Missing text</v>
      </c>
      <c r="AB55" s="197">
        <v>1</v>
      </c>
      <c r="AC55" s="197">
        <v>5</v>
      </c>
      <c r="AD55" s="222">
        <v>100</v>
      </c>
      <c r="AE55" s="198">
        <v>0</v>
      </c>
      <c r="AF55" s="229" t="str">
        <f>$P$7</f>
        <v>Missing text</v>
      </c>
      <c r="AG55" s="197">
        <v>1</v>
      </c>
      <c r="AH55" s="197">
        <v>5</v>
      </c>
      <c r="AI55" s="222">
        <v>100</v>
      </c>
      <c r="AJ55" s="198">
        <v>0</v>
      </c>
      <c r="AK55" s="229" t="str">
        <f>$P$7</f>
        <v>Missing text</v>
      </c>
      <c r="AL55" s="197">
        <v>1</v>
      </c>
      <c r="AM55" s="197">
        <v>5</v>
      </c>
      <c r="AN55" s="222">
        <v>100</v>
      </c>
      <c r="AO55" s="198">
        <v>0</v>
      </c>
      <c r="AP55" s="229" t="str">
        <f>$P$7</f>
        <v>Missing text</v>
      </c>
      <c r="AQ55" s="197" t="s">
        <v>1110</v>
      </c>
      <c r="AR55" s="197" t="s">
        <v>1110</v>
      </c>
      <c r="AS55" s="222" t="s">
        <v>1110</v>
      </c>
      <c r="AT55" s="198">
        <v>0</v>
      </c>
      <c r="AV55" s="249" t="str">
        <f>Q2</f>
        <v>Other</v>
      </c>
      <c r="AW55" s="243"/>
      <c r="AX55" s="209"/>
      <c r="AY55" s="209"/>
      <c r="AZ55" s="209"/>
      <c r="BA55" s="239"/>
      <c r="BB55" s="209"/>
      <c r="BC55" s="209"/>
      <c r="BD55" s="209"/>
    </row>
    <row r="56" spans="3:56" ht="22.5">
      <c r="C56" s="192" t="s">
        <v>49</v>
      </c>
      <c r="E56" s="32"/>
      <c r="S56" s="271" t="s">
        <v>1255</v>
      </c>
      <c r="T56" s="272" t="s">
        <v>722</v>
      </c>
      <c r="V56" s="229" t="str">
        <f>$P$8</f>
        <v>Link/cross-reference</v>
      </c>
      <c r="W56" s="197">
        <v>1</v>
      </c>
      <c r="X56" s="197">
        <v>5</v>
      </c>
      <c r="Y56" s="222">
        <v>100</v>
      </c>
      <c r="Z56" s="198">
        <v>0</v>
      </c>
      <c r="AA56" s="229" t="str">
        <f>$P$8</f>
        <v>Link/cross-reference</v>
      </c>
      <c r="AB56" s="197">
        <v>1</v>
      </c>
      <c r="AC56" s="197">
        <v>5</v>
      </c>
      <c r="AD56" s="222">
        <v>100</v>
      </c>
      <c r="AE56" s="198">
        <v>0</v>
      </c>
      <c r="AF56" s="229" t="str">
        <f>$P$8</f>
        <v>Link/cross-reference</v>
      </c>
      <c r="AG56" s="197">
        <v>1</v>
      </c>
      <c r="AH56" s="197">
        <v>5</v>
      </c>
      <c r="AI56" s="222">
        <v>100</v>
      </c>
      <c r="AJ56" s="198">
        <v>0</v>
      </c>
      <c r="AK56" s="229" t="str">
        <f>$P$8</f>
        <v>Link/cross-reference</v>
      </c>
      <c r="AL56" s="197">
        <v>1</v>
      </c>
      <c r="AM56" s="197">
        <v>5</v>
      </c>
      <c r="AN56" s="222">
        <v>100</v>
      </c>
      <c r="AO56" s="198">
        <v>0</v>
      </c>
      <c r="AP56" s="229" t="str">
        <f>$P$8</f>
        <v>Link/cross-reference</v>
      </c>
      <c r="AQ56" s="197" t="s">
        <v>1110</v>
      </c>
      <c r="AR56" s="197" t="s">
        <v>1110</v>
      </c>
      <c r="AS56" s="222" t="s">
        <v>1110</v>
      </c>
      <c r="AT56" s="198">
        <v>0</v>
      </c>
      <c r="AV56" s="246" t="str">
        <f>Q3</f>
        <v>Legacy data</v>
      </c>
      <c r="AW56" s="242">
        <f>SUMPRODUCT(('Evaluation details_input'!$F$4:$F$1000=$AV$55)*('Evaluation details_input'!$G$4:$G$1000=$AV56)*('Evaluation details_input'!$H$4:$H$1000=$AW$3))</f>
        <v>0</v>
      </c>
      <c r="AX56" s="203">
        <f xml:space="preserve">
IF($AW$2=$AA$3,$AW56*$AB59,
IF($AW$2=$AF$3,$AW56*$AG59,
$AW56*$W59))</f>
        <v>0</v>
      </c>
      <c r="AY56" s="238">
        <f xml:space="preserve">
COUNTIFS('Evaluation details_input'!$P$3:$P$1000,$AV$55,'Evaluation details_input'!$Q$3:$Q$1000,$AV56,'Evaluation details_input'!$R$3:$R$1000,$AY$3)
+COUNTIFS('Evaluation details_input'!$F$3:$F$1000,$AV$55,'Evaluation details_input'!$G$3:$G$1000,$AV56,'Evaluation details_input'!$H$3:$H$1000,$AY$3,'Evaluation details_input'!$J$3:$J$1000,"Not accepted",'Evaluation details_input'!$N$3:$N$1000,"Disagree with original translator", 'Evaluation details_input'!$P$3:$P$1000,"")
+COUNTIFS('Evaluation details_input'!$F$3:$F$1000,$AV$55,'Evaluation details_input'!$G$3:$G$1000,$AV56,'Evaluation details_input'!$H$3:$H$1000,$AY$3,'Evaluation details_input'!$J$3:$J$1000,"Accepted", 'Evaluation details_input'!$P$3:$P$1000,"")
+COUNTIFS('Evaluation details_input'!$F$3:$F$1000,$AV$55,'Evaluation details_input'!$G$3:$G$1000,$AV56,'Evaluation details_input'!$H$3:$H$1000,$AY$3,'Evaluation details_input'!$J$3:$J$1000,"")</f>
        <v>0</v>
      </c>
      <c r="AZ56" s="203">
        <f xml:space="preserve">
IF($AW$2=$AA$3,$AY56*$AB59,
IF($AW$2=$AF$3,$AY56*$AG59,
$AY56*$X59))</f>
        <v>0</v>
      </c>
      <c r="BA56" s="238">
        <f>SUMPRODUCT(('Evaluation details_input'!$F$4:$F$1000=$AV$55)*('Evaluation details_input'!$G$4:$G$1000=$AV56)*('Evaluation details_input'!$H$4:$H$1000=$BA$3))</f>
        <v>0</v>
      </c>
      <c r="BB56" s="203">
        <f xml:space="preserve">
IF($AW$2=$AA$3,$BA56*$AC59,
IF($AW$2=$AF$3,$BA56*$AH59,
$BA56*$W59))</f>
        <v>0</v>
      </c>
      <c r="BC56" s="238">
        <f xml:space="preserve">
COUNTIFS('Evaluation details_input'!$P$3:$P$1000,$AV$55,'Evaluation details_input'!$Q$3:$Q$1000,$AV56,'Evaluation details_input'!$R$3:$R$1000,$BC$3)
+COUNTIFS('Evaluation details_input'!$F$3:$F$1000,$AV$55,'Evaluation details_input'!$G$3:$G$1000,$AV56,'Evaluation details_input'!$H$3:$H$1000,$BC$3,'Evaluation details_input'!$J$3:$J$1000,"Not accepted",'Evaluation details_input'!$N$3:$N$1000,"Disagree with original translator", 'Evaluation details_input'!$P$3:$P$1000,"")
+COUNTIFS('Evaluation details_input'!$F$3:$F$1000,$AV$55,'Evaluation details_input'!$G$3:$G$1000,$AV56,'Evaluation details_input'!$H$3:$H$1000,$BC$3,'Evaluation details_input'!$J$3:$J$1000,"Accepted", 'Evaluation details_input'!$P$3:$P$1000,"")
+COUNTIFS('Evaluation details_input'!$F$3:$F$1000,$AV$55,'Evaluation details_input'!$G$3:$G$1000,$AV56,'Evaluation details_input'!$H$3:$H$1000,$BC$3,'Evaluation details_input'!$J$3:$J$1000,"")</f>
        <v>0</v>
      </c>
      <c r="BD56" s="203">
        <f xml:space="preserve">
IF($AW$2=$AA$3,$BC56*$AC59,
IF($AW$2=$AF$3,$BC56*$AH59,
$BC56*$W59))</f>
        <v>0</v>
      </c>
    </row>
    <row r="57" spans="3:56" ht="22.5">
      <c r="C57" s="192" t="s">
        <v>1189</v>
      </c>
      <c r="E57" s="32"/>
      <c r="S57" s="271" t="s">
        <v>2691</v>
      </c>
      <c r="T57" s="272" t="s">
        <v>3048</v>
      </c>
      <c r="V57" s="229" t="str">
        <f>$P$9</f>
        <v>Other</v>
      </c>
      <c r="W57" s="197">
        <v>1</v>
      </c>
      <c r="X57" s="197">
        <v>5</v>
      </c>
      <c r="Y57" s="222">
        <v>100</v>
      </c>
      <c r="Z57" s="198">
        <v>0</v>
      </c>
      <c r="AA57" s="229" t="str">
        <f>$P$9</f>
        <v>Other</v>
      </c>
      <c r="AB57" s="197">
        <v>1</v>
      </c>
      <c r="AC57" s="197">
        <v>5</v>
      </c>
      <c r="AD57" s="222">
        <v>100</v>
      </c>
      <c r="AE57" s="198">
        <v>0</v>
      </c>
      <c r="AF57" s="229" t="str">
        <f>$P$9</f>
        <v>Other</v>
      </c>
      <c r="AG57" s="197">
        <v>1</v>
      </c>
      <c r="AH57" s="197">
        <v>5</v>
      </c>
      <c r="AI57" s="222">
        <v>100</v>
      </c>
      <c r="AJ57" s="198">
        <v>0</v>
      </c>
      <c r="AK57" s="229" t="str">
        <f>$P$9</f>
        <v>Other</v>
      </c>
      <c r="AL57" s="197">
        <v>1</v>
      </c>
      <c r="AM57" s="197">
        <v>5</v>
      </c>
      <c r="AN57" s="222">
        <v>100</v>
      </c>
      <c r="AO57" s="198">
        <v>0</v>
      </c>
      <c r="AP57" s="229" t="str">
        <f>$P$9</f>
        <v>Other</v>
      </c>
      <c r="AQ57" s="197" t="s">
        <v>1110</v>
      </c>
      <c r="AR57" s="197" t="s">
        <v>1110</v>
      </c>
      <c r="AS57" s="222" t="s">
        <v>1110</v>
      </c>
      <c r="AT57" s="198">
        <v>0</v>
      </c>
      <c r="AV57" s="246" t="str">
        <f>Q4</f>
        <v>Source text data</v>
      </c>
      <c r="AW57" s="242">
        <f>SUMPRODUCT(('Evaluation details_input'!$F$4:$F$1000=$AV$55)*('Evaluation details_input'!$G$4:$G$1000=$AV57)*('Evaluation details_input'!$H$4:$H$1000=$AW$3))</f>
        <v>0</v>
      </c>
      <c r="AX57" s="203">
        <f xml:space="preserve">
IF($AW$2=$AA$3,$AW57*$AB60,
IF($AW$2=$AF$3,$AW57*$AG60,
$AW57*$W60))</f>
        <v>0</v>
      </c>
      <c r="AY57" s="238">
        <f xml:space="preserve">
COUNTIFS('Evaluation details_input'!$P$3:$P$1000,$AV$55,'Evaluation details_input'!$Q$3:$Q$1000,$AV57,'Evaluation details_input'!$R$3:$R$1000,$AY$3)
+COUNTIFS('Evaluation details_input'!$F$3:$F$1000,$AV$55,'Evaluation details_input'!$G$3:$G$1000,$AV57,'Evaluation details_input'!$H$3:$H$1000,$AY$3,'Evaluation details_input'!$J$3:$J$1000,"Not accepted",'Evaluation details_input'!$N$3:$N$1000,"Disagree with original translator", 'Evaluation details_input'!$P$3:$P$1000,"")
+COUNTIFS('Evaluation details_input'!$F$3:$F$1000,$AV$55,'Evaluation details_input'!$G$3:$G$1000,$AV57,'Evaluation details_input'!$H$3:$H$1000,$AY$3,'Evaluation details_input'!$J$3:$J$1000,"Accepted", 'Evaluation details_input'!$P$3:$P$1000,"")
+COUNTIFS('Evaluation details_input'!$F$3:$F$1000,$AV$55,'Evaluation details_input'!$G$3:$G$1000,$AV57,'Evaluation details_input'!$H$3:$H$1000,$AY$3,'Evaluation details_input'!$J$3:$J$1000,"")</f>
        <v>0</v>
      </c>
      <c r="AZ57" s="203">
        <f t="shared" ref="AZ57:AZ58" si="26" xml:space="preserve">
IF($AW$2=$AA$3,$AY57*$AB60,
IF($AW$2=$AF$3,$AY57*$AG60,
$AY57*$X60))</f>
        <v>0</v>
      </c>
      <c r="BA57" s="238">
        <f>SUMPRODUCT(('Evaluation details_input'!$F$4:$F$1000=$AV$55)*('Evaluation details_input'!$G$4:$G$1000=$AV57)*('Evaluation details_input'!$H$4:$H$1000=$BA$3))</f>
        <v>0</v>
      </c>
      <c r="BB57" s="203">
        <f xml:space="preserve">
IF($AW$2=$AA$3,$AW57*$AB60,
IF($AW$2=$AF$3,$AW57*$AG60,
$AW57*$W60))</f>
        <v>0</v>
      </c>
      <c r="BC57" s="238">
        <f xml:space="preserve">
COUNTIFS('Evaluation details_input'!$P$3:$P$1000,$AV$55,'Evaluation details_input'!$Q$3:$Q$1000,$AV57,'Evaluation details_input'!$R$3:$R$1000,$BC$3)
+COUNTIFS('Evaluation details_input'!$F$3:$F$1000,$AV$55,'Evaluation details_input'!$G$3:$G$1000,$AV57,'Evaluation details_input'!$H$3:$H$1000,$BC$3,'Evaluation details_input'!$J$3:$J$1000,"Not accepted",'Evaluation details_input'!$N$3:$N$1000,"Disagree with original translator", 'Evaluation details_input'!$P$3:$P$1000,"")
+COUNTIFS('Evaluation details_input'!$F$3:$F$1000,$AV$55,'Evaluation details_input'!$G$3:$G$1000,$AV57,'Evaluation details_input'!$H$3:$H$1000,$BC$3,'Evaluation details_input'!$J$3:$J$1000,"Accepted", 'Evaluation details_input'!$P$3:$P$1000,"")
+COUNTIFS('Evaluation details_input'!$F$3:$F$1000,$AV$55,'Evaluation details_input'!$G$3:$G$1000,$AV57,'Evaluation details_input'!$H$3:$H$1000,$BC$3,'Evaluation details_input'!$J$3:$J$1000,"")</f>
        <v>0</v>
      </c>
      <c r="BD57" s="203">
        <f t="shared" ref="BD57:BD58" si="27" xml:space="preserve">
IF($AW$2=$AA$3,$BC57*$AC60,
IF($AW$2=$AF$3,$BC57*$AH60,
$BC57*$W60))</f>
        <v>0</v>
      </c>
    </row>
    <row r="58" spans="3:56" ht="13.5" thickBot="1">
      <c r="C58" s="192" t="s">
        <v>50</v>
      </c>
      <c r="E58" s="32"/>
      <c r="S58" s="271" t="s">
        <v>1256</v>
      </c>
      <c r="T58" s="272" t="s">
        <v>801</v>
      </c>
      <c r="V58" s="230" t="str">
        <f>$Q$2</f>
        <v>Other</v>
      </c>
      <c r="W58" s="213"/>
      <c r="X58" s="213"/>
      <c r="Y58" s="223"/>
      <c r="Z58" s="214"/>
      <c r="AA58" s="230" t="str">
        <f>$Q$2</f>
        <v>Other</v>
      </c>
      <c r="AB58" s="213"/>
      <c r="AC58" s="213"/>
      <c r="AD58" s="223"/>
      <c r="AE58" s="214"/>
      <c r="AF58" s="230" t="str">
        <f>$Q$2</f>
        <v>Other</v>
      </c>
      <c r="AG58" s="213"/>
      <c r="AH58" s="213"/>
      <c r="AI58" s="223"/>
      <c r="AJ58" s="214"/>
      <c r="AK58" s="230" t="str">
        <f>$Q$2</f>
        <v>Other</v>
      </c>
      <c r="AL58" s="213"/>
      <c r="AM58" s="213"/>
      <c r="AN58" s="223"/>
      <c r="AO58" s="214"/>
      <c r="AP58" s="230" t="str">
        <f>$Q$2</f>
        <v>Other</v>
      </c>
      <c r="AQ58" s="213"/>
      <c r="AR58" s="213"/>
      <c r="AS58" s="223"/>
      <c r="AT58" s="214"/>
      <c r="AV58" s="248" t="str">
        <f>Q5</f>
        <v>Other</v>
      </c>
      <c r="AW58" s="244">
        <f>SUMPRODUCT(('Evaluation details_input'!$F$4:$F$1000=$AV$55)*('Evaluation details_input'!$G$4:$G$1000=$AV58)*('Evaluation details_input'!$H$4:$H$1000=$AW$3))</f>
        <v>0</v>
      </c>
      <c r="AX58" s="236">
        <f xml:space="preserve">
IF($AW$2=$AA$3,$AW58*$AB61,
IF($AW$2=$AF$3,$AW58*$AG61,
$AW58*$W61))</f>
        <v>0</v>
      </c>
      <c r="AY58" s="240">
        <f xml:space="preserve">
COUNTIFS('Evaluation details_input'!$P$3:$P$1000,$AV$55,'Evaluation details_input'!$Q$3:$Q$1000,$AV58,'Evaluation details_input'!$R$3:$R$1000,$AY$3)
+COUNTIFS('Evaluation details_input'!$F$3:$F$1000,$AV$55,'Evaluation details_input'!$G$3:$G$1000,$AV58,'Evaluation details_input'!$H$3:$H$1000,$AY$3,'Evaluation details_input'!$J$3:$J$1000,"Not accepted",'Evaluation details_input'!$N$3:$N$1000,"Disagree with original translator", 'Evaluation details_input'!$P$3:$P$1000,"")
+COUNTIFS('Evaluation details_input'!$F$3:$F$1000,$AV$55,'Evaluation details_input'!$G$3:$G$1000,$AV58,'Evaluation details_input'!$H$3:$H$1000,$AY$3,'Evaluation details_input'!$J$3:$J$1000,"Accepted", 'Evaluation details_input'!$P$3:$P$1000,"")
+COUNTIFS('Evaluation details_input'!$F$3:$F$1000,$AV$55,'Evaluation details_input'!$G$3:$G$1000,$AV58,'Evaluation details_input'!$H$3:$H$1000,$AY$3,'Evaluation details_input'!$J$3:$J$1000,"")</f>
        <v>0</v>
      </c>
      <c r="AZ58" s="236">
        <f t="shared" si="26"/>
        <v>0</v>
      </c>
      <c r="BA58" s="240">
        <f>SUMPRODUCT(('Evaluation details_input'!$F$4:$F$1000=$AV$55)*('Evaluation details_input'!$G$4:$G$1000=$AV58)*('Evaluation details_input'!$H$4:$H$1000=$BA$3))</f>
        <v>0</v>
      </c>
      <c r="BB58" s="236">
        <f xml:space="preserve">
IF($AW$2=$AA$3,$AW58*$AB61,
IF($AW$2=$AF$3,$AW58*$AG61,
$AW58*$W61))</f>
        <v>0</v>
      </c>
      <c r="BC58" s="240">
        <f xml:space="preserve">
COUNTIFS('Evaluation details_input'!$P$3:$P$1000,$AV$55,'Evaluation details_input'!$Q$3:$Q$1000,$AV58,'Evaluation details_input'!$R$3:$R$1000,$BC$3)
+COUNTIFS('Evaluation details_input'!$F$3:$F$1000,$AV$55,'Evaluation details_input'!$G$3:$G$1000,$AV58,'Evaluation details_input'!$H$3:$H$1000,$BC$3,'Evaluation details_input'!$J$3:$J$1000,"Not accepted",'Evaluation details_input'!$N$3:$N$1000,"Disagree with original translator", 'Evaluation details_input'!$P$3:$P$1000,"")
+COUNTIFS('Evaluation details_input'!$F$3:$F$1000,$AV$55,'Evaluation details_input'!$G$3:$G$1000,$AV58,'Evaluation details_input'!$H$3:$H$1000,$BC$3,'Evaluation details_input'!$J$3:$J$1000,"Accepted", 'Evaluation details_input'!$P$3:$P$1000,"")
+COUNTIFS('Evaluation details_input'!$F$3:$F$1000,$AV$55,'Evaluation details_input'!$G$3:$G$1000,$AV58,'Evaluation details_input'!$H$3:$H$1000,$BC$3,'Evaluation details_input'!$J$3:$J$1000,"")</f>
        <v>0</v>
      </c>
      <c r="BD58" s="236">
        <f t="shared" si="27"/>
        <v>0</v>
      </c>
    </row>
    <row r="59" spans="3:56">
      <c r="C59" s="192" t="s">
        <v>1159</v>
      </c>
      <c r="E59" s="32"/>
      <c r="S59" s="271" t="s">
        <v>1257</v>
      </c>
      <c r="T59" s="272" t="s">
        <v>1114</v>
      </c>
      <c r="V59" s="229" t="str">
        <f>$Q$3</f>
        <v>Legacy data</v>
      </c>
      <c r="W59" s="197">
        <v>0</v>
      </c>
      <c r="X59" s="197">
        <v>0</v>
      </c>
      <c r="Y59" s="222">
        <v>0</v>
      </c>
      <c r="Z59" s="198">
        <v>0</v>
      </c>
      <c r="AA59" s="229" t="str">
        <f>$Q$3</f>
        <v>Legacy data</v>
      </c>
      <c r="AB59" s="197">
        <v>0</v>
      </c>
      <c r="AC59" s="197">
        <v>0</v>
      </c>
      <c r="AD59" s="222">
        <v>0</v>
      </c>
      <c r="AE59" s="198">
        <v>0</v>
      </c>
      <c r="AF59" s="229" t="str">
        <f>$Q$3</f>
        <v>Legacy data</v>
      </c>
      <c r="AG59" s="197">
        <v>0</v>
      </c>
      <c r="AH59" s="197">
        <v>0</v>
      </c>
      <c r="AI59" s="222">
        <v>0</v>
      </c>
      <c r="AJ59" s="198">
        <v>0</v>
      </c>
      <c r="AK59" s="229" t="str">
        <f>$Q$3</f>
        <v>Legacy data</v>
      </c>
      <c r="AL59" s="197">
        <v>0</v>
      </c>
      <c r="AM59" s="197">
        <v>0</v>
      </c>
      <c r="AN59" s="222">
        <v>0</v>
      </c>
      <c r="AO59" s="198">
        <v>0</v>
      </c>
      <c r="AP59" s="229" t="str">
        <f>$Q$3</f>
        <v>Legacy data</v>
      </c>
      <c r="AQ59" s="197">
        <v>0</v>
      </c>
      <c r="AR59" s="197">
        <v>0</v>
      </c>
      <c r="AS59" s="222">
        <v>0</v>
      </c>
      <c r="AT59" s="198">
        <v>0</v>
      </c>
    </row>
    <row r="60" spans="3:56">
      <c r="C60" s="192" t="s">
        <v>51</v>
      </c>
      <c r="E60" s="32"/>
      <c r="S60" s="271" t="s">
        <v>1258</v>
      </c>
      <c r="T60" s="272" t="s">
        <v>195</v>
      </c>
      <c r="V60" s="229" t="str">
        <f>$Q$4</f>
        <v>Source text data</v>
      </c>
      <c r="W60" s="197">
        <v>0</v>
      </c>
      <c r="X60" s="197">
        <v>0</v>
      </c>
      <c r="Y60" s="222">
        <v>0</v>
      </c>
      <c r="Z60" s="198">
        <v>0</v>
      </c>
      <c r="AA60" s="229" t="str">
        <f>$Q$4</f>
        <v>Source text data</v>
      </c>
      <c r="AB60" s="197">
        <v>0</v>
      </c>
      <c r="AC60" s="197">
        <v>0</v>
      </c>
      <c r="AD60" s="222">
        <v>0</v>
      </c>
      <c r="AE60" s="198">
        <v>0</v>
      </c>
      <c r="AF60" s="229" t="str">
        <f>$Q$4</f>
        <v>Source text data</v>
      </c>
      <c r="AG60" s="197">
        <v>0</v>
      </c>
      <c r="AH60" s="197">
        <v>0</v>
      </c>
      <c r="AI60" s="222">
        <v>0</v>
      </c>
      <c r="AJ60" s="198">
        <v>0</v>
      </c>
      <c r="AK60" s="229" t="str">
        <f>$Q$4</f>
        <v>Source text data</v>
      </c>
      <c r="AL60" s="197">
        <v>0</v>
      </c>
      <c r="AM60" s="197">
        <v>0</v>
      </c>
      <c r="AN60" s="222">
        <v>0</v>
      </c>
      <c r="AO60" s="198">
        <v>0</v>
      </c>
      <c r="AP60" s="229" t="str">
        <f>$Q$4</f>
        <v>Source text data</v>
      </c>
      <c r="AQ60" s="197">
        <v>0</v>
      </c>
      <c r="AR60" s="197">
        <v>0</v>
      </c>
      <c r="AS60" s="222">
        <v>0</v>
      </c>
      <c r="AT60" s="198">
        <v>0</v>
      </c>
    </row>
    <row r="61" spans="3:56" ht="13.5" thickBot="1">
      <c r="C61" s="192" t="s">
        <v>106</v>
      </c>
      <c r="E61" s="32"/>
      <c r="S61" s="271" t="s">
        <v>1259</v>
      </c>
      <c r="T61" s="272" t="s">
        <v>1260</v>
      </c>
      <c r="V61" s="231" t="str">
        <f>$Q$5</f>
        <v>Other</v>
      </c>
      <c r="W61" s="232">
        <v>0</v>
      </c>
      <c r="X61" s="232">
        <v>0</v>
      </c>
      <c r="Y61" s="233">
        <v>0</v>
      </c>
      <c r="Z61" s="234">
        <v>0</v>
      </c>
      <c r="AA61" s="231" t="str">
        <f>$Q$5</f>
        <v>Other</v>
      </c>
      <c r="AB61" s="232">
        <v>0</v>
      </c>
      <c r="AC61" s="232">
        <v>0</v>
      </c>
      <c r="AD61" s="233">
        <v>0</v>
      </c>
      <c r="AE61" s="234">
        <v>0</v>
      </c>
      <c r="AF61" s="231" t="str">
        <f>$Q$5</f>
        <v>Other</v>
      </c>
      <c r="AG61" s="232">
        <v>0</v>
      </c>
      <c r="AH61" s="232">
        <v>0</v>
      </c>
      <c r="AI61" s="233">
        <v>0</v>
      </c>
      <c r="AJ61" s="234">
        <v>0</v>
      </c>
      <c r="AK61" s="231" t="str">
        <f>$Q$5</f>
        <v>Other</v>
      </c>
      <c r="AL61" s="232">
        <v>0</v>
      </c>
      <c r="AM61" s="232">
        <v>0</v>
      </c>
      <c r="AN61" s="233">
        <v>0</v>
      </c>
      <c r="AO61" s="234">
        <v>0</v>
      </c>
      <c r="AP61" s="231" t="str">
        <f>$Q$5</f>
        <v>Other</v>
      </c>
      <c r="AQ61" s="232">
        <v>0</v>
      </c>
      <c r="AR61" s="232">
        <v>0</v>
      </c>
      <c r="AS61" s="233">
        <v>0</v>
      </c>
      <c r="AT61" s="234">
        <v>0</v>
      </c>
    </row>
    <row r="62" spans="3:56">
      <c r="C62" s="192" t="s">
        <v>52</v>
      </c>
      <c r="E62" s="32"/>
      <c r="S62" s="271" t="s">
        <v>2692</v>
      </c>
      <c r="T62" s="272" t="s">
        <v>3049</v>
      </c>
    </row>
    <row r="63" spans="3:56">
      <c r="C63" s="192" t="s">
        <v>1191</v>
      </c>
      <c r="E63" s="32"/>
      <c r="S63" s="271" t="s">
        <v>1261</v>
      </c>
      <c r="T63" s="272" t="s">
        <v>802</v>
      </c>
    </row>
    <row r="64" spans="3:56">
      <c r="C64" s="192" t="s">
        <v>129</v>
      </c>
      <c r="E64" s="32"/>
      <c r="S64" s="271" t="s">
        <v>1262</v>
      </c>
      <c r="T64" s="272" t="s">
        <v>196</v>
      </c>
    </row>
    <row r="65" spans="3:20">
      <c r="C65" s="192" t="s">
        <v>1160</v>
      </c>
      <c r="E65" s="32"/>
      <c r="S65" s="271" t="s">
        <v>1263</v>
      </c>
      <c r="T65" s="272" t="s">
        <v>197</v>
      </c>
    </row>
    <row r="66" spans="3:20">
      <c r="C66" s="192" t="s">
        <v>53</v>
      </c>
      <c r="E66" s="32"/>
      <c r="S66" s="271" t="s">
        <v>2693</v>
      </c>
      <c r="T66" s="272" t="s">
        <v>3050</v>
      </c>
    </row>
    <row r="67" spans="3:20">
      <c r="C67" s="192" t="s">
        <v>147</v>
      </c>
      <c r="E67" s="32"/>
      <c r="S67" s="271" t="s">
        <v>2694</v>
      </c>
      <c r="T67" s="272" t="s">
        <v>3051</v>
      </c>
    </row>
    <row r="68" spans="3:20">
      <c r="C68" s="192" t="s">
        <v>148</v>
      </c>
      <c r="E68" s="32"/>
      <c r="S68" s="271" t="s">
        <v>2695</v>
      </c>
      <c r="T68" s="272" t="s">
        <v>3052</v>
      </c>
    </row>
    <row r="69" spans="3:20">
      <c r="C69" s="192" t="s">
        <v>54</v>
      </c>
      <c r="E69" s="32"/>
      <c r="S69" s="271" t="s">
        <v>2696</v>
      </c>
      <c r="T69" s="272" t="s">
        <v>3053</v>
      </c>
    </row>
    <row r="70" spans="3:20">
      <c r="C70" s="192" t="s">
        <v>149</v>
      </c>
      <c r="E70" s="32"/>
      <c r="S70" s="271" t="s">
        <v>1264</v>
      </c>
      <c r="T70" s="272" t="s">
        <v>1265</v>
      </c>
    </row>
    <row r="71" spans="3:20">
      <c r="C71" s="192" t="s">
        <v>55</v>
      </c>
      <c r="E71" s="32"/>
      <c r="S71" s="271" t="s">
        <v>1266</v>
      </c>
      <c r="T71" s="272" t="s">
        <v>636</v>
      </c>
    </row>
    <row r="72" spans="3:20">
      <c r="C72" s="192" t="s">
        <v>56</v>
      </c>
      <c r="E72" s="32"/>
      <c r="S72" s="271" t="s">
        <v>1267</v>
      </c>
      <c r="T72" s="272" t="s">
        <v>518</v>
      </c>
    </row>
    <row r="73" spans="3:20">
      <c r="C73" s="192" t="s">
        <v>150</v>
      </c>
      <c r="E73" s="32"/>
      <c r="S73" s="271" t="s">
        <v>1268</v>
      </c>
      <c r="T73" s="272" t="s">
        <v>557</v>
      </c>
    </row>
    <row r="74" spans="3:20">
      <c r="C74" s="192" t="s">
        <v>501</v>
      </c>
      <c r="E74" s="32"/>
      <c r="S74" s="271" t="s">
        <v>1269</v>
      </c>
      <c r="T74" s="272" t="s">
        <v>724</v>
      </c>
    </row>
    <row r="75" spans="3:20">
      <c r="C75" s="192" t="s">
        <v>151</v>
      </c>
      <c r="E75" s="32"/>
      <c r="S75" s="271" t="s">
        <v>1270</v>
      </c>
      <c r="T75" s="272" t="s">
        <v>1271</v>
      </c>
    </row>
    <row r="76" spans="3:20">
      <c r="C76" s="192" t="s">
        <v>57</v>
      </c>
      <c r="E76" s="32"/>
      <c r="S76" s="271" t="s">
        <v>1272</v>
      </c>
      <c r="T76" s="272" t="s">
        <v>198</v>
      </c>
    </row>
    <row r="77" spans="3:20">
      <c r="C77" s="192" t="s">
        <v>152</v>
      </c>
      <c r="E77" s="32"/>
      <c r="S77" s="271" t="s">
        <v>1273</v>
      </c>
      <c r="T77" s="272" t="s">
        <v>199</v>
      </c>
    </row>
    <row r="78" spans="3:20" ht="12.75" customHeight="1">
      <c r="C78" s="192" t="s">
        <v>58</v>
      </c>
      <c r="E78" s="32"/>
      <c r="S78" s="271" t="s">
        <v>1274</v>
      </c>
      <c r="T78" s="272" t="s">
        <v>590</v>
      </c>
    </row>
    <row r="79" spans="3:20">
      <c r="C79" s="192" t="s">
        <v>107</v>
      </c>
      <c r="E79" s="32"/>
      <c r="S79" s="271" t="s">
        <v>1275</v>
      </c>
      <c r="T79" s="272" t="s">
        <v>200</v>
      </c>
    </row>
    <row r="80" spans="3:20">
      <c r="C80" s="192" t="s">
        <v>59</v>
      </c>
      <c r="E80" s="32"/>
      <c r="S80" s="271" t="s">
        <v>2697</v>
      </c>
      <c r="T80" s="272" t="s">
        <v>3054</v>
      </c>
    </row>
    <row r="81" spans="3:20">
      <c r="C81" s="192" t="s">
        <v>60</v>
      </c>
      <c r="E81" s="32"/>
      <c r="S81" s="271" t="s">
        <v>1276</v>
      </c>
      <c r="T81" s="272" t="s">
        <v>201</v>
      </c>
    </row>
    <row r="82" spans="3:20">
      <c r="C82" s="192" t="s">
        <v>108</v>
      </c>
      <c r="E82" s="32"/>
      <c r="S82" s="271" t="s">
        <v>2698</v>
      </c>
      <c r="T82" s="272" t="s">
        <v>3055</v>
      </c>
    </row>
    <row r="83" spans="3:20">
      <c r="C83" s="192" t="s">
        <v>61</v>
      </c>
      <c r="E83" s="32"/>
      <c r="S83" s="271" t="s">
        <v>1277</v>
      </c>
      <c r="T83" s="272" t="s">
        <v>558</v>
      </c>
    </row>
    <row r="84" spans="3:20">
      <c r="C84" s="192" t="s">
        <v>153</v>
      </c>
      <c r="E84" s="32"/>
      <c r="S84" s="271" t="s">
        <v>1278</v>
      </c>
      <c r="T84" s="272" t="s">
        <v>803</v>
      </c>
    </row>
    <row r="85" spans="3:20">
      <c r="C85" s="192" t="s">
        <v>62</v>
      </c>
      <c r="E85" s="32"/>
      <c r="S85" s="271" t="s">
        <v>1279</v>
      </c>
      <c r="T85" s="272" t="s">
        <v>804</v>
      </c>
    </row>
    <row r="86" spans="3:20">
      <c r="C86" s="192" t="s">
        <v>154</v>
      </c>
      <c r="E86" s="32"/>
      <c r="S86" s="271" t="s">
        <v>1280</v>
      </c>
      <c r="T86" s="272" t="s">
        <v>519</v>
      </c>
    </row>
    <row r="87" spans="3:20">
      <c r="C87" s="192" t="s">
        <v>155</v>
      </c>
      <c r="E87" s="32"/>
      <c r="S87" s="271" t="s">
        <v>1281</v>
      </c>
      <c r="T87" s="272" t="s">
        <v>202</v>
      </c>
    </row>
    <row r="88" spans="3:20">
      <c r="C88" s="192" t="s">
        <v>63</v>
      </c>
      <c r="E88" s="32"/>
      <c r="S88" s="271" t="s">
        <v>1282</v>
      </c>
      <c r="T88" s="272" t="s">
        <v>203</v>
      </c>
    </row>
    <row r="89" spans="3:20">
      <c r="C89" s="192" t="s">
        <v>109</v>
      </c>
      <c r="E89" s="32"/>
      <c r="S89" s="271" t="s">
        <v>1283</v>
      </c>
      <c r="T89" s="272" t="s">
        <v>204</v>
      </c>
    </row>
    <row r="90" spans="3:20">
      <c r="C90" s="192" t="s">
        <v>1185</v>
      </c>
      <c r="E90" s="32"/>
      <c r="S90" s="271" t="s">
        <v>1284</v>
      </c>
      <c r="T90" s="272" t="s">
        <v>749</v>
      </c>
    </row>
    <row r="91" spans="3:20">
      <c r="C91" s="192" t="s">
        <v>156</v>
      </c>
      <c r="E91" s="32"/>
      <c r="S91" s="271" t="s">
        <v>2699</v>
      </c>
      <c r="T91" s="272" t="s">
        <v>3056</v>
      </c>
    </row>
    <row r="92" spans="3:20">
      <c r="C92" s="192" t="s">
        <v>64</v>
      </c>
      <c r="E92" s="32"/>
      <c r="S92" s="271" t="s">
        <v>2700</v>
      </c>
      <c r="T92" s="272" t="s">
        <v>3057</v>
      </c>
    </row>
    <row r="93" spans="3:20">
      <c r="C93" s="192" t="s">
        <v>110</v>
      </c>
      <c r="E93" s="32"/>
      <c r="S93" s="271" t="s">
        <v>1285</v>
      </c>
      <c r="T93" s="272" t="s">
        <v>556</v>
      </c>
    </row>
    <row r="94" spans="3:20">
      <c r="C94" s="192" t="s">
        <v>65</v>
      </c>
      <c r="E94" s="32"/>
      <c r="S94" s="271" t="s">
        <v>1286</v>
      </c>
      <c r="T94" s="272" t="s">
        <v>205</v>
      </c>
    </row>
    <row r="95" spans="3:20">
      <c r="C95" s="192" t="s">
        <v>1161</v>
      </c>
      <c r="E95" s="32"/>
      <c r="S95" s="271" t="s">
        <v>1287</v>
      </c>
      <c r="T95" s="272" t="s">
        <v>805</v>
      </c>
    </row>
    <row r="96" spans="3:20">
      <c r="C96" s="192" t="s">
        <v>1162</v>
      </c>
      <c r="E96" s="32"/>
      <c r="S96" s="271" t="s">
        <v>1288</v>
      </c>
      <c r="T96" s="272" t="s">
        <v>1115</v>
      </c>
    </row>
    <row r="97" spans="3:20">
      <c r="C97" s="192" t="s">
        <v>66</v>
      </c>
      <c r="E97" s="32"/>
      <c r="S97" s="271" t="s">
        <v>1289</v>
      </c>
      <c r="T97" s="272" t="s">
        <v>806</v>
      </c>
    </row>
    <row r="98" spans="3:20">
      <c r="C98" s="192" t="s">
        <v>67</v>
      </c>
      <c r="E98" s="32"/>
      <c r="S98" s="271" t="s">
        <v>2701</v>
      </c>
      <c r="T98" s="272" t="s">
        <v>3058</v>
      </c>
    </row>
    <row r="99" spans="3:20">
      <c r="C99" s="192" t="s">
        <v>1163</v>
      </c>
      <c r="E99" s="32"/>
      <c r="S99" s="271" t="s">
        <v>1290</v>
      </c>
      <c r="T99" s="272" t="s">
        <v>1291</v>
      </c>
    </row>
    <row r="100" spans="3:20">
      <c r="C100" s="192" t="s">
        <v>157</v>
      </c>
      <c r="E100" s="32"/>
      <c r="S100" s="271" t="s">
        <v>1292</v>
      </c>
      <c r="T100" s="272" t="s">
        <v>206</v>
      </c>
    </row>
    <row r="101" spans="3:20">
      <c r="C101" s="192" t="s">
        <v>1164</v>
      </c>
      <c r="E101" s="32"/>
      <c r="S101" s="271" t="s">
        <v>1293</v>
      </c>
      <c r="T101" s="272" t="s">
        <v>807</v>
      </c>
    </row>
    <row r="102" spans="3:20">
      <c r="C102" s="192" t="s">
        <v>158</v>
      </c>
      <c r="E102" s="32"/>
      <c r="S102" s="271" t="s">
        <v>1294</v>
      </c>
      <c r="T102" s="272" t="s">
        <v>207</v>
      </c>
    </row>
    <row r="103" spans="3:20">
      <c r="C103" s="192" t="s">
        <v>159</v>
      </c>
      <c r="E103" s="32"/>
      <c r="S103" s="271" t="s">
        <v>2702</v>
      </c>
      <c r="T103" s="272" t="s">
        <v>3059</v>
      </c>
    </row>
    <row r="104" spans="3:20">
      <c r="C104" s="192" t="s">
        <v>68</v>
      </c>
      <c r="E104" s="32"/>
      <c r="S104" s="271" t="s">
        <v>1295</v>
      </c>
      <c r="T104" s="272" t="s">
        <v>208</v>
      </c>
    </row>
    <row r="105" spans="3:20">
      <c r="C105" s="192" t="s">
        <v>111</v>
      </c>
      <c r="E105" s="32"/>
      <c r="S105" s="271" t="s">
        <v>1296</v>
      </c>
      <c r="T105" s="272" t="s">
        <v>637</v>
      </c>
    </row>
    <row r="106" spans="3:20">
      <c r="C106" s="192" t="s">
        <v>112</v>
      </c>
      <c r="E106" s="32"/>
      <c r="S106" s="271" t="s">
        <v>1297</v>
      </c>
      <c r="T106" s="272" t="s">
        <v>638</v>
      </c>
    </row>
    <row r="107" spans="3:20">
      <c r="C107" s="192" t="s">
        <v>69</v>
      </c>
      <c r="E107" s="32"/>
      <c r="S107" s="271" t="s">
        <v>2703</v>
      </c>
      <c r="T107" s="272" t="s">
        <v>3060</v>
      </c>
    </row>
    <row r="108" spans="3:20">
      <c r="C108" s="192" t="s">
        <v>113</v>
      </c>
      <c r="E108" s="32"/>
      <c r="S108" s="271" t="s">
        <v>2704</v>
      </c>
      <c r="T108" s="272" t="s">
        <v>3061</v>
      </c>
    </row>
    <row r="109" spans="3:20">
      <c r="C109" s="192" t="s">
        <v>70</v>
      </c>
      <c r="E109" s="32"/>
      <c r="S109" s="271" t="s">
        <v>1298</v>
      </c>
      <c r="T109" s="272" t="s">
        <v>808</v>
      </c>
    </row>
    <row r="110" spans="3:20">
      <c r="C110" s="192" t="s">
        <v>160</v>
      </c>
      <c r="E110" s="32"/>
      <c r="S110" s="271" t="s">
        <v>1299</v>
      </c>
      <c r="T110" s="272" t="s">
        <v>209</v>
      </c>
    </row>
    <row r="111" spans="3:20">
      <c r="C111" s="192" t="s">
        <v>71</v>
      </c>
      <c r="E111" s="32"/>
      <c r="S111" s="271" t="s">
        <v>1300</v>
      </c>
      <c r="T111" s="272" t="s">
        <v>639</v>
      </c>
    </row>
    <row r="112" spans="3:20">
      <c r="C112" s="192" t="s">
        <v>1165</v>
      </c>
      <c r="E112" s="32"/>
      <c r="S112" s="271" t="s">
        <v>1301</v>
      </c>
      <c r="T112" s="272" t="s">
        <v>520</v>
      </c>
    </row>
    <row r="113" spans="3:20">
      <c r="C113" s="192" t="s">
        <v>161</v>
      </c>
      <c r="E113" s="32"/>
      <c r="S113" s="271" t="s">
        <v>1302</v>
      </c>
      <c r="T113" s="272" t="s">
        <v>640</v>
      </c>
    </row>
    <row r="114" spans="3:20">
      <c r="C114" s="192" t="s">
        <v>72</v>
      </c>
      <c r="E114" s="32"/>
      <c r="S114" s="271" t="s">
        <v>1303</v>
      </c>
      <c r="T114" s="272" t="s">
        <v>809</v>
      </c>
    </row>
    <row r="115" spans="3:20">
      <c r="C115" s="192" t="s">
        <v>1166</v>
      </c>
      <c r="E115" s="32"/>
      <c r="S115" s="271" t="s">
        <v>2705</v>
      </c>
      <c r="T115" s="272" t="s">
        <v>641</v>
      </c>
    </row>
    <row r="116" spans="3:20">
      <c r="C116" s="192" t="s">
        <v>162</v>
      </c>
      <c r="E116" s="32"/>
      <c r="S116" s="271" t="s">
        <v>1304</v>
      </c>
      <c r="T116" s="272" t="s">
        <v>1305</v>
      </c>
    </row>
    <row r="117" spans="3:20">
      <c r="C117" s="192" t="s">
        <v>73</v>
      </c>
      <c r="E117" s="32"/>
      <c r="S117" s="271" t="s">
        <v>1306</v>
      </c>
      <c r="T117" s="272" t="s">
        <v>210</v>
      </c>
    </row>
    <row r="118" spans="3:20">
      <c r="C118" s="192" t="s">
        <v>1198</v>
      </c>
      <c r="E118" s="32"/>
      <c r="S118" s="271" t="s">
        <v>1307</v>
      </c>
      <c r="T118" s="272" t="s">
        <v>591</v>
      </c>
    </row>
    <row r="119" spans="3:20">
      <c r="C119" s="192" t="s">
        <v>74</v>
      </c>
      <c r="E119" s="32"/>
      <c r="S119" s="271" t="s">
        <v>1308</v>
      </c>
      <c r="T119" s="272" t="s">
        <v>211</v>
      </c>
    </row>
    <row r="120" spans="3:20">
      <c r="C120" s="192" t="s">
        <v>75</v>
      </c>
      <c r="E120" s="32"/>
      <c r="S120" s="271" t="s">
        <v>1309</v>
      </c>
      <c r="T120" s="272" t="s">
        <v>212</v>
      </c>
    </row>
    <row r="121" spans="3:20">
      <c r="C121" s="192" t="s">
        <v>1167</v>
      </c>
      <c r="E121" s="32"/>
      <c r="S121" s="271" t="s">
        <v>2706</v>
      </c>
      <c r="T121" s="272" t="s">
        <v>3062</v>
      </c>
    </row>
    <row r="122" spans="3:20">
      <c r="C122" s="192" t="s">
        <v>114</v>
      </c>
      <c r="E122" s="32"/>
      <c r="S122" s="271" t="s">
        <v>2707</v>
      </c>
      <c r="T122" s="272" t="s">
        <v>3063</v>
      </c>
    </row>
    <row r="123" spans="3:20">
      <c r="C123" s="192" t="s">
        <v>76</v>
      </c>
      <c r="E123" s="32"/>
      <c r="S123" s="271" t="s">
        <v>1310</v>
      </c>
      <c r="T123" s="272" t="s">
        <v>810</v>
      </c>
    </row>
    <row r="124" spans="3:20">
      <c r="C124" s="192" t="s">
        <v>115</v>
      </c>
      <c r="E124" s="32"/>
      <c r="S124" s="271" t="s">
        <v>1311</v>
      </c>
      <c r="T124" s="272" t="s">
        <v>750</v>
      </c>
    </row>
    <row r="125" spans="3:20">
      <c r="C125" s="192" t="s">
        <v>116</v>
      </c>
      <c r="E125" s="32"/>
      <c r="S125" s="271" t="s">
        <v>1312</v>
      </c>
      <c r="T125" s="272" t="s">
        <v>213</v>
      </c>
    </row>
    <row r="126" spans="3:20">
      <c r="C126" s="192" t="s">
        <v>502</v>
      </c>
      <c r="E126" s="32"/>
      <c r="S126" s="271" t="s">
        <v>2708</v>
      </c>
      <c r="T126" s="272" t="s">
        <v>3064</v>
      </c>
    </row>
    <row r="127" spans="3:20">
      <c r="C127" s="192" t="s">
        <v>77</v>
      </c>
      <c r="E127" s="32"/>
      <c r="S127" s="271" t="s">
        <v>1313</v>
      </c>
      <c r="T127" s="272" t="s">
        <v>214</v>
      </c>
    </row>
    <row r="128" spans="3:20">
      <c r="C128" s="192" t="s">
        <v>503</v>
      </c>
      <c r="E128" s="32"/>
      <c r="S128" s="271" t="s">
        <v>2709</v>
      </c>
      <c r="T128" s="272" t="s">
        <v>3065</v>
      </c>
    </row>
    <row r="129" spans="3:20">
      <c r="C129" s="192" t="s">
        <v>78</v>
      </c>
      <c r="E129" s="32"/>
      <c r="S129" s="271" t="s">
        <v>1314</v>
      </c>
      <c r="T129" s="272" t="s">
        <v>811</v>
      </c>
    </row>
    <row r="130" spans="3:20">
      <c r="C130" s="192" t="s">
        <v>163</v>
      </c>
      <c r="E130" s="32"/>
      <c r="S130" s="271" t="s">
        <v>215</v>
      </c>
      <c r="T130" s="272" t="s">
        <v>215</v>
      </c>
    </row>
    <row r="131" spans="3:20">
      <c r="C131" s="192" t="s">
        <v>79</v>
      </c>
      <c r="E131" s="32"/>
      <c r="S131" s="271" t="s">
        <v>1315</v>
      </c>
      <c r="T131" s="272" t="s">
        <v>710</v>
      </c>
    </row>
    <row r="132" spans="3:20">
      <c r="C132" s="192" t="s">
        <v>164</v>
      </c>
      <c r="E132" s="32"/>
      <c r="S132" s="271" t="s">
        <v>1316</v>
      </c>
      <c r="T132" s="272" t="s">
        <v>812</v>
      </c>
    </row>
    <row r="133" spans="3:20">
      <c r="C133" s="192" t="s">
        <v>117</v>
      </c>
      <c r="E133" s="32"/>
      <c r="S133" s="271" t="s">
        <v>1317</v>
      </c>
      <c r="T133" s="272" t="s">
        <v>1318</v>
      </c>
    </row>
    <row r="134" spans="3:20">
      <c r="C134" s="192" t="s">
        <v>118</v>
      </c>
      <c r="E134" s="32"/>
      <c r="S134" s="271" t="s">
        <v>2710</v>
      </c>
      <c r="T134" s="272" t="s">
        <v>3066</v>
      </c>
    </row>
    <row r="135" spans="3:20">
      <c r="C135" s="192" t="s">
        <v>80</v>
      </c>
      <c r="E135" s="32"/>
      <c r="S135" s="271" t="s">
        <v>1319</v>
      </c>
      <c r="T135" s="272" t="s">
        <v>216</v>
      </c>
    </row>
    <row r="136" spans="3:20">
      <c r="C136" s="192" t="s">
        <v>1168</v>
      </c>
      <c r="E136" s="32"/>
      <c r="S136" s="271" t="s">
        <v>1320</v>
      </c>
      <c r="T136" s="272" t="s">
        <v>714</v>
      </c>
    </row>
    <row r="137" spans="3:20">
      <c r="C137" s="192" t="s">
        <v>119</v>
      </c>
      <c r="E137" s="32"/>
      <c r="S137" s="271" t="s">
        <v>1321</v>
      </c>
      <c r="T137" s="272" t="s">
        <v>813</v>
      </c>
    </row>
    <row r="138" spans="3:20">
      <c r="C138" s="192" t="s">
        <v>1169</v>
      </c>
      <c r="E138" s="32"/>
      <c r="S138" s="271" t="s">
        <v>1322</v>
      </c>
      <c r="T138" s="272" t="s">
        <v>217</v>
      </c>
    </row>
    <row r="139" spans="3:20">
      <c r="C139" s="192" t="s">
        <v>1170</v>
      </c>
      <c r="E139" s="32"/>
      <c r="S139" s="271" t="s">
        <v>2711</v>
      </c>
      <c r="T139" s="272" t="s">
        <v>3067</v>
      </c>
    </row>
    <row r="140" spans="3:20">
      <c r="C140" s="192" t="s">
        <v>1171</v>
      </c>
      <c r="E140" s="32"/>
      <c r="S140" s="271" t="s">
        <v>1323</v>
      </c>
      <c r="T140" s="272" t="s">
        <v>1116</v>
      </c>
    </row>
    <row r="141" spans="3:20">
      <c r="C141" s="192" t="s">
        <v>165</v>
      </c>
      <c r="E141" s="32"/>
      <c r="S141" s="271" t="s">
        <v>1324</v>
      </c>
      <c r="T141" s="272" t="s">
        <v>218</v>
      </c>
    </row>
    <row r="142" spans="3:20">
      <c r="C142" s="192" t="s">
        <v>166</v>
      </c>
      <c r="E142" s="32"/>
      <c r="S142" s="271" t="s">
        <v>1325</v>
      </c>
      <c r="T142" s="272" t="s">
        <v>814</v>
      </c>
    </row>
    <row r="143" spans="3:20">
      <c r="C143" s="192" t="s">
        <v>1172</v>
      </c>
      <c r="E143" s="32"/>
      <c r="S143" s="271" t="s">
        <v>1326</v>
      </c>
      <c r="T143" s="272" t="s">
        <v>815</v>
      </c>
    </row>
    <row r="144" spans="3:20">
      <c r="C144" s="192" t="s">
        <v>81</v>
      </c>
      <c r="E144" s="32"/>
      <c r="S144" s="271" t="s">
        <v>1327</v>
      </c>
      <c r="T144" s="272" t="s">
        <v>592</v>
      </c>
    </row>
    <row r="145" spans="3:20">
      <c r="C145" s="192" t="s">
        <v>1173</v>
      </c>
      <c r="E145" s="32"/>
      <c r="S145" s="271" t="s">
        <v>1328</v>
      </c>
      <c r="T145" s="272" t="s">
        <v>816</v>
      </c>
    </row>
    <row r="146" spans="3:20">
      <c r="C146" s="192" t="s">
        <v>1174</v>
      </c>
      <c r="E146" s="32"/>
      <c r="S146" s="271" t="s">
        <v>1329</v>
      </c>
      <c r="T146" s="272" t="s">
        <v>219</v>
      </c>
    </row>
    <row r="147" spans="3:20">
      <c r="C147" s="192" t="s">
        <v>1192</v>
      </c>
      <c r="E147" s="32"/>
      <c r="S147" s="271" t="s">
        <v>1330</v>
      </c>
      <c r="T147" s="272" t="s">
        <v>220</v>
      </c>
    </row>
    <row r="148" spans="3:20">
      <c r="C148" s="192" t="s">
        <v>167</v>
      </c>
      <c r="E148" s="32"/>
      <c r="S148" s="271" t="s">
        <v>2712</v>
      </c>
      <c r="T148" s="272" t="s">
        <v>3068</v>
      </c>
    </row>
    <row r="149" spans="3:20">
      <c r="C149" s="192" t="s">
        <v>1175</v>
      </c>
      <c r="E149" s="32"/>
      <c r="S149" s="271" t="s">
        <v>1331</v>
      </c>
      <c r="T149" s="272" t="s">
        <v>221</v>
      </c>
    </row>
    <row r="150" spans="3:20">
      <c r="C150" s="192" t="s">
        <v>1176</v>
      </c>
      <c r="E150" s="32"/>
      <c r="S150" s="271" t="s">
        <v>1332</v>
      </c>
      <c r="T150" s="272" t="s">
        <v>222</v>
      </c>
    </row>
    <row r="151" spans="3:20">
      <c r="C151" s="192" t="s">
        <v>82</v>
      </c>
      <c r="E151" s="32"/>
      <c r="S151" s="271" t="s">
        <v>1333</v>
      </c>
      <c r="T151" s="272" t="s">
        <v>817</v>
      </c>
    </row>
    <row r="152" spans="3:20">
      <c r="C152" s="192" t="s">
        <v>83</v>
      </c>
      <c r="E152" s="32"/>
      <c r="S152" s="271" t="s">
        <v>1334</v>
      </c>
      <c r="T152" s="272" t="s">
        <v>223</v>
      </c>
    </row>
    <row r="153" spans="3:20">
      <c r="C153" s="192" t="s">
        <v>120</v>
      </c>
      <c r="E153" s="32"/>
      <c r="S153" s="271" t="s">
        <v>2713</v>
      </c>
      <c r="T153" s="272" t="s">
        <v>3069</v>
      </c>
    </row>
    <row r="154" spans="3:20">
      <c r="C154" s="192" t="s">
        <v>168</v>
      </c>
      <c r="E154" s="32"/>
      <c r="S154" s="271" t="s">
        <v>1335</v>
      </c>
      <c r="T154" s="272" t="s">
        <v>224</v>
      </c>
    </row>
    <row r="155" spans="3:20">
      <c r="C155" s="192" t="s">
        <v>1177</v>
      </c>
      <c r="E155" s="32"/>
      <c r="S155" s="271" t="s">
        <v>2714</v>
      </c>
      <c r="T155" s="272" t="s">
        <v>3070</v>
      </c>
    </row>
    <row r="156" spans="3:20">
      <c r="C156" s="192" t="s">
        <v>84</v>
      </c>
      <c r="E156" s="32"/>
      <c r="S156" s="271" t="s">
        <v>1336</v>
      </c>
      <c r="T156" s="272" t="s">
        <v>818</v>
      </c>
    </row>
    <row r="157" spans="3:20">
      <c r="C157" s="192" t="s">
        <v>85</v>
      </c>
      <c r="E157" s="32"/>
      <c r="S157" s="271" t="s">
        <v>1337</v>
      </c>
      <c r="T157" s="272" t="s">
        <v>225</v>
      </c>
    </row>
    <row r="158" spans="3:20">
      <c r="C158" s="192" t="s">
        <v>86</v>
      </c>
      <c r="E158" s="32"/>
      <c r="S158" s="271" t="s">
        <v>1338</v>
      </c>
      <c r="T158" s="272" t="s">
        <v>226</v>
      </c>
    </row>
    <row r="159" spans="3:20">
      <c r="C159" s="192" t="s">
        <v>87</v>
      </c>
      <c r="E159" s="32"/>
      <c r="S159" s="271" t="s">
        <v>1339</v>
      </c>
      <c r="T159" s="272" t="s">
        <v>819</v>
      </c>
    </row>
    <row r="160" spans="3:20">
      <c r="C160" s="192" t="s">
        <v>1178</v>
      </c>
      <c r="E160" s="32"/>
      <c r="S160" s="271" t="s">
        <v>1340</v>
      </c>
      <c r="T160" s="272" t="s">
        <v>820</v>
      </c>
    </row>
    <row r="161" spans="3:20">
      <c r="C161" s="192" t="s">
        <v>1197</v>
      </c>
      <c r="E161" s="32"/>
      <c r="S161" s="271" t="s">
        <v>2715</v>
      </c>
      <c r="T161" s="272" t="s">
        <v>3071</v>
      </c>
    </row>
    <row r="162" spans="3:20">
      <c r="C162" s="192" t="s">
        <v>1187</v>
      </c>
      <c r="E162" s="32"/>
      <c r="S162" s="271" t="s">
        <v>1341</v>
      </c>
      <c r="T162" s="272" t="s">
        <v>1117</v>
      </c>
    </row>
    <row r="163" spans="3:20">
      <c r="C163" s="192" t="s">
        <v>169</v>
      </c>
      <c r="E163" s="32"/>
      <c r="S163" s="271" t="s">
        <v>1342</v>
      </c>
      <c r="T163" s="272" t="s">
        <v>1343</v>
      </c>
    </row>
    <row r="164" spans="3:20">
      <c r="C164" s="192" t="s">
        <v>170</v>
      </c>
      <c r="E164" s="32"/>
      <c r="S164" s="271" t="s">
        <v>1344</v>
      </c>
      <c r="T164" s="272" t="s">
        <v>1345</v>
      </c>
    </row>
    <row r="165" spans="3:20">
      <c r="C165" s="192" t="s">
        <v>171</v>
      </c>
      <c r="E165" s="32"/>
      <c r="S165" s="271" t="s">
        <v>2716</v>
      </c>
      <c r="T165" s="272" t="s">
        <v>3072</v>
      </c>
    </row>
    <row r="166" spans="3:20">
      <c r="C166" s="192" t="s">
        <v>172</v>
      </c>
      <c r="E166" s="32"/>
      <c r="S166" s="271" t="s">
        <v>1346</v>
      </c>
      <c r="T166" s="272" t="s">
        <v>821</v>
      </c>
    </row>
    <row r="167" spans="3:20">
      <c r="C167" s="192" t="s">
        <v>88</v>
      </c>
      <c r="E167" s="32"/>
      <c r="S167" s="271" t="s">
        <v>1347</v>
      </c>
      <c r="T167" s="272" t="s">
        <v>822</v>
      </c>
    </row>
    <row r="168" spans="3:20">
      <c r="C168" s="192" t="s">
        <v>89</v>
      </c>
      <c r="E168" s="32"/>
      <c r="S168" s="271" t="s">
        <v>1348</v>
      </c>
      <c r="T168" s="272" t="s">
        <v>227</v>
      </c>
    </row>
    <row r="169" spans="3:20">
      <c r="C169" s="192" t="s">
        <v>173</v>
      </c>
      <c r="E169" s="32"/>
      <c r="S169" s="271" t="s">
        <v>2717</v>
      </c>
      <c r="T169" s="272" t="s">
        <v>3073</v>
      </c>
    </row>
    <row r="170" spans="3:20">
      <c r="C170" s="192" t="s">
        <v>174</v>
      </c>
      <c r="E170" s="32"/>
      <c r="S170" s="271" t="s">
        <v>2718</v>
      </c>
      <c r="T170" s="272" t="s">
        <v>3074</v>
      </c>
    </row>
    <row r="171" spans="3:20">
      <c r="C171" s="192" t="s">
        <v>127</v>
      </c>
      <c r="E171" s="32"/>
      <c r="S171" s="271" t="s">
        <v>1349</v>
      </c>
      <c r="T171" s="272" t="s">
        <v>1350</v>
      </c>
    </row>
    <row r="172" spans="3:20">
      <c r="C172" s="192" t="s">
        <v>90</v>
      </c>
      <c r="E172" s="32"/>
      <c r="S172" s="271" t="s">
        <v>1351</v>
      </c>
      <c r="T172" s="272" t="s">
        <v>1352</v>
      </c>
    </row>
    <row r="173" spans="3:20">
      <c r="C173" s="192" t="s">
        <v>175</v>
      </c>
      <c r="E173" s="32"/>
      <c r="S173" s="271" t="s">
        <v>1353</v>
      </c>
      <c r="T173" s="272" t="s">
        <v>1354</v>
      </c>
    </row>
    <row r="174" spans="3:20">
      <c r="C174" s="192" t="s">
        <v>1193</v>
      </c>
      <c r="E174" s="32"/>
      <c r="S174" s="271" t="s">
        <v>1355</v>
      </c>
      <c r="T174" s="272" t="s">
        <v>228</v>
      </c>
    </row>
    <row r="175" spans="3:20">
      <c r="C175" s="192" t="s">
        <v>176</v>
      </c>
      <c r="E175" s="32"/>
      <c r="S175" s="271" t="s">
        <v>1356</v>
      </c>
      <c r="T175" s="272" t="s">
        <v>229</v>
      </c>
    </row>
    <row r="176" spans="3:20">
      <c r="C176" s="192" t="s">
        <v>121</v>
      </c>
      <c r="E176" s="32"/>
      <c r="S176" s="271" t="s">
        <v>2719</v>
      </c>
      <c r="T176" s="272" t="s">
        <v>3075</v>
      </c>
    </row>
    <row r="177" spans="3:20">
      <c r="C177" s="192" t="s">
        <v>1194</v>
      </c>
      <c r="E177" s="32"/>
      <c r="S177" s="271" t="s">
        <v>1357</v>
      </c>
      <c r="T177" s="272" t="s">
        <v>823</v>
      </c>
    </row>
    <row r="178" spans="3:20">
      <c r="C178" s="192" t="s">
        <v>1179</v>
      </c>
      <c r="E178" s="32"/>
      <c r="S178" s="271" t="s">
        <v>1358</v>
      </c>
      <c r="T178" s="272" t="s">
        <v>824</v>
      </c>
    </row>
    <row r="179" spans="3:20">
      <c r="C179" s="192" t="s">
        <v>91</v>
      </c>
      <c r="E179" s="32"/>
      <c r="S179" s="271" t="s">
        <v>1359</v>
      </c>
      <c r="T179" s="272" t="s">
        <v>593</v>
      </c>
    </row>
    <row r="180" spans="3:20">
      <c r="C180" s="192" t="s">
        <v>177</v>
      </c>
      <c r="E180" s="32"/>
      <c r="S180" s="271" t="s">
        <v>2720</v>
      </c>
      <c r="T180" s="272" t="s">
        <v>3076</v>
      </c>
    </row>
    <row r="181" spans="3:20">
      <c r="C181" s="192" t="s">
        <v>1180</v>
      </c>
      <c r="E181" s="32"/>
      <c r="S181" s="271" t="s">
        <v>1360</v>
      </c>
      <c r="T181" s="272" t="s">
        <v>230</v>
      </c>
    </row>
    <row r="182" spans="3:20">
      <c r="C182" s="192" t="s">
        <v>1181</v>
      </c>
      <c r="E182" s="32"/>
      <c r="S182" s="271" t="s">
        <v>1361</v>
      </c>
      <c r="T182" s="272" t="s">
        <v>569</v>
      </c>
    </row>
    <row r="183" spans="3:20">
      <c r="C183" s="192" t="s">
        <v>178</v>
      </c>
      <c r="E183" s="32"/>
      <c r="S183" s="271" t="s">
        <v>2721</v>
      </c>
      <c r="T183" s="272" t="s">
        <v>3077</v>
      </c>
    </row>
    <row r="184" spans="3:20">
      <c r="C184" s="192" t="s">
        <v>1182</v>
      </c>
      <c r="E184" s="32"/>
      <c r="S184" s="271" t="s">
        <v>1362</v>
      </c>
      <c r="T184" s="272" t="s">
        <v>231</v>
      </c>
    </row>
    <row r="185" spans="3:20">
      <c r="C185" s="192" t="s">
        <v>92</v>
      </c>
      <c r="E185" s="32"/>
      <c r="S185" s="271" t="s">
        <v>1363</v>
      </c>
      <c r="T185" s="272" t="s">
        <v>1364</v>
      </c>
    </row>
    <row r="186" spans="3:20">
      <c r="C186" s="192" t="s">
        <v>93</v>
      </c>
      <c r="E186" s="32"/>
      <c r="S186" s="271" t="s">
        <v>2722</v>
      </c>
      <c r="T186" s="272" t="s">
        <v>3078</v>
      </c>
    </row>
    <row r="187" spans="3:20">
      <c r="C187" s="192" t="s">
        <v>179</v>
      </c>
      <c r="E187" s="32"/>
      <c r="S187" s="271" t="s">
        <v>1365</v>
      </c>
      <c r="T187" s="272" t="s">
        <v>825</v>
      </c>
    </row>
    <row r="188" spans="3:20">
      <c r="C188" s="192" t="s">
        <v>1183</v>
      </c>
      <c r="E188" s="32"/>
      <c r="S188" s="271" t="s">
        <v>1366</v>
      </c>
      <c r="T188" s="272" t="s">
        <v>232</v>
      </c>
    </row>
    <row r="189" spans="3:20">
      <c r="C189" s="192" t="s">
        <v>180</v>
      </c>
      <c r="E189" s="32"/>
      <c r="S189" s="271" t="s">
        <v>1367</v>
      </c>
      <c r="T189" s="272" t="s">
        <v>826</v>
      </c>
    </row>
    <row r="190" spans="3:20">
      <c r="C190" s="192" t="s">
        <v>94</v>
      </c>
      <c r="E190" s="32"/>
      <c r="S190" s="271" t="s">
        <v>1368</v>
      </c>
      <c r="T190" s="272" t="s">
        <v>233</v>
      </c>
    </row>
    <row r="191" spans="3:20">
      <c r="C191" s="192" t="s">
        <v>181</v>
      </c>
      <c r="E191" s="32"/>
      <c r="S191" s="271" t="s">
        <v>1369</v>
      </c>
      <c r="T191" s="272" t="s">
        <v>234</v>
      </c>
    </row>
    <row r="192" spans="3:20">
      <c r="C192" s="192" t="s">
        <v>182</v>
      </c>
      <c r="E192" s="32"/>
      <c r="S192" s="271" t="s">
        <v>1370</v>
      </c>
      <c r="T192" s="272" t="s">
        <v>827</v>
      </c>
    </row>
    <row r="193" spans="3:20">
      <c r="C193" s="192" t="s">
        <v>95</v>
      </c>
      <c r="E193" s="32"/>
      <c r="S193" s="271" t="s">
        <v>1371</v>
      </c>
      <c r="T193" s="272" t="s">
        <v>828</v>
      </c>
    </row>
    <row r="194" spans="3:20">
      <c r="C194" s="192" t="s">
        <v>96</v>
      </c>
      <c r="E194" s="32"/>
      <c r="S194" s="271" t="s">
        <v>1372</v>
      </c>
      <c r="T194" s="272" t="s">
        <v>829</v>
      </c>
    </row>
    <row r="195" spans="3:20">
      <c r="C195" s="192" t="s">
        <v>1184</v>
      </c>
      <c r="E195" s="32"/>
      <c r="S195" s="271" t="s">
        <v>1373</v>
      </c>
      <c r="T195" s="272" t="s">
        <v>830</v>
      </c>
    </row>
    <row r="196" spans="3:20">
      <c r="C196" s="192" t="s">
        <v>122</v>
      </c>
      <c r="E196" s="32"/>
      <c r="S196" s="271" t="s">
        <v>1374</v>
      </c>
      <c r="T196" s="272" t="s">
        <v>521</v>
      </c>
    </row>
    <row r="197" spans="3:20">
      <c r="C197" s="192" t="s">
        <v>183</v>
      </c>
      <c r="E197" s="32"/>
      <c r="S197" s="271" t="s">
        <v>1375</v>
      </c>
      <c r="T197" s="272" t="s">
        <v>642</v>
      </c>
    </row>
    <row r="198" spans="3:20">
      <c r="C198" s="192" t="s">
        <v>1201</v>
      </c>
      <c r="E198" s="32"/>
      <c r="S198" s="271" t="s">
        <v>1376</v>
      </c>
      <c r="T198" s="272" t="s">
        <v>583</v>
      </c>
    </row>
    <row r="199" spans="3:20">
      <c r="C199" s="192" t="s">
        <v>184</v>
      </c>
      <c r="E199" s="32"/>
      <c r="S199" s="271" t="s">
        <v>1377</v>
      </c>
      <c r="T199" s="272" t="s">
        <v>1378</v>
      </c>
    </row>
    <row r="200" spans="3:20">
      <c r="C200" s="192" t="s">
        <v>97</v>
      </c>
      <c r="E200" s="32"/>
      <c r="S200" s="271" t="s">
        <v>1379</v>
      </c>
      <c r="T200" s="272" t="s">
        <v>235</v>
      </c>
    </row>
    <row r="201" spans="3:20">
      <c r="C201" s="192" t="s">
        <v>123</v>
      </c>
      <c r="E201" s="32"/>
      <c r="S201" s="271" t="s">
        <v>1380</v>
      </c>
      <c r="T201" s="272" t="s">
        <v>831</v>
      </c>
    </row>
    <row r="202" spans="3:20">
      <c r="C202" s="192" t="s">
        <v>124</v>
      </c>
      <c r="E202" s="32"/>
      <c r="S202" s="271" t="s">
        <v>1381</v>
      </c>
      <c r="T202" s="272" t="s">
        <v>832</v>
      </c>
    </row>
    <row r="203" spans="3:20">
      <c r="C203" s="192" t="s">
        <v>125</v>
      </c>
      <c r="E203" s="32"/>
      <c r="S203" s="271" t="s">
        <v>2723</v>
      </c>
      <c r="T203" s="272" t="s">
        <v>3079</v>
      </c>
    </row>
    <row r="204" spans="3:20" ht="13.5" thickBot="1">
      <c r="C204" s="193" t="s">
        <v>126</v>
      </c>
      <c r="E204" s="32"/>
      <c r="S204" s="271" t="s">
        <v>1382</v>
      </c>
      <c r="T204" s="272" t="s">
        <v>833</v>
      </c>
    </row>
    <row r="205" spans="3:20">
      <c r="E205" s="32"/>
      <c r="S205" s="271" t="s">
        <v>1383</v>
      </c>
      <c r="T205" s="272" t="s">
        <v>236</v>
      </c>
    </row>
    <row r="206" spans="3:20">
      <c r="E206" s="32"/>
      <c r="S206" s="271" t="s">
        <v>1384</v>
      </c>
      <c r="T206" s="272" t="s">
        <v>834</v>
      </c>
    </row>
    <row r="207" spans="3:20">
      <c r="E207" s="32"/>
      <c r="S207" s="271" t="s">
        <v>2724</v>
      </c>
      <c r="T207" s="272" t="s">
        <v>3080</v>
      </c>
    </row>
    <row r="208" spans="3:20">
      <c r="E208" s="32"/>
      <c r="S208" s="271" t="s">
        <v>2725</v>
      </c>
      <c r="T208" s="272" t="s">
        <v>3081</v>
      </c>
    </row>
    <row r="209" spans="4:20">
      <c r="D209"/>
      <c r="E209" s="32"/>
      <c r="S209" s="271" t="s">
        <v>2726</v>
      </c>
      <c r="T209" s="272" t="s">
        <v>3082</v>
      </c>
    </row>
    <row r="210" spans="4:20">
      <c r="D210"/>
      <c r="E210" s="32"/>
      <c r="S210" s="271" t="s">
        <v>1385</v>
      </c>
      <c r="T210" s="272" t="s">
        <v>1118</v>
      </c>
    </row>
    <row r="211" spans="4:20">
      <c r="D211"/>
      <c r="E211" s="32"/>
      <c r="S211" s="271" t="s">
        <v>1386</v>
      </c>
      <c r="T211" s="272" t="s">
        <v>835</v>
      </c>
    </row>
    <row r="212" spans="4:20">
      <c r="D212"/>
      <c r="E212" s="32"/>
      <c r="S212" s="271" t="s">
        <v>1387</v>
      </c>
      <c r="T212" s="272" t="s">
        <v>237</v>
      </c>
    </row>
    <row r="213" spans="4:20">
      <c r="D213"/>
      <c r="E213" s="32"/>
      <c r="S213" s="271" t="s">
        <v>1388</v>
      </c>
      <c r="T213" s="272" t="s">
        <v>1389</v>
      </c>
    </row>
    <row r="214" spans="4:20">
      <c r="D214"/>
      <c r="E214" s="32"/>
      <c r="S214" s="271" t="s">
        <v>1390</v>
      </c>
      <c r="T214" s="272" t="s">
        <v>1391</v>
      </c>
    </row>
    <row r="215" spans="4:20">
      <c r="D215"/>
      <c r="E215" s="32"/>
      <c r="S215" s="271" t="s">
        <v>1392</v>
      </c>
      <c r="T215" s="272" t="s">
        <v>836</v>
      </c>
    </row>
    <row r="216" spans="4:20">
      <c r="D216"/>
      <c r="E216" s="32"/>
      <c r="S216" s="271" t="s">
        <v>2727</v>
      </c>
      <c r="T216" s="272" t="s">
        <v>3083</v>
      </c>
    </row>
    <row r="217" spans="4:20">
      <c r="D217"/>
      <c r="E217" s="32"/>
      <c r="S217" s="271" t="s">
        <v>1393</v>
      </c>
      <c r="T217" s="272" t="s">
        <v>715</v>
      </c>
    </row>
    <row r="218" spans="4:20">
      <c r="D218"/>
      <c r="E218" s="32"/>
      <c r="S218" s="271" t="s">
        <v>1394</v>
      </c>
      <c r="T218" s="272" t="s">
        <v>837</v>
      </c>
    </row>
    <row r="219" spans="4:20">
      <c r="D219"/>
      <c r="E219" s="32"/>
      <c r="S219" s="271" t="s">
        <v>2728</v>
      </c>
      <c r="T219" s="272" t="s">
        <v>3084</v>
      </c>
    </row>
    <row r="220" spans="4:20">
      <c r="D220"/>
      <c r="E220" s="32"/>
      <c r="S220" s="271" t="s">
        <v>1395</v>
      </c>
      <c r="T220" s="272" t="s">
        <v>238</v>
      </c>
    </row>
    <row r="221" spans="4:20">
      <c r="D221"/>
      <c r="E221" s="32"/>
      <c r="S221" s="271" t="s">
        <v>1396</v>
      </c>
      <c r="T221" s="272" t="s">
        <v>838</v>
      </c>
    </row>
    <row r="222" spans="4:20">
      <c r="D222"/>
      <c r="E222" s="32"/>
      <c r="S222" s="271" t="s">
        <v>1397</v>
      </c>
      <c r="T222" s="272" t="s">
        <v>239</v>
      </c>
    </row>
    <row r="223" spans="4:20">
      <c r="D223"/>
      <c r="E223" s="32"/>
      <c r="S223" s="271" t="s">
        <v>1398</v>
      </c>
      <c r="T223" s="272" t="s">
        <v>240</v>
      </c>
    </row>
    <row r="224" spans="4:20">
      <c r="D224"/>
      <c r="E224" s="32"/>
      <c r="S224" s="271" t="s">
        <v>1399</v>
      </c>
      <c r="T224" s="272" t="s">
        <v>839</v>
      </c>
    </row>
    <row r="225" spans="4:20">
      <c r="D225"/>
      <c r="E225" s="32"/>
      <c r="S225" s="271" t="s">
        <v>1400</v>
      </c>
      <c r="T225" s="272" t="s">
        <v>766</v>
      </c>
    </row>
    <row r="226" spans="4:20">
      <c r="D226"/>
      <c r="E226" s="32"/>
      <c r="S226" s="271" t="s">
        <v>1401</v>
      </c>
      <c r="T226" s="272" t="s">
        <v>840</v>
      </c>
    </row>
    <row r="227" spans="4:20">
      <c r="D227"/>
      <c r="E227" s="32"/>
      <c r="S227" s="271" t="s">
        <v>1402</v>
      </c>
      <c r="T227" s="272" t="s">
        <v>841</v>
      </c>
    </row>
    <row r="228" spans="4:20">
      <c r="D228"/>
      <c r="E228" s="32"/>
      <c r="S228" s="271" t="s">
        <v>1403</v>
      </c>
      <c r="T228" s="272" t="s">
        <v>842</v>
      </c>
    </row>
    <row r="229" spans="4:20">
      <c r="D229"/>
      <c r="E229" s="32"/>
      <c r="S229" s="271" t="s">
        <v>1404</v>
      </c>
      <c r="T229" s="272" t="s">
        <v>843</v>
      </c>
    </row>
    <row r="230" spans="4:20">
      <c r="D230"/>
      <c r="E230" s="32"/>
      <c r="S230" s="271" t="s">
        <v>1405</v>
      </c>
      <c r="T230" s="272" t="s">
        <v>241</v>
      </c>
    </row>
    <row r="231" spans="4:20">
      <c r="D231"/>
      <c r="E231" s="32"/>
      <c r="S231" s="271" t="s">
        <v>1406</v>
      </c>
      <c r="T231" s="272" t="s">
        <v>844</v>
      </c>
    </row>
    <row r="232" spans="4:20">
      <c r="D232"/>
      <c r="E232" s="32"/>
      <c r="S232" s="271" t="s">
        <v>1407</v>
      </c>
      <c r="T232" s="272" t="s">
        <v>845</v>
      </c>
    </row>
    <row r="233" spans="4:20">
      <c r="D233"/>
      <c r="E233" s="32"/>
      <c r="S233" s="271" t="s">
        <v>1408</v>
      </c>
      <c r="T233" s="272" t="s">
        <v>846</v>
      </c>
    </row>
    <row r="234" spans="4:20">
      <c r="D234"/>
      <c r="E234" s="32"/>
      <c r="S234" s="271" t="s">
        <v>1409</v>
      </c>
      <c r="T234" s="272" t="s">
        <v>1410</v>
      </c>
    </row>
    <row r="235" spans="4:20">
      <c r="D235"/>
      <c r="E235" s="32"/>
      <c r="S235" s="271" t="s">
        <v>2729</v>
      </c>
      <c r="T235" s="272" t="s">
        <v>3085</v>
      </c>
    </row>
    <row r="236" spans="4:20">
      <c r="D236"/>
      <c r="E236" s="32"/>
      <c r="S236" s="271" t="s">
        <v>1411</v>
      </c>
      <c r="T236" s="272" t="s">
        <v>242</v>
      </c>
    </row>
    <row r="237" spans="4:20">
      <c r="D237"/>
      <c r="E237" s="32"/>
      <c r="S237" s="271" t="s">
        <v>2730</v>
      </c>
      <c r="T237" s="272" t="s">
        <v>3086</v>
      </c>
    </row>
    <row r="238" spans="4:20">
      <c r="D238"/>
      <c r="E238" s="32"/>
      <c r="S238" s="271" t="s">
        <v>1412</v>
      </c>
      <c r="T238" s="272" t="s">
        <v>847</v>
      </c>
    </row>
    <row r="239" spans="4:20">
      <c r="D239"/>
      <c r="E239" s="32"/>
      <c r="S239" s="271" t="s">
        <v>1413</v>
      </c>
      <c r="T239" s="272" t="s">
        <v>848</v>
      </c>
    </row>
    <row r="240" spans="4:20">
      <c r="D240"/>
      <c r="E240" s="32"/>
      <c r="S240" s="271" t="s">
        <v>1414</v>
      </c>
      <c r="T240" s="272" t="s">
        <v>243</v>
      </c>
    </row>
    <row r="241" spans="4:20">
      <c r="D241"/>
      <c r="E241" s="32"/>
      <c r="S241" s="271" t="s">
        <v>1415</v>
      </c>
      <c r="T241" s="272" t="s">
        <v>755</v>
      </c>
    </row>
    <row r="242" spans="4:20">
      <c r="D242"/>
      <c r="E242" s="32"/>
      <c r="S242" s="271" t="s">
        <v>2731</v>
      </c>
      <c r="T242" s="272" t="s">
        <v>3087</v>
      </c>
    </row>
    <row r="243" spans="4:20">
      <c r="D243"/>
      <c r="E243" s="32"/>
      <c r="S243" s="271" t="s">
        <v>1416</v>
      </c>
      <c r="T243" s="272" t="s">
        <v>1119</v>
      </c>
    </row>
    <row r="244" spans="4:20">
      <c r="D244"/>
      <c r="E244" s="32"/>
      <c r="S244" s="271" t="s">
        <v>1417</v>
      </c>
      <c r="T244" s="272" t="s">
        <v>849</v>
      </c>
    </row>
    <row r="245" spans="4:20">
      <c r="D245"/>
      <c r="E245" s="32"/>
      <c r="S245" s="271" t="s">
        <v>2732</v>
      </c>
      <c r="T245" s="272" t="s">
        <v>3088</v>
      </c>
    </row>
    <row r="246" spans="4:20">
      <c r="D246"/>
      <c r="E246" s="32"/>
      <c r="S246" s="271" t="s">
        <v>1418</v>
      </c>
      <c r="T246" s="272" t="s">
        <v>850</v>
      </c>
    </row>
    <row r="247" spans="4:20">
      <c r="D247"/>
      <c r="E247" s="32"/>
      <c r="S247" s="271" t="s">
        <v>1419</v>
      </c>
      <c r="T247" s="272" t="s">
        <v>775</v>
      </c>
    </row>
    <row r="248" spans="4:20">
      <c r="D248"/>
      <c r="E248" s="32"/>
      <c r="S248" s="271" t="s">
        <v>1420</v>
      </c>
      <c r="T248" s="272" t="s">
        <v>851</v>
      </c>
    </row>
    <row r="249" spans="4:20">
      <c r="D249"/>
      <c r="E249" s="32"/>
      <c r="S249" s="271" t="s">
        <v>1421</v>
      </c>
      <c r="T249" s="272" t="s">
        <v>852</v>
      </c>
    </row>
    <row r="250" spans="4:20">
      <c r="D250"/>
      <c r="E250" s="32"/>
      <c r="S250" s="271" t="s">
        <v>2733</v>
      </c>
      <c r="T250" s="272" t="s">
        <v>3089</v>
      </c>
    </row>
    <row r="251" spans="4:20">
      <c r="D251"/>
      <c r="E251" s="32"/>
      <c r="S251" s="271" t="s">
        <v>1422</v>
      </c>
      <c r="T251" s="272" t="s">
        <v>853</v>
      </c>
    </row>
    <row r="252" spans="4:20">
      <c r="D252"/>
      <c r="E252" s="32"/>
      <c r="S252" s="271" t="s">
        <v>2734</v>
      </c>
      <c r="T252" s="272" t="s">
        <v>3090</v>
      </c>
    </row>
    <row r="253" spans="4:20">
      <c r="D253"/>
      <c r="E253" s="32"/>
      <c r="S253" s="271" t="s">
        <v>2735</v>
      </c>
      <c r="T253" s="272" t="s">
        <v>3091</v>
      </c>
    </row>
    <row r="254" spans="4:20">
      <c r="D254"/>
      <c r="E254" s="32"/>
      <c r="S254" s="271" t="s">
        <v>1423</v>
      </c>
      <c r="T254" s="272" t="s">
        <v>643</v>
      </c>
    </row>
    <row r="255" spans="4:20">
      <c r="D255"/>
      <c r="E255" s="32"/>
      <c r="S255" s="271" t="s">
        <v>1424</v>
      </c>
      <c r="T255" s="272" t="s">
        <v>244</v>
      </c>
    </row>
    <row r="256" spans="4:20">
      <c r="D256"/>
      <c r="E256" s="32"/>
      <c r="S256" s="271" t="s">
        <v>1425</v>
      </c>
      <c r="T256" s="272" t="s">
        <v>854</v>
      </c>
    </row>
    <row r="257" spans="4:20">
      <c r="D257"/>
      <c r="E257" s="32"/>
      <c r="S257" s="271" t="s">
        <v>1426</v>
      </c>
      <c r="T257" s="272" t="s">
        <v>1427</v>
      </c>
    </row>
    <row r="258" spans="4:20">
      <c r="D258"/>
      <c r="E258" s="32"/>
      <c r="S258" s="271" t="s">
        <v>1428</v>
      </c>
      <c r="T258" s="272" t="s">
        <v>245</v>
      </c>
    </row>
    <row r="259" spans="4:20">
      <c r="D259"/>
      <c r="E259" s="32"/>
      <c r="S259" s="271" t="s">
        <v>1429</v>
      </c>
      <c r="T259" s="272" t="s">
        <v>522</v>
      </c>
    </row>
    <row r="260" spans="4:20">
      <c r="D260"/>
      <c r="E260" s="32"/>
      <c r="S260" s="271" t="s">
        <v>1430</v>
      </c>
      <c r="T260" s="272" t="s">
        <v>246</v>
      </c>
    </row>
    <row r="261" spans="4:20">
      <c r="D261"/>
      <c r="E261" s="32"/>
      <c r="S261" s="271" t="s">
        <v>2736</v>
      </c>
      <c r="T261" s="272" t="s">
        <v>3092</v>
      </c>
    </row>
    <row r="262" spans="4:20">
      <c r="D262"/>
      <c r="E262" s="32"/>
      <c r="S262" s="271" t="s">
        <v>1431</v>
      </c>
      <c r="T262" s="272" t="s">
        <v>1432</v>
      </c>
    </row>
    <row r="263" spans="4:20">
      <c r="D263"/>
      <c r="E263" s="32"/>
      <c r="S263" s="271" t="s">
        <v>1433</v>
      </c>
      <c r="T263" s="272" t="s">
        <v>855</v>
      </c>
    </row>
    <row r="264" spans="4:20">
      <c r="D264"/>
      <c r="E264" s="32"/>
      <c r="S264" s="271" t="s">
        <v>1434</v>
      </c>
      <c r="T264" s="272" t="s">
        <v>856</v>
      </c>
    </row>
    <row r="265" spans="4:20">
      <c r="D265"/>
      <c r="E265" s="32"/>
      <c r="S265" s="271" t="s">
        <v>1435</v>
      </c>
      <c r="T265" s="272" t="s">
        <v>857</v>
      </c>
    </row>
    <row r="266" spans="4:20">
      <c r="D266"/>
      <c r="E266" s="32"/>
      <c r="S266" s="271" t="s">
        <v>1436</v>
      </c>
      <c r="T266" s="272" t="s">
        <v>858</v>
      </c>
    </row>
    <row r="267" spans="4:20">
      <c r="D267"/>
      <c r="E267" s="32"/>
      <c r="S267" s="271" t="s">
        <v>2737</v>
      </c>
      <c r="T267" s="272" t="s">
        <v>3093</v>
      </c>
    </row>
    <row r="268" spans="4:20">
      <c r="D268"/>
      <c r="E268" s="32"/>
      <c r="S268" s="271" t="s">
        <v>1437</v>
      </c>
      <c r="T268" s="272" t="s">
        <v>1120</v>
      </c>
    </row>
    <row r="269" spans="4:20">
      <c r="D269"/>
      <c r="E269" s="32"/>
      <c r="S269" s="271" t="s">
        <v>1438</v>
      </c>
      <c r="T269" s="272" t="s">
        <v>762</v>
      </c>
    </row>
    <row r="270" spans="4:20">
      <c r="D270"/>
      <c r="E270" s="32"/>
      <c r="S270" s="271" t="s">
        <v>1439</v>
      </c>
      <c r="T270" s="272" t="s">
        <v>859</v>
      </c>
    </row>
    <row r="271" spans="4:20">
      <c r="D271"/>
      <c r="E271" s="32"/>
      <c r="S271" s="271" t="s">
        <v>2738</v>
      </c>
      <c r="T271" s="272" t="s">
        <v>3094</v>
      </c>
    </row>
    <row r="272" spans="4:20">
      <c r="D272"/>
      <c r="E272" s="32"/>
      <c r="S272" s="271" t="s">
        <v>2739</v>
      </c>
      <c r="T272" s="272" t="s">
        <v>3095</v>
      </c>
    </row>
    <row r="273" spans="4:20">
      <c r="D273"/>
      <c r="E273" s="32"/>
      <c r="S273" s="271" t="s">
        <v>1440</v>
      </c>
      <c r="T273" s="272" t="s">
        <v>1441</v>
      </c>
    </row>
    <row r="274" spans="4:20">
      <c r="D274"/>
      <c r="E274" s="32"/>
      <c r="S274" s="271" t="s">
        <v>1442</v>
      </c>
      <c r="T274" s="272" t="s">
        <v>1443</v>
      </c>
    </row>
    <row r="275" spans="4:20">
      <c r="D275"/>
      <c r="S275" s="271" t="s">
        <v>1444</v>
      </c>
      <c r="T275" s="272" t="s">
        <v>247</v>
      </c>
    </row>
    <row r="276" spans="4:20">
      <c r="D276"/>
      <c r="S276" s="271" t="s">
        <v>2740</v>
      </c>
      <c r="T276" s="272" t="s">
        <v>3096</v>
      </c>
    </row>
    <row r="277" spans="4:20">
      <c r="D277"/>
      <c r="S277" s="271" t="s">
        <v>1445</v>
      </c>
      <c r="T277" s="272" t="s">
        <v>644</v>
      </c>
    </row>
    <row r="278" spans="4:20">
      <c r="D278"/>
      <c r="S278" s="271" t="s">
        <v>1446</v>
      </c>
      <c r="T278" s="272" t="s">
        <v>248</v>
      </c>
    </row>
    <row r="279" spans="4:20">
      <c r="D279"/>
      <c r="S279" s="271" t="s">
        <v>1447</v>
      </c>
      <c r="T279" s="272" t="s">
        <v>1448</v>
      </c>
    </row>
    <row r="280" spans="4:20">
      <c r="D280"/>
      <c r="S280" s="271" t="s">
        <v>1449</v>
      </c>
      <c r="T280" s="272" t="s">
        <v>249</v>
      </c>
    </row>
    <row r="281" spans="4:20">
      <c r="D281"/>
      <c r="S281" s="271" t="s">
        <v>1450</v>
      </c>
      <c r="T281" s="272" t="s">
        <v>751</v>
      </c>
    </row>
    <row r="282" spans="4:20">
      <c r="D282"/>
      <c r="S282" s="271" t="s">
        <v>1451</v>
      </c>
      <c r="T282" s="272" t="s">
        <v>250</v>
      </c>
    </row>
    <row r="283" spans="4:20">
      <c r="D283"/>
      <c r="S283" s="271" t="s">
        <v>1452</v>
      </c>
      <c r="T283" s="272" t="s">
        <v>580</v>
      </c>
    </row>
    <row r="284" spans="4:20">
      <c r="D284"/>
      <c r="S284" s="271" t="s">
        <v>1453</v>
      </c>
      <c r="T284" s="272" t="s">
        <v>1121</v>
      </c>
    </row>
    <row r="285" spans="4:20">
      <c r="D285"/>
      <c r="S285" s="271" t="s">
        <v>1454</v>
      </c>
      <c r="T285" s="272" t="s">
        <v>860</v>
      </c>
    </row>
    <row r="286" spans="4:20">
      <c r="D286"/>
      <c r="S286" s="271" t="s">
        <v>1455</v>
      </c>
      <c r="T286" s="272" t="s">
        <v>1456</v>
      </c>
    </row>
    <row r="287" spans="4:20">
      <c r="D287"/>
      <c r="S287" s="271" t="s">
        <v>2741</v>
      </c>
      <c r="T287" s="272" t="s">
        <v>3097</v>
      </c>
    </row>
    <row r="288" spans="4:20">
      <c r="D288"/>
      <c r="S288" s="271" t="s">
        <v>1457</v>
      </c>
      <c r="T288" s="272" t="s">
        <v>861</v>
      </c>
    </row>
    <row r="289" spans="4:20">
      <c r="D289"/>
      <c r="S289" s="271" t="s">
        <v>1458</v>
      </c>
      <c r="T289" s="272" t="s">
        <v>862</v>
      </c>
    </row>
    <row r="290" spans="4:20">
      <c r="D290"/>
      <c r="S290" s="271" t="s">
        <v>1459</v>
      </c>
      <c r="T290" s="272" t="s">
        <v>251</v>
      </c>
    </row>
    <row r="291" spans="4:20">
      <c r="D291"/>
      <c r="S291" s="271" t="s">
        <v>2742</v>
      </c>
      <c r="T291" s="272" t="s">
        <v>3098</v>
      </c>
    </row>
    <row r="292" spans="4:20">
      <c r="D292"/>
      <c r="S292" s="271" t="s">
        <v>1460</v>
      </c>
      <c r="T292" s="272" t="s">
        <v>863</v>
      </c>
    </row>
    <row r="293" spans="4:20">
      <c r="D293"/>
      <c r="S293" s="271" t="s">
        <v>1461</v>
      </c>
      <c r="T293" s="272" t="s">
        <v>864</v>
      </c>
    </row>
    <row r="294" spans="4:20">
      <c r="D294"/>
      <c r="S294" s="271" t="s">
        <v>1462</v>
      </c>
      <c r="T294" s="272" t="s">
        <v>865</v>
      </c>
    </row>
    <row r="295" spans="4:20">
      <c r="D295"/>
      <c r="S295" s="271" t="s">
        <v>1463</v>
      </c>
      <c r="T295" s="272" t="s">
        <v>866</v>
      </c>
    </row>
    <row r="296" spans="4:20">
      <c r="D296"/>
      <c r="S296" s="271" t="s">
        <v>1464</v>
      </c>
      <c r="T296" s="272" t="s">
        <v>252</v>
      </c>
    </row>
    <row r="297" spans="4:20">
      <c r="S297" s="271" t="s">
        <v>1465</v>
      </c>
      <c r="T297" s="272" t="s">
        <v>780</v>
      </c>
    </row>
    <row r="298" spans="4:20">
      <c r="S298" s="271" t="s">
        <v>1466</v>
      </c>
      <c r="T298" s="272" t="s">
        <v>1467</v>
      </c>
    </row>
    <row r="299" spans="4:20">
      <c r="S299" s="271" t="s">
        <v>1468</v>
      </c>
      <c r="T299" s="272" t="s">
        <v>594</v>
      </c>
    </row>
    <row r="300" spans="4:20">
      <c r="S300" s="271" t="s">
        <v>1469</v>
      </c>
      <c r="T300" s="272" t="s">
        <v>253</v>
      </c>
    </row>
    <row r="301" spans="4:20">
      <c r="S301" s="271" t="s">
        <v>1470</v>
      </c>
      <c r="T301" s="272" t="s">
        <v>645</v>
      </c>
    </row>
    <row r="302" spans="4:20">
      <c r="S302" s="271" t="s">
        <v>2743</v>
      </c>
      <c r="T302" s="272" t="s">
        <v>3099</v>
      </c>
    </row>
    <row r="303" spans="4:20">
      <c r="S303" s="271" t="s">
        <v>1471</v>
      </c>
      <c r="T303" s="272" t="s">
        <v>867</v>
      </c>
    </row>
    <row r="304" spans="4:20">
      <c r="S304" s="271" t="s">
        <v>1472</v>
      </c>
      <c r="T304" s="272" t="s">
        <v>254</v>
      </c>
    </row>
    <row r="305" spans="19:20">
      <c r="S305" s="271" t="s">
        <v>1473</v>
      </c>
      <c r="T305" s="272" t="s">
        <v>719</v>
      </c>
    </row>
    <row r="306" spans="19:20">
      <c r="S306" s="271" t="s">
        <v>1474</v>
      </c>
      <c r="T306" s="272" t="s">
        <v>1475</v>
      </c>
    </row>
    <row r="307" spans="19:20">
      <c r="S307" s="271" t="s">
        <v>2744</v>
      </c>
      <c r="T307" s="272" t="s">
        <v>3100</v>
      </c>
    </row>
    <row r="308" spans="19:20">
      <c r="S308" s="271" t="s">
        <v>1476</v>
      </c>
      <c r="T308" s="272" t="s">
        <v>778</v>
      </c>
    </row>
    <row r="309" spans="19:20">
      <c r="S309" s="271" t="s">
        <v>2745</v>
      </c>
      <c r="T309" s="272" t="s">
        <v>3101</v>
      </c>
    </row>
    <row r="310" spans="19:20">
      <c r="S310" s="271" t="s">
        <v>2746</v>
      </c>
      <c r="T310" s="272" t="s">
        <v>3102</v>
      </c>
    </row>
    <row r="311" spans="19:20">
      <c r="S311" s="271" t="s">
        <v>1477</v>
      </c>
      <c r="T311" s="272" t="s">
        <v>770</v>
      </c>
    </row>
    <row r="312" spans="19:20">
      <c r="S312" s="271" t="s">
        <v>2747</v>
      </c>
      <c r="T312" s="272" t="s">
        <v>3103</v>
      </c>
    </row>
    <row r="313" spans="19:20">
      <c r="S313" s="271" t="s">
        <v>2748</v>
      </c>
      <c r="T313" s="272" t="s">
        <v>3104</v>
      </c>
    </row>
    <row r="314" spans="19:20">
      <c r="S314" s="271" t="s">
        <v>1478</v>
      </c>
      <c r="T314" s="272" t="s">
        <v>255</v>
      </c>
    </row>
    <row r="315" spans="19:20">
      <c r="S315" s="271" t="s">
        <v>1479</v>
      </c>
      <c r="T315" s="272" t="s">
        <v>868</v>
      </c>
    </row>
    <row r="316" spans="19:20">
      <c r="S316" s="271" t="s">
        <v>1480</v>
      </c>
      <c r="T316" s="272" t="s">
        <v>869</v>
      </c>
    </row>
    <row r="317" spans="19:20">
      <c r="S317" s="271" t="s">
        <v>1481</v>
      </c>
      <c r="T317" s="272" t="s">
        <v>256</v>
      </c>
    </row>
    <row r="318" spans="19:20">
      <c r="S318" s="271" t="s">
        <v>1482</v>
      </c>
      <c r="T318" s="272" t="s">
        <v>1483</v>
      </c>
    </row>
    <row r="319" spans="19:20">
      <c r="S319" s="271" t="s">
        <v>1484</v>
      </c>
      <c r="T319" s="272" t="s">
        <v>257</v>
      </c>
    </row>
    <row r="320" spans="19:20">
      <c r="S320" s="271" t="s">
        <v>1485</v>
      </c>
      <c r="T320" s="272" t="s">
        <v>258</v>
      </c>
    </row>
    <row r="321" spans="19:20">
      <c r="S321" s="271" t="s">
        <v>1486</v>
      </c>
      <c r="T321" s="272" t="s">
        <v>870</v>
      </c>
    </row>
    <row r="322" spans="19:20">
      <c r="S322" s="271" t="s">
        <v>1487</v>
      </c>
      <c r="T322" s="272" t="s">
        <v>871</v>
      </c>
    </row>
    <row r="323" spans="19:20">
      <c r="S323" s="271" t="s">
        <v>1488</v>
      </c>
      <c r="T323" s="272" t="s">
        <v>872</v>
      </c>
    </row>
    <row r="324" spans="19:20">
      <c r="S324" s="271" t="s">
        <v>1489</v>
      </c>
      <c r="T324" s="272" t="s">
        <v>873</v>
      </c>
    </row>
    <row r="325" spans="19:20">
      <c r="S325" s="271" t="s">
        <v>1490</v>
      </c>
      <c r="T325" s="272" t="s">
        <v>259</v>
      </c>
    </row>
    <row r="326" spans="19:20">
      <c r="S326" s="271" t="s">
        <v>1491</v>
      </c>
      <c r="T326" s="272" t="s">
        <v>874</v>
      </c>
    </row>
    <row r="327" spans="19:20">
      <c r="S327" s="271" t="s">
        <v>1492</v>
      </c>
      <c r="T327" s="272" t="s">
        <v>523</v>
      </c>
    </row>
    <row r="328" spans="19:20">
      <c r="S328" s="271" t="s">
        <v>1493</v>
      </c>
      <c r="T328" s="272" t="s">
        <v>875</v>
      </c>
    </row>
    <row r="329" spans="19:20">
      <c r="S329" s="271" t="s">
        <v>1494</v>
      </c>
      <c r="T329" s="272" t="s">
        <v>1495</v>
      </c>
    </row>
    <row r="330" spans="19:20">
      <c r="S330" s="271" t="s">
        <v>1496</v>
      </c>
      <c r="T330" s="272" t="s">
        <v>1497</v>
      </c>
    </row>
    <row r="331" spans="19:20">
      <c r="S331" s="271" t="s">
        <v>2749</v>
      </c>
      <c r="T331" s="272" t="s">
        <v>3105</v>
      </c>
    </row>
    <row r="332" spans="19:20">
      <c r="S332" s="271" t="s">
        <v>1498</v>
      </c>
      <c r="T332" s="272" t="s">
        <v>524</v>
      </c>
    </row>
    <row r="333" spans="19:20">
      <c r="S333" s="271" t="s">
        <v>2750</v>
      </c>
      <c r="T333" s="272" t="s">
        <v>3106</v>
      </c>
    </row>
    <row r="334" spans="19:20">
      <c r="S334" s="271" t="s">
        <v>1499</v>
      </c>
      <c r="T334" s="272" t="s">
        <v>646</v>
      </c>
    </row>
    <row r="335" spans="19:20">
      <c r="S335" s="271" t="s">
        <v>1500</v>
      </c>
      <c r="T335" s="272" t="s">
        <v>260</v>
      </c>
    </row>
    <row r="336" spans="19:20">
      <c r="S336" s="271" t="s">
        <v>1501</v>
      </c>
      <c r="T336" s="272" t="s">
        <v>752</v>
      </c>
    </row>
    <row r="337" spans="19:20">
      <c r="S337" s="271" t="s">
        <v>1502</v>
      </c>
      <c r="T337" s="272" t="s">
        <v>709</v>
      </c>
    </row>
    <row r="338" spans="19:20">
      <c r="S338" s="271" t="s">
        <v>1503</v>
      </c>
      <c r="T338" s="272" t="s">
        <v>876</v>
      </c>
    </row>
    <row r="339" spans="19:20">
      <c r="S339" s="271" t="s">
        <v>1504</v>
      </c>
      <c r="T339" s="272" t="s">
        <v>647</v>
      </c>
    </row>
    <row r="340" spans="19:20">
      <c r="S340" s="271" t="s">
        <v>1505</v>
      </c>
      <c r="T340" s="272" t="s">
        <v>1506</v>
      </c>
    </row>
    <row r="341" spans="19:20">
      <c r="S341" s="271" t="s">
        <v>2751</v>
      </c>
      <c r="T341" s="272" t="s">
        <v>3107</v>
      </c>
    </row>
    <row r="342" spans="19:20">
      <c r="S342" s="271" t="s">
        <v>1507</v>
      </c>
      <c r="T342" s="272" t="s">
        <v>261</v>
      </c>
    </row>
    <row r="343" spans="19:20">
      <c r="S343" s="271" t="s">
        <v>1508</v>
      </c>
      <c r="T343" s="272" t="s">
        <v>595</v>
      </c>
    </row>
    <row r="344" spans="19:20">
      <c r="S344" s="271" t="s">
        <v>1509</v>
      </c>
      <c r="T344" s="272" t="s">
        <v>1510</v>
      </c>
    </row>
    <row r="345" spans="19:20">
      <c r="S345" s="271" t="s">
        <v>1511</v>
      </c>
      <c r="T345" s="272" t="s">
        <v>1512</v>
      </c>
    </row>
    <row r="346" spans="19:20">
      <c r="S346" s="271" t="s">
        <v>1513</v>
      </c>
      <c r="T346" s="272" t="s">
        <v>877</v>
      </c>
    </row>
    <row r="347" spans="19:20">
      <c r="S347" s="271" t="s">
        <v>2752</v>
      </c>
      <c r="T347" s="272" t="s">
        <v>3108</v>
      </c>
    </row>
    <row r="348" spans="19:20">
      <c r="S348" s="271" t="s">
        <v>1514</v>
      </c>
      <c r="T348" s="272" t="s">
        <v>262</v>
      </c>
    </row>
    <row r="349" spans="19:20">
      <c r="S349" s="271" t="s">
        <v>2753</v>
      </c>
      <c r="T349" s="272" t="s">
        <v>3109</v>
      </c>
    </row>
    <row r="350" spans="19:20">
      <c r="S350" s="271" t="s">
        <v>1515</v>
      </c>
      <c r="T350" s="272" t="s">
        <v>717</v>
      </c>
    </row>
    <row r="351" spans="19:20">
      <c r="S351" s="271" t="s">
        <v>1516</v>
      </c>
      <c r="T351" s="272" t="s">
        <v>263</v>
      </c>
    </row>
    <row r="352" spans="19:20">
      <c r="S352" s="271" t="s">
        <v>1517</v>
      </c>
      <c r="T352" s="272" t="s">
        <v>878</v>
      </c>
    </row>
    <row r="353" spans="19:20">
      <c r="S353" s="271" t="s">
        <v>1518</v>
      </c>
      <c r="T353" s="272" t="s">
        <v>596</v>
      </c>
    </row>
    <row r="354" spans="19:20">
      <c r="S354" s="271" t="s">
        <v>1519</v>
      </c>
      <c r="T354" s="272" t="s">
        <v>716</v>
      </c>
    </row>
    <row r="355" spans="19:20">
      <c r="S355" s="271" t="s">
        <v>1520</v>
      </c>
      <c r="T355" s="272" t="s">
        <v>264</v>
      </c>
    </row>
    <row r="356" spans="19:20">
      <c r="S356" s="271" t="s">
        <v>1521</v>
      </c>
      <c r="T356" s="272" t="s">
        <v>648</v>
      </c>
    </row>
    <row r="357" spans="19:20">
      <c r="S357" s="271" t="s">
        <v>1522</v>
      </c>
      <c r="T357" s="272" t="s">
        <v>265</v>
      </c>
    </row>
    <row r="358" spans="19:20">
      <c r="S358" s="271" t="s">
        <v>2754</v>
      </c>
      <c r="T358" s="272" t="s">
        <v>3110</v>
      </c>
    </row>
    <row r="359" spans="19:20">
      <c r="S359" s="271" t="s">
        <v>2755</v>
      </c>
      <c r="T359" s="272" t="s">
        <v>3111</v>
      </c>
    </row>
    <row r="360" spans="19:20">
      <c r="S360" s="271" t="s">
        <v>1523</v>
      </c>
      <c r="T360" s="272" t="s">
        <v>1524</v>
      </c>
    </row>
    <row r="361" spans="19:20">
      <c r="S361" s="271" t="s">
        <v>1525</v>
      </c>
      <c r="T361" s="272" t="s">
        <v>879</v>
      </c>
    </row>
    <row r="362" spans="19:20">
      <c r="S362" s="271" t="s">
        <v>2756</v>
      </c>
      <c r="T362" s="272" t="s">
        <v>3112</v>
      </c>
    </row>
    <row r="363" spans="19:20">
      <c r="S363" s="271" t="s">
        <v>1526</v>
      </c>
      <c r="T363" s="272" t="s">
        <v>266</v>
      </c>
    </row>
    <row r="364" spans="19:20">
      <c r="S364" s="271" t="s">
        <v>1527</v>
      </c>
      <c r="T364" s="272" t="s">
        <v>880</v>
      </c>
    </row>
    <row r="365" spans="19:20">
      <c r="S365" s="271" t="s">
        <v>1528</v>
      </c>
      <c r="T365" s="272" t="s">
        <v>525</v>
      </c>
    </row>
    <row r="366" spans="19:20">
      <c r="S366" s="271" t="s">
        <v>2757</v>
      </c>
      <c r="T366" s="272" t="s">
        <v>3113</v>
      </c>
    </row>
    <row r="367" spans="19:20">
      <c r="S367" s="271" t="s">
        <v>1529</v>
      </c>
      <c r="T367" s="272" t="s">
        <v>726</v>
      </c>
    </row>
    <row r="368" spans="19:20">
      <c r="S368" s="271" t="s">
        <v>1530</v>
      </c>
      <c r="T368" s="272" t="s">
        <v>649</v>
      </c>
    </row>
    <row r="369" spans="19:20">
      <c r="S369" s="271" t="s">
        <v>1531</v>
      </c>
      <c r="T369" s="272" t="s">
        <v>1532</v>
      </c>
    </row>
    <row r="370" spans="19:20">
      <c r="S370" s="271" t="s">
        <v>2758</v>
      </c>
      <c r="T370" s="272" t="s">
        <v>3114</v>
      </c>
    </row>
    <row r="371" spans="19:20">
      <c r="S371" s="271" t="s">
        <v>1533</v>
      </c>
      <c r="T371" s="272" t="s">
        <v>1534</v>
      </c>
    </row>
    <row r="372" spans="19:20">
      <c r="S372" s="271" t="s">
        <v>2759</v>
      </c>
      <c r="T372" s="272" t="s">
        <v>3115</v>
      </c>
    </row>
    <row r="373" spans="19:20">
      <c r="S373" s="271" t="s">
        <v>1535</v>
      </c>
      <c r="T373" s="272" t="s">
        <v>1122</v>
      </c>
    </row>
    <row r="374" spans="19:20">
      <c r="S374" s="271" t="s">
        <v>1536</v>
      </c>
      <c r="T374" s="272" t="s">
        <v>1537</v>
      </c>
    </row>
    <row r="375" spans="19:20">
      <c r="S375" s="271" t="s">
        <v>2760</v>
      </c>
      <c r="T375" s="272" t="s">
        <v>3116</v>
      </c>
    </row>
    <row r="376" spans="19:20">
      <c r="S376" s="271" t="s">
        <v>2761</v>
      </c>
      <c r="T376" s="272" t="s">
        <v>3117</v>
      </c>
    </row>
    <row r="377" spans="19:20">
      <c r="S377" s="271" t="s">
        <v>1538</v>
      </c>
      <c r="T377" s="272" t="s">
        <v>881</v>
      </c>
    </row>
    <row r="378" spans="19:20">
      <c r="S378" s="271" t="s">
        <v>1539</v>
      </c>
      <c r="T378" s="272" t="s">
        <v>267</v>
      </c>
    </row>
    <row r="379" spans="19:20">
      <c r="S379" s="271" t="s">
        <v>2762</v>
      </c>
      <c r="T379" s="272" t="s">
        <v>3118</v>
      </c>
    </row>
    <row r="380" spans="19:20">
      <c r="S380" s="271" t="s">
        <v>2763</v>
      </c>
      <c r="T380" s="272" t="s">
        <v>3119</v>
      </c>
    </row>
    <row r="381" spans="19:20">
      <c r="S381" s="271" t="s">
        <v>2764</v>
      </c>
      <c r="T381" s="272" t="s">
        <v>3120</v>
      </c>
    </row>
    <row r="382" spans="19:20">
      <c r="S382" s="271" t="s">
        <v>1540</v>
      </c>
      <c r="T382" s="272" t="s">
        <v>1541</v>
      </c>
    </row>
    <row r="383" spans="19:20">
      <c r="S383" s="271" t="s">
        <v>1542</v>
      </c>
      <c r="T383" s="272" t="s">
        <v>1123</v>
      </c>
    </row>
    <row r="384" spans="19:20">
      <c r="S384" s="271" t="s">
        <v>1543</v>
      </c>
      <c r="T384" s="272" t="s">
        <v>268</v>
      </c>
    </row>
    <row r="385" spans="19:20">
      <c r="S385" s="271" t="s">
        <v>1544</v>
      </c>
      <c r="T385" s="272" t="s">
        <v>882</v>
      </c>
    </row>
    <row r="386" spans="19:20">
      <c r="S386" s="271" t="s">
        <v>1545</v>
      </c>
      <c r="T386" s="272" t="s">
        <v>883</v>
      </c>
    </row>
    <row r="387" spans="19:20">
      <c r="S387" s="271" t="s">
        <v>1546</v>
      </c>
      <c r="T387" s="272" t="s">
        <v>269</v>
      </c>
    </row>
    <row r="388" spans="19:20">
      <c r="S388" s="271" t="s">
        <v>1547</v>
      </c>
      <c r="T388" s="272" t="s">
        <v>1548</v>
      </c>
    </row>
    <row r="389" spans="19:20">
      <c r="S389" s="271" t="s">
        <v>2765</v>
      </c>
      <c r="T389" s="272" t="s">
        <v>3121</v>
      </c>
    </row>
    <row r="390" spans="19:20">
      <c r="S390" s="271" t="s">
        <v>1549</v>
      </c>
      <c r="T390" s="272" t="s">
        <v>270</v>
      </c>
    </row>
    <row r="391" spans="19:20">
      <c r="S391" s="271" t="s">
        <v>1550</v>
      </c>
      <c r="T391" s="272" t="s">
        <v>271</v>
      </c>
    </row>
    <row r="392" spans="19:20">
      <c r="S392" s="271" t="s">
        <v>1551</v>
      </c>
      <c r="T392" s="272" t="s">
        <v>884</v>
      </c>
    </row>
    <row r="393" spans="19:20">
      <c r="S393" s="271" t="s">
        <v>1552</v>
      </c>
      <c r="T393" s="272" t="s">
        <v>885</v>
      </c>
    </row>
    <row r="394" spans="19:20">
      <c r="S394" s="271" t="s">
        <v>1553</v>
      </c>
      <c r="T394" s="272" t="s">
        <v>1554</v>
      </c>
    </row>
    <row r="395" spans="19:20">
      <c r="S395" s="271" t="s">
        <v>1555</v>
      </c>
      <c r="T395" s="272" t="s">
        <v>886</v>
      </c>
    </row>
    <row r="396" spans="19:20">
      <c r="S396" s="271" t="s">
        <v>2766</v>
      </c>
      <c r="T396" s="272" t="s">
        <v>3122</v>
      </c>
    </row>
    <row r="397" spans="19:20">
      <c r="S397" s="271" t="s">
        <v>1556</v>
      </c>
      <c r="T397" s="272" t="s">
        <v>526</v>
      </c>
    </row>
    <row r="398" spans="19:20">
      <c r="S398" s="271" t="s">
        <v>1557</v>
      </c>
      <c r="T398" s="272" t="s">
        <v>727</v>
      </c>
    </row>
    <row r="399" spans="19:20">
      <c r="S399" s="271" t="s">
        <v>1558</v>
      </c>
      <c r="T399" s="272" t="s">
        <v>272</v>
      </c>
    </row>
    <row r="400" spans="19:20">
      <c r="S400" s="271" t="s">
        <v>2767</v>
      </c>
      <c r="T400" s="272" t="s">
        <v>3123</v>
      </c>
    </row>
    <row r="401" spans="19:20">
      <c r="S401" s="271" t="s">
        <v>1559</v>
      </c>
      <c r="T401" s="272" t="s">
        <v>273</v>
      </c>
    </row>
    <row r="402" spans="19:20">
      <c r="S402" s="271" t="s">
        <v>2768</v>
      </c>
      <c r="T402" s="272" t="s">
        <v>3124</v>
      </c>
    </row>
    <row r="403" spans="19:20">
      <c r="S403" s="271" t="s">
        <v>2769</v>
      </c>
      <c r="T403" s="272" t="s">
        <v>1562</v>
      </c>
    </row>
    <row r="404" spans="19:20">
      <c r="S404" s="271" t="s">
        <v>1560</v>
      </c>
      <c r="T404" s="272" t="s">
        <v>597</v>
      </c>
    </row>
    <row r="405" spans="19:20">
      <c r="S405" s="271" t="s">
        <v>1561</v>
      </c>
      <c r="T405" s="272" t="s">
        <v>274</v>
      </c>
    </row>
    <row r="406" spans="19:20">
      <c r="S406" s="271" t="s">
        <v>1562</v>
      </c>
      <c r="T406" s="272" t="s">
        <v>887</v>
      </c>
    </row>
    <row r="407" spans="19:20">
      <c r="S407" s="271" t="s">
        <v>1563</v>
      </c>
      <c r="T407" s="272" t="s">
        <v>888</v>
      </c>
    </row>
    <row r="408" spans="19:20">
      <c r="S408" s="271" t="s">
        <v>1564</v>
      </c>
      <c r="T408" s="272" t="s">
        <v>275</v>
      </c>
    </row>
    <row r="409" spans="19:20">
      <c r="S409" s="271" t="s">
        <v>2770</v>
      </c>
      <c r="T409" s="272" t="s">
        <v>3125</v>
      </c>
    </row>
    <row r="410" spans="19:20">
      <c r="S410" s="271" t="s">
        <v>1565</v>
      </c>
      <c r="T410" s="272" t="s">
        <v>889</v>
      </c>
    </row>
    <row r="411" spans="19:20">
      <c r="S411" s="271" t="s">
        <v>1566</v>
      </c>
      <c r="T411" s="272" t="s">
        <v>728</v>
      </c>
    </row>
    <row r="412" spans="19:20">
      <c r="S412" s="271" t="s">
        <v>2771</v>
      </c>
      <c r="T412" s="272" t="s">
        <v>3126</v>
      </c>
    </row>
    <row r="413" spans="19:20">
      <c r="S413" s="271" t="s">
        <v>1567</v>
      </c>
      <c r="T413" s="272" t="s">
        <v>890</v>
      </c>
    </row>
    <row r="414" spans="19:20">
      <c r="S414" s="271" t="s">
        <v>1568</v>
      </c>
      <c r="T414" s="272" t="s">
        <v>276</v>
      </c>
    </row>
    <row r="415" spans="19:20">
      <c r="S415" s="271" t="s">
        <v>1569</v>
      </c>
      <c r="T415" s="272" t="s">
        <v>277</v>
      </c>
    </row>
    <row r="416" spans="19:20">
      <c r="S416" s="271" t="s">
        <v>1570</v>
      </c>
      <c r="T416" s="272" t="s">
        <v>278</v>
      </c>
    </row>
    <row r="417" spans="19:20">
      <c r="S417" s="271" t="s">
        <v>2772</v>
      </c>
      <c r="T417" s="272" t="s">
        <v>3127</v>
      </c>
    </row>
    <row r="418" spans="19:20">
      <c r="S418" s="271" t="s">
        <v>1571</v>
      </c>
      <c r="T418" s="272" t="s">
        <v>650</v>
      </c>
    </row>
    <row r="419" spans="19:20">
      <c r="S419" s="271" t="s">
        <v>1572</v>
      </c>
      <c r="T419" s="272" t="s">
        <v>279</v>
      </c>
    </row>
    <row r="420" spans="19:20">
      <c r="S420" s="271" t="s">
        <v>2773</v>
      </c>
      <c r="T420" s="272" t="s">
        <v>3128</v>
      </c>
    </row>
    <row r="421" spans="19:20">
      <c r="S421" s="271" t="s">
        <v>2774</v>
      </c>
      <c r="T421" s="272" t="s">
        <v>3129</v>
      </c>
    </row>
    <row r="422" spans="19:20">
      <c r="S422" s="271" t="s">
        <v>2775</v>
      </c>
      <c r="T422" s="272" t="s">
        <v>3130</v>
      </c>
    </row>
    <row r="423" spans="19:20">
      <c r="S423" s="271" t="s">
        <v>1573</v>
      </c>
      <c r="T423" s="272" t="s">
        <v>712</v>
      </c>
    </row>
    <row r="424" spans="19:20">
      <c r="S424" s="271" t="s">
        <v>2776</v>
      </c>
      <c r="T424" s="272" t="s">
        <v>3131</v>
      </c>
    </row>
    <row r="425" spans="19:20">
      <c r="S425" s="271" t="s">
        <v>1574</v>
      </c>
      <c r="T425" s="272" t="s">
        <v>1124</v>
      </c>
    </row>
    <row r="426" spans="19:20">
      <c r="S426" s="271" t="s">
        <v>1575</v>
      </c>
      <c r="T426" s="272" t="s">
        <v>280</v>
      </c>
    </row>
    <row r="427" spans="19:20">
      <c r="S427" s="271" t="s">
        <v>2777</v>
      </c>
      <c r="T427" s="272" t="s">
        <v>3132</v>
      </c>
    </row>
    <row r="428" spans="19:20">
      <c r="S428" s="271" t="s">
        <v>1576</v>
      </c>
      <c r="T428" s="272" t="s">
        <v>1577</v>
      </c>
    </row>
    <row r="429" spans="19:20">
      <c r="S429" s="271" t="s">
        <v>2778</v>
      </c>
      <c r="T429" s="272" t="s">
        <v>3133</v>
      </c>
    </row>
    <row r="430" spans="19:20">
      <c r="S430" s="271" t="s">
        <v>1578</v>
      </c>
      <c r="T430" s="272" t="s">
        <v>711</v>
      </c>
    </row>
    <row r="431" spans="19:20">
      <c r="S431" s="271" t="s">
        <v>1579</v>
      </c>
      <c r="T431" s="272" t="s">
        <v>651</v>
      </c>
    </row>
    <row r="432" spans="19:20">
      <c r="S432" s="271" t="s">
        <v>1580</v>
      </c>
      <c r="T432" s="272" t="s">
        <v>1581</v>
      </c>
    </row>
    <row r="433" spans="19:20">
      <c r="S433" s="271" t="s">
        <v>1582</v>
      </c>
      <c r="T433" s="272" t="s">
        <v>281</v>
      </c>
    </row>
    <row r="434" spans="19:20">
      <c r="S434" s="271" t="s">
        <v>1583</v>
      </c>
      <c r="T434" s="272" t="s">
        <v>282</v>
      </c>
    </row>
    <row r="435" spans="19:20">
      <c r="S435" s="271" t="s">
        <v>1584</v>
      </c>
      <c r="T435" s="272" t="s">
        <v>729</v>
      </c>
    </row>
    <row r="436" spans="19:20">
      <c r="S436" s="271" t="s">
        <v>2779</v>
      </c>
      <c r="T436" s="272" t="s">
        <v>3134</v>
      </c>
    </row>
    <row r="437" spans="19:20">
      <c r="S437" s="271" t="s">
        <v>2780</v>
      </c>
      <c r="T437" s="272" t="s">
        <v>3135</v>
      </c>
    </row>
    <row r="438" spans="19:20">
      <c r="S438" s="271" t="s">
        <v>2781</v>
      </c>
      <c r="T438" s="272" t="s">
        <v>3136</v>
      </c>
    </row>
    <row r="439" spans="19:20">
      <c r="S439" s="271" t="s">
        <v>1585</v>
      </c>
      <c r="T439" s="272" t="s">
        <v>559</v>
      </c>
    </row>
    <row r="440" spans="19:20">
      <c r="S440" s="271" t="s">
        <v>2782</v>
      </c>
      <c r="T440" s="272" t="s">
        <v>3137</v>
      </c>
    </row>
    <row r="441" spans="19:20">
      <c r="S441" s="271" t="s">
        <v>2783</v>
      </c>
      <c r="T441" s="272" t="s">
        <v>3138</v>
      </c>
    </row>
    <row r="442" spans="19:20">
      <c r="S442" s="271" t="s">
        <v>1586</v>
      </c>
      <c r="T442" s="272" t="s">
        <v>1587</v>
      </c>
    </row>
    <row r="443" spans="19:20">
      <c r="S443" s="271" t="s">
        <v>1588</v>
      </c>
      <c r="T443" s="272" t="s">
        <v>891</v>
      </c>
    </row>
    <row r="444" spans="19:20">
      <c r="S444" s="271" t="s">
        <v>2784</v>
      </c>
      <c r="T444" s="272" t="s">
        <v>3139</v>
      </c>
    </row>
    <row r="445" spans="19:20">
      <c r="S445" s="271" t="s">
        <v>1589</v>
      </c>
      <c r="T445" s="272" t="s">
        <v>892</v>
      </c>
    </row>
    <row r="446" spans="19:20">
      <c r="S446" s="271" t="s">
        <v>1590</v>
      </c>
      <c r="T446" s="272" t="s">
        <v>708</v>
      </c>
    </row>
    <row r="447" spans="19:20">
      <c r="S447" s="271" t="s">
        <v>1591</v>
      </c>
      <c r="T447" s="272" t="s">
        <v>893</v>
      </c>
    </row>
    <row r="448" spans="19:20">
      <c r="S448" s="271" t="s">
        <v>2785</v>
      </c>
      <c r="T448" s="272" t="s">
        <v>3140</v>
      </c>
    </row>
    <row r="449" spans="19:20">
      <c r="S449" s="271" t="s">
        <v>1592</v>
      </c>
      <c r="T449" s="272" t="s">
        <v>283</v>
      </c>
    </row>
    <row r="450" spans="19:20">
      <c r="S450" s="271" t="s">
        <v>1593</v>
      </c>
      <c r="T450" s="272" t="s">
        <v>284</v>
      </c>
    </row>
    <row r="451" spans="19:20">
      <c r="S451" s="271" t="s">
        <v>1594</v>
      </c>
      <c r="T451" s="272" t="s">
        <v>894</v>
      </c>
    </row>
    <row r="452" spans="19:20">
      <c r="S452" s="271" t="s">
        <v>2786</v>
      </c>
      <c r="T452" s="272" t="s">
        <v>3141</v>
      </c>
    </row>
    <row r="453" spans="19:20">
      <c r="S453" s="271" t="s">
        <v>1595</v>
      </c>
      <c r="T453" s="272" t="s">
        <v>895</v>
      </c>
    </row>
    <row r="454" spans="19:20">
      <c r="S454" s="271" t="s">
        <v>2787</v>
      </c>
      <c r="T454" s="272" t="s">
        <v>3142</v>
      </c>
    </row>
    <row r="455" spans="19:20">
      <c r="S455" s="271" t="s">
        <v>1596</v>
      </c>
      <c r="T455" s="272" t="s">
        <v>285</v>
      </c>
    </row>
    <row r="456" spans="19:20">
      <c r="S456" s="271" t="s">
        <v>1597</v>
      </c>
      <c r="T456" s="272" t="s">
        <v>286</v>
      </c>
    </row>
    <row r="457" spans="19:20">
      <c r="S457" s="271" t="s">
        <v>1598</v>
      </c>
      <c r="T457" s="272" t="s">
        <v>896</v>
      </c>
    </row>
    <row r="458" spans="19:20">
      <c r="S458" s="271" t="s">
        <v>1599</v>
      </c>
      <c r="T458" s="272" t="s">
        <v>287</v>
      </c>
    </row>
    <row r="459" spans="19:20">
      <c r="S459" s="271" t="s">
        <v>1600</v>
      </c>
      <c r="T459" s="272" t="s">
        <v>652</v>
      </c>
    </row>
    <row r="460" spans="19:20">
      <c r="S460" s="271" t="s">
        <v>2788</v>
      </c>
      <c r="T460" s="272" t="s">
        <v>3143</v>
      </c>
    </row>
    <row r="461" spans="19:20">
      <c r="S461" s="271" t="s">
        <v>1601</v>
      </c>
      <c r="T461" s="272" t="s">
        <v>1125</v>
      </c>
    </row>
    <row r="462" spans="19:20">
      <c r="S462" s="271" t="s">
        <v>2789</v>
      </c>
      <c r="T462" s="272" t="s">
        <v>3144</v>
      </c>
    </row>
    <row r="463" spans="19:20">
      <c r="S463" s="271" t="s">
        <v>2790</v>
      </c>
      <c r="T463" s="272" t="s">
        <v>3145</v>
      </c>
    </row>
    <row r="464" spans="19:20">
      <c r="S464" s="271" t="s">
        <v>1602</v>
      </c>
      <c r="T464" s="272" t="s">
        <v>288</v>
      </c>
    </row>
    <row r="465" spans="19:20">
      <c r="S465" s="271" t="s">
        <v>2791</v>
      </c>
      <c r="T465" s="272" t="s">
        <v>3146</v>
      </c>
    </row>
    <row r="466" spans="19:20">
      <c r="S466" s="271" t="s">
        <v>1603</v>
      </c>
      <c r="T466" s="272" t="s">
        <v>782</v>
      </c>
    </row>
    <row r="467" spans="19:20">
      <c r="S467" s="271" t="s">
        <v>1604</v>
      </c>
      <c r="T467" s="272" t="s">
        <v>897</v>
      </c>
    </row>
    <row r="468" spans="19:20">
      <c r="S468" s="271" t="s">
        <v>2792</v>
      </c>
      <c r="T468" s="272" t="s">
        <v>3147</v>
      </c>
    </row>
    <row r="469" spans="19:20">
      <c r="S469" s="271" t="s">
        <v>1605</v>
      </c>
      <c r="T469" s="272" t="s">
        <v>898</v>
      </c>
    </row>
    <row r="470" spans="19:20">
      <c r="S470" s="271" t="s">
        <v>2793</v>
      </c>
      <c r="T470" s="272" t="s">
        <v>3148</v>
      </c>
    </row>
    <row r="471" spans="19:20">
      <c r="S471" s="271" t="s">
        <v>1606</v>
      </c>
      <c r="T471" s="272" t="s">
        <v>289</v>
      </c>
    </row>
    <row r="472" spans="19:20">
      <c r="S472" s="271" t="s">
        <v>2794</v>
      </c>
      <c r="T472" s="272" t="s">
        <v>3149</v>
      </c>
    </row>
    <row r="473" spans="19:20">
      <c r="S473" s="271" t="s">
        <v>1607</v>
      </c>
      <c r="T473" s="272" t="s">
        <v>899</v>
      </c>
    </row>
    <row r="474" spans="19:20">
      <c r="S474" s="271" t="s">
        <v>2795</v>
      </c>
      <c r="T474" s="272" t="s">
        <v>3150</v>
      </c>
    </row>
    <row r="475" spans="19:20">
      <c r="S475" s="271" t="s">
        <v>2796</v>
      </c>
      <c r="T475" s="272" t="s">
        <v>3151</v>
      </c>
    </row>
    <row r="476" spans="19:20">
      <c r="S476" s="271" t="s">
        <v>1608</v>
      </c>
      <c r="T476" s="272" t="s">
        <v>900</v>
      </c>
    </row>
    <row r="477" spans="19:20">
      <c r="S477" s="271" t="s">
        <v>1609</v>
      </c>
      <c r="T477" s="272" t="s">
        <v>290</v>
      </c>
    </row>
    <row r="478" spans="19:20">
      <c r="S478" s="271" t="s">
        <v>1610</v>
      </c>
      <c r="T478" s="272" t="s">
        <v>1611</v>
      </c>
    </row>
    <row r="479" spans="19:20">
      <c r="S479" s="271" t="s">
        <v>1612</v>
      </c>
      <c r="T479" s="272" t="s">
        <v>1613</v>
      </c>
    </row>
    <row r="480" spans="19:20">
      <c r="S480" s="271" t="s">
        <v>1614</v>
      </c>
      <c r="T480" s="272" t="s">
        <v>291</v>
      </c>
    </row>
    <row r="481" spans="19:20">
      <c r="S481" s="271" t="s">
        <v>1615</v>
      </c>
      <c r="T481" s="272" t="s">
        <v>1616</v>
      </c>
    </row>
    <row r="482" spans="19:20">
      <c r="S482" s="271" t="s">
        <v>1617</v>
      </c>
      <c r="T482" s="272" t="s">
        <v>653</v>
      </c>
    </row>
    <row r="483" spans="19:20">
      <c r="S483" s="271" t="s">
        <v>1618</v>
      </c>
      <c r="T483" s="272" t="s">
        <v>753</v>
      </c>
    </row>
    <row r="484" spans="19:20">
      <c r="S484" s="271" t="s">
        <v>2797</v>
      </c>
      <c r="T484" s="272" t="s">
        <v>3152</v>
      </c>
    </row>
    <row r="485" spans="19:20">
      <c r="S485" s="271" t="s">
        <v>2798</v>
      </c>
      <c r="T485" s="272" t="s">
        <v>3153</v>
      </c>
    </row>
    <row r="486" spans="19:20">
      <c r="S486" s="271" t="s">
        <v>1619</v>
      </c>
      <c r="T486" s="272" t="s">
        <v>292</v>
      </c>
    </row>
    <row r="487" spans="19:20">
      <c r="S487" s="271" t="s">
        <v>2799</v>
      </c>
      <c r="T487" s="272" t="s">
        <v>3154</v>
      </c>
    </row>
    <row r="488" spans="19:20">
      <c r="S488" s="271" t="s">
        <v>1620</v>
      </c>
      <c r="T488" s="272" t="s">
        <v>901</v>
      </c>
    </row>
    <row r="489" spans="19:20">
      <c r="S489" s="271" t="s">
        <v>1621</v>
      </c>
      <c r="T489" s="272" t="s">
        <v>654</v>
      </c>
    </row>
    <row r="490" spans="19:20">
      <c r="S490" s="271" t="s">
        <v>1622</v>
      </c>
      <c r="T490" s="272" t="s">
        <v>293</v>
      </c>
    </row>
    <row r="491" spans="19:20">
      <c r="S491" s="271" t="s">
        <v>1623</v>
      </c>
      <c r="T491" s="272" t="s">
        <v>294</v>
      </c>
    </row>
    <row r="492" spans="19:20">
      <c r="S492" s="271" t="s">
        <v>1624</v>
      </c>
      <c r="T492" s="272" t="s">
        <v>295</v>
      </c>
    </row>
    <row r="493" spans="19:20">
      <c r="S493" s="271" t="s">
        <v>1625</v>
      </c>
      <c r="T493" s="272" t="s">
        <v>296</v>
      </c>
    </row>
    <row r="494" spans="19:20">
      <c r="S494" s="271" t="s">
        <v>1626</v>
      </c>
      <c r="T494" s="272" t="s">
        <v>560</v>
      </c>
    </row>
    <row r="495" spans="19:20">
      <c r="S495" s="271" t="s">
        <v>1627</v>
      </c>
      <c r="T495" s="272" t="s">
        <v>297</v>
      </c>
    </row>
    <row r="496" spans="19:20">
      <c r="S496" s="271" t="s">
        <v>1628</v>
      </c>
      <c r="T496" s="272" t="s">
        <v>902</v>
      </c>
    </row>
    <row r="497" spans="19:20">
      <c r="S497" s="271" t="s">
        <v>1629</v>
      </c>
      <c r="T497" s="272" t="s">
        <v>903</v>
      </c>
    </row>
    <row r="498" spans="19:20">
      <c r="S498" s="271" t="s">
        <v>1630</v>
      </c>
      <c r="T498" s="272" t="s">
        <v>904</v>
      </c>
    </row>
    <row r="499" spans="19:20">
      <c r="S499" s="271" t="s">
        <v>2800</v>
      </c>
      <c r="T499" s="272" t="s">
        <v>3155</v>
      </c>
    </row>
    <row r="500" spans="19:20">
      <c r="S500" s="271" t="s">
        <v>1631</v>
      </c>
      <c r="T500" s="272" t="s">
        <v>298</v>
      </c>
    </row>
    <row r="501" spans="19:20">
      <c r="S501" s="271" t="s">
        <v>1632</v>
      </c>
      <c r="T501" s="272" t="s">
        <v>299</v>
      </c>
    </row>
    <row r="502" spans="19:20">
      <c r="S502" s="271" t="s">
        <v>1633</v>
      </c>
      <c r="T502" s="272" t="s">
        <v>561</v>
      </c>
    </row>
    <row r="503" spans="19:20">
      <c r="S503" s="271" t="s">
        <v>1634</v>
      </c>
      <c r="T503" s="272" t="s">
        <v>720</v>
      </c>
    </row>
    <row r="504" spans="19:20">
      <c r="S504" s="271" t="s">
        <v>1635</v>
      </c>
      <c r="T504" s="272" t="s">
        <v>905</v>
      </c>
    </row>
    <row r="505" spans="19:20">
      <c r="S505" s="271" t="s">
        <v>2801</v>
      </c>
      <c r="T505" s="272" t="s">
        <v>3156</v>
      </c>
    </row>
    <row r="506" spans="19:20">
      <c r="S506" s="271" t="s">
        <v>1636</v>
      </c>
      <c r="T506" s="272" t="s">
        <v>300</v>
      </c>
    </row>
    <row r="507" spans="19:20">
      <c r="S507" s="271" t="s">
        <v>1637</v>
      </c>
      <c r="T507" s="272" t="s">
        <v>906</v>
      </c>
    </row>
    <row r="508" spans="19:20">
      <c r="S508" s="271" t="s">
        <v>1638</v>
      </c>
      <c r="T508" s="272" t="s">
        <v>598</v>
      </c>
    </row>
    <row r="509" spans="19:20">
      <c r="S509" s="271" t="s">
        <v>1639</v>
      </c>
      <c r="T509" s="272" t="s">
        <v>301</v>
      </c>
    </row>
    <row r="510" spans="19:20">
      <c r="S510" s="271" t="s">
        <v>1640</v>
      </c>
      <c r="T510" s="272" t="s">
        <v>302</v>
      </c>
    </row>
    <row r="511" spans="19:20">
      <c r="S511" s="271" t="s">
        <v>1641</v>
      </c>
      <c r="T511" s="272" t="s">
        <v>907</v>
      </c>
    </row>
    <row r="512" spans="19:20">
      <c r="S512" s="271" t="s">
        <v>1642</v>
      </c>
      <c r="T512" s="272" t="s">
        <v>1643</v>
      </c>
    </row>
    <row r="513" spans="19:20">
      <c r="S513" s="271" t="s">
        <v>1644</v>
      </c>
      <c r="T513" s="272" t="s">
        <v>1645</v>
      </c>
    </row>
    <row r="514" spans="19:20">
      <c r="S514" s="271" t="s">
        <v>1646</v>
      </c>
      <c r="T514" s="272" t="s">
        <v>303</v>
      </c>
    </row>
    <row r="515" spans="19:20">
      <c r="S515" s="271" t="s">
        <v>1647</v>
      </c>
      <c r="T515" s="272" t="s">
        <v>1648</v>
      </c>
    </row>
    <row r="516" spans="19:20">
      <c r="S516" s="271" t="s">
        <v>1649</v>
      </c>
      <c r="T516" s="272" t="s">
        <v>1126</v>
      </c>
    </row>
    <row r="517" spans="19:20">
      <c r="S517" s="271" t="s">
        <v>1650</v>
      </c>
      <c r="T517" s="272" t="s">
        <v>908</v>
      </c>
    </row>
    <row r="518" spans="19:20">
      <c r="S518" s="271" t="s">
        <v>1651</v>
      </c>
      <c r="T518" s="272" t="s">
        <v>1652</v>
      </c>
    </row>
    <row r="519" spans="19:20">
      <c r="S519" s="271" t="s">
        <v>2802</v>
      </c>
      <c r="T519" s="272" t="s">
        <v>3157</v>
      </c>
    </row>
    <row r="520" spans="19:20">
      <c r="S520" s="271" t="s">
        <v>2803</v>
      </c>
      <c r="T520" s="272" t="s">
        <v>3158</v>
      </c>
    </row>
    <row r="521" spans="19:20">
      <c r="S521" s="271" t="s">
        <v>2804</v>
      </c>
      <c r="T521" s="272" t="s">
        <v>3159</v>
      </c>
    </row>
    <row r="522" spans="19:20">
      <c r="S522" s="271" t="s">
        <v>1653</v>
      </c>
      <c r="T522" s="272" t="s">
        <v>564</v>
      </c>
    </row>
    <row r="523" spans="19:20">
      <c r="S523" s="271" t="s">
        <v>1654</v>
      </c>
      <c r="T523" s="272" t="s">
        <v>1655</v>
      </c>
    </row>
    <row r="524" spans="19:20">
      <c r="S524" s="271" t="s">
        <v>1656</v>
      </c>
      <c r="T524" s="272" t="s">
        <v>909</v>
      </c>
    </row>
    <row r="525" spans="19:20">
      <c r="S525" s="271" t="s">
        <v>1657</v>
      </c>
      <c r="T525" s="272" t="s">
        <v>1658</v>
      </c>
    </row>
    <row r="526" spans="19:20">
      <c r="S526" s="271" t="s">
        <v>1659</v>
      </c>
      <c r="T526" s="272" t="s">
        <v>1660</v>
      </c>
    </row>
    <row r="527" spans="19:20">
      <c r="S527" s="271" t="s">
        <v>1661</v>
      </c>
      <c r="T527" s="272" t="s">
        <v>910</v>
      </c>
    </row>
    <row r="528" spans="19:20">
      <c r="S528" s="271" t="s">
        <v>1662</v>
      </c>
      <c r="T528" s="272" t="s">
        <v>304</v>
      </c>
    </row>
    <row r="529" spans="19:20">
      <c r="S529" s="271" t="s">
        <v>1663</v>
      </c>
      <c r="T529" s="272" t="s">
        <v>527</v>
      </c>
    </row>
    <row r="530" spans="19:20">
      <c r="S530" s="271" t="s">
        <v>1664</v>
      </c>
      <c r="T530" s="272" t="s">
        <v>563</v>
      </c>
    </row>
    <row r="531" spans="19:20">
      <c r="S531" s="271" t="s">
        <v>1665</v>
      </c>
      <c r="T531" s="272" t="s">
        <v>305</v>
      </c>
    </row>
    <row r="532" spans="19:20">
      <c r="S532" s="271" t="s">
        <v>2805</v>
      </c>
      <c r="T532" s="272" t="s">
        <v>3160</v>
      </c>
    </row>
    <row r="533" spans="19:20">
      <c r="S533" s="271" t="s">
        <v>1666</v>
      </c>
      <c r="T533" s="272" t="s">
        <v>911</v>
      </c>
    </row>
    <row r="534" spans="19:20">
      <c r="S534" s="271" t="s">
        <v>2806</v>
      </c>
      <c r="T534" s="272" t="s">
        <v>3161</v>
      </c>
    </row>
    <row r="535" spans="19:20">
      <c r="S535" s="271" t="s">
        <v>1667</v>
      </c>
      <c r="T535" s="272" t="s">
        <v>1127</v>
      </c>
    </row>
    <row r="536" spans="19:20">
      <c r="S536" s="271" t="s">
        <v>774</v>
      </c>
      <c r="T536" s="272" t="s">
        <v>774</v>
      </c>
    </row>
    <row r="537" spans="19:20">
      <c r="S537" s="271" t="s">
        <v>1668</v>
      </c>
      <c r="T537" s="272" t="s">
        <v>912</v>
      </c>
    </row>
    <row r="538" spans="19:20">
      <c r="S538" s="271" t="s">
        <v>1669</v>
      </c>
      <c r="T538" s="272" t="s">
        <v>913</v>
      </c>
    </row>
    <row r="539" spans="19:20">
      <c r="S539" s="271" t="s">
        <v>1670</v>
      </c>
      <c r="T539" s="272" t="s">
        <v>306</v>
      </c>
    </row>
    <row r="540" spans="19:20">
      <c r="S540" s="271" t="s">
        <v>2807</v>
      </c>
      <c r="T540" s="272" t="s">
        <v>3162</v>
      </c>
    </row>
    <row r="541" spans="19:20">
      <c r="S541" s="271" t="s">
        <v>2808</v>
      </c>
      <c r="T541" s="272" t="s">
        <v>3163</v>
      </c>
    </row>
    <row r="542" spans="19:20">
      <c r="S542" s="271" t="s">
        <v>1671</v>
      </c>
      <c r="T542" s="272" t="s">
        <v>914</v>
      </c>
    </row>
    <row r="543" spans="19:20">
      <c r="S543" s="271" t="s">
        <v>1672</v>
      </c>
      <c r="T543" s="272" t="s">
        <v>1673</v>
      </c>
    </row>
    <row r="544" spans="19:20">
      <c r="S544" s="271" t="s">
        <v>1674</v>
      </c>
      <c r="T544" s="272" t="s">
        <v>307</v>
      </c>
    </row>
    <row r="545" spans="19:20">
      <c r="S545" s="271" t="s">
        <v>1675</v>
      </c>
      <c r="T545" s="272" t="s">
        <v>915</v>
      </c>
    </row>
    <row r="546" spans="19:20">
      <c r="S546" s="271" t="s">
        <v>1676</v>
      </c>
      <c r="T546" s="272" t="s">
        <v>599</v>
      </c>
    </row>
    <row r="547" spans="19:20">
      <c r="S547" s="271" t="s">
        <v>1677</v>
      </c>
      <c r="T547" s="272" t="s">
        <v>916</v>
      </c>
    </row>
    <row r="548" spans="19:20">
      <c r="S548" s="271" t="s">
        <v>2809</v>
      </c>
      <c r="T548" s="272" t="s">
        <v>3164</v>
      </c>
    </row>
    <row r="549" spans="19:20">
      <c r="S549" s="271" t="s">
        <v>1678</v>
      </c>
      <c r="T549" s="272" t="s">
        <v>917</v>
      </c>
    </row>
    <row r="550" spans="19:20">
      <c r="S550" s="271" t="s">
        <v>1679</v>
      </c>
      <c r="T550" s="272" t="s">
        <v>754</v>
      </c>
    </row>
    <row r="551" spans="19:20">
      <c r="S551" s="271" t="s">
        <v>2810</v>
      </c>
      <c r="T551" s="272" t="s">
        <v>3165</v>
      </c>
    </row>
    <row r="552" spans="19:20">
      <c r="S552" s="271" t="s">
        <v>2811</v>
      </c>
      <c r="T552" s="272" t="s">
        <v>3166</v>
      </c>
    </row>
    <row r="553" spans="19:20">
      <c r="S553" s="271" t="s">
        <v>2812</v>
      </c>
      <c r="T553" s="272" t="s">
        <v>3167</v>
      </c>
    </row>
    <row r="554" spans="19:20">
      <c r="S554" s="271" t="s">
        <v>2813</v>
      </c>
      <c r="T554" s="272" t="s">
        <v>3168</v>
      </c>
    </row>
    <row r="555" spans="19:20">
      <c r="S555" s="271" t="s">
        <v>1680</v>
      </c>
      <c r="T555" s="272" t="s">
        <v>308</v>
      </c>
    </row>
    <row r="556" spans="19:20">
      <c r="S556" s="271" t="s">
        <v>1681</v>
      </c>
      <c r="T556" s="272" t="s">
        <v>309</v>
      </c>
    </row>
    <row r="557" spans="19:20">
      <c r="S557" s="271" t="s">
        <v>1682</v>
      </c>
      <c r="T557" s="272" t="s">
        <v>310</v>
      </c>
    </row>
    <row r="558" spans="19:20">
      <c r="S558" s="271" t="s">
        <v>2814</v>
      </c>
      <c r="T558" s="272" t="s">
        <v>3169</v>
      </c>
    </row>
    <row r="559" spans="19:20">
      <c r="S559" s="271" t="s">
        <v>1683</v>
      </c>
      <c r="T559" s="272" t="s">
        <v>1684</v>
      </c>
    </row>
    <row r="560" spans="19:20">
      <c r="S560" s="271" t="s">
        <v>1685</v>
      </c>
      <c r="T560" s="272" t="s">
        <v>1686</v>
      </c>
    </row>
    <row r="561" spans="19:20">
      <c r="S561" s="271" t="s">
        <v>1687</v>
      </c>
      <c r="T561" s="272" t="s">
        <v>582</v>
      </c>
    </row>
    <row r="562" spans="19:20">
      <c r="S562" s="271" t="s">
        <v>1688</v>
      </c>
      <c r="T562" s="272" t="s">
        <v>723</v>
      </c>
    </row>
    <row r="563" spans="19:20">
      <c r="S563" s="271" t="s">
        <v>1689</v>
      </c>
      <c r="T563" s="272" t="s">
        <v>311</v>
      </c>
    </row>
    <row r="564" spans="19:20">
      <c r="S564" s="271" t="s">
        <v>2815</v>
      </c>
      <c r="T564" s="272" t="s">
        <v>3170</v>
      </c>
    </row>
    <row r="565" spans="19:20">
      <c r="S565" s="271" t="s">
        <v>1690</v>
      </c>
      <c r="T565" s="272" t="s">
        <v>918</v>
      </c>
    </row>
    <row r="566" spans="19:20">
      <c r="S566" s="271" t="s">
        <v>1691</v>
      </c>
      <c r="T566" s="272" t="s">
        <v>919</v>
      </c>
    </row>
    <row r="567" spans="19:20">
      <c r="S567" s="271" t="s">
        <v>1692</v>
      </c>
      <c r="T567" s="272" t="s">
        <v>736</v>
      </c>
    </row>
    <row r="568" spans="19:20">
      <c r="S568" s="271" t="s">
        <v>1693</v>
      </c>
      <c r="T568" s="272" t="s">
        <v>312</v>
      </c>
    </row>
    <row r="569" spans="19:20">
      <c r="S569" s="271" t="s">
        <v>1694</v>
      </c>
      <c r="T569" s="272" t="s">
        <v>313</v>
      </c>
    </row>
    <row r="570" spans="19:20">
      <c r="S570" s="271" t="s">
        <v>1695</v>
      </c>
      <c r="T570" s="272" t="s">
        <v>920</v>
      </c>
    </row>
    <row r="571" spans="19:20">
      <c r="S571" s="271" t="s">
        <v>1696</v>
      </c>
      <c r="T571" s="272" t="s">
        <v>921</v>
      </c>
    </row>
    <row r="572" spans="19:20">
      <c r="S572" s="271" t="s">
        <v>1697</v>
      </c>
      <c r="T572" s="272" t="s">
        <v>314</v>
      </c>
    </row>
    <row r="573" spans="19:20">
      <c r="S573" s="271" t="s">
        <v>1698</v>
      </c>
      <c r="T573" s="272" t="s">
        <v>922</v>
      </c>
    </row>
    <row r="574" spans="19:20">
      <c r="S574" s="271" t="s">
        <v>1699</v>
      </c>
      <c r="T574" s="272" t="s">
        <v>1700</v>
      </c>
    </row>
    <row r="575" spans="19:20">
      <c r="S575" s="271" t="s">
        <v>1701</v>
      </c>
      <c r="T575" s="272" t="s">
        <v>315</v>
      </c>
    </row>
    <row r="576" spans="19:20">
      <c r="S576" s="271" t="s">
        <v>1702</v>
      </c>
      <c r="T576" s="272" t="s">
        <v>600</v>
      </c>
    </row>
    <row r="577" spans="19:20">
      <c r="S577" s="271" t="s">
        <v>1703</v>
      </c>
      <c r="T577" s="272" t="s">
        <v>923</v>
      </c>
    </row>
    <row r="578" spans="19:20">
      <c r="S578" s="271" t="s">
        <v>1704</v>
      </c>
      <c r="T578" s="272" t="s">
        <v>924</v>
      </c>
    </row>
    <row r="579" spans="19:20">
      <c r="S579" s="271" t="s">
        <v>1705</v>
      </c>
      <c r="T579" s="272" t="s">
        <v>316</v>
      </c>
    </row>
    <row r="580" spans="19:20">
      <c r="S580" s="271" t="s">
        <v>1706</v>
      </c>
      <c r="T580" s="272" t="s">
        <v>317</v>
      </c>
    </row>
    <row r="581" spans="19:20">
      <c r="S581" s="271" t="s">
        <v>1707</v>
      </c>
      <c r="T581" s="272" t="s">
        <v>655</v>
      </c>
    </row>
    <row r="582" spans="19:20">
      <c r="S582" s="271" t="s">
        <v>1708</v>
      </c>
      <c r="T582" s="272" t="s">
        <v>757</v>
      </c>
    </row>
    <row r="583" spans="19:20">
      <c r="S583" s="271" t="s">
        <v>2816</v>
      </c>
      <c r="T583" s="272" t="s">
        <v>3171</v>
      </c>
    </row>
    <row r="584" spans="19:20">
      <c r="S584" s="271" t="s">
        <v>2817</v>
      </c>
      <c r="T584" s="272" t="s">
        <v>3172</v>
      </c>
    </row>
    <row r="585" spans="19:20">
      <c r="S585" s="271" t="s">
        <v>1709</v>
      </c>
      <c r="T585" s="272" t="s">
        <v>318</v>
      </c>
    </row>
    <row r="586" spans="19:20">
      <c r="S586" s="271" t="s">
        <v>1710</v>
      </c>
      <c r="T586" s="272" t="s">
        <v>925</v>
      </c>
    </row>
    <row r="587" spans="19:20">
      <c r="S587" s="271" t="s">
        <v>1711</v>
      </c>
      <c r="T587" s="272" t="s">
        <v>926</v>
      </c>
    </row>
    <row r="588" spans="19:20">
      <c r="S588" s="271" t="s">
        <v>2818</v>
      </c>
      <c r="T588" s="272" t="s">
        <v>3173</v>
      </c>
    </row>
    <row r="589" spans="19:20">
      <c r="S589" s="271" t="s">
        <v>2819</v>
      </c>
      <c r="T589" s="272" t="s">
        <v>3174</v>
      </c>
    </row>
    <row r="590" spans="19:20">
      <c r="S590" s="271" t="s">
        <v>2820</v>
      </c>
      <c r="T590" s="272" t="s">
        <v>2820</v>
      </c>
    </row>
    <row r="591" spans="19:20">
      <c r="S591" s="271" t="s">
        <v>1712</v>
      </c>
      <c r="T591" s="272" t="s">
        <v>927</v>
      </c>
    </row>
    <row r="592" spans="19:20">
      <c r="S592" s="271" t="s">
        <v>1713</v>
      </c>
      <c r="T592" s="272" t="s">
        <v>928</v>
      </c>
    </row>
    <row r="593" spans="19:20">
      <c r="S593" s="271" t="s">
        <v>1714</v>
      </c>
      <c r="T593" s="272" t="s">
        <v>319</v>
      </c>
    </row>
    <row r="594" spans="19:20">
      <c r="S594" s="271" t="s">
        <v>1715</v>
      </c>
      <c r="T594" s="272" t="s">
        <v>929</v>
      </c>
    </row>
    <row r="595" spans="19:20">
      <c r="S595" s="271" t="s">
        <v>1716</v>
      </c>
      <c r="T595" s="272" t="s">
        <v>930</v>
      </c>
    </row>
    <row r="596" spans="19:20">
      <c r="S596" s="271" t="s">
        <v>1717</v>
      </c>
      <c r="T596" s="272" t="s">
        <v>931</v>
      </c>
    </row>
    <row r="597" spans="19:20">
      <c r="S597" s="271" t="s">
        <v>1718</v>
      </c>
      <c r="T597" s="272" t="s">
        <v>320</v>
      </c>
    </row>
    <row r="598" spans="19:20">
      <c r="S598" s="271" t="s">
        <v>1719</v>
      </c>
      <c r="T598" s="272" t="s">
        <v>1128</v>
      </c>
    </row>
    <row r="599" spans="19:20">
      <c r="S599" s="271" t="s">
        <v>1720</v>
      </c>
      <c r="T599" s="272" t="s">
        <v>321</v>
      </c>
    </row>
    <row r="600" spans="19:20">
      <c r="S600" s="271" t="s">
        <v>1721</v>
      </c>
      <c r="T600" s="272" t="s">
        <v>322</v>
      </c>
    </row>
    <row r="601" spans="19:20">
      <c r="S601" s="271" t="s">
        <v>1722</v>
      </c>
      <c r="T601" s="272" t="s">
        <v>932</v>
      </c>
    </row>
    <row r="602" spans="19:20">
      <c r="S602" s="271" t="s">
        <v>1723</v>
      </c>
      <c r="T602" s="272" t="s">
        <v>933</v>
      </c>
    </row>
    <row r="603" spans="19:20">
      <c r="S603" s="271" t="s">
        <v>1724</v>
      </c>
      <c r="T603" s="272" t="s">
        <v>767</v>
      </c>
    </row>
    <row r="604" spans="19:20">
      <c r="S604" s="271" t="s">
        <v>1725</v>
      </c>
      <c r="T604" s="272" t="s">
        <v>934</v>
      </c>
    </row>
    <row r="605" spans="19:20">
      <c r="S605" s="271" t="s">
        <v>1726</v>
      </c>
      <c r="T605" s="272" t="s">
        <v>730</v>
      </c>
    </row>
    <row r="606" spans="19:20">
      <c r="S606" s="271" t="s">
        <v>1727</v>
      </c>
      <c r="T606" s="272" t="s">
        <v>935</v>
      </c>
    </row>
    <row r="607" spans="19:20">
      <c r="S607" s="271" t="s">
        <v>1728</v>
      </c>
      <c r="T607" s="272" t="s">
        <v>936</v>
      </c>
    </row>
    <row r="608" spans="19:20">
      <c r="S608" s="271" t="s">
        <v>1729</v>
      </c>
      <c r="T608" s="272" t="s">
        <v>601</v>
      </c>
    </row>
    <row r="609" spans="19:20">
      <c r="S609" s="271" t="s">
        <v>1730</v>
      </c>
      <c r="T609" s="272" t="s">
        <v>937</v>
      </c>
    </row>
    <row r="610" spans="19:20">
      <c r="S610" s="271" t="s">
        <v>1731</v>
      </c>
      <c r="T610" s="272" t="s">
        <v>565</v>
      </c>
    </row>
    <row r="611" spans="19:20">
      <c r="S611" s="271" t="s">
        <v>2821</v>
      </c>
      <c r="T611" s="272" t="s">
        <v>3175</v>
      </c>
    </row>
    <row r="612" spans="19:20">
      <c r="S612" s="271" t="s">
        <v>1732</v>
      </c>
      <c r="T612" s="272" t="s">
        <v>528</v>
      </c>
    </row>
    <row r="613" spans="19:20">
      <c r="S613" s="271" t="s">
        <v>1733</v>
      </c>
      <c r="T613" s="272" t="s">
        <v>323</v>
      </c>
    </row>
    <row r="614" spans="19:20">
      <c r="S614" s="271" t="s">
        <v>1734</v>
      </c>
      <c r="T614" s="272" t="s">
        <v>1129</v>
      </c>
    </row>
    <row r="615" spans="19:20">
      <c r="S615" s="271" t="s">
        <v>1735</v>
      </c>
      <c r="T615" s="272" t="s">
        <v>938</v>
      </c>
    </row>
    <row r="616" spans="19:20">
      <c r="S616" s="271" t="s">
        <v>1736</v>
      </c>
      <c r="T616" s="272" t="s">
        <v>756</v>
      </c>
    </row>
    <row r="617" spans="19:20">
      <c r="S617" s="271" t="s">
        <v>1737</v>
      </c>
      <c r="T617" s="272" t="s">
        <v>324</v>
      </c>
    </row>
    <row r="618" spans="19:20">
      <c r="S618" s="271" t="s">
        <v>1738</v>
      </c>
      <c r="T618" s="272" t="s">
        <v>1739</v>
      </c>
    </row>
    <row r="619" spans="19:20">
      <c r="S619" s="271" t="s">
        <v>2822</v>
      </c>
      <c r="T619" s="272" t="s">
        <v>3176</v>
      </c>
    </row>
    <row r="620" spans="19:20">
      <c r="S620" s="271" t="s">
        <v>1740</v>
      </c>
      <c r="T620" s="272" t="s">
        <v>1130</v>
      </c>
    </row>
    <row r="621" spans="19:20">
      <c r="S621" s="271" t="s">
        <v>1741</v>
      </c>
      <c r="T621" s="272" t="s">
        <v>325</v>
      </c>
    </row>
    <row r="622" spans="19:20">
      <c r="S622" s="271" t="s">
        <v>1742</v>
      </c>
      <c r="T622" s="272" t="s">
        <v>326</v>
      </c>
    </row>
    <row r="623" spans="19:20">
      <c r="S623" s="271" t="s">
        <v>1743</v>
      </c>
      <c r="T623" s="272" t="s">
        <v>939</v>
      </c>
    </row>
    <row r="624" spans="19:20">
      <c r="S624" s="271" t="s">
        <v>1744</v>
      </c>
      <c r="T624" s="272" t="s">
        <v>1745</v>
      </c>
    </row>
    <row r="625" spans="19:20">
      <c r="S625" s="271" t="s">
        <v>1746</v>
      </c>
      <c r="T625" s="272" t="s">
        <v>602</v>
      </c>
    </row>
    <row r="626" spans="19:20">
      <c r="S626" s="271" t="s">
        <v>2823</v>
      </c>
      <c r="T626" s="272" t="s">
        <v>3177</v>
      </c>
    </row>
    <row r="627" spans="19:20">
      <c r="S627" s="271" t="s">
        <v>1747</v>
      </c>
      <c r="T627" s="272" t="s">
        <v>940</v>
      </c>
    </row>
    <row r="628" spans="19:20">
      <c r="S628" s="271" t="s">
        <v>1748</v>
      </c>
      <c r="T628" s="272" t="s">
        <v>327</v>
      </c>
    </row>
    <row r="629" spans="19:20">
      <c r="S629" s="271" t="s">
        <v>1749</v>
      </c>
      <c r="T629" s="272" t="s">
        <v>328</v>
      </c>
    </row>
    <row r="630" spans="19:20">
      <c r="S630" s="271" t="s">
        <v>1750</v>
      </c>
      <c r="T630" s="272" t="s">
        <v>941</v>
      </c>
    </row>
    <row r="631" spans="19:20">
      <c r="S631" s="271" t="s">
        <v>1751</v>
      </c>
      <c r="T631" s="272" t="s">
        <v>329</v>
      </c>
    </row>
    <row r="632" spans="19:20">
      <c r="S632" s="271" t="s">
        <v>1752</v>
      </c>
      <c r="T632" s="272" t="s">
        <v>942</v>
      </c>
    </row>
    <row r="633" spans="19:20">
      <c r="S633" s="271" t="s">
        <v>1753</v>
      </c>
      <c r="T633" s="272" t="s">
        <v>1754</v>
      </c>
    </row>
    <row r="634" spans="19:20">
      <c r="S634" s="271" t="s">
        <v>1755</v>
      </c>
      <c r="T634" s="272" t="s">
        <v>603</v>
      </c>
    </row>
    <row r="635" spans="19:20">
      <c r="S635" s="271" t="s">
        <v>2824</v>
      </c>
      <c r="T635" s="272" t="s">
        <v>3178</v>
      </c>
    </row>
    <row r="636" spans="19:20">
      <c r="S636" s="271" t="s">
        <v>1756</v>
      </c>
      <c r="T636" s="272" t="s">
        <v>330</v>
      </c>
    </row>
    <row r="637" spans="19:20">
      <c r="S637" s="271" t="s">
        <v>2825</v>
      </c>
      <c r="T637" s="272" t="s">
        <v>3179</v>
      </c>
    </row>
    <row r="638" spans="19:20">
      <c r="S638" s="271" t="s">
        <v>1757</v>
      </c>
      <c r="T638" s="272" t="s">
        <v>943</v>
      </c>
    </row>
    <row r="639" spans="19:20">
      <c r="S639" s="271" t="s">
        <v>1758</v>
      </c>
      <c r="T639" s="272" t="s">
        <v>331</v>
      </c>
    </row>
    <row r="640" spans="19:20">
      <c r="S640" s="271" t="s">
        <v>1759</v>
      </c>
      <c r="T640" s="272" t="s">
        <v>529</v>
      </c>
    </row>
    <row r="641" spans="19:20">
      <c r="S641" s="271" t="s">
        <v>1760</v>
      </c>
      <c r="T641" s="272" t="s">
        <v>1761</v>
      </c>
    </row>
    <row r="642" spans="19:20">
      <c r="S642" s="271" t="s">
        <v>1762</v>
      </c>
      <c r="T642" s="272" t="s">
        <v>332</v>
      </c>
    </row>
    <row r="643" spans="19:20">
      <c r="S643" s="271" t="s">
        <v>1763</v>
      </c>
      <c r="T643" s="272" t="s">
        <v>1131</v>
      </c>
    </row>
    <row r="644" spans="19:20">
      <c r="S644" s="271" t="s">
        <v>1764</v>
      </c>
      <c r="T644" s="272" t="s">
        <v>1765</v>
      </c>
    </row>
    <row r="645" spans="19:20">
      <c r="S645" s="271" t="s">
        <v>1766</v>
      </c>
      <c r="T645" s="272" t="s">
        <v>604</v>
      </c>
    </row>
    <row r="646" spans="19:20">
      <c r="S646" s="271" t="s">
        <v>1767</v>
      </c>
      <c r="T646" s="272" t="s">
        <v>333</v>
      </c>
    </row>
    <row r="647" spans="19:20">
      <c r="S647" s="271" t="s">
        <v>1768</v>
      </c>
      <c r="T647" s="272" t="s">
        <v>944</v>
      </c>
    </row>
    <row r="648" spans="19:20">
      <c r="S648" s="271" t="s">
        <v>1769</v>
      </c>
      <c r="T648" s="272" t="s">
        <v>945</v>
      </c>
    </row>
    <row r="649" spans="19:20">
      <c r="S649" s="271" t="s">
        <v>2826</v>
      </c>
      <c r="T649" s="272" t="s">
        <v>3180</v>
      </c>
    </row>
    <row r="650" spans="19:20">
      <c r="S650" s="271" t="s">
        <v>2827</v>
      </c>
      <c r="T650" s="272" t="s">
        <v>3181</v>
      </c>
    </row>
    <row r="651" spans="19:20">
      <c r="S651" s="271" t="s">
        <v>1770</v>
      </c>
      <c r="T651" s="272" t="s">
        <v>1771</v>
      </c>
    </row>
    <row r="652" spans="19:20">
      <c r="S652" s="271" t="s">
        <v>1772</v>
      </c>
      <c r="T652" s="272" t="s">
        <v>946</v>
      </c>
    </row>
    <row r="653" spans="19:20">
      <c r="S653" s="271" t="s">
        <v>1773</v>
      </c>
      <c r="T653" s="272" t="s">
        <v>947</v>
      </c>
    </row>
    <row r="654" spans="19:20">
      <c r="S654" s="271" t="s">
        <v>1774</v>
      </c>
      <c r="T654" s="272" t="s">
        <v>1775</v>
      </c>
    </row>
    <row r="655" spans="19:20">
      <c r="S655" s="271" t="s">
        <v>2828</v>
      </c>
      <c r="T655" s="272" t="s">
        <v>3182</v>
      </c>
    </row>
    <row r="656" spans="19:20">
      <c r="S656" s="271" t="s">
        <v>1776</v>
      </c>
      <c r="T656" s="272" t="s">
        <v>948</v>
      </c>
    </row>
    <row r="657" spans="19:20">
      <c r="S657" s="271" t="s">
        <v>1777</v>
      </c>
      <c r="T657" s="272" t="s">
        <v>949</v>
      </c>
    </row>
    <row r="658" spans="19:20">
      <c r="S658" s="271" t="s">
        <v>1778</v>
      </c>
      <c r="T658" s="272" t="s">
        <v>334</v>
      </c>
    </row>
    <row r="659" spans="19:20">
      <c r="S659" s="271" t="s">
        <v>1779</v>
      </c>
      <c r="T659" s="272" t="s">
        <v>950</v>
      </c>
    </row>
    <row r="660" spans="19:20">
      <c r="S660" s="271" t="s">
        <v>2829</v>
      </c>
      <c r="T660" s="272" t="s">
        <v>3183</v>
      </c>
    </row>
    <row r="661" spans="19:20">
      <c r="S661" s="271" t="s">
        <v>1780</v>
      </c>
      <c r="T661" s="272" t="s">
        <v>1781</v>
      </c>
    </row>
    <row r="662" spans="19:20">
      <c r="S662" s="271" t="s">
        <v>1782</v>
      </c>
      <c r="T662" s="272" t="s">
        <v>335</v>
      </c>
    </row>
    <row r="663" spans="19:20">
      <c r="S663" s="271" t="s">
        <v>2830</v>
      </c>
      <c r="T663" s="272" t="s">
        <v>3184</v>
      </c>
    </row>
    <row r="664" spans="19:20">
      <c r="S664" s="271" t="s">
        <v>1783</v>
      </c>
      <c r="T664" s="272" t="s">
        <v>951</v>
      </c>
    </row>
    <row r="665" spans="19:20">
      <c r="S665" s="271" t="s">
        <v>1784</v>
      </c>
      <c r="T665" s="272" t="s">
        <v>336</v>
      </c>
    </row>
    <row r="666" spans="19:20">
      <c r="S666" s="271" t="s">
        <v>2831</v>
      </c>
      <c r="T666" s="272" t="s">
        <v>3185</v>
      </c>
    </row>
    <row r="667" spans="19:20">
      <c r="S667" s="271" t="s">
        <v>1785</v>
      </c>
      <c r="T667" s="272" t="s">
        <v>952</v>
      </c>
    </row>
    <row r="668" spans="19:20">
      <c r="S668" s="271" t="s">
        <v>2832</v>
      </c>
      <c r="T668" s="272" t="s">
        <v>3186</v>
      </c>
    </row>
    <row r="669" spans="19:20">
      <c r="S669" s="271" t="s">
        <v>2833</v>
      </c>
      <c r="T669" s="272" t="s">
        <v>3187</v>
      </c>
    </row>
    <row r="670" spans="19:20">
      <c r="S670" s="271" t="s">
        <v>1786</v>
      </c>
      <c r="T670" s="272" t="s">
        <v>1787</v>
      </c>
    </row>
    <row r="671" spans="19:20">
      <c r="S671" s="271" t="s">
        <v>1788</v>
      </c>
      <c r="T671" s="272" t="s">
        <v>953</v>
      </c>
    </row>
    <row r="672" spans="19:20">
      <c r="S672" s="271" t="s">
        <v>1789</v>
      </c>
      <c r="T672" s="272" t="s">
        <v>1790</v>
      </c>
    </row>
    <row r="673" spans="19:20">
      <c r="S673" s="271" t="s">
        <v>2834</v>
      </c>
      <c r="T673" s="272" t="s">
        <v>3188</v>
      </c>
    </row>
    <row r="674" spans="19:20">
      <c r="S674" s="271" t="s">
        <v>1791</v>
      </c>
      <c r="T674" s="272" t="s">
        <v>954</v>
      </c>
    </row>
    <row r="675" spans="19:20">
      <c r="S675" s="271" t="s">
        <v>1792</v>
      </c>
      <c r="T675" s="272" t="s">
        <v>955</v>
      </c>
    </row>
    <row r="676" spans="19:20">
      <c r="S676" s="271" t="s">
        <v>1793</v>
      </c>
      <c r="T676" s="272" t="s">
        <v>337</v>
      </c>
    </row>
    <row r="677" spans="19:20">
      <c r="S677" s="271" t="s">
        <v>2835</v>
      </c>
      <c r="T677" s="272" t="s">
        <v>3189</v>
      </c>
    </row>
    <row r="678" spans="19:20">
      <c r="S678" s="271" t="s">
        <v>2836</v>
      </c>
      <c r="T678" s="272" t="s">
        <v>3190</v>
      </c>
    </row>
    <row r="679" spans="19:20">
      <c r="S679" s="271" t="s">
        <v>2837</v>
      </c>
      <c r="T679" s="272" t="s">
        <v>3191</v>
      </c>
    </row>
    <row r="680" spans="19:20">
      <c r="S680" s="271" t="s">
        <v>2838</v>
      </c>
      <c r="T680" s="272" t="s">
        <v>3192</v>
      </c>
    </row>
    <row r="681" spans="19:20">
      <c r="S681" s="271" t="s">
        <v>1794</v>
      </c>
      <c r="T681" s="272" t="s">
        <v>747</v>
      </c>
    </row>
    <row r="682" spans="19:20">
      <c r="S682" s="271" t="s">
        <v>1795</v>
      </c>
      <c r="T682" s="272" t="s">
        <v>338</v>
      </c>
    </row>
    <row r="683" spans="19:20">
      <c r="S683" s="271" t="s">
        <v>2839</v>
      </c>
      <c r="T683" s="272" t="s">
        <v>3193</v>
      </c>
    </row>
    <row r="684" spans="19:20">
      <c r="S684" s="271" t="s">
        <v>1796</v>
      </c>
      <c r="T684" s="272" t="s">
        <v>956</v>
      </c>
    </row>
    <row r="685" spans="19:20">
      <c r="S685" s="271" t="s">
        <v>1797</v>
      </c>
      <c r="T685" s="272" t="s">
        <v>1798</v>
      </c>
    </row>
    <row r="686" spans="19:20">
      <c r="S686" s="271" t="s">
        <v>1799</v>
      </c>
      <c r="T686" s="272" t="s">
        <v>957</v>
      </c>
    </row>
    <row r="687" spans="19:20">
      <c r="S687" s="271" t="s">
        <v>1800</v>
      </c>
      <c r="T687" s="272" t="s">
        <v>958</v>
      </c>
    </row>
    <row r="688" spans="19:20">
      <c r="S688" s="271" t="s">
        <v>1801</v>
      </c>
      <c r="T688" s="272" t="s">
        <v>339</v>
      </c>
    </row>
    <row r="689" spans="19:20">
      <c r="S689" s="271" t="s">
        <v>1802</v>
      </c>
      <c r="T689" s="272" t="s">
        <v>959</v>
      </c>
    </row>
    <row r="690" spans="19:20">
      <c r="S690" s="271" t="s">
        <v>1803</v>
      </c>
      <c r="T690" s="272" t="s">
        <v>340</v>
      </c>
    </row>
    <row r="691" spans="19:20">
      <c r="S691" s="271" t="s">
        <v>1804</v>
      </c>
      <c r="T691" s="272" t="s">
        <v>731</v>
      </c>
    </row>
    <row r="692" spans="19:20">
      <c r="S692" s="271" t="s">
        <v>2840</v>
      </c>
      <c r="T692" s="272" t="s">
        <v>3194</v>
      </c>
    </row>
    <row r="693" spans="19:20">
      <c r="S693" s="271" t="s">
        <v>1805</v>
      </c>
      <c r="T693" s="272" t="s">
        <v>341</v>
      </c>
    </row>
    <row r="694" spans="19:20">
      <c r="S694" s="271" t="s">
        <v>1806</v>
      </c>
      <c r="T694" s="272" t="s">
        <v>732</v>
      </c>
    </row>
    <row r="695" spans="19:20">
      <c r="S695" s="271" t="s">
        <v>1807</v>
      </c>
      <c r="T695" s="272" t="s">
        <v>960</v>
      </c>
    </row>
    <row r="696" spans="19:20">
      <c r="S696" s="271" t="s">
        <v>1808</v>
      </c>
      <c r="T696" s="272" t="s">
        <v>605</v>
      </c>
    </row>
    <row r="697" spans="19:20">
      <c r="S697" s="271" t="s">
        <v>1809</v>
      </c>
      <c r="T697" s="272" t="s">
        <v>342</v>
      </c>
    </row>
    <row r="698" spans="19:20">
      <c r="S698" s="271" t="s">
        <v>1810</v>
      </c>
      <c r="T698" s="272" t="s">
        <v>961</v>
      </c>
    </row>
    <row r="699" spans="19:20">
      <c r="S699" s="271" t="s">
        <v>1811</v>
      </c>
      <c r="T699" s="272" t="s">
        <v>1812</v>
      </c>
    </row>
    <row r="700" spans="19:20">
      <c r="S700" s="271" t="s">
        <v>1813</v>
      </c>
      <c r="T700" s="272" t="s">
        <v>1814</v>
      </c>
    </row>
    <row r="701" spans="19:20">
      <c r="S701" s="271" t="s">
        <v>1815</v>
      </c>
      <c r="T701" s="272" t="s">
        <v>656</v>
      </c>
    </row>
    <row r="702" spans="19:20">
      <c r="S702" s="271" t="s">
        <v>1816</v>
      </c>
      <c r="T702" s="272" t="s">
        <v>962</v>
      </c>
    </row>
    <row r="703" spans="19:20">
      <c r="S703" s="271" t="s">
        <v>1817</v>
      </c>
      <c r="T703" s="272" t="s">
        <v>343</v>
      </c>
    </row>
    <row r="704" spans="19:20">
      <c r="S704" s="271" t="s">
        <v>2841</v>
      </c>
      <c r="T704" s="272" t="s">
        <v>3195</v>
      </c>
    </row>
    <row r="705" spans="19:20">
      <c r="S705" s="271" t="s">
        <v>1818</v>
      </c>
      <c r="T705" s="272" t="s">
        <v>344</v>
      </c>
    </row>
    <row r="706" spans="19:20">
      <c r="S706" s="271" t="s">
        <v>1819</v>
      </c>
      <c r="T706" s="272" t="s">
        <v>657</v>
      </c>
    </row>
    <row r="707" spans="19:20">
      <c r="S707" s="271" t="s">
        <v>2842</v>
      </c>
      <c r="T707" s="272" t="s">
        <v>3196</v>
      </c>
    </row>
    <row r="708" spans="19:20">
      <c r="S708" s="271" t="s">
        <v>1820</v>
      </c>
      <c r="T708" s="272" t="s">
        <v>1132</v>
      </c>
    </row>
    <row r="709" spans="19:20">
      <c r="S709" s="271" t="s">
        <v>2843</v>
      </c>
      <c r="T709" s="272" t="s">
        <v>3197</v>
      </c>
    </row>
    <row r="710" spans="19:20">
      <c r="S710" s="271" t="s">
        <v>1821</v>
      </c>
      <c r="T710" s="272" t="s">
        <v>1822</v>
      </c>
    </row>
    <row r="711" spans="19:20">
      <c r="S711" s="271" t="s">
        <v>2844</v>
      </c>
      <c r="T711" s="272" t="s">
        <v>3198</v>
      </c>
    </row>
    <row r="712" spans="19:20">
      <c r="S712" s="271" t="s">
        <v>1823</v>
      </c>
      <c r="T712" s="272" t="s">
        <v>345</v>
      </c>
    </row>
    <row r="713" spans="19:20">
      <c r="S713" s="271" t="s">
        <v>1824</v>
      </c>
      <c r="T713" s="272" t="s">
        <v>772</v>
      </c>
    </row>
    <row r="714" spans="19:20">
      <c r="S714" s="271" t="s">
        <v>2845</v>
      </c>
      <c r="T714" s="272" t="s">
        <v>2845</v>
      </c>
    </row>
    <row r="715" spans="19:20">
      <c r="S715" s="271" t="s">
        <v>1825</v>
      </c>
      <c r="T715" s="272" t="s">
        <v>346</v>
      </c>
    </row>
    <row r="716" spans="19:20">
      <c r="S716" s="271" t="s">
        <v>1826</v>
      </c>
      <c r="T716" s="272" t="s">
        <v>963</v>
      </c>
    </row>
    <row r="717" spans="19:20">
      <c r="S717" s="271" t="s">
        <v>1827</v>
      </c>
      <c r="T717" s="272" t="s">
        <v>781</v>
      </c>
    </row>
    <row r="718" spans="19:20">
      <c r="S718" s="271" t="s">
        <v>2846</v>
      </c>
      <c r="T718" s="272" t="s">
        <v>3199</v>
      </c>
    </row>
    <row r="719" spans="19:20">
      <c r="S719" s="271" t="s">
        <v>1828</v>
      </c>
      <c r="T719" s="272" t="s">
        <v>347</v>
      </c>
    </row>
    <row r="720" spans="19:20">
      <c r="S720" s="271" t="s">
        <v>1829</v>
      </c>
      <c r="T720" s="272" t="s">
        <v>964</v>
      </c>
    </row>
    <row r="721" spans="19:20">
      <c r="S721" s="271" t="s">
        <v>1830</v>
      </c>
      <c r="T721" s="272" t="s">
        <v>566</v>
      </c>
    </row>
    <row r="722" spans="19:20">
      <c r="S722" s="271" t="s">
        <v>2847</v>
      </c>
      <c r="T722" s="272" t="s">
        <v>2161</v>
      </c>
    </row>
    <row r="723" spans="19:20">
      <c r="S723" s="271" t="s">
        <v>1831</v>
      </c>
      <c r="T723" s="272" t="s">
        <v>348</v>
      </c>
    </row>
    <row r="724" spans="19:20">
      <c r="S724" s="271" t="s">
        <v>1832</v>
      </c>
      <c r="T724" s="272" t="s">
        <v>965</v>
      </c>
    </row>
    <row r="725" spans="19:20">
      <c r="S725" s="271" t="s">
        <v>1833</v>
      </c>
      <c r="T725" s="272" t="s">
        <v>349</v>
      </c>
    </row>
    <row r="726" spans="19:20">
      <c r="S726" s="271" t="s">
        <v>1834</v>
      </c>
      <c r="T726" s="272" t="s">
        <v>606</v>
      </c>
    </row>
    <row r="727" spans="19:20">
      <c r="S727" s="271" t="s">
        <v>1835</v>
      </c>
      <c r="T727" s="272" t="s">
        <v>350</v>
      </c>
    </row>
    <row r="728" spans="19:20">
      <c r="S728" s="271" t="s">
        <v>1836</v>
      </c>
      <c r="T728" s="272" t="s">
        <v>351</v>
      </c>
    </row>
    <row r="729" spans="19:20">
      <c r="S729" s="271" t="s">
        <v>1837</v>
      </c>
      <c r="T729" s="272" t="s">
        <v>530</v>
      </c>
    </row>
    <row r="730" spans="19:20">
      <c r="S730" s="271" t="s">
        <v>2848</v>
      </c>
      <c r="T730" s="272" t="s">
        <v>3200</v>
      </c>
    </row>
    <row r="731" spans="19:20">
      <c r="S731" s="271" t="s">
        <v>2849</v>
      </c>
      <c r="T731" s="272" t="s">
        <v>3201</v>
      </c>
    </row>
    <row r="732" spans="19:20">
      <c r="S732" s="271" t="s">
        <v>1838</v>
      </c>
      <c r="T732" s="272" t="s">
        <v>1133</v>
      </c>
    </row>
    <row r="733" spans="19:20">
      <c r="S733" s="271" t="s">
        <v>1839</v>
      </c>
      <c r="T733" s="272" t="s">
        <v>1840</v>
      </c>
    </row>
    <row r="734" spans="19:20">
      <c r="S734" s="271" t="s">
        <v>2850</v>
      </c>
      <c r="T734" s="272" t="s">
        <v>3202</v>
      </c>
    </row>
    <row r="735" spans="19:20">
      <c r="S735" s="271" t="s">
        <v>2851</v>
      </c>
      <c r="T735" s="272" t="s">
        <v>3203</v>
      </c>
    </row>
    <row r="736" spans="19:20">
      <c r="S736" s="271" t="s">
        <v>1841</v>
      </c>
      <c r="T736" s="272" t="s">
        <v>352</v>
      </c>
    </row>
    <row r="737" spans="19:20">
      <c r="S737" s="271" t="s">
        <v>1842</v>
      </c>
      <c r="T737" s="272" t="s">
        <v>966</v>
      </c>
    </row>
    <row r="738" spans="19:20">
      <c r="S738" s="271" t="s">
        <v>1843</v>
      </c>
      <c r="T738" s="272" t="s">
        <v>353</v>
      </c>
    </row>
    <row r="739" spans="19:20">
      <c r="S739" s="271" t="s">
        <v>1844</v>
      </c>
      <c r="T739" s="272" t="s">
        <v>354</v>
      </c>
    </row>
    <row r="740" spans="19:20">
      <c r="S740" s="271" t="s">
        <v>2852</v>
      </c>
      <c r="T740" s="272" t="s">
        <v>3204</v>
      </c>
    </row>
    <row r="741" spans="19:20">
      <c r="S741" s="271" t="s">
        <v>1845</v>
      </c>
      <c r="T741" s="272" t="s">
        <v>355</v>
      </c>
    </row>
    <row r="742" spans="19:20">
      <c r="S742" s="271" t="s">
        <v>1846</v>
      </c>
      <c r="T742" s="272" t="s">
        <v>356</v>
      </c>
    </row>
    <row r="743" spans="19:20">
      <c r="S743" s="271" t="s">
        <v>2853</v>
      </c>
      <c r="T743" s="272" t="s">
        <v>3205</v>
      </c>
    </row>
    <row r="744" spans="19:20">
      <c r="S744" s="271" t="s">
        <v>1847</v>
      </c>
      <c r="T744" s="272" t="s">
        <v>1848</v>
      </c>
    </row>
    <row r="745" spans="19:20">
      <c r="S745" s="271" t="s">
        <v>1849</v>
      </c>
      <c r="T745" s="272" t="s">
        <v>357</v>
      </c>
    </row>
    <row r="746" spans="19:20">
      <c r="S746" s="271" t="s">
        <v>1850</v>
      </c>
      <c r="T746" s="272" t="s">
        <v>967</v>
      </c>
    </row>
    <row r="747" spans="19:20">
      <c r="S747" s="271" t="s">
        <v>1851</v>
      </c>
      <c r="T747" s="272" t="s">
        <v>1852</v>
      </c>
    </row>
    <row r="748" spans="19:20">
      <c r="S748" s="271" t="s">
        <v>2854</v>
      </c>
      <c r="T748" s="272" t="s">
        <v>3206</v>
      </c>
    </row>
    <row r="749" spans="19:20">
      <c r="S749" s="271" t="s">
        <v>1853</v>
      </c>
      <c r="T749" s="272" t="s">
        <v>968</v>
      </c>
    </row>
    <row r="750" spans="19:20">
      <c r="S750" s="271" t="s">
        <v>1854</v>
      </c>
      <c r="T750" s="272" t="s">
        <v>1855</v>
      </c>
    </row>
    <row r="751" spans="19:20">
      <c r="S751" s="271" t="s">
        <v>1856</v>
      </c>
      <c r="T751" s="272" t="s">
        <v>358</v>
      </c>
    </row>
    <row r="752" spans="19:20">
      <c r="S752" s="271" t="s">
        <v>2855</v>
      </c>
      <c r="T752" s="272" t="s">
        <v>3207</v>
      </c>
    </row>
    <row r="753" spans="19:20">
      <c r="S753" s="271" t="s">
        <v>1857</v>
      </c>
      <c r="T753" s="272" t="s">
        <v>658</v>
      </c>
    </row>
    <row r="754" spans="19:20">
      <c r="S754" s="271" t="s">
        <v>2856</v>
      </c>
      <c r="T754" s="272" t="s">
        <v>3208</v>
      </c>
    </row>
    <row r="755" spans="19:20">
      <c r="S755" s="271" t="s">
        <v>2857</v>
      </c>
      <c r="T755" s="272" t="s">
        <v>3209</v>
      </c>
    </row>
    <row r="756" spans="19:20">
      <c r="S756" s="271" t="s">
        <v>1858</v>
      </c>
      <c r="T756" s="272" t="s">
        <v>359</v>
      </c>
    </row>
    <row r="757" spans="19:20">
      <c r="S757" s="271" t="s">
        <v>1859</v>
      </c>
      <c r="T757" s="272" t="s">
        <v>969</v>
      </c>
    </row>
    <row r="758" spans="19:20">
      <c r="S758" s="271" t="s">
        <v>1860</v>
      </c>
      <c r="T758" s="272" t="s">
        <v>360</v>
      </c>
    </row>
    <row r="759" spans="19:20">
      <c r="S759" s="271" t="s">
        <v>1861</v>
      </c>
      <c r="T759" s="272" t="s">
        <v>970</v>
      </c>
    </row>
    <row r="760" spans="19:20">
      <c r="S760" s="271" t="s">
        <v>1862</v>
      </c>
      <c r="T760" s="272" t="s">
        <v>361</v>
      </c>
    </row>
    <row r="761" spans="19:20">
      <c r="S761" s="271" t="s">
        <v>1863</v>
      </c>
      <c r="T761" s="272" t="s">
        <v>659</v>
      </c>
    </row>
    <row r="762" spans="19:20">
      <c r="S762" s="271" t="s">
        <v>1864</v>
      </c>
      <c r="T762" s="272" t="s">
        <v>971</v>
      </c>
    </row>
    <row r="763" spans="19:20">
      <c r="S763" s="271" t="s">
        <v>2858</v>
      </c>
      <c r="T763" s="272" t="s">
        <v>3210</v>
      </c>
    </row>
    <row r="764" spans="19:20">
      <c r="S764" s="271" t="s">
        <v>1865</v>
      </c>
      <c r="T764" s="272" t="s">
        <v>1866</v>
      </c>
    </row>
    <row r="765" spans="19:20">
      <c r="S765" s="271" t="s">
        <v>1867</v>
      </c>
      <c r="T765" s="272" t="s">
        <v>362</v>
      </c>
    </row>
    <row r="766" spans="19:20">
      <c r="S766" s="271" t="s">
        <v>1868</v>
      </c>
      <c r="T766" s="272" t="s">
        <v>363</v>
      </c>
    </row>
    <row r="767" spans="19:20">
      <c r="S767" s="271" t="s">
        <v>1869</v>
      </c>
      <c r="T767" s="272" t="s">
        <v>972</v>
      </c>
    </row>
    <row r="768" spans="19:20">
      <c r="S768" s="271" t="s">
        <v>1870</v>
      </c>
      <c r="T768" s="272" t="s">
        <v>733</v>
      </c>
    </row>
    <row r="769" spans="19:20">
      <c r="S769" s="271" t="s">
        <v>1871</v>
      </c>
      <c r="T769" s="272" t="s">
        <v>1872</v>
      </c>
    </row>
    <row r="770" spans="19:20">
      <c r="S770" s="271" t="s">
        <v>1873</v>
      </c>
      <c r="T770" s="272" t="s">
        <v>973</v>
      </c>
    </row>
    <row r="771" spans="19:20">
      <c r="S771" s="271" t="s">
        <v>1874</v>
      </c>
      <c r="T771" s="272" t="s">
        <v>364</v>
      </c>
    </row>
    <row r="772" spans="19:20">
      <c r="S772" s="271" t="s">
        <v>1875</v>
      </c>
      <c r="T772" s="272" t="s">
        <v>365</v>
      </c>
    </row>
    <row r="773" spans="19:20">
      <c r="S773" s="271" t="s">
        <v>1876</v>
      </c>
      <c r="T773" s="272" t="s">
        <v>366</v>
      </c>
    </row>
    <row r="774" spans="19:20">
      <c r="S774" s="271" t="s">
        <v>1877</v>
      </c>
      <c r="T774" s="272" t="s">
        <v>974</v>
      </c>
    </row>
    <row r="775" spans="19:20">
      <c r="S775" s="271" t="s">
        <v>1878</v>
      </c>
      <c r="T775" s="272" t="s">
        <v>367</v>
      </c>
    </row>
    <row r="776" spans="19:20">
      <c r="S776" s="271" t="s">
        <v>2859</v>
      </c>
      <c r="T776" s="272" t="s">
        <v>3211</v>
      </c>
    </row>
    <row r="777" spans="19:20">
      <c r="S777" s="271" t="s">
        <v>1879</v>
      </c>
      <c r="T777" s="272" t="s">
        <v>368</v>
      </c>
    </row>
    <row r="778" spans="19:20">
      <c r="S778" s="271" t="s">
        <v>1880</v>
      </c>
      <c r="T778" s="272" t="s">
        <v>369</v>
      </c>
    </row>
    <row r="779" spans="19:20">
      <c r="S779" s="271" t="s">
        <v>1881</v>
      </c>
      <c r="T779" s="272" t="s">
        <v>975</v>
      </c>
    </row>
    <row r="780" spans="19:20">
      <c r="S780" s="271" t="s">
        <v>1882</v>
      </c>
      <c r="T780" s="272" t="s">
        <v>1134</v>
      </c>
    </row>
    <row r="781" spans="19:20">
      <c r="S781" s="271" t="s">
        <v>1883</v>
      </c>
      <c r="T781" s="272" t="s">
        <v>734</v>
      </c>
    </row>
    <row r="782" spans="19:20">
      <c r="S782" s="271" t="s">
        <v>1884</v>
      </c>
      <c r="T782" s="272" t="s">
        <v>370</v>
      </c>
    </row>
    <row r="783" spans="19:20">
      <c r="S783" s="271" t="s">
        <v>1885</v>
      </c>
      <c r="T783" s="272" t="s">
        <v>660</v>
      </c>
    </row>
    <row r="784" spans="19:20">
      <c r="S784" s="271" t="s">
        <v>1886</v>
      </c>
      <c r="T784" s="272" t="s">
        <v>1887</v>
      </c>
    </row>
    <row r="785" spans="19:20">
      <c r="S785" s="271" t="s">
        <v>2860</v>
      </c>
      <c r="T785" s="272" t="s">
        <v>3212</v>
      </c>
    </row>
    <row r="786" spans="19:20">
      <c r="S786" s="271" t="s">
        <v>1888</v>
      </c>
      <c r="T786" s="272" t="s">
        <v>371</v>
      </c>
    </row>
    <row r="787" spans="19:20">
      <c r="S787" s="271" t="s">
        <v>1889</v>
      </c>
      <c r="T787" s="272" t="s">
        <v>1890</v>
      </c>
    </row>
    <row r="788" spans="19:20">
      <c r="S788" s="271" t="s">
        <v>2861</v>
      </c>
      <c r="T788" s="272" t="s">
        <v>3213</v>
      </c>
    </row>
    <row r="789" spans="19:20">
      <c r="S789" s="271" t="s">
        <v>1891</v>
      </c>
      <c r="T789" s="272" t="s">
        <v>976</v>
      </c>
    </row>
    <row r="790" spans="19:20">
      <c r="S790" s="271" t="s">
        <v>2862</v>
      </c>
      <c r="T790" s="272" t="s">
        <v>3214</v>
      </c>
    </row>
    <row r="791" spans="19:20">
      <c r="S791" s="271" t="s">
        <v>1892</v>
      </c>
      <c r="T791" s="272" t="s">
        <v>763</v>
      </c>
    </row>
    <row r="792" spans="19:20">
      <c r="S792" s="271" t="s">
        <v>1893</v>
      </c>
      <c r="T792" s="272" t="s">
        <v>661</v>
      </c>
    </row>
    <row r="793" spans="19:20">
      <c r="S793" s="271" t="s">
        <v>2863</v>
      </c>
      <c r="T793" s="272" t="s">
        <v>3215</v>
      </c>
    </row>
    <row r="794" spans="19:20">
      <c r="S794" s="271" t="s">
        <v>1894</v>
      </c>
      <c r="T794" s="272" t="s">
        <v>977</v>
      </c>
    </row>
    <row r="795" spans="19:20">
      <c r="S795" s="271" t="s">
        <v>2864</v>
      </c>
      <c r="T795" s="272" t="s">
        <v>3216</v>
      </c>
    </row>
    <row r="796" spans="19:20">
      <c r="S796" s="271" t="s">
        <v>2865</v>
      </c>
      <c r="T796" s="272" t="s">
        <v>3217</v>
      </c>
    </row>
    <row r="797" spans="19:20">
      <c r="S797" s="271" t="s">
        <v>1895</v>
      </c>
      <c r="T797" s="272" t="s">
        <v>1896</v>
      </c>
    </row>
    <row r="798" spans="19:20">
      <c r="S798" s="271" t="s">
        <v>2866</v>
      </c>
      <c r="T798" s="272" t="s">
        <v>3218</v>
      </c>
    </row>
    <row r="799" spans="19:20">
      <c r="S799" s="271" t="s">
        <v>1897</v>
      </c>
      <c r="T799" s="272" t="s">
        <v>1898</v>
      </c>
    </row>
    <row r="800" spans="19:20">
      <c r="S800" s="271" t="s">
        <v>1899</v>
      </c>
      <c r="T800" s="272" t="s">
        <v>372</v>
      </c>
    </row>
    <row r="801" spans="19:20">
      <c r="S801" s="271" t="s">
        <v>1900</v>
      </c>
      <c r="T801" s="272" t="s">
        <v>1901</v>
      </c>
    </row>
    <row r="802" spans="19:20">
      <c r="S802" s="271" t="s">
        <v>1902</v>
      </c>
      <c r="T802" s="272" t="s">
        <v>978</v>
      </c>
    </row>
    <row r="803" spans="19:20">
      <c r="S803" s="271" t="s">
        <v>2867</v>
      </c>
      <c r="T803" s="272" t="s">
        <v>3219</v>
      </c>
    </row>
    <row r="804" spans="19:20">
      <c r="S804" s="271" t="s">
        <v>2868</v>
      </c>
      <c r="T804" s="272" t="s">
        <v>3220</v>
      </c>
    </row>
    <row r="805" spans="19:20">
      <c r="S805" s="271" t="s">
        <v>1903</v>
      </c>
      <c r="T805" s="272" t="s">
        <v>979</v>
      </c>
    </row>
    <row r="806" spans="19:20">
      <c r="S806" s="271" t="s">
        <v>1904</v>
      </c>
      <c r="T806" s="272" t="s">
        <v>980</v>
      </c>
    </row>
    <row r="807" spans="19:20">
      <c r="S807" s="271" t="s">
        <v>1905</v>
      </c>
      <c r="T807" s="272" t="s">
        <v>373</v>
      </c>
    </row>
    <row r="808" spans="19:20">
      <c r="S808" s="271" t="s">
        <v>2869</v>
      </c>
      <c r="T808" s="272" t="s">
        <v>3221</v>
      </c>
    </row>
    <row r="809" spans="19:20">
      <c r="S809" s="271" t="s">
        <v>1906</v>
      </c>
      <c r="T809" s="272" t="s">
        <v>531</v>
      </c>
    </row>
    <row r="810" spans="19:20">
      <c r="S810" s="271" t="s">
        <v>1907</v>
      </c>
      <c r="T810" s="272" t="s">
        <v>1908</v>
      </c>
    </row>
    <row r="811" spans="19:20">
      <c r="S811" s="271" t="s">
        <v>1909</v>
      </c>
      <c r="T811" s="272" t="s">
        <v>981</v>
      </c>
    </row>
    <row r="812" spans="19:20">
      <c r="S812" s="271" t="s">
        <v>2870</v>
      </c>
      <c r="T812" s="272" t="s">
        <v>2870</v>
      </c>
    </row>
    <row r="813" spans="19:20">
      <c r="S813" s="271" t="s">
        <v>1910</v>
      </c>
      <c r="T813" s="272" t="s">
        <v>607</v>
      </c>
    </row>
    <row r="814" spans="19:20">
      <c r="S814" s="271" t="s">
        <v>1911</v>
      </c>
      <c r="T814" s="272" t="s">
        <v>1135</v>
      </c>
    </row>
    <row r="815" spans="19:20">
      <c r="S815" s="271" t="s">
        <v>2871</v>
      </c>
      <c r="T815" s="272" t="s">
        <v>3222</v>
      </c>
    </row>
    <row r="816" spans="19:20">
      <c r="S816" s="271" t="s">
        <v>1912</v>
      </c>
      <c r="T816" s="272" t="s">
        <v>1913</v>
      </c>
    </row>
    <row r="817" spans="19:20">
      <c r="S817" s="271" t="s">
        <v>1914</v>
      </c>
      <c r="T817" s="272" t="s">
        <v>374</v>
      </c>
    </row>
    <row r="818" spans="19:20">
      <c r="S818" s="271" t="s">
        <v>1915</v>
      </c>
      <c r="T818" s="272" t="s">
        <v>375</v>
      </c>
    </row>
    <row r="819" spans="19:20">
      <c r="S819" s="271" t="s">
        <v>1916</v>
      </c>
      <c r="T819" s="272" t="s">
        <v>532</v>
      </c>
    </row>
    <row r="820" spans="19:20">
      <c r="S820" s="271" t="s">
        <v>2872</v>
      </c>
      <c r="T820" s="272" t="s">
        <v>3223</v>
      </c>
    </row>
    <row r="821" spans="19:20">
      <c r="S821" s="271" t="s">
        <v>1917</v>
      </c>
      <c r="T821" s="272" t="s">
        <v>1918</v>
      </c>
    </row>
    <row r="822" spans="19:20">
      <c r="S822" s="271" t="s">
        <v>1919</v>
      </c>
      <c r="T822" s="272" t="s">
        <v>1920</v>
      </c>
    </row>
    <row r="823" spans="19:20">
      <c r="S823" s="271" t="s">
        <v>1921</v>
      </c>
      <c r="T823" s="272" t="s">
        <v>982</v>
      </c>
    </row>
    <row r="824" spans="19:20">
      <c r="S824" s="271" t="s">
        <v>1922</v>
      </c>
      <c r="T824" s="272" t="s">
        <v>983</v>
      </c>
    </row>
    <row r="825" spans="19:20">
      <c r="S825" s="271" t="s">
        <v>2873</v>
      </c>
      <c r="T825" s="272" t="s">
        <v>3224</v>
      </c>
    </row>
    <row r="826" spans="19:20">
      <c r="S826" s="271" t="s">
        <v>1923</v>
      </c>
      <c r="T826" s="272" t="s">
        <v>984</v>
      </c>
    </row>
    <row r="827" spans="19:20">
      <c r="S827" s="271" t="s">
        <v>1924</v>
      </c>
      <c r="T827" s="272" t="s">
        <v>376</v>
      </c>
    </row>
    <row r="828" spans="19:20">
      <c r="S828" s="271" t="s">
        <v>1925</v>
      </c>
      <c r="T828" s="272" t="s">
        <v>985</v>
      </c>
    </row>
    <row r="829" spans="19:20">
      <c r="S829" s="271" t="s">
        <v>1926</v>
      </c>
      <c r="T829" s="272" t="s">
        <v>1136</v>
      </c>
    </row>
    <row r="830" spans="19:20">
      <c r="S830" s="271" t="s">
        <v>2874</v>
      </c>
      <c r="T830" s="272" t="s">
        <v>3225</v>
      </c>
    </row>
    <row r="831" spans="19:20">
      <c r="S831" s="271" t="s">
        <v>1927</v>
      </c>
      <c r="T831" s="272" t="s">
        <v>986</v>
      </c>
    </row>
    <row r="832" spans="19:20">
      <c r="S832" s="271" t="s">
        <v>2875</v>
      </c>
      <c r="T832" s="272" t="s">
        <v>3226</v>
      </c>
    </row>
    <row r="833" spans="19:20">
      <c r="S833" s="271" t="s">
        <v>1928</v>
      </c>
      <c r="T833" s="272" t="s">
        <v>378</v>
      </c>
    </row>
    <row r="834" spans="19:20">
      <c r="S834" s="271" t="s">
        <v>2876</v>
      </c>
      <c r="T834" s="272" t="s">
        <v>3227</v>
      </c>
    </row>
    <row r="835" spans="19:20">
      <c r="S835" s="271" t="s">
        <v>2877</v>
      </c>
      <c r="T835" s="272" t="s">
        <v>3228</v>
      </c>
    </row>
    <row r="836" spans="19:20">
      <c r="S836" s="271" t="s">
        <v>1929</v>
      </c>
      <c r="T836" s="272" t="s">
        <v>987</v>
      </c>
    </row>
    <row r="837" spans="19:20">
      <c r="S837" s="271" t="s">
        <v>2878</v>
      </c>
      <c r="T837" s="272" t="s">
        <v>3229</v>
      </c>
    </row>
    <row r="838" spans="19:20">
      <c r="S838" s="271" t="s">
        <v>1930</v>
      </c>
      <c r="T838" s="272" t="s">
        <v>988</v>
      </c>
    </row>
    <row r="839" spans="19:20">
      <c r="S839" s="271" t="s">
        <v>1931</v>
      </c>
      <c r="T839" s="272" t="s">
        <v>379</v>
      </c>
    </row>
    <row r="840" spans="19:20">
      <c r="S840" s="271" t="s">
        <v>1932</v>
      </c>
      <c r="T840" s="272" t="s">
        <v>1933</v>
      </c>
    </row>
    <row r="841" spans="19:20">
      <c r="S841" s="271" t="s">
        <v>1934</v>
      </c>
      <c r="T841" s="272" t="s">
        <v>989</v>
      </c>
    </row>
    <row r="842" spans="19:20">
      <c r="S842" s="271" t="s">
        <v>1935</v>
      </c>
      <c r="T842" s="272" t="s">
        <v>990</v>
      </c>
    </row>
    <row r="843" spans="19:20">
      <c r="S843" s="271" t="s">
        <v>1936</v>
      </c>
      <c r="T843" s="272" t="s">
        <v>991</v>
      </c>
    </row>
    <row r="844" spans="19:20">
      <c r="S844" s="271" t="s">
        <v>1937</v>
      </c>
      <c r="T844" s="272" t="s">
        <v>662</v>
      </c>
    </row>
    <row r="845" spans="19:20">
      <c r="S845" s="271" t="s">
        <v>1938</v>
      </c>
      <c r="T845" s="272" t="s">
        <v>992</v>
      </c>
    </row>
    <row r="846" spans="19:20">
      <c r="S846" s="271" t="s">
        <v>1939</v>
      </c>
      <c r="T846" s="272" t="s">
        <v>663</v>
      </c>
    </row>
    <row r="847" spans="19:20">
      <c r="S847" s="271" t="s">
        <v>1940</v>
      </c>
      <c r="T847" s="272" t="s">
        <v>1941</v>
      </c>
    </row>
    <row r="848" spans="19:20">
      <c r="S848" s="271" t="s">
        <v>1942</v>
      </c>
      <c r="T848" s="272" t="s">
        <v>380</v>
      </c>
    </row>
    <row r="849" spans="19:20">
      <c r="S849" s="271" t="s">
        <v>1943</v>
      </c>
      <c r="T849" s="272" t="s">
        <v>993</v>
      </c>
    </row>
    <row r="850" spans="19:20">
      <c r="S850" s="271" t="s">
        <v>1944</v>
      </c>
      <c r="T850" s="272" t="s">
        <v>994</v>
      </c>
    </row>
    <row r="851" spans="19:20">
      <c r="S851" s="271" t="s">
        <v>1945</v>
      </c>
      <c r="T851" s="272" t="s">
        <v>381</v>
      </c>
    </row>
    <row r="852" spans="19:20">
      <c r="S852" s="271" t="s">
        <v>1946</v>
      </c>
      <c r="T852" s="272" t="s">
        <v>1947</v>
      </c>
    </row>
    <row r="853" spans="19:20">
      <c r="S853" s="271" t="s">
        <v>1948</v>
      </c>
      <c r="T853" s="272" t="s">
        <v>1949</v>
      </c>
    </row>
    <row r="854" spans="19:20">
      <c r="S854" s="271" t="s">
        <v>1950</v>
      </c>
      <c r="T854" s="272" t="s">
        <v>1951</v>
      </c>
    </row>
    <row r="855" spans="19:20">
      <c r="S855" s="271" t="s">
        <v>1952</v>
      </c>
      <c r="T855" s="272" t="s">
        <v>382</v>
      </c>
    </row>
    <row r="856" spans="19:20">
      <c r="S856" s="271" t="s">
        <v>1953</v>
      </c>
      <c r="T856" s="272" t="s">
        <v>995</v>
      </c>
    </row>
    <row r="857" spans="19:20">
      <c r="S857" s="271" t="s">
        <v>1954</v>
      </c>
      <c r="T857" s="272" t="s">
        <v>1955</v>
      </c>
    </row>
    <row r="858" spans="19:20">
      <c r="S858" s="271" t="s">
        <v>1956</v>
      </c>
      <c r="T858" s="272" t="s">
        <v>996</v>
      </c>
    </row>
    <row r="859" spans="19:20">
      <c r="S859" s="271" t="s">
        <v>1957</v>
      </c>
      <c r="T859" s="272" t="s">
        <v>997</v>
      </c>
    </row>
    <row r="860" spans="19:20">
      <c r="S860" s="271" t="s">
        <v>2879</v>
      </c>
      <c r="T860" s="272" t="s">
        <v>3230</v>
      </c>
    </row>
    <row r="861" spans="19:20">
      <c r="S861" s="271" t="s">
        <v>1958</v>
      </c>
      <c r="T861" s="272" t="s">
        <v>998</v>
      </c>
    </row>
    <row r="862" spans="19:20">
      <c r="S862" s="271" t="s">
        <v>1959</v>
      </c>
      <c r="T862" s="272" t="s">
        <v>383</v>
      </c>
    </row>
    <row r="863" spans="19:20">
      <c r="S863" s="271" t="s">
        <v>1960</v>
      </c>
      <c r="T863" s="272" t="s">
        <v>384</v>
      </c>
    </row>
    <row r="864" spans="19:20">
      <c r="S864" s="271" t="s">
        <v>1961</v>
      </c>
      <c r="T864" s="272" t="s">
        <v>385</v>
      </c>
    </row>
    <row r="865" spans="19:20">
      <c r="S865" s="271" t="s">
        <v>1962</v>
      </c>
      <c r="T865" s="272" t="s">
        <v>1963</v>
      </c>
    </row>
    <row r="866" spans="19:20">
      <c r="S866" s="271" t="s">
        <v>1964</v>
      </c>
      <c r="T866" s="272" t="s">
        <v>608</v>
      </c>
    </row>
    <row r="867" spans="19:20">
      <c r="S867" s="271" t="s">
        <v>1965</v>
      </c>
      <c r="T867" s="272" t="s">
        <v>386</v>
      </c>
    </row>
    <row r="868" spans="19:20">
      <c r="S868" s="271" t="s">
        <v>1966</v>
      </c>
      <c r="T868" s="272" t="s">
        <v>609</v>
      </c>
    </row>
    <row r="869" spans="19:20">
      <c r="S869" s="271" t="s">
        <v>1967</v>
      </c>
      <c r="T869" s="272" t="s">
        <v>759</v>
      </c>
    </row>
    <row r="870" spans="19:20">
      <c r="S870" s="271" t="s">
        <v>1968</v>
      </c>
      <c r="T870" s="272" t="s">
        <v>999</v>
      </c>
    </row>
    <row r="871" spans="19:20">
      <c r="S871" s="271" t="s">
        <v>1969</v>
      </c>
      <c r="T871" s="272" t="s">
        <v>1000</v>
      </c>
    </row>
    <row r="872" spans="19:20">
      <c r="S872" s="271" t="s">
        <v>1970</v>
      </c>
      <c r="T872" s="272" t="s">
        <v>1971</v>
      </c>
    </row>
    <row r="873" spans="19:20">
      <c r="S873" s="271" t="s">
        <v>2880</v>
      </c>
      <c r="T873" s="272" t="s">
        <v>3231</v>
      </c>
    </row>
    <row r="874" spans="19:20">
      <c r="S874" s="271" t="s">
        <v>1972</v>
      </c>
      <c r="T874" s="272" t="s">
        <v>387</v>
      </c>
    </row>
    <row r="875" spans="19:20">
      <c r="S875" s="271" t="s">
        <v>1973</v>
      </c>
      <c r="T875" s="272" t="s">
        <v>1974</v>
      </c>
    </row>
    <row r="876" spans="19:20">
      <c r="S876" s="271" t="s">
        <v>1975</v>
      </c>
      <c r="T876" s="272" t="s">
        <v>758</v>
      </c>
    </row>
    <row r="877" spans="19:20">
      <c r="S877" s="271" t="s">
        <v>1976</v>
      </c>
      <c r="T877" s="272" t="s">
        <v>777</v>
      </c>
    </row>
    <row r="878" spans="19:20">
      <c r="S878" s="271" t="s">
        <v>1977</v>
      </c>
      <c r="T878" s="272" t="s">
        <v>1001</v>
      </c>
    </row>
    <row r="879" spans="19:20">
      <c r="S879" s="271" t="s">
        <v>1978</v>
      </c>
      <c r="T879" s="272" t="s">
        <v>533</v>
      </c>
    </row>
    <row r="880" spans="19:20">
      <c r="S880" s="271" t="s">
        <v>1979</v>
      </c>
      <c r="T880" s="272" t="s">
        <v>388</v>
      </c>
    </row>
    <row r="881" spans="19:20">
      <c r="S881" s="271" t="s">
        <v>1980</v>
      </c>
      <c r="T881" s="272" t="s">
        <v>1137</v>
      </c>
    </row>
    <row r="882" spans="19:20">
      <c r="S882" s="271" t="s">
        <v>1981</v>
      </c>
      <c r="T882" s="272" t="s">
        <v>664</v>
      </c>
    </row>
    <row r="883" spans="19:20">
      <c r="S883" s="271" t="s">
        <v>1982</v>
      </c>
      <c r="T883" s="272" t="s">
        <v>721</v>
      </c>
    </row>
    <row r="884" spans="19:20">
      <c r="S884" s="271" t="s">
        <v>2881</v>
      </c>
      <c r="T884" s="272" t="s">
        <v>3232</v>
      </c>
    </row>
    <row r="885" spans="19:20">
      <c r="S885" s="271" t="s">
        <v>1983</v>
      </c>
      <c r="T885" s="272" t="s">
        <v>1002</v>
      </c>
    </row>
    <row r="886" spans="19:20">
      <c r="S886" s="271" t="s">
        <v>1984</v>
      </c>
      <c r="T886" s="272" t="s">
        <v>567</v>
      </c>
    </row>
    <row r="887" spans="19:20">
      <c r="S887" s="271" t="s">
        <v>1985</v>
      </c>
      <c r="T887" s="272" t="s">
        <v>1003</v>
      </c>
    </row>
    <row r="888" spans="19:20">
      <c r="S888" s="271" t="s">
        <v>1986</v>
      </c>
      <c r="T888" s="272" t="s">
        <v>1987</v>
      </c>
    </row>
    <row r="889" spans="19:20">
      <c r="S889" s="271" t="s">
        <v>1988</v>
      </c>
      <c r="T889" s="272" t="s">
        <v>389</v>
      </c>
    </row>
    <row r="890" spans="19:20">
      <c r="S890" s="271" t="s">
        <v>2882</v>
      </c>
      <c r="T890" s="272" t="s">
        <v>3233</v>
      </c>
    </row>
    <row r="891" spans="19:20">
      <c r="S891" s="271" t="s">
        <v>1989</v>
      </c>
      <c r="T891" s="272" t="s">
        <v>665</v>
      </c>
    </row>
    <row r="892" spans="19:20">
      <c r="S892" s="271" t="s">
        <v>1990</v>
      </c>
      <c r="T892" s="272" t="s">
        <v>1991</v>
      </c>
    </row>
    <row r="893" spans="19:20">
      <c r="S893" s="271" t="s">
        <v>1992</v>
      </c>
      <c r="T893" s="272" t="s">
        <v>390</v>
      </c>
    </row>
    <row r="894" spans="19:20">
      <c r="S894" s="271" t="s">
        <v>1993</v>
      </c>
      <c r="T894" s="272" t="s">
        <v>391</v>
      </c>
    </row>
    <row r="895" spans="19:20">
      <c r="S895" s="271" t="s">
        <v>1994</v>
      </c>
      <c r="T895" s="272" t="s">
        <v>392</v>
      </c>
    </row>
    <row r="896" spans="19:20">
      <c r="S896" s="271" t="s">
        <v>1995</v>
      </c>
      <c r="T896" s="272" t="s">
        <v>1996</v>
      </c>
    </row>
    <row r="897" spans="19:20">
      <c r="S897" s="271" t="s">
        <v>1997</v>
      </c>
      <c r="T897" s="272" t="s">
        <v>393</v>
      </c>
    </row>
    <row r="898" spans="19:20">
      <c r="S898" s="271" t="s">
        <v>1998</v>
      </c>
      <c r="T898" s="272" t="s">
        <v>394</v>
      </c>
    </row>
    <row r="899" spans="19:20">
      <c r="S899" s="271" t="s">
        <v>2883</v>
      </c>
      <c r="T899" s="272" t="s">
        <v>3234</v>
      </c>
    </row>
    <row r="900" spans="19:20">
      <c r="S900" s="271" t="s">
        <v>1999</v>
      </c>
      <c r="T900" s="272" t="s">
        <v>395</v>
      </c>
    </row>
    <row r="901" spans="19:20">
      <c r="S901" s="271" t="s">
        <v>2000</v>
      </c>
      <c r="T901" s="272" t="s">
        <v>396</v>
      </c>
    </row>
    <row r="902" spans="19:20">
      <c r="S902" s="271" t="s">
        <v>2001</v>
      </c>
      <c r="T902" s="272" t="s">
        <v>397</v>
      </c>
    </row>
    <row r="903" spans="19:20">
      <c r="S903" s="271" t="s">
        <v>2002</v>
      </c>
      <c r="T903" s="272" t="s">
        <v>610</v>
      </c>
    </row>
    <row r="904" spans="19:20">
      <c r="S904" s="271" t="s">
        <v>2003</v>
      </c>
      <c r="T904" s="272" t="s">
        <v>1004</v>
      </c>
    </row>
    <row r="905" spans="19:20">
      <c r="S905" s="271" t="s">
        <v>2004</v>
      </c>
      <c r="T905" s="272" t="s">
        <v>398</v>
      </c>
    </row>
    <row r="906" spans="19:20">
      <c r="S906" s="271" t="s">
        <v>2005</v>
      </c>
      <c r="T906" s="272" t="s">
        <v>611</v>
      </c>
    </row>
    <row r="907" spans="19:20">
      <c r="S907" s="271" t="s">
        <v>2006</v>
      </c>
      <c r="T907" s="272" t="s">
        <v>666</v>
      </c>
    </row>
    <row r="908" spans="19:20">
      <c r="S908" s="271" t="s">
        <v>2007</v>
      </c>
      <c r="T908" s="272" t="s">
        <v>2008</v>
      </c>
    </row>
    <row r="909" spans="19:20">
      <c r="S909" s="271" t="s">
        <v>2009</v>
      </c>
      <c r="T909" s="272" t="s">
        <v>612</v>
      </c>
    </row>
    <row r="910" spans="19:20">
      <c r="S910" s="271" t="s">
        <v>2010</v>
      </c>
      <c r="T910" s="272" t="s">
        <v>399</v>
      </c>
    </row>
    <row r="911" spans="19:20">
      <c r="S911" s="271" t="s">
        <v>2011</v>
      </c>
      <c r="T911" s="272" t="s">
        <v>718</v>
      </c>
    </row>
    <row r="912" spans="19:20">
      <c r="S912" s="271" t="s">
        <v>2012</v>
      </c>
      <c r="T912" s="272" t="s">
        <v>1005</v>
      </c>
    </row>
    <row r="913" spans="19:20">
      <c r="S913" s="271" t="s">
        <v>2884</v>
      </c>
      <c r="T913" s="272" t="s">
        <v>3235</v>
      </c>
    </row>
    <row r="914" spans="19:20">
      <c r="S914" s="271" t="s">
        <v>2885</v>
      </c>
      <c r="T914" s="272" t="s">
        <v>3236</v>
      </c>
    </row>
    <row r="915" spans="19:20">
      <c r="S915" s="271" t="s">
        <v>2013</v>
      </c>
      <c r="T915" s="272" t="s">
        <v>2014</v>
      </c>
    </row>
    <row r="916" spans="19:20">
      <c r="S916" s="271" t="s">
        <v>2886</v>
      </c>
      <c r="T916" s="272" t="s">
        <v>3237</v>
      </c>
    </row>
    <row r="917" spans="19:20">
      <c r="S917" s="271" t="s">
        <v>2887</v>
      </c>
      <c r="T917" s="272" t="s">
        <v>3238</v>
      </c>
    </row>
    <row r="918" spans="19:20">
      <c r="S918" s="271" t="s">
        <v>2015</v>
      </c>
      <c r="T918" s="272" t="s">
        <v>1006</v>
      </c>
    </row>
    <row r="919" spans="19:20">
      <c r="S919" s="271" t="s">
        <v>2016</v>
      </c>
      <c r="T919" s="272" t="s">
        <v>764</v>
      </c>
    </row>
    <row r="920" spans="19:20">
      <c r="S920" s="271" t="s">
        <v>2017</v>
      </c>
      <c r="T920" s="272" t="s">
        <v>377</v>
      </c>
    </row>
    <row r="921" spans="19:20">
      <c r="S921" s="271" t="s">
        <v>2018</v>
      </c>
      <c r="T921" s="272" t="s">
        <v>1007</v>
      </c>
    </row>
    <row r="922" spans="19:20">
      <c r="S922" s="271" t="s">
        <v>2019</v>
      </c>
      <c r="T922" s="272" t="s">
        <v>1138</v>
      </c>
    </row>
    <row r="923" spans="19:20">
      <c r="S923" s="271" t="s">
        <v>2020</v>
      </c>
      <c r="T923" s="272" t="s">
        <v>2021</v>
      </c>
    </row>
    <row r="924" spans="19:20">
      <c r="S924" s="271" t="s">
        <v>2022</v>
      </c>
      <c r="T924" s="272" t="s">
        <v>2023</v>
      </c>
    </row>
    <row r="925" spans="19:20">
      <c r="S925" s="271" t="s">
        <v>2888</v>
      </c>
      <c r="T925" s="272" t="s">
        <v>3239</v>
      </c>
    </row>
    <row r="926" spans="19:20">
      <c r="S926" s="271" t="s">
        <v>2889</v>
      </c>
      <c r="T926" s="272" t="s">
        <v>3240</v>
      </c>
    </row>
    <row r="927" spans="19:20">
      <c r="S927" s="271" t="s">
        <v>2024</v>
      </c>
      <c r="T927" s="272" t="s">
        <v>400</v>
      </c>
    </row>
    <row r="928" spans="19:20">
      <c r="S928" s="271" t="s">
        <v>2025</v>
      </c>
      <c r="T928" s="272" t="s">
        <v>1008</v>
      </c>
    </row>
    <row r="929" spans="19:20">
      <c r="S929" s="271" t="s">
        <v>2026</v>
      </c>
      <c r="T929" s="272" t="s">
        <v>401</v>
      </c>
    </row>
    <row r="930" spans="19:20">
      <c r="S930" s="271" t="s">
        <v>2890</v>
      </c>
      <c r="T930" s="272" t="s">
        <v>3241</v>
      </c>
    </row>
    <row r="931" spans="19:20">
      <c r="S931" s="271" t="s">
        <v>2891</v>
      </c>
      <c r="T931" s="272" t="s">
        <v>3242</v>
      </c>
    </row>
    <row r="932" spans="19:20">
      <c r="S932" s="271" t="s">
        <v>2892</v>
      </c>
      <c r="T932" s="272" t="s">
        <v>3243</v>
      </c>
    </row>
    <row r="933" spans="19:20">
      <c r="S933" s="271" t="s">
        <v>2893</v>
      </c>
      <c r="T933" s="272" t="s">
        <v>3244</v>
      </c>
    </row>
    <row r="934" spans="19:20">
      <c r="S934" s="271" t="s">
        <v>2027</v>
      </c>
      <c r="T934" s="272" t="s">
        <v>1009</v>
      </c>
    </row>
    <row r="935" spans="19:20">
      <c r="S935" s="271" t="s">
        <v>2028</v>
      </c>
      <c r="T935" s="272" t="s">
        <v>1010</v>
      </c>
    </row>
    <row r="936" spans="19:20">
      <c r="S936" s="271" t="s">
        <v>2029</v>
      </c>
      <c r="T936" s="272" t="s">
        <v>402</v>
      </c>
    </row>
    <row r="937" spans="19:20">
      <c r="S937" s="271" t="s">
        <v>2030</v>
      </c>
      <c r="T937" s="272" t="s">
        <v>735</v>
      </c>
    </row>
    <row r="938" spans="19:20">
      <c r="S938" s="271" t="s">
        <v>2031</v>
      </c>
      <c r="T938" s="272" t="s">
        <v>1011</v>
      </c>
    </row>
    <row r="939" spans="19:20">
      <c r="S939" s="271" t="s">
        <v>2032</v>
      </c>
      <c r="T939" s="272" t="s">
        <v>613</v>
      </c>
    </row>
    <row r="940" spans="19:20">
      <c r="S940" s="271" t="s">
        <v>2894</v>
      </c>
      <c r="T940" s="272" t="s">
        <v>3245</v>
      </c>
    </row>
    <row r="941" spans="19:20">
      <c r="S941" s="271" t="s">
        <v>2033</v>
      </c>
      <c r="T941" s="272" t="s">
        <v>1012</v>
      </c>
    </row>
    <row r="942" spans="19:20">
      <c r="S942" s="271" t="s">
        <v>2034</v>
      </c>
      <c r="T942" s="272" t="s">
        <v>403</v>
      </c>
    </row>
    <row r="943" spans="19:20">
      <c r="S943" s="271" t="s">
        <v>2035</v>
      </c>
      <c r="T943" s="272" t="s">
        <v>2036</v>
      </c>
    </row>
    <row r="944" spans="19:20">
      <c r="S944" s="271" t="s">
        <v>2037</v>
      </c>
      <c r="T944" s="272" t="s">
        <v>667</v>
      </c>
    </row>
    <row r="945" spans="19:20">
      <c r="S945" s="271" t="s">
        <v>2895</v>
      </c>
      <c r="T945" s="272" t="s">
        <v>3246</v>
      </c>
    </row>
    <row r="946" spans="19:20">
      <c r="S946" s="271" t="s">
        <v>2896</v>
      </c>
      <c r="T946" s="272" t="s">
        <v>3247</v>
      </c>
    </row>
    <row r="947" spans="19:20">
      <c r="S947" s="271" t="s">
        <v>2038</v>
      </c>
      <c r="T947" s="272" t="s">
        <v>404</v>
      </c>
    </row>
    <row r="948" spans="19:20">
      <c r="S948" s="271" t="s">
        <v>2039</v>
      </c>
      <c r="T948" s="272" t="s">
        <v>405</v>
      </c>
    </row>
    <row r="949" spans="19:20">
      <c r="S949" s="271" t="s">
        <v>2040</v>
      </c>
      <c r="T949" s="272" t="s">
        <v>2041</v>
      </c>
    </row>
    <row r="950" spans="19:20">
      <c r="S950" s="271" t="s">
        <v>2897</v>
      </c>
      <c r="T950" s="272" t="s">
        <v>3248</v>
      </c>
    </row>
    <row r="951" spans="19:20">
      <c r="S951" s="271" t="s">
        <v>2042</v>
      </c>
      <c r="T951" s="272" t="s">
        <v>668</v>
      </c>
    </row>
    <row r="952" spans="19:20">
      <c r="S952" s="271" t="s">
        <v>2043</v>
      </c>
      <c r="T952" s="272" t="s">
        <v>1013</v>
      </c>
    </row>
    <row r="953" spans="19:20">
      <c r="S953" s="271" t="s">
        <v>2898</v>
      </c>
      <c r="T953" s="272" t="s">
        <v>3249</v>
      </c>
    </row>
    <row r="954" spans="19:20">
      <c r="S954" s="271" t="s">
        <v>2044</v>
      </c>
      <c r="T954" s="272" t="s">
        <v>1014</v>
      </c>
    </row>
    <row r="955" spans="19:20">
      <c r="S955" s="271" t="s">
        <v>2045</v>
      </c>
      <c r="T955" s="272" t="s">
        <v>1015</v>
      </c>
    </row>
    <row r="956" spans="19:20">
      <c r="S956" s="271" t="s">
        <v>2046</v>
      </c>
      <c r="T956" s="272" t="s">
        <v>1016</v>
      </c>
    </row>
    <row r="957" spans="19:20">
      <c r="S957" s="271" t="s">
        <v>2047</v>
      </c>
      <c r="T957" s="272" t="s">
        <v>2048</v>
      </c>
    </row>
    <row r="958" spans="19:20">
      <c r="S958" s="271" t="s">
        <v>2049</v>
      </c>
      <c r="T958" s="272" t="s">
        <v>2050</v>
      </c>
    </row>
    <row r="959" spans="19:20">
      <c r="S959" s="271" t="s">
        <v>2899</v>
      </c>
      <c r="T959" s="272" t="s">
        <v>3250</v>
      </c>
    </row>
    <row r="960" spans="19:20">
      <c r="S960" s="271" t="s">
        <v>2051</v>
      </c>
      <c r="T960" s="272" t="s">
        <v>614</v>
      </c>
    </row>
    <row r="961" spans="19:20">
      <c r="S961" s="271" t="s">
        <v>2052</v>
      </c>
      <c r="T961" s="272" t="s">
        <v>1017</v>
      </c>
    </row>
    <row r="962" spans="19:20">
      <c r="S962" s="271" t="s">
        <v>2053</v>
      </c>
      <c r="T962" s="272" t="s">
        <v>2054</v>
      </c>
    </row>
    <row r="963" spans="19:20">
      <c r="S963" s="271" t="s">
        <v>2900</v>
      </c>
      <c r="T963" s="272" t="s">
        <v>3251</v>
      </c>
    </row>
    <row r="964" spans="19:20">
      <c r="S964" s="271" t="s">
        <v>2055</v>
      </c>
      <c r="T964" s="272" t="s">
        <v>1018</v>
      </c>
    </row>
    <row r="965" spans="19:20">
      <c r="S965" s="271" t="s">
        <v>2056</v>
      </c>
      <c r="T965" s="272" t="s">
        <v>2057</v>
      </c>
    </row>
    <row r="966" spans="19:20">
      <c r="S966" s="271" t="s">
        <v>2058</v>
      </c>
      <c r="T966" s="272" t="s">
        <v>406</v>
      </c>
    </row>
    <row r="967" spans="19:20">
      <c r="S967" s="271" t="s">
        <v>2059</v>
      </c>
      <c r="T967" s="272" t="s">
        <v>1019</v>
      </c>
    </row>
    <row r="968" spans="19:20">
      <c r="S968" s="271" t="s">
        <v>2060</v>
      </c>
      <c r="T968" s="272" t="s">
        <v>407</v>
      </c>
    </row>
    <row r="969" spans="19:20">
      <c r="S969" s="271" t="s">
        <v>2061</v>
      </c>
      <c r="T969" s="272" t="s">
        <v>1020</v>
      </c>
    </row>
    <row r="970" spans="19:20">
      <c r="S970" s="271" t="s">
        <v>2062</v>
      </c>
      <c r="T970" s="272" t="s">
        <v>534</v>
      </c>
    </row>
    <row r="971" spans="19:20">
      <c r="S971" s="271" t="s">
        <v>2063</v>
      </c>
      <c r="T971" s="272" t="s">
        <v>669</v>
      </c>
    </row>
    <row r="972" spans="19:20">
      <c r="S972" s="271" t="s">
        <v>2064</v>
      </c>
      <c r="T972" s="272" t="s">
        <v>1021</v>
      </c>
    </row>
    <row r="973" spans="19:20">
      <c r="S973" s="271" t="s">
        <v>2065</v>
      </c>
      <c r="T973" s="272" t="s">
        <v>2066</v>
      </c>
    </row>
    <row r="974" spans="19:20">
      <c r="S974" s="271" t="s">
        <v>2067</v>
      </c>
      <c r="T974" s="272" t="s">
        <v>2068</v>
      </c>
    </row>
    <row r="975" spans="19:20">
      <c r="S975" s="271" t="s">
        <v>2069</v>
      </c>
      <c r="T975" s="272" t="s">
        <v>408</v>
      </c>
    </row>
    <row r="976" spans="19:20">
      <c r="S976" s="271" t="s">
        <v>2901</v>
      </c>
      <c r="T976" s="272" t="s">
        <v>3252</v>
      </c>
    </row>
    <row r="977" spans="19:20">
      <c r="S977" s="271" t="s">
        <v>2902</v>
      </c>
      <c r="T977" s="272" t="s">
        <v>3253</v>
      </c>
    </row>
    <row r="978" spans="19:20">
      <c r="S978" s="271" t="s">
        <v>2070</v>
      </c>
      <c r="T978" s="272" t="s">
        <v>409</v>
      </c>
    </row>
    <row r="979" spans="19:20">
      <c r="S979" s="271" t="s">
        <v>2071</v>
      </c>
      <c r="T979" s="272" t="s">
        <v>1022</v>
      </c>
    </row>
    <row r="980" spans="19:20">
      <c r="S980" s="271" t="s">
        <v>2903</v>
      </c>
      <c r="T980" s="272" t="s">
        <v>3254</v>
      </c>
    </row>
    <row r="981" spans="19:20">
      <c r="S981" s="271" t="s">
        <v>2904</v>
      </c>
      <c r="T981" s="272" t="s">
        <v>3255</v>
      </c>
    </row>
    <row r="982" spans="19:20">
      <c r="S982" s="271" t="s">
        <v>2072</v>
      </c>
      <c r="T982" s="272" t="s">
        <v>410</v>
      </c>
    </row>
    <row r="983" spans="19:20">
      <c r="S983" s="271" t="s">
        <v>2905</v>
      </c>
      <c r="T983" s="272" t="s">
        <v>3256</v>
      </c>
    </row>
    <row r="984" spans="19:20">
      <c r="S984" s="271" t="s">
        <v>2906</v>
      </c>
      <c r="T984" s="272" t="s">
        <v>3257</v>
      </c>
    </row>
    <row r="985" spans="19:20">
      <c r="S985" s="271" t="s">
        <v>2907</v>
      </c>
      <c r="T985" s="272" t="s">
        <v>3258</v>
      </c>
    </row>
    <row r="986" spans="19:20">
      <c r="S986" s="271" t="s">
        <v>2073</v>
      </c>
      <c r="T986" s="272" t="s">
        <v>411</v>
      </c>
    </row>
    <row r="987" spans="19:20">
      <c r="S987" s="271" t="s">
        <v>2074</v>
      </c>
      <c r="T987" s="272" t="s">
        <v>1023</v>
      </c>
    </row>
    <row r="988" spans="19:20">
      <c r="S988" s="271" t="s">
        <v>2908</v>
      </c>
      <c r="T988" s="272" t="s">
        <v>3259</v>
      </c>
    </row>
    <row r="989" spans="19:20">
      <c r="S989" s="271" t="s">
        <v>2909</v>
      </c>
      <c r="T989" s="272" t="s">
        <v>3260</v>
      </c>
    </row>
    <row r="990" spans="19:20">
      <c r="S990" s="271" t="s">
        <v>2910</v>
      </c>
      <c r="T990" s="272" t="s">
        <v>3261</v>
      </c>
    </row>
    <row r="991" spans="19:20">
      <c r="S991" s="271" t="s">
        <v>2911</v>
      </c>
      <c r="T991" s="272" t="s">
        <v>3262</v>
      </c>
    </row>
    <row r="992" spans="19:20">
      <c r="S992" s="271" t="s">
        <v>2075</v>
      </c>
      <c r="T992" s="272" t="s">
        <v>412</v>
      </c>
    </row>
    <row r="993" spans="19:20">
      <c r="S993" s="271" t="s">
        <v>2912</v>
      </c>
      <c r="T993" s="272" t="s">
        <v>3263</v>
      </c>
    </row>
    <row r="994" spans="19:20">
      <c r="S994" s="271" t="s">
        <v>2076</v>
      </c>
      <c r="T994" s="272" t="s">
        <v>670</v>
      </c>
    </row>
    <row r="995" spans="19:20">
      <c r="S995" s="271" t="s">
        <v>2077</v>
      </c>
      <c r="T995" s="272" t="s">
        <v>413</v>
      </c>
    </row>
    <row r="996" spans="19:20">
      <c r="S996" s="271" t="s">
        <v>2913</v>
      </c>
      <c r="T996" s="272" t="s">
        <v>3264</v>
      </c>
    </row>
    <row r="997" spans="19:20">
      <c r="S997" s="271" t="s">
        <v>2078</v>
      </c>
      <c r="T997" s="272" t="s">
        <v>1024</v>
      </c>
    </row>
    <row r="998" spans="19:20">
      <c r="S998" s="271" t="s">
        <v>2079</v>
      </c>
      <c r="T998" s="272" t="s">
        <v>1139</v>
      </c>
    </row>
    <row r="999" spans="19:20">
      <c r="S999" s="271" t="s">
        <v>2080</v>
      </c>
      <c r="T999" s="272" t="s">
        <v>414</v>
      </c>
    </row>
    <row r="1000" spans="19:20">
      <c r="S1000" s="271" t="s">
        <v>2914</v>
      </c>
      <c r="T1000" s="272" t="s">
        <v>3265</v>
      </c>
    </row>
    <row r="1001" spans="19:20">
      <c r="S1001" s="271" t="s">
        <v>2081</v>
      </c>
      <c r="T1001" s="272" t="s">
        <v>415</v>
      </c>
    </row>
    <row r="1002" spans="19:20">
      <c r="S1002" s="271" t="s">
        <v>2082</v>
      </c>
      <c r="T1002" s="272" t="s">
        <v>416</v>
      </c>
    </row>
    <row r="1003" spans="19:20">
      <c r="S1003" s="271" t="s">
        <v>2915</v>
      </c>
      <c r="T1003" s="272" t="s">
        <v>3266</v>
      </c>
    </row>
    <row r="1004" spans="19:20">
      <c r="S1004" s="271" t="s">
        <v>2083</v>
      </c>
      <c r="T1004" s="272" t="s">
        <v>417</v>
      </c>
    </row>
    <row r="1005" spans="19:20">
      <c r="S1005" s="271" t="s">
        <v>2084</v>
      </c>
      <c r="T1005" s="272" t="s">
        <v>1025</v>
      </c>
    </row>
    <row r="1006" spans="19:20">
      <c r="S1006" s="271" t="s">
        <v>2916</v>
      </c>
      <c r="T1006" s="272" t="s">
        <v>3267</v>
      </c>
    </row>
    <row r="1007" spans="19:20">
      <c r="S1007" s="271" t="s">
        <v>2085</v>
      </c>
      <c r="T1007" s="272" t="s">
        <v>1026</v>
      </c>
    </row>
    <row r="1008" spans="19:20">
      <c r="S1008" s="271" t="s">
        <v>2917</v>
      </c>
      <c r="T1008" s="272" t="s">
        <v>3268</v>
      </c>
    </row>
    <row r="1009" spans="19:20">
      <c r="S1009" s="271" t="s">
        <v>2918</v>
      </c>
      <c r="T1009" s="272" t="s">
        <v>3269</v>
      </c>
    </row>
    <row r="1010" spans="19:20">
      <c r="S1010" s="271" t="s">
        <v>2919</v>
      </c>
      <c r="T1010" s="272" t="s">
        <v>3270</v>
      </c>
    </row>
    <row r="1011" spans="19:20">
      <c r="S1011" s="271" t="s">
        <v>2920</v>
      </c>
      <c r="T1011" s="272" t="s">
        <v>3271</v>
      </c>
    </row>
    <row r="1012" spans="19:20">
      <c r="S1012" s="271" t="s">
        <v>2086</v>
      </c>
      <c r="T1012" s="272" t="s">
        <v>2087</v>
      </c>
    </row>
    <row r="1013" spans="19:20">
      <c r="S1013" s="271" t="s">
        <v>2088</v>
      </c>
      <c r="T1013" s="272" t="s">
        <v>615</v>
      </c>
    </row>
    <row r="1014" spans="19:20">
      <c r="S1014" s="271" t="s">
        <v>2921</v>
      </c>
      <c r="T1014" s="272" t="s">
        <v>3272</v>
      </c>
    </row>
    <row r="1015" spans="19:20">
      <c r="S1015" s="271" t="s">
        <v>2089</v>
      </c>
      <c r="T1015" s="272" t="s">
        <v>535</v>
      </c>
    </row>
    <row r="1016" spans="19:20">
      <c r="S1016" s="271" t="s">
        <v>2090</v>
      </c>
      <c r="T1016" s="272" t="s">
        <v>765</v>
      </c>
    </row>
    <row r="1017" spans="19:20">
      <c r="S1017" s="271" t="s">
        <v>2091</v>
      </c>
      <c r="T1017" s="272" t="s">
        <v>2092</v>
      </c>
    </row>
    <row r="1018" spans="19:20">
      <c r="S1018" s="271" t="s">
        <v>2093</v>
      </c>
      <c r="T1018" s="272" t="s">
        <v>562</v>
      </c>
    </row>
    <row r="1019" spans="19:20">
      <c r="S1019" s="271" t="s">
        <v>2094</v>
      </c>
      <c r="T1019" s="272" t="s">
        <v>2095</v>
      </c>
    </row>
    <row r="1020" spans="19:20">
      <c r="S1020" s="271" t="s">
        <v>2096</v>
      </c>
      <c r="T1020" s="272" t="s">
        <v>418</v>
      </c>
    </row>
    <row r="1021" spans="19:20">
      <c r="S1021" s="271" t="s">
        <v>2097</v>
      </c>
      <c r="T1021" s="272" t="s">
        <v>419</v>
      </c>
    </row>
    <row r="1022" spans="19:20">
      <c r="S1022" s="271" t="s">
        <v>2922</v>
      </c>
      <c r="T1022" s="272" t="s">
        <v>3273</v>
      </c>
    </row>
    <row r="1023" spans="19:20">
      <c r="S1023" s="271" t="s">
        <v>2098</v>
      </c>
      <c r="T1023" s="272" t="s">
        <v>671</v>
      </c>
    </row>
    <row r="1024" spans="19:20">
      <c r="S1024" s="271" t="s">
        <v>2099</v>
      </c>
      <c r="T1024" s="272" t="s">
        <v>420</v>
      </c>
    </row>
    <row r="1025" spans="19:20">
      <c r="S1025" s="271" t="s">
        <v>2923</v>
      </c>
      <c r="T1025" s="272" t="s">
        <v>3274</v>
      </c>
    </row>
    <row r="1026" spans="19:20">
      <c r="S1026" s="271" t="s">
        <v>2100</v>
      </c>
      <c r="T1026" s="272" t="s">
        <v>1027</v>
      </c>
    </row>
    <row r="1027" spans="19:20">
      <c r="S1027" s="271" t="s">
        <v>2101</v>
      </c>
      <c r="T1027" s="272" t="s">
        <v>616</v>
      </c>
    </row>
    <row r="1028" spans="19:20">
      <c r="S1028" s="271" t="s">
        <v>2102</v>
      </c>
      <c r="T1028" s="272" t="s">
        <v>1028</v>
      </c>
    </row>
    <row r="1029" spans="19:20">
      <c r="S1029" s="271" t="s">
        <v>2103</v>
      </c>
      <c r="T1029" s="272" t="s">
        <v>776</v>
      </c>
    </row>
    <row r="1030" spans="19:20">
      <c r="S1030" s="271" t="s">
        <v>2104</v>
      </c>
      <c r="T1030" s="272" t="s">
        <v>2105</v>
      </c>
    </row>
    <row r="1031" spans="19:20">
      <c r="S1031" s="271" t="s">
        <v>2106</v>
      </c>
      <c r="T1031" s="272" t="s">
        <v>1029</v>
      </c>
    </row>
    <row r="1032" spans="19:20">
      <c r="S1032" s="271" t="s">
        <v>2107</v>
      </c>
      <c r="T1032" s="272" t="s">
        <v>1030</v>
      </c>
    </row>
    <row r="1033" spans="19:20">
      <c r="S1033" s="271" t="s">
        <v>2924</v>
      </c>
      <c r="T1033" s="272" t="s">
        <v>3275</v>
      </c>
    </row>
    <row r="1034" spans="19:20">
      <c r="S1034" s="271" t="s">
        <v>2925</v>
      </c>
      <c r="T1034" s="272" t="s">
        <v>3276</v>
      </c>
    </row>
    <row r="1035" spans="19:20">
      <c r="S1035" s="271" t="s">
        <v>2108</v>
      </c>
      <c r="T1035" s="272" t="s">
        <v>421</v>
      </c>
    </row>
    <row r="1036" spans="19:20">
      <c r="S1036" s="271" t="s">
        <v>2926</v>
      </c>
      <c r="T1036" s="272" t="s">
        <v>3277</v>
      </c>
    </row>
    <row r="1037" spans="19:20">
      <c r="S1037" s="271" t="s">
        <v>2109</v>
      </c>
      <c r="T1037" s="272" t="s">
        <v>1031</v>
      </c>
    </row>
    <row r="1038" spans="19:20">
      <c r="S1038" s="271" t="s">
        <v>2110</v>
      </c>
      <c r="T1038" s="272" t="s">
        <v>617</v>
      </c>
    </row>
    <row r="1039" spans="19:20">
      <c r="S1039" s="271" t="s">
        <v>2111</v>
      </c>
      <c r="T1039" s="272" t="s">
        <v>422</v>
      </c>
    </row>
    <row r="1040" spans="19:20">
      <c r="S1040" s="271" t="s">
        <v>2112</v>
      </c>
      <c r="T1040" s="272" t="s">
        <v>779</v>
      </c>
    </row>
    <row r="1041" spans="19:20">
      <c r="S1041" s="271" t="s">
        <v>2113</v>
      </c>
      <c r="T1041" s="272" t="s">
        <v>1032</v>
      </c>
    </row>
    <row r="1042" spans="19:20">
      <c r="S1042" s="271" t="s">
        <v>2114</v>
      </c>
      <c r="T1042" s="272" t="s">
        <v>618</v>
      </c>
    </row>
    <row r="1043" spans="19:20">
      <c r="S1043" s="271" t="s">
        <v>2115</v>
      </c>
      <c r="T1043" s="272" t="s">
        <v>423</v>
      </c>
    </row>
    <row r="1044" spans="19:20">
      <c r="S1044" s="271" t="s">
        <v>2116</v>
      </c>
      <c r="T1044" s="272" t="s">
        <v>424</v>
      </c>
    </row>
    <row r="1045" spans="19:20">
      <c r="S1045" s="271" t="s">
        <v>2117</v>
      </c>
      <c r="T1045" s="272" t="s">
        <v>425</v>
      </c>
    </row>
    <row r="1046" spans="19:20">
      <c r="S1046" s="271" t="s">
        <v>2927</v>
      </c>
      <c r="T1046" s="272" t="s">
        <v>3278</v>
      </c>
    </row>
    <row r="1047" spans="19:20">
      <c r="S1047" s="271" t="s">
        <v>2118</v>
      </c>
      <c r="T1047" s="272" t="s">
        <v>1033</v>
      </c>
    </row>
    <row r="1048" spans="19:20">
      <c r="S1048" s="271" t="s">
        <v>2119</v>
      </c>
      <c r="T1048" s="272" t="s">
        <v>426</v>
      </c>
    </row>
    <row r="1049" spans="19:20">
      <c r="S1049" s="271" t="s">
        <v>2120</v>
      </c>
      <c r="T1049" s="272" t="s">
        <v>427</v>
      </c>
    </row>
    <row r="1050" spans="19:20">
      <c r="S1050" s="271" t="s">
        <v>2121</v>
      </c>
      <c r="T1050" s="272" t="s">
        <v>2122</v>
      </c>
    </row>
    <row r="1051" spans="19:20">
      <c r="S1051" s="271" t="s">
        <v>2928</v>
      </c>
      <c r="T1051" s="272" t="s">
        <v>3279</v>
      </c>
    </row>
    <row r="1052" spans="19:20">
      <c r="S1052" s="271" t="s">
        <v>2123</v>
      </c>
      <c r="T1052" s="272" t="s">
        <v>1034</v>
      </c>
    </row>
    <row r="1053" spans="19:20">
      <c r="S1053" s="271" t="s">
        <v>2929</v>
      </c>
      <c r="T1053" s="272" t="s">
        <v>3280</v>
      </c>
    </row>
    <row r="1054" spans="19:20">
      <c r="S1054" s="271" t="s">
        <v>2930</v>
      </c>
      <c r="T1054" s="272" t="s">
        <v>3281</v>
      </c>
    </row>
    <row r="1055" spans="19:20">
      <c r="S1055" s="271" t="s">
        <v>2124</v>
      </c>
      <c r="T1055" s="272" t="s">
        <v>536</v>
      </c>
    </row>
    <row r="1056" spans="19:20">
      <c r="S1056" s="271" t="s">
        <v>2125</v>
      </c>
      <c r="T1056" s="272" t="s">
        <v>1035</v>
      </c>
    </row>
    <row r="1057" spans="19:20">
      <c r="S1057" s="271" t="s">
        <v>2126</v>
      </c>
      <c r="T1057" s="272" t="s">
        <v>428</v>
      </c>
    </row>
    <row r="1058" spans="19:20">
      <c r="S1058" s="271" t="s">
        <v>2127</v>
      </c>
      <c r="T1058" s="272" t="s">
        <v>429</v>
      </c>
    </row>
    <row r="1059" spans="19:20">
      <c r="S1059" s="271" t="s">
        <v>2931</v>
      </c>
      <c r="T1059" s="272" t="s">
        <v>3282</v>
      </c>
    </row>
    <row r="1060" spans="19:20">
      <c r="S1060" s="271" t="s">
        <v>2128</v>
      </c>
      <c r="T1060" s="272" t="s">
        <v>672</v>
      </c>
    </row>
    <row r="1061" spans="19:20">
      <c r="S1061" s="271" t="s">
        <v>2932</v>
      </c>
      <c r="T1061" s="272" t="s">
        <v>3283</v>
      </c>
    </row>
    <row r="1062" spans="19:20">
      <c r="S1062" s="271" t="s">
        <v>2129</v>
      </c>
      <c r="T1062" s="272" t="s">
        <v>430</v>
      </c>
    </row>
    <row r="1063" spans="19:20">
      <c r="S1063" s="271" t="s">
        <v>2130</v>
      </c>
      <c r="T1063" s="272" t="s">
        <v>1036</v>
      </c>
    </row>
    <row r="1064" spans="19:20">
      <c r="S1064" s="271" t="s">
        <v>2933</v>
      </c>
      <c r="T1064" s="272" t="s">
        <v>3284</v>
      </c>
    </row>
    <row r="1065" spans="19:20">
      <c r="S1065" s="271" t="s">
        <v>2934</v>
      </c>
      <c r="T1065" s="272" t="s">
        <v>3285</v>
      </c>
    </row>
    <row r="1066" spans="19:20">
      <c r="S1066" s="271" t="s">
        <v>2131</v>
      </c>
      <c r="T1066" s="272" t="s">
        <v>431</v>
      </c>
    </row>
    <row r="1067" spans="19:20">
      <c r="S1067" s="271" t="s">
        <v>2132</v>
      </c>
      <c r="T1067" s="272" t="s">
        <v>1037</v>
      </c>
    </row>
    <row r="1068" spans="19:20">
      <c r="S1068" s="271" t="s">
        <v>2133</v>
      </c>
      <c r="T1068" s="272" t="s">
        <v>1038</v>
      </c>
    </row>
    <row r="1069" spans="19:20">
      <c r="S1069" s="271" t="s">
        <v>2935</v>
      </c>
      <c r="T1069" s="272" t="s">
        <v>3286</v>
      </c>
    </row>
    <row r="1070" spans="19:20">
      <c r="S1070" s="271" t="s">
        <v>2134</v>
      </c>
      <c r="T1070" s="272" t="s">
        <v>1140</v>
      </c>
    </row>
    <row r="1071" spans="19:20">
      <c r="S1071" s="271" t="s">
        <v>2936</v>
      </c>
      <c r="T1071" s="272" t="s">
        <v>3287</v>
      </c>
    </row>
    <row r="1072" spans="19:20">
      <c r="S1072" s="271" t="s">
        <v>2937</v>
      </c>
      <c r="T1072" s="272" t="s">
        <v>3288</v>
      </c>
    </row>
    <row r="1073" spans="19:20">
      <c r="S1073" s="271" t="s">
        <v>2135</v>
      </c>
      <c r="T1073" s="272" t="s">
        <v>673</v>
      </c>
    </row>
    <row r="1074" spans="19:20">
      <c r="S1074" s="271" t="s">
        <v>2938</v>
      </c>
      <c r="T1074" s="272" t="s">
        <v>3289</v>
      </c>
    </row>
    <row r="1075" spans="19:20">
      <c r="S1075" s="271" t="s">
        <v>2136</v>
      </c>
      <c r="T1075" s="272" t="s">
        <v>537</v>
      </c>
    </row>
    <row r="1076" spans="19:20">
      <c r="S1076" s="271" t="s">
        <v>2939</v>
      </c>
      <c r="T1076" s="272" t="s">
        <v>3290</v>
      </c>
    </row>
    <row r="1077" spans="19:20">
      <c r="S1077" s="271" t="s">
        <v>2137</v>
      </c>
      <c r="T1077" s="272" t="s">
        <v>1039</v>
      </c>
    </row>
    <row r="1078" spans="19:20">
      <c r="S1078" s="271" t="s">
        <v>2138</v>
      </c>
      <c r="T1078" s="272" t="s">
        <v>432</v>
      </c>
    </row>
    <row r="1079" spans="19:20">
      <c r="S1079" s="271" t="s">
        <v>2139</v>
      </c>
      <c r="T1079" s="272" t="s">
        <v>2140</v>
      </c>
    </row>
    <row r="1080" spans="19:20">
      <c r="S1080" s="271" t="s">
        <v>2940</v>
      </c>
      <c r="T1080" s="272" t="s">
        <v>3291</v>
      </c>
    </row>
    <row r="1081" spans="19:20">
      <c r="S1081" s="271" t="s">
        <v>2941</v>
      </c>
      <c r="T1081" s="272" t="s">
        <v>3292</v>
      </c>
    </row>
    <row r="1082" spans="19:20">
      <c r="S1082" s="271" t="s">
        <v>2141</v>
      </c>
      <c r="T1082" s="272" t="s">
        <v>433</v>
      </c>
    </row>
    <row r="1083" spans="19:20">
      <c r="S1083" s="271" t="s">
        <v>2142</v>
      </c>
      <c r="T1083" s="272" t="s">
        <v>1040</v>
      </c>
    </row>
    <row r="1084" spans="19:20">
      <c r="S1084" s="271" t="s">
        <v>2143</v>
      </c>
      <c r="T1084" s="272" t="s">
        <v>1041</v>
      </c>
    </row>
    <row r="1085" spans="19:20">
      <c r="S1085" s="271" t="s">
        <v>2144</v>
      </c>
      <c r="T1085" s="272" t="s">
        <v>2145</v>
      </c>
    </row>
    <row r="1086" spans="19:20">
      <c r="S1086" s="271" t="s">
        <v>2146</v>
      </c>
      <c r="T1086" s="272" t="s">
        <v>674</v>
      </c>
    </row>
    <row r="1087" spans="19:20">
      <c r="S1087" s="271" t="s">
        <v>2147</v>
      </c>
      <c r="T1087" s="272" t="s">
        <v>1042</v>
      </c>
    </row>
    <row r="1088" spans="19:20">
      <c r="S1088" s="271" t="s">
        <v>2148</v>
      </c>
      <c r="T1088" s="272" t="s">
        <v>1043</v>
      </c>
    </row>
    <row r="1089" spans="19:20">
      <c r="S1089" s="271" t="s">
        <v>2149</v>
      </c>
      <c r="T1089" s="272" t="s">
        <v>2150</v>
      </c>
    </row>
    <row r="1090" spans="19:20">
      <c r="S1090" s="271" t="s">
        <v>2942</v>
      </c>
      <c r="T1090" s="272" t="s">
        <v>3293</v>
      </c>
    </row>
    <row r="1091" spans="19:20">
      <c r="S1091" s="271" t="s">
        <v>2943</v>
      </c>
      <c r="T1091" s="272" t="s">
        <v>3294</v>
      </c>
    </row>
    <row r="1092" spans="19:20">
      <c r="S1092" s="271" t="s">
        <v>2944</v>
      </c>
      <c r="T1092" s="272" t="s">
        <v>3295</v>
      </c>
    </row>
    <row r="1093" spans="19:20">
      <c r="S1093" s="271" t="s">
        <v>2151</v>
      </c>
      <c r="T1093" s="272" t="s">
        <v>1141</v>
      </c>
    </row>
    <row r="1094" spans="19:20">
      <c r="S1094" s="271" t="s">
        <v>2152</v>
      </c>
      <c r="T1094" s="272" t="s">
        <v>434</v>
      </c>
    </row>
    <row r="1095" spans="19:20">
      <c r="S1095" s="271" t="s">
        <v>2153</v>
      </c>
      <c r="T1095" s="272" t="s">
        <v>2154</v>
      </c>
    </row>
    <row r="1096" spans="19:20">
      <c r="S1096" s="271" t="s">
        <v>2155</v>
      </c>
      <c r="T1096" s="272" t="s">
        <v>1044</v>
      </c>
    </row>
    <row r="1097" spans="19:20">
      <c r="S1097" s="271" t="s">
        <v>2156</v>
      </c>
      <c r="T1097" s="272" t="s">
        <v>435</v>
      </c>
    </row>
    <row r="1098" spans="19:20">
      <c r="S1098" s="271" t="s">
        <v>2945</v>
      </c>
      <c r="T1098" s="272" t="s">
        <v>3296</v>
      </c>
    </row>
    <row r="1099" spans="19:20">
      <c r="S1099" s="271" t="s">
        <v>2157</v>
      </c>
      <c r="T1099" s="272" t="s">
        <v>1045</v>
      </c>
    </row>
    <row r="1100" spans="19:20">
      <c r="S1100" s="271" t="s">
        <v>1046</v>
      </c>
      <c r="T1100" s="272" t="s">
        <v>1046</v>
      </c>
    </row>
    <row r="1101" spans="19:20">
      <c r="S1101" s="271" t="s">
        <v>1205</v>
      </c>
      <c r="T1101" s="272" t="s">
        <v>1205</v>
      </c>
    </row>
    <row r="1102" spans="19:20">
      <c r="S1102" s="271" t="s">
        <v>2158</v>
      </c>
      <c r="T1102" s="272" t="s">
        <v>619</v>
      </c>
    </row>
    <row r="1103" spans="19:20">
      <c r="S1103" s="271" t="s">
        <v>2946</v>
      </c>
      <c r="T1103" s="272" t="s">
        <v>3297</v>
      </c>
    </row>
    <row r="1104" spans="19:20">
      <c r="S1104" s="271" t="s">
        <v>2159</v>
      </c>
      <c r="T1104" s="272" t="s">
        <v>1047</v>
      </c>
    </row>
    <row r="1105" spans="19:20">
      <c r="S1105" s="271" t="s">
        <v>2160</v>
      </c>
      <c r="T1105" s="272" t="s">
        <v>738</v>
      </c>
    </row>
    <row r="1106" spans="19:20">
      <c r="S1106" s="271" t="s">
        <v>2947</v>
      </c>
      <c r="T1106" s="272" t="s">
        <v>3298</v>
      </c>
    </row>
    <row r="1107" spans="19:20">
      <c r="S1107" s="271" t="s">
        <v>2162</v>
      </c>
      <c r="T1107" s="272" t="s">
        <v>1048</v>
      </c>
    </row>
    <row r="1108" spans="19:20">
      <c r="S1108" s="271" t="s">
        <v>2163</v>
      </c>
      <c r="T1108" s="272" t="s">
        <v>1049</v>
      </c>
    </row>
    <row r="1109" spans="19:20">
      <c r="S1109" s="271" t="s">
        <v>2164</v>
      </c>
      <c r="T1109" s="272" t="s">
        <v>620</v>
      </c>
    </row>
    <row r="1110" spans="19:20">
      <c r="S1110" s="271" t="s">
        <v>2165</v>
      </c>
      <c r="T1110" s="272" t="s">
        <v>436</v>
      </c>
    </row>
    <row r="1111" spans="19:20">
      <c r="S1111" s="271" t="s">
        <v>2166</v>
      </c>
      <c r="T1111" s="272" t="s">
        <v>621</v>
      </c>
    </row>
    <row r="1112" spans="19:20">
      <c r="S1112" s="271" t="s">
        <v>2167</v>
      </c>
      <c r="T1112" s="272" t="s">
        <v>437</v>
      </c>
    </row>
    <row r="1113" spans="19:20">
      <c r="S1113" s="271" t="s">
        <v>2168</v>
      </c>
      <c r="T1113" s="272" t="s">
        <v>622</v>
      </c>
    </row>
    <row r="1114" spans="19:20">
      <c r="S1114" s="271" t="s">
        <v>2169</v>
      </c>
      <c r="T1114" s="272" t="s">
        <v>438</v>
      </c>
    </row>
    <row r="1115" spans="19:20">
      <c r="S1115" s="271" t="s">
        <v>2170</v>
      </c>
      <c r="T1115" s="272" t="s">
        <v>1050</v>
      </c>
    </row>
    <row r="1116" spans="19:20">
      <c r="S1116" s="271" t="s">
        <v>2171</v>
      </c>
      <c r="T1116" s="272" t="s">
        <v>439</v>
      </c>
    </row>
    <row r="1117" spans="19:20">
      <c r="S1117" s="271" t="s">
        <v>2172</v>
      </c>
      <c r="T1117" s="272" t="s">
        <v>1051</v>
      </c>
    </row>
    <row r="1118" spans="19:20">
      <c r="S1118" s="271" t="s">
        <v>2948</v>
      </c>
      <c r="T1118" s="272" t="s">
        <v>3299</v>
      </c>
    </row>
    <row r="1119" spans="19:20">
      <c r="S1119" s="271" t="s">
        <v>2949</v>
      </c>
      <c r="T1119" s="272" t="s">
        <v>3300</v>
      </c>
    </row>
    <row r="1120" spans="19:20">
      <c r="S1120" s="271" t="s">
        <v>2950</v>
      </c>
      <c r="T1120" s="272" t="s">
        <v>3301</v>
      </c>
    </row>
    <row r="1121" spans="19:20">
      <c r="S1121" s="271" t="s">
        <v>2173</v>
      </c>
      <c r="T1121" s="272" t="s">
        <v>1052</v>
      </c>
    </row>
    <row r="1122" spans="19:20">
      <c r="S1122" s="271" t="s">
        <v>2951</v>
      </c>
      <c r="T1122" s="272" t="s">
        <v>3302</v>
      </c>
    </row>
    <row r="1123" spans="19:20">
      <c r="S1123" s="271" t="s">
        <v>2174</v>
      </c>
      <c r="T1123" s="272" t="s">
        <v>737</v>
      </c>
    </row>
    <row r="1124" spans="19:20">
      <c r="S1124" s="271" t="s">
        <v>2175</v>
      </c>
      <c r="T1124" s="272" t="s">
        <v>1053</v>
      </c>
    </row>
    <row r="1125" spans="19:20">
      <c r="S1125" s="271" t="s">
        <v>2176</v>
      </c>
      <c r="T1125" s="272" t="s">
        <v>1142</v>
      </c>
    </row>
    <row r="1126" spans="19:20">
      <c r="S1126" s="271" t="s">
        <v>2177</v>
      </c>
      <c r="T1126" s="272" t="s">
        <v>2178</v>
      </c>
    </row>
    <row r="1127" spans="19:20">
      <c r="S1127" s="271" t="s">
        <v>2179</v>
      </c>
      <c r="T1127" s="272" t="s">
        <v>1054</v>
      </c>
    </row>
    <row r="1128" spans="19:20">
      <c r="S1128" s="271" t="s">
        <v>2180</v>
      </c>
      <c r="T1128" s="272" t="s">
        <v>440</v>
      </c>
    </row>
    <row r="1129" spans="19:20">
      <c r="S1129" s="271" t="s">
        <v>2181</v>
      </c>
      <c r="T1129" s="272" t="s">
        <v>441</v>
      </c>
    </row>
    <row r="1130" spans="19:20">
      <c r="S1130" s="271" t="s">
        <v>2182</v>
      </c>
      <c r="T1130" s="272" t="s">
        <v>2183</v>
      </c>
    </row>
    <row r="1131" spans="19:20">
      <c r="S1131" s="271" t="s">
        <v>2184</v>
      </c>
      <c r="T1131" s="272" t="s">
        <v>1143</v>
      </c>
    </row>
    <row r="1132" spans="19:20">
      <c r="S1132" s="271" t="s">
        <v>2952</v>
      </c>
      <c r="T1132" s="272" t="s">
        <v>3303</v>
      </c>
    </row>
    <row r="1133" spans="19:20">
      <c r="S1133" s="271" t="s">
        <v>2185</v>
      </c>
      <c r="T1133" s="272" t="s">
        <v>675</v>
      </c>
    </row>
    <row r="1134" spans="19:20">
      <c r="S1134" s="271" t="s">
        <v>2953</v>
      </c>
      <c r="T1134" s="272" t="s">
        <v>3304</v>
      </c>
    </row>
    <row r="1135" spans="19:20">
      <c r="S1135" s="271" t="s">
        <v>2186</v>
      </c>
      <c r="T1135" s="272" t="s">
        <v>2187</v>
      </c>
    </row>
    <row r="1136" spans="19:20">
      <c r="S1136" s="271" t="s">
        <v>2188</v>
      </c>
      <c r="T1136" s="272" t="s">
        <v>1055</v>
      </c>
    </row>
    <row r="1137" spans="19:20">
      <c r="S1137" s="271" t="s">
        <v>2954</v>
      </c>
      <c r="T1137" s="272" t="s">
        <v>3305</v>
      </c>
    </row>
    <row r="1138" spans="19:20">
      <c r="S1138" s="271" t="s">
        <v>2189</v>
      </c>
      <c r="T1138" s="272" t="s">
        <v>581</v>
      </c>
    </row>
    <row r="1139" spans="19:20">
      <c r="S1139" s="271" t="s">
        <v>2955</v>
      </c>
      <c r="T1139" s="272" t="s">
        <v>3306</v>
      </c>
    </row>
    <row r="1140" spans="19:20">
      <c r="S1140" s="271" t="s">
        <v>2190</v>
      </c>
      <c r="T1140" s="272" t="s">
        <v>1056</v>
      </c>
    </row>
    <row r="1141" spans="19:20">
      <c r="S1141" s="271" t="s">
        <v>2191</v>
      </c>
      <c r="T1141" s="272" t="s">
        <v>442</v>
      </c>
    </row>
    <row r="1142" spans="19:20">
      <c r="S1142" s="271" t="s">
        <v>2192</v>
      </c>
      <c r="T1142" s="272" t="s">
        <v>676</v>
      </c>
    </row>
    <row r="1143" spans="19:20">
      <c r="S1143" s="271" t="s">
        <v>2193</v>
      </c>
      <c r="T1143" s="272" t="s">
        <v>1057</v>
      </c>
    </row>
    <row r="1144" spans="19:20">
      <c r="S1144" s="271" t="s">
        <v>2194</v>
      </c>
      <c r="T1144" s="272" t="s">
        <v>1144</v>
      </c>
    </row>
    <row r="1145" spans="19:20">
      <c r="S1145" s="271" t="s">
        <v>2956</v>
      </c>
      <c r="T1145" s="272" t="s">
        <v>3307</v>
      </c>
    </row>
    <row r="1146" spans="19:20">
      <c r="S1146" s="271" t="s">
        <v>2195</v>
      </c>
      <c r="T1146" s="272" t="s">
        <v>1058</v>
      </c>
    </row>
    <row r="1147" spans="19:20">
      <c r="S1147" s="271" t="s">
        <v>2196</v>
      </c>
      <c r="T1147" s="272" t="s">
        <v>771</v>
      </c>
    </row>
    <row r="1148" spans="19:20">
      <c r="S1148" s="271" t="s">
        <v>2197</v>
      </c>
      <c r="T1148" s="272" t="s">
        <v>2198</v>
      </c>
    </row>
    <row r="1149" spans="19:20">
      <c r="S1149" s="271" t="s">
        <v>2199</v>
      </c>
      <c r="T1149" s="272" t="s">
        <v>1059</v>
      </c>
    </row>
    <row r="1150" spans="19:20">
      <c r="S1150" s="271" t="s">
        <v>2957</v>
      </c>
      <c r="T1150" s="272" t="s">
        <v>3308</v>
      </c>
    </row>
    <row r="1151" spans="19:20">
      <c r="S1151" s="271" t="s">
        <v>2200</v>
      </c>
      <c r="T1151" s="272" t="s">
        <v>443</v>
      </c>
    </row>
    <row r="1152" spans="19:20">
      <c r="S1152" s="271" t="s">
        <v>2958</v>
      </c>
      <c r="T1152" s="272" t="s">
        <v>3309</v>
      </c>
    </row>
    <row r="1153" spans="19:20">
      <c r="S1153" s="271" t="s">
        <v>2201</v>
      </c>
      <c r="T1153" s="272" t="s">
        <v>2202</v>
      </c>
    </row>
    <row r="1154" spans="19:20">
      <c r="S1154" s="271" t="s">
        <v>2203</v>
      </c>
      <c r="T1154" s="272" t="s">
        <v>1060</v>
      </c>
    </row>
    <row r="1155" spans="19:20">
      <c r="S1155" s="271" t="s">
        <v>2204</v>
      </c>
      <c r="T1155" s="272" t="s">
        <v>2205</v>
      </c>
    </row>
    <row r="1156" spans="19:20">
      <c r="S1156" s="273" t="s">
        <v>2959</v>
      </c>
      <c r="T1156" s="272" t="s">
        <v>3310</v>
      </c>
    </row>
    <row r="1157" spans="19:20">
      <c r="S1157" s="273" t="s">
        <v>2960</v>
      </c>
      <c r="T1157" s="272" t="s">
        <v>3311</v>
      </c>
    </row>
    <row r="1158" spans="19:20">
      <c r="S1158" s="273" t="s">
        <v>2206</v>
      </c>
      <c r="T1158" s="272" t="s">
        <v>444</v>
      </c>
    </row>
    <row r="1159" spans="19:20">
      <c r="S1159" s="273" t="s">
        <v>2207</v>
      </c>
      <c r="T1159" s="272" t="s">
        <v>1061</v>
      </c>
    </row>
    <row r="1160" spans="19:20">
      <c r="S1160" s="273" t="s">
        <v>2208</v>
      </c>
      <c r="T1160" s="272" t="s">
        <v>1062</v>
      </c>
    </row>
    <row r="1161" spans="19:20">
      <c r="S1161" s="273" t="s">
        <v>2209</v>
      </c>
      <c r="T1161" s="272" t="s">
        <v>2210</v>
      </c>
    </row>
    <row r="1162" spans="19:20">
      <c r="S1162" s="273" t="s">
        <v>2211</v>
      </c>
      <c r="T1162" s="272" t="s">
        <v>445</v>
      </c>
    </row>
    <row r="1163" spans="19:20">
      <c r="S1163" s="273" t="s">
        <v>2212</v>
      </c>
      <c r="T1163" s="272" t="s">
        <v>446</v>
      </c>
    </row>
    <row r="1164" spans="19:20">
      <c r="S1164" s="273" t="s">
        <v>2961</v>
      </c>
      <c r="T1164" s="272" t="s">
        <v>3312</v>
      </c>
    </row>
    <row r="1165" spans="19:20">
      <c r="S1165" s="273" t="s">
        <v>2213</v>
      </c>
      <c r="T1165" s="272" t="s">
        <v>538</v>
      </c>
    </row>
    <row r="1166" spans="19:20">
      <c r="S1166" s="273" t="s">
        <v>2214</v>
      </c>
      <c r="T1166" s="272" t="s">
        <v>1063</v>
      </c>
    </row>
    <row r="1167" spans="19:20">
      <c r="S1167" s="273" t="s">
        <v>2215</v>
      </c>
      <c r="T1167" s="272" t="s">
        <v>1064</v>
      </c>
    </row>
    <row r="1168" spans="19:20">
      <c r="S1168" s="273" t="s">
        <v>2216</v>
      </c>
      <c r="T1168" s="272" t="s">
        <v>539</v>
      </c>
    </row>
    <row r="1169" spans="19:20">
      <c r="S1169" s="273" t="s">
        <v>2962</v>
      </c>
      <c r="T1169" s="272" t="s">
        <v>3313</v>
      </c>
    </row>
    <row r="1170" spans="19:20">
      <c r="S1170" s="273" t="s">
        <v>2217</v>
      </c>
      <c r="T1170" s="272" t="s">
        <v>1065</v>
      </c>
    </row>
    <row r="1171" spans="19:20">
      <c r="S1171" s="273" t="s">
        <v>2218</v>
      </c>
      <c r="T1171" s="272" t="s">
        <v>1066</v>
      </c>
    </row>
    <row r="1172" spans="19:20">
      <c r="S1172" s="273" t="s">
        <v>2963</v>
      </c>
      <c r="T1172" s="272" t="s">
        <v>3314</v>
      </c>
    </row>
    <row r="1173" spans="19:20">
      <c r="S1173" s="273" t="s">
        <v>2964</v>
      </c>
      <c r="T1173" s="272" t="s">
        <v>3315</v>
      </c>
    </row>
    <row r="1174" spans="19:20">
      <c r="S1174" s="273" t="s">
        <v>2965</v>
      </c>
      <c r="T1174" s="272" t="s">
        <v>3316</v>
      </c>
    </row>
    <row r="1175" spans="19:20">
      <c r="S1175" s="273" t="s">
        <v>2219</v>
      </c>
      <c r="T1175" s="272" t="s">
        <v>447</v>
      </c>
    </row>
    <row r="1176" spans="19:20">
      <c r="S1176" s="273" t="s">
        <v>2220</v>
      </c>
      <c r="T1176" s="272" t="s">
        <v>677</v>
      </c>
    </row>
    <row r="1177" spans="19:20">
      <c r="S1177" s="273" t="s">
        <v>2221</v>
      </c>
      <c r="T1177" s="272" t="s">
        <v>448</v>
      </c>
    </row>
    <row r="1178" spans="19:20">
      <c r="S1178" s="273" t="s">
        <v>2222</v>
      </c>
      <c r="T1178" s="272" t="s">
        <v>2223</v>
      </c>
    </row>
    <row r="1179" spans="19:20">
      <c r="S1179" s="273" t="s">
        <v>2224</v>
      </c>
      <c r="T1179" s="272" t="s">
        <v>449</v>
      </c>
    </row>
    <row r="1180" spans="19:20">
      <c r="S1180" s="273" t="s">
        <v>2225</v>
      </c>
      <c r="T1180" s="272" t="s">
        <v>678</v>
      </c>
    </row>
    <row r="1181" spans="19:20">
      <c r="S1181" s="273" t="s">
        <v>2226</v>
      </c>
      <c r="T1181" s="272" t="s">
        <v>1067</v>
      </c>
    </row>
    <row r="1182" spans="19:20">
      <c r="S1182" s="273" t="s">
        <v>2966</v>
      </c>
      <c r="T1182" s="272" t="s">
        <v>3317</v>
      </c>
    </row>
    <row r="1183" spans="19:20">
      <c r="S1183" s="273" t="s">
        <v>2227</v>
      </c>
      <c r="T1183" s="272" t="s">
        <v>450</v>
      </c>
    </row>
    <row r="1184" spans="19:20">
      <c r="S1184" s="273" t="s">
        <v>2967</v>
      </c>
      <c r="T1184" s="272" t="s">
        <v>3318</v>
      </c>
    </row>
    <row r="1185" spans="19:20">
      <c r="S1185" s="273" t="s">
        <v>2968</v>
      </c>
      <c r="T1185" s="272" t="s">
        <v>3319</v>
      </c>
    </row>
    <row r="1186" spans="19:20">
      <c r="S1186" s="273" t="s">
        <v>2228</v>
      </c>
      <c r="T1186" s="272" t="s">
        <v>451</v>
      </c>
    </row>
    <row r="1187" spans="19:20">
      <c r="S1187" s="273" t="s">
        <v>2969</v>
      </c>
      <c r="T1187" s="272" t="s">
        <v>3320</v>
      </c>
    </row>
    <row r="1188" spans="19:20">
      <c r="S1188" s="273" t="s">
        <v>2229</v>
      </c>
      <c r="T1188" s="272" t="s">
        <v>2230</v>
      </c>
    </row>
    <row r="1189" spans="19:20">
      <c r="S1189" s="273" t="s">
        <v>2970</v>
      </c>
      <c r="T1189" s="272" t="s">
        <v>3321</v>
      </c>
    </row>
    <row r="1190" spans="19:20">
      <c r="S1190" s="273" t="s">
        <v>2231</v>
      </c>
      <c r="T1190" s="272" t="s">
        <v>1145</v>
      </c>
    </row>
    <row r="1191" spans="19:20">
      <c r="S1191" s="273" t="s">
        <v>2232</v>
      </c>
      <c r="T1191" s="272" t="s">
        <v>452</v>
      </c>
    </row>
    <row r="1192" spans="19:20">
      <c r="S1192" s="273" t="s">
        <v>2971</v>
      </c>
      <c r="T1192" s="272" t="s">
        <v>3322</v>
      </c>
    </row>
    <row r="1193" spans="19:20">
      <c r="S1193" s="273" t="s">
        <v>2233</v>
      </c>
      <c r="T1193" s="272" t="s">
        <v>1068</v>
      </c>
    </row>
    <row r="1194" spans="19:20">
      <c r="S1194" s="273" t="s">
        <v>2234</v>
      </c>
      <c r="T1194" s="272" t="s">
        <v>1069</v>
      </c>
    </row>
    <row r="1195" spans="19:20">
      <c r="S1195" s="273" t="s">
        <v>2972</v>
      </c>
      <c r="T1195" s="272" t="s">
        <v>3323</v>
      </c>
    </row>
    <row r="1196" spans="19:20">
      <c r="S1196" s="273" t="s">
        <v>2235</v>
      </c>
      <c r="T1196" s="272" t="s">
        <v>623</v>
      </c>
    </row>
    <row r="1197" spans="19:20">
      <c r="S1197" s="273" t="s">
        <v>2236</v>
      </c>
      <c r="T1197" s="272" t="s">
        <v>1070</v>
      </c>
    </row>
    <row r="1198" spans="19:20">
      <c r="S1198" s="273" t="s">
        <v>2237</v>
      </c>
      <c r="T1198" s="272" t="s">
        <v>1071</v>
      </c>
    </row>
    <row r="1199" spans="19:20">
      <c r="S1199" s="273" t="s">
        <v>2973</v>
      </c>
      <c r="T1199" s="272" t="s">
        <v>3324</v>
      </c>
    </row>
    <row r="1200" spans="19:20">
      <c r="S1200" s="273" t="s">
        <v>2238</v>
      </c>
      <c r="T1200" s="272" t="s">
        <v>2239</v>
      </c>
    </row>
    <row r="1201" spans="19:20">
      <c r="S1201" s="273" t="s">
        <v>2240</v>
      </c>
      <c r="T1201" s="272" t="s">
        <v>1072</v>
      </c>
    </row>
    <row r="1202" spans="19:20">
      <c r="S1202" s="273" t="s">
        <v>2241</v>
      </c>
      <c r="T1202" s="272" t="s">
        <v>739</v>
      </c>
    </row>
    <row r="1203" spans="19:20">
      <c r="S1203" s="273" t="s">
        <v>2242</v>
      </c>
      <c r="T1203" s="272" t="s">
        <v>1073</v>
      </c>
    </row>
    <row r="1204" spans="19:20">
      <c r="S1204" s="273" t="s">
        <v>2243</v>
      </c>
      <c r="T1204" s="272" t="s">
        <v>2244</v>
      </c>
    </row>
    <row r="1205" spans="19:20">
      <c r="S1205" s="273" t="s">
        <v>2245</v>
      </c>
      <c r="T1205" s="272" t="s">
        <v>2246</v>
      </c>
    </row>
    <row r="1206" spans="19:20">
      <c r="S1206" s="273" t="s">
        <v>2247</v>
      </c>
      <c r="T1206" s="272" t="s">
        <v>453</v>
      </c>
    </row>
    <row r="1207" spans="19:20">
      <c r="S1207" s="273" t="s">
        <v>2974</v>
      </c>
      <c r="T1207" s="272" t="s">
        <v>3325</v>
      </c>
    </row>
    <row r="1208" spans="19:20">
      <c r="S1208" s="273" t="s">
        <v>2248</v>
      </c>
      <c r="T1208" s="272" t="s">
        <v>454</v>
      </c>
    </row>
    <row r="1209" spans="19:20">
      <c r="S1209" s="273" t="s">
        <v>2975</v>
      </c>
      <c r="T1209" s="272" t="s">
        <v>3326</v>
      </c>
    </row>
    <row r="1210" spans="19:20">
      <c r="S1210" s="273" t="s">
        <v>2249</v>
      </c>
      <c r="T1210" s="272" t="s">
        <v>1074</v>
      </c>
    </row>
    <row r="1211" spans="19:20">
      <c r="S1211" s="273" t="s">
        <v>2976</v>
      </c>
      <c r="T1211" s="272" t="s">
        <v>3327</v>
      </c>
    </row>
    <row r="1212" spans="19:20">
      <c r="S1212" s="273" t="s">
        <v>2250</v>
      </c>
      <c r="T1212" s="272" t="s">
        <v>679</v>
      </c>
    </row>
    <row r="1213" spans="19:20">
      <c r="S1213" s="273" t="s">
        <v>2977</v>
      </c>
      <c r="T1213" s="272" t="s">
        <v>3328</v>
      </c>
    </row>
    <row r="1214" spans="19:20">
      <c r="S1214" s="273" t="s">
        <v>2251</v>
      </c>
      <c r="T1214" s="272" t="s">
        <v>455</v>
      </c>
    </row>
    <row r="1215" spans="19:20">
      <c r="S1215" s="273" t="s">
        <v>2978</v>
      </c>
      <c r="T1215" s="272" t="s">
        <v>3329</v>
      </c>
    </row>
    <row r="1216" spans="19:20">
      <c r="S1216" s="273" t="s">
        <v>2252</v>
      </c>
      <c r="T1216" s="272" t="s">
        <v>680</v>
      </c>
    </row>
    <row r="1217" spans="19:20">
      <c r="S1217" s="273" t="s">
        <v>2979</v>
      </c>
      <c r="T1217" s="272" t="s">
        <v>3330</v>
      </c>
    </row>
    <row r="1218" spans="19:20">
      <c r="S1218" s="273" t="s">
        <v>2980</v>
      </c>
      <c r="T1218" s="272" t="s">
        <v>3331</v>
      </c>
    </row>
    <row r="1219" spans="19:20">
      <c r="S1219" s="273" t="s">
        <v>2253</v>
      </c>
      <c r="T1219" s="272" t="s">
        <v>624</v>
      </c>
    </row>
    <row r="1220" spans="19:20">
      <c r="S1220" s="273" t="s">
        <v>2981</v>
      </c>
      <c r="T1220" s="272" t="s">
        <v>3332</v>
      </c>
    </row>
    <row r="1221" spans="19:20">
      <c r="S1221" s="273" t="s">
        <v>2982</v>
      </c>
      <c r="T1221" s="272" t="s">
        <v>3333</v>
      </c>
    </row>
    <row r="1222" spans="19:20">
      <c r="S1222" s="273" t="s">
        <v>2254</v>
      </c>
      <c r="T1222" s="272" t="s">
        <v>555</v>
      </c>
    </row>
    <row r="1223" spans="19:20">
      <c r="S1223" s="273" t="s">
        <v>2255</v>
      </c>
      <c r="T1223" s="272" t="s">
        <v>760</v>
      </c>
    </row>
    <row r="1224" spans="19:20">
      <c r="S1224" s="273" t="s">
        <v>2256</v>
      </c>
      <c r="T1224" s="272" t="s">
        <v>1075</v>
      </c>
    </row>
    <row r="1225" spans="19:20">
      <c r="S1225" s="273" t="s">
        <v>2257</v>
      </c>
      <c r="T1225" s="272" t="s">
        <v>740</v>
      </c>
    </row>
    <row r="1226" spans="19:20">
      <c r="S1226" s="273" t="s">
        <v>2983</v>
      </c>
      <c r="T1226" s="272" t="s">
        <v>3334</v>
      </c>
    </row>
    <row r="1227" spans="19:20">
      <c r="S1227" s="273" t="s">
        <v>2258</v>
      </c>
      <c r="T1227" s="272" t="s">
        <v>456</v>
      </c>
    </row>
    <row r="1228" spans="19:20">
      <c r="S1228" s="273" t="s">
        <v>2259</v>
      </c>
      <c r="T1228" s="272" t="s">
        <v>540</v>
      </c>
    </row>
    <row r="1229" spans="19:20">
      <c r="S1229" s="273" t="s">
        <v>2260</v>
      </c>
      <c r="T1229" s="272" t="s">
        <v>457</v>
      </c>
    </row>
    <row r="1230" spans="19:20">
      <c r="S1230" s="273" t="s">
        <v>2261</v>
      </c>
      <c r="T1230" s="272" t="s">
        <v>1076</v>
      </c>
    </row>
    <row r="1231" spans="19:20">
      <c r="S1231" s="273" t="s">
        <v>2984</v>
      </c>
      <c r="T1231" s="272" t="s">
        <v>3335</v>
      </c>
    </row>
    <row r="1232" spans="19:20">
      <c r="S1232" s="273" t="s">
        <v>2985</v>
      </c>
      <c r="T1232" s="272" t="s">
        <v>3336</v>
      </c>
    </row>
    <row r="1233" spans="19:20">
      <c r="S1233" s="273" t="s">
        <v>2262</v>
      </c>
      <c r="T1233" s="272" t="s">
        <v>458</v>
      </c>
    </row>
    <row r="1234" spans="19:20">
      <c r="S1234" s="273" t="s">
        <v>2986</v>
      </c>
      <c r="T1234" s="272" t="s">
        <v>3337</v>
      </c>
    </row>
    <row r="1235" spans="19:20">
      <c r="S1235" s="273" t="s">
        <v>2263</v>
      </c>
      <c r="T1235" s="272" t="s">
        <v>2264</v>
      </c>
    </row>
    <row r="1236" spans="19:20">
      <c r="S1236" s="273" t="s">
        <v>2265</v>
      </c>
      <c r="T1236" s="272" t="s">
        <v>459</v>
      </c>
    </row>
    <row r="1237" spans="19:20">
      <c r="S1237" s="273" t="s">
        <v>2266</v>
      </c>
      <c r="T1237" s="272" t="s">
        <v>741</v>
      </c>
    </row>
    <row r="1238" spans="19:20">
      <c r="S1238" s="273" t="s">
        <v>2267</v>
      </c>
      <c r="T1238" s="272" t="s">
        <v>2268</v>
      </c>
    </row>
    <row r="1239" spans="19:20">
      <c r="S1239" s="273" t="s">
        <v>2269</v>
      </c>
      <c r="T1239" s="272" t="s">
        <v>1077</v>
      </c>
    </row>
    <row r="1240" spans="19:20">
      <c r="S1240" s="273" t="s">
        <v>2987</v>
      </c>
      <c r="T1240" s="272" t="s">
        <v>3338</v>
      </c>
    </row>
    <row r="1241" spans="19:20">
      <c r="S1241" s="273" t="s">
        <v>2270</v>
      </c>
      <c r="T1241" s="272" t="s">
        <v>773</v>
      </c>
    </row>
    <row r="1242" spans="19:20">
      <c r="S1242" s="273" t="s">
        <v>2988</v>
      </c>
      <c r="T1242" s="272" t="s">
        <v>3339</v>
      </c>
    </row>
    <row r="1243" spans="19:20">
      <c r="S1243" s="273" t="s">
        <v>2271</v>
      </c>
      <c r="T1243" s="272" t="s">
        <v>625</v>
      </c>
    </row>
    <row r="1244" spans="19:20">
      <c r="S1244" s="273" t="s">
        <v>2989</v>
      </c>
      <c r="T1244" s="272" t="s">
        <v>3340</v>
      </c>
    </row>
    <row r="1245" spans="19:20">
      <c r="S1245" s="273" t="s">
        <v>2272</v>
      </c>
      <c r="T1245" s="272" t="s">
        <v>1146</v>
      </c>
    </row>
    <row r="1246" spans="19:20">
      <c r="S1246" s="273" t="s">
        <v>2990</v>
      </c>
      <c r="T1246" s="272" t="s">
        <v>3341</v>
      </c>
    </row>
    <row r="1247" spans="19:20">
      <c r="S1247" s="273" t="s">
        <v>2273</v>
      </c>
      <c r="T1247" s="272" t="s">
        <v>2274</v>
      </c>
    </row>
    <row r="1248" spans="19:20">
      <c r="S1248" s="273" t="s">
        <v>2275</v>
      </c>
      <c r="T1248" s="272" t="s">
        <v>1078</v>
      </c>
    </row>
    <row r="1249" spans="19:20">
      <c r="S1249" s="273" t="s">
        <v>2276</v>
      </c>
      <c r="T1249" s="272" t="s">
        <v>681</v>
      </c>
    </row>
    <row r="1250" spans="19:20">
      <c r="S1250" s="273" t="s">
        <v>2277</v>
      </c>
      <c r="T1250" s="272" t="s">
        <v>1079</v>
      </c>
    </row>
    <row r="1251" spans="19:20">
      <c r="S1251" s="273" t="s">
        <v>2278</v>
      </c>
      <c r="T1251" s="272" t="s">
        <v>460</v>
      </c>
    </row>
    <row r="1252" spans="19:20">
      <c r="S1252" s="273" t="s">
        <v>2991</v>
      </c>
      <c r="T1252" s="272" t="s">
        <v>3342</v>
      </c>
    </row>
    <row r="1253" spans="19:20">
      <c r="S1253" s="273" t="s">
        <v>2279</v>
      </c>
      <c r="T1253" s="272" t="s">
        <v>461</v>
      </c>
    </row>
    <row r="1254" spans="19:20">
      <c r="S1254" s="273" t="s">
        <v>2280</v>
      </c>
      <c r="T1254" s="272" t="s">
        <v>2281</v>
      </c>
    </row>
    <row r="1255" spans="19:20">
      <c r="S1255" s="273" t="s">
        <v>2282</v>
      </c>
      <c r="T1255" s="272" t="s">
        <v>1080</v>
      </c>
    </row>
    <row r="1256" spans="19:20">
      <c r="S1256" s="273" t="s">
        <v>2992</v>
      </c>
      <c r="T1256" s="272" t="s">
        <v>3343</v>
      </c>
    </row>
    <row r="1257" spans="19:20">
      <c r="S1257" s="273" t="s">
        <v>2283</v>
      </c>
      <c r="T1257" s="272" t="s">
        <v>1081</v>
      </c>
    </row>
    <row r="1258" spans="19:20">
      <c r="S1258" s="273" t="s">
        <v>2284</v>
      </c>
      <c r="T1258" s="272" t="s">
        <v>626</v>
      </c>
    </row>
    <row r="1259" spans="19:20">
      <c r="S1259" s="273" t="s">
        <v>2285</v>
      </c>
      <c r="T1259" s="272" t="s">
        <v>462</v>
      </c>
    </row>
    <row r="1260" spans="19:20">
      <c r="S1260" s="273" t="s">
        <v>2286</v>
      </c>
      <c r="T1260" s="272" t="s">
        <v>463</v>
      </c>
    </row>
    <row r="1261" spans="19:20">
      <c r="S1261" s="273" t="s">
        <v>2287</v>
      </c>
      <c r="T1261" s="272" t="s">
        <v>464</v>
      </c>
    </row>
    <row r="1262" spans="19:20">
      <c r="S1262" s="273" t="s">
        <v>2288</v>
      </c>
      <c r="T1262" s="272" t="s">
        <v>541</v>
      </c>
    </row>
    <row r="1263" spans="19:20">
      <c r="S1263" s="273" t="s">
        <v>2289</v>
      </c>
      <c r="T1263" s="272" t="s">
        <v>627</v>
      </c>
    </row>
    <row r="1264" spans="19:20">
      <c r="S1264" s="273" t="s">
        <v>2290</v>
      </c>
      <c r="T1264" s="272" t="s">
        <v>465</v>
      </c>
    </row>
    <row r="1265" spans="19:20">
      <c r="S1265" s="273" t="s">
        <v>2993</v>
      </c>
      <c r="T1265" s="272" t="s">
        <v>3344</v>
      </c>
    </row>
    <row r="1266" spans="19:20">
      <c r="S1266" s="273" t="s">
        <v>2291</v>
      </c>
      <c r="T1266" s="272" t="s">
        <v>1082</v>
      </c>
    </row>
    <row r="1267" spans="19:20">
      <c r="S1267" s="273" t="s">
        <v>2292</v>
      </c>
      <c r="T1267" s="272" t="s">
        <v>2293</v>
      </c>
    </row>
    <row r="1268" spans="19:20">
      <c r="S1268" s="273" t="s">
        <v>2994</v>
      </c>
      <c r="T1268" s="272" t="s">
        <v>3345</v>
      </c>
    </row>
    <row r="1269" spans="19:20">
      <c r="S1269" s="273" t="s">
        <v>2995</v>
      </c>
      <c r="T1269" s="272" t="s">
        <v>3346</v>
      </c>
    </row>
    <row r="1270" spans="19:20">
      <c r="S1270" s="273" t="s">
        <v>2996</v>
      </c>
      <c r="T1270" s="272" t="s">
        <v>3347</v>
      </c>
    </row>
    <row r="1271" spans="19:20">
      <c r="S1271" s="273" t="s">
        <v>2294</v>
      </c>
      <c r="T1271" s="272" t="s">
        <v>466</v>
      </c>
    </row>
    <row r="1272" spans="19:20">
      <c r="S1272" s="273" t="s">
        <v>2997</v>
      </c>
      <c r="T1272" s="272" t="s">
        <v>3348</v>
      </c>
    </row>
    <row r="1273" spans="19:20">
      <c r="S1273" s="273" t="s">
        <v>2998</v>
      </c>
      <c r="T1273" s="272" t="s">
        <v>3349</v>
      </c>
    </row>
    <row r="1274" spans="19:20">
      <c r="S1274" s="273" t="s">
        <v>2295</v>
      </c>
      <c r="T1274" s="272" t="s">
        <v>1147</v>
      </c>
    </row>
    <row r="1275" spans="19:20">
      <c r="S1275" s="273" t="s">
        <v>2296</v>
      </c>
      <c r="T1275" s="272" t="s">
        <v>467</v>
      </c>
    </row>
    <row r="1276" spans="19:20">
      <c r="S1276" s="273" t="s">
        <v>2297</v>
      </c>
      <c r="T1276" s="272" t="s">
        <v>468</v>
      </c>
    </row>
    <row r="1277" spans="19:20">
      <c r="S1277" s="273" t="s">
        <v>2298</v>
      </c>
      <c r="T1277" s="272" t="s">
        <v>1083</v>
      </c>
    </row>
    <row r="1278" spans="19:20">
      <c r="S1278" s="273" t="s">
        <v>2299</v>
      </c>
      <c r="T1278" s="272" t="s">
        <v>1084</v>
      </c>
    </row>
    <row r="1279" spans="19:20">
      <c r="S1279" s="273" t="s">
        <v>2300</v>
      </c>
      <c r="T1279" s="272" t="s">
        <v>1085</v>
      </c>
    </row>
    <row r="1280" spans="19:20">
      <c r="S1280" s="273" t="s">
        <v>2301</v>
      </c>
      <c r="T1280" s="272" t="s">
        <v>469</v>
      </c>
    </row>
    <row r="1281" spans="19:20">
      <c r="S1281" s="273" t="s">
        <v>2302</v>
      </c>
      <c r="T1281" s="272" t="s">
        <v>470</v>
      </c>
    </row>
    <row r="1282" spans="19:20">
      <c r="S1282" s="273" t="s">
        <v>2303</v>
      </c>
      <c r="T1282" s="272" t="s">
        <v>542</v>
      </c>
    </row>
    <row r="1283" spans="19:20">
      <c r="S1283" s="273" t="s">
        <v>2304</v>
      </c>
      <c r="T1283" s="272" t="s">
        <v>471</v>
      </c>
    </row>
    <row r="1284" spans="19:20">
      <c r="S1284" s="273" t="s">
        <v>2305</v>
      </c>
      <c r="T1284" s="272" t="s">
        <v>472</v>
      </c>
    </row>
    <row r="1285" spans="19:20">
      <c r="S1285" s="273" t="s">
        <v>2306</v>
      </c>
      <c r="T1285" s="272" t="s">
        <v>742</v>
      </c>
    </row>
    <row r="1286" spans="19:20">
      <c r="S1286" s="273" t="s">
        <v>2307</v>
      </c>
      <c r="T1286" s="272" t="s">
        <v>682</v>
      </c>
    </row>
    <row r="1287" spans="19:20">
      <c r="S1287" s="273" t="s">
        <v>2308</v>
      </c>
      <c r="T1287" s="272" t="s">
        <v>1086</v>
      </c>
    </row>
    <row r="1288" spans="19:20">
      <c r="S1288" s="273" t="s">
        <v>2309</v>
      </c>
      <c r="T1288" s="272" t="s">
        <v>683</v>
      </c>
    </row>
    <row r="1289" spans="19:20">
      <c r="S1289" s="273" t="s">
        <v>2999</v>
      </c>
      <c r="T1289" s="272" t="s">
        <v>3350</v>
      </c>
    </row>
    <row r="1290" spans="19:20">
      <c r="S1290" s="273" t="s">
        <v>2310</v>
      </c>
      <c r="T1290" s="272" t="s">
        <v>473</v>
      </c>
    </row>
    <row r="1291" spans="19:20">
      <c r="S1291" s="273" t="s">
        <v>2311</v>
      </c>
      <c r="T1291" s="272" t="s">
        <v>2312</v>
      </c>
    </row>
    <row r="1292" spans="19:20">
      <c r="S1292" s="273" t="s">
        <v>2313</v>
      </c>
      <c r="T1292" s="272" t="s">
        <v>474</v>
      </c>
    </row>
    <row r="1293" spans="19:20">
      <c r="S1293" s="273" t="s">
        <v>2314</v>
      </c>
      <c r="T1293" s="272" t="s">
        <v>1087</v>
      </c>
    </row>
    <row r="1294" spans="19:20">
      <c r="S1294" s="273" t="s">
        <v>2315</v>
      </c>
      <c r="T1294" s="272" t="s">
        <v>1088</v>
      </c>
    </row>
    <row r="1295" spans="19:20">
      <c r="S1295" s="273" t="s">
        <v>2316</v>
      </c>
      <c r="T1295" s="272" t="s">
        <v>2317</v>
      </c>
    </row>
    <row r="1296" spans="19:20">
      <c r="S1296" s="273" t="s">
        <v>2318</v>
      </c>
      <c r="T1296" s="272" t="s">
        <v>568</v>
      </c>
    </row>
    <row r="1297" spans="19:20">
      <c r="S1297" s="273" t="s">
        <v>2319</v>
      </c>
      <c r="T1297" s="272" t="s">
        <v>628</v>
      </c>
    </row>
    <row r="1298" spans="19:20">
      <c r="S1298" s="273" t="s">
        <v>2320</v>
      </c>
      <c r="T1298" s="272" t="s">
        <v>1089</v>
      </c>
    </row>
    <row r="1299" spans="19:20">
      <c r="S1299" s="273" t="s">
        <v>2321</v>
      </c>
      <c r="T1299" s="272" t="s">
        <v>1090</v>
      </c>
    </row>
    <row r="1300" spans="19:20">
      <c r="S1300" s="273" t="s">
        <v>2322</v>
      </c>
      <c r="T1300" s="272" t="s">
        <v>2323</v>
      </c>
    </row>
    <row r="1301" spans="19:20">
      <c r="S1301" s="273" t="s">
        <v>3000</v>
      </c>
      <c r="T1301" s="272" t="s">
        <v>3351</v>
      </c>
    </row>
    <row r="1302" spans="19:20">
      <c r="S1302" s="273" t="s">
        <v>3001</v>
      </c>
      <c r="T1302" s="272" t="s">
        <v>3352</v>
      </c>
    </row>
    <row r="1303" spans="19:20">
      <c r="S1303" s="273" t="s">
        <v>2324</v>
      </c>
      <c r="T1303" s="272" t="s">
        <v>1091</v>
      </c>
    </row>
    <row r="1304" spans="19:20">
      <c r="S1304" s="273" t="s">
        <v>2325</v>
      </c>
      <c r="T1304" s="272" t="s">
        <v>1092</v>
      </c>
    </row>
    <row r="1305" spans="19:20">
      <c r="S1305" s="273" t="s">
        <v>2326</v>
      </c>
      <c r="T1305" s="272" t="s">
        <v>629</v>
      </c>
    </row>
    <row r="1306" spans="19:20">
      <c r="S1306" s="273" t="s">
        <v>3002</v>
      </c>
      <c r="T1306" s="272" t="s">
        <v>3353</v>
      </c>
    </row>
    <row r="1307" spans="19:20">
      <c r="S1307" s="273" t="s">
        <v>2327</v>
      </c>
      <c r="T1307" s="272" t="s">
        <v>475</v>
      </c>
    </row>
    <row r="1308" spans="19:20">
      <c r="S1308" s="273" t="s">
        <v>2328</v>
      </c>
      <c r="T1308" s="272" t="s">
        <v>476</v>
      </c>
    </row>
    <row r="1309" spans="19:20">
      <c r="S1309" s="273" t="s">
        <v>2329</v>
      </c>
      <c r="T1309" s="272" t="s">
        <v>477</v>
      </c>
    </row>
    <row r="1310" spans="19:20">
      <c r="S1310" s="273" t="s">
        <v>2330</v>
      </c>
      <c r="T1310" s="272" t="s">
        <v>630</v>
      </c>
    </row>
    <row r="1311" spans="19:20">
      <c r="S1311" s="273" t="s">
        <v>2331</v>
      </c>
      <c r="T1311" s="272" t="s">
        <v>761</v>
      </c>
    </row>
    <row r="1312" spans="19:20">
      <c r="S1312" s="273" t="s">
        <v>2332</v>
      </c>
      <c r="T1312" s="272" t="s">
        <v>768</v>
      </c>
    </row>
    <row r="1313" spans="19:20">
      <c r="S1313" s="273" t="s">
        <v>2333</v>
      </c>
      <c r="T1313" s="272" t="s">
        <v>1148</v>
      </c>
    </row>
    <row r="1314" spans="19:20">
      <c r="S1314" s="273" t="s">
        <v>2334</v>
      </c>
      <c r="T1314" s="272" t="s">
        <v>478</v>
      </c>
    </row>
    <row r="1315" spans="19:20">
      <c r="S1315" s="273" t="s">
        <v>2335</v>
      </c>
      <c r="T1315" s="272" t="s">
        <v>684</v>
      </c>
    </row>
    <row r="1316" spans="19:20">
      <c r="S1316" s="273" t="s">
        <v>479</v>
      </c>
      <c r="T1316" s="272" t="s">
        <v>479</v>
      </c>
    </row>
    <row r="1317" spans="19:20">
      <c r="S1317" s="273" t="s">
        <v>3003</v>
      </c>
      <c r="T1317" s="272" t="s">
        <v>3354</v>
      </c>
    </row>
    <row r="1318" spans="19:20">
      <c r="S1318" s="273" t="s">
        <v>2336</v>
      </c>
      <c r="T1318" s="272" t="s">
        <v>480</v>
      </c>
    </row>
    <row r="1319" spans="19:20">
      <c r="S1319" s="273" t="s">
        <v>2337</v>
      </c>
      <c r="T1319" s="272" t="s">
        <v>481</v>
      </c>
    </row>
    <row r="1320" spans="19:20">
      <c r="S1320" s="273" t="s">
        <v>2338</v>
      </c>
      <c r="T1320" s="272" t="s">
        <v>543</v>
      </c>
    </row>
    <row r="1321" spans="19:20">
      <c r="S1321" s="273" t="s">
        <v>3004</v>
      </c>
      <c r="T1321" s="272" t="s">
        <v>3355</v>
      </c>
    </row>
    <row r="1322" spans="19:20">
      <c r="S1322" s="273" t="s">
        <v>2339</v>
      </c>
      <c r="T1322" s="272" t="s">
        <v>685</v>
      </c>
    </row>
    <row r="1323" spans="19:20">
      <c r="S1323" s="273" t="s">
        <v>2340</v>
      </c>
      <c r="T1323" s="272" t="s">
        <v>1093</v>
      </c>
    </row>
    <row r="1324" spans="19:20">
      <c r="S1324" s="273" t="s">
        <v>2341</v>
      </c>
      <c r="T1324" s="272" t="s">
        <v>2342</v>
      </c>
    </row>
    <row r="1325" spans="19:20">
      <c r="S1325" s="273" t="s">
        <v>3005</v>
      </c>
      <c r="T1325" s="272" t="s">
        <v>3356</v>
      </c>
    </row>
    <row r="1326" spans="19:20">
      <c r="S1326" s="273" t="s">
        <v>2343</v>
      </c>
      <c r="T1326" s="272" t="s">
        <v>1094</v>
      </c>
    </row>
    <row r="1327" spans="19:20">
      <c r="S1327" s="273" t="s">
        <v>2344</v>
      </c>
      <c r="T1327" s="272" t="s">
        <v>482</v>
      </c>
    </row>
    <row r="1328" spans="19:20">
      <c r="S1328" s="273" t="s">
        <v>2345</v>
      </c>
      <c r="T1328" s="272" t="s">
        <v>686</v>
      </c>
    </row>
    <row r="1329" spans="19:20">
      <c r="S1329" s="273" t="s">
        <v>2346</v>
      </c>
      <c r="T1329" s="272" t="s">
        <v>2347</v>
      </c>
    </row>
    <row r="1330" spans="19:20">
      <c r="S1330" s="273" t="s">
        <v>3006</v>
      </c>
      <c r="T1330" s="272" t="s">
        <v>3357</v>
      </c>
    </row>
    <row r="1331" spans="19:20">
      <c r="S1331" s="273" t="s">
        <v>3007</v>
      </c>
      <c r="T1331" s="272" t="s">
        <v>3358</v>
      </c>
    </row>
    <row r="1332" spans="19:20">
      <c r="S1332" s="273" t="s">
        <v>3008</v>
      </c>
      <c r="T1332" s="272" t="s">
        <v>3359</v>
      </c>
    </row>
    <row r="1333" spans="19:20">
      <c r="S1333" s="273" t="s">
        <v>2348</v>
      </c>
      <c r="T1333" s="272" t="s">
        <v>745</v>
      </c>
    </row>
    <row r="1334" spans="19:20">
      <c r="S1334" s="273" t="s">
        <v>2349</v>
      </c>
      <c r="T1334" s="272" t="s">
        <v>1095</v>
      </c>
    </row>
    <row r="1335" spans="19:20">
      <c r="S1335" s="273" t="s">
        <v>3009</v>
      </c>
      <c r="T1335" s="272" t="s">
        <v>3360</v>
      </c>
    </row>
    <row r="1336" spans="19:20">
      <c r="S1336" s="273" t="s">
        <v>2350</v>
      </c>
      <c r="T1336" s="272" t="s">
        <v>483</v>
      </c>
    </row>
    <row r="1337" spans="19:20">
      <c r="S1337" s="273" t="s">
        <v>2351</v>
      </c>
      <c r="T1337" s="272" t="s">
        <v>743</v>
      </c>
    </row>
    <row r="1338" spans="19:20">
      <c r="S1338" s="273" t="s">
        <v>2352</v>
      </c>
      <c r="T1338" s="272" t="s">
        <v>2353</v>
      </c>
    </row>
    <row r="1339" spans="19:20">
      <c r="S1339" s="273" t="s">
        <v>3010</v>
      </c>
      <c r="T1339" s="272" t="s">
        <v>3361</v>
      </c>
    </row>
    <row r="1340" spans="19:20">
      <c r="S1340" s="273" t="s">
        <v>2354</v>
      </c>
      <c r="T1340" s="272" t="s">
        <v>1096</v>
      </c>
    </row>
    <row r="1341" spans="19:20">
      <c r="S1341" s="273" t="s">
        <v>2355</v>
      </c>
      <c r="T1341" s="272" t="s">
        <v>744</v>
      </c>
    </row>
    <row r="1342" spans="19:20">
      <c r="S1342" s="273" t="s">
        <v>3011</v>
      </c>
      <c r="T1342" s="272" t="s">
        <v>3362</v>
      </c>
    </row>
    <row r="1343" spans="19:20">
      <c r="S1343" s="273" t="s">
        <v>2356</v>
      </c>
      <c r="T1343" s="272" t="s">
        <v>484</v>
      </c>
    </row>
    <row r="1344" spans="19:20">
      <c r="S1344" s="273" t="s">
        <v>2357</v>
      </c>
      <c r="T1344" s="272" t="s">
        <v>2358</v>
      </c>
    </row>
    <row r="1345" spans="19:20">
      <c r="S1345" s="273" t="s">
        <v>3012</v>
      </c>
      <c r="T1345" s="272" t="s">
        <v>3363</v>
      </c>
    </row>
    <row r="1346" spans="19:20">
      <c r="S1346" s="273" t="s">
        <v>2359</v>
      </c>
      <c r="T1346" s="272" t="s">
        <v>1097</v>
      </c>
    </row>
    <row r="1347" spans="19:20">
      <c r="S1347" s="273" t="s">
        <v>2360</v>
      </c>
      <c r="T1347" s="272" t="s">
        <v>485</v>
      </c>
    </row>
    <row r="1348" spans="19:20">
      <c r="S1348" s="273" t="s">
        <v>2361</v>
      </c>
      <c r="T1348" s="272" t="s">
        <v>486</v>
      </c>
    </row>
    <row r="1349" spans="19:20">
      <c r="S1349" s="273" t="s">
        <v>2362</v>
      </c>
      <c r="T1349" s="272" t="s">
        <v>2363</v>
      </c>
    </row>
    <row r="1350" spans="19:20">
      <c r="S1350" s="273" t="s">
        <v>3013</v>
      </c>
      <c r="T1350" s="272" t="s">
        <v>3364</v>
      </c>
    </row>
    <row r="1351" spans="19:20">
      <c r="S1351" s="273" t="s">
        <v>3014</v>
      </c>
      <c r="T1351" s="272" t="s">
        <v>3365</v>
      </c>
    </row>
    <row r="1352" spans="19:20">
      <c r="S1352" s="273" t="s">
        <v>3015</v>
      </c>
      <c r="T1352" s="272" t="s">
        <v>3366</v>
      </c>
    </row>
    <row r="1353" spans="19:20">
      <c r="S1353" s="273" t="s">
        <v>2364</v>
      </c>
      <c r="T1353" s="272" t="s">
        <v>1098</v>
      </c>
    </row>
    <row r="1354" spans="19:20">
      <c r="S1354" s="273" t="s">
        <v>2365</v>
      </c>
      <c r="T1354" s="272" t="s">
        <v>487</v>
      </c>
    </row>
    <row r="1355" spans="19:20">
      <c r="S1355" s="273" t="s">
        <v>2366</v>
      </c>
      <c r="T1355" s="272" t="s">
        <v>1099</v>
      </c>
    </row>
    <row r="1356" spans="19:20">
      <c r="S1356" s="273" t="s">
        <v>3016</v>
      </c>
      <c r="T1356" s="272" t="s">
        <v>3367</v>
      </c>
    </row>
    <row r="1357" spans="19:20">
      <c r="S1357" s="273" t="s">
        <v>2367</v>
      </c>
      <c r="T1357" s="272" t="s">
        <v>488</v>
      </c>
    </row>
    <row r="1358" spans="19:20">
      <c r="S1358" s="273" t="s">
        <v>2368</v>
      </c>
      <c r="T1358" s="272" t="s">
        <v>746</v>
      </c>
    </row>
    <row r="1359" spans="19:20">
      <c r="S1359" s="273" t="s">
        <v>3017</v>
      </c>
      <c r="T1359" s="272" t="s">
        <v>3368</v>
      </c>
    </row>
    <row r="1360" spans="19:20">
      <c r="S1360" s="273" t="s">
        <v>2369</v>
      </c>
      <c r="T1360" s="272" t="s">
        <v>1100</v>
      </c>
    </row>
    <row r="1361" spans="19:20">
      <c r="S1361" s="273" t="s">
        <v>2370</v>
      </c>
      <c r="T1361" s="272" t="s">
        <v>489</v>
      </c>
    </row>
    <row r="1362" spans="19:20">
      <c r="S1362" s="273" t="s">
        <v>2371</v>
      </c>
      <c r="T1362" s="272" t="s">
        <v>490</v>
      </c>
    </row>
    <row r="1363" spans="19:20">
      <c r="S1363" s="273" t="s">
        <v>2372</v>
      </c>
      <c r="T1363" s="272" t="s">
        <v>2373</v>
      </c>
    </row>
    <row r="1364" spans="19:20">
      <c r="S1364" s="273" t="s">
        <v>3018</v>
      </c>
      <c r="T1364" s="272" t="s">
        <v>3369</v>
      </c>
    </row>
    <row r="1365" spans="19:20">
      <c r="S1365" s="273" t="s">
        <v>2374</v>
      </c>
      <c r="T1365" s="272" t="s">
        <v>1101</v>
      </c>
    </row>
    <row r="1366" spans="19:20">
      <c r="S1366" s="273" t="s">
        <v>2375</v>
      </c>
      <c r="T1366" s="272" t="s">
        <v>491</v>
      </c>
    </row>
    <row r="1367" spans="19:20">
      <c r="S1367" s="273" t="s">
        <v>2376</v>
      </c>
      <c r="T1367" s="272" t="s">
        <v>492</v>
      </c>
    </row>
    <row r="1368" spans="19:20">
      <c r="S1368" s="273" t="s">
        <v>3019</v>
      </c>
      <c r="T1368" s="272" t="s">
        <v>3370</v>
      </c>
    </row>
    <row r="1369" spans="19:20">
      <c r="S1369" s="273" t="s">
        <v>3020</v>
      </c>
      <c r="T1369" s="272" t="s">
        <v>3371</v>
      </c>
    </row>
    <row r="1370" spans="19:20">
      <c r="S1370" s="273" t="s">
        <v>3021</v>
      </c>
      <c r="T1370" s="272" t="s">
        <v>3372</v>
      </c>
    </row>
    <row r="1371" spans="19:20">
      <c r="S1371" s="273" t="s">
        <v>3022</v>
      </c>
      <c r="T1371" s="272" t="s">
        <v>3373</v>
      </c>
    </row>
    <row r="1372" spans="19:20">
      <c r="S1372" s="273" t="s">
        <v>2377</v>
      </c>
      <c r="T1372" s="272" t="s">
        <v>2378</v>
      </c>
    </row>
    <row r="1373" spans="19:20">
      <c r="S1373" s="273" t="s">
        <v>2379</v>
      </c>
      <c r="T1373" s="272" t="s">
        <v>1102</v>
      </c>
    </row>
    <row r="1374" spans="19:20">
      <c r="S1374" s="273" t="s">
        <v>2380</v>
      </c>
      <c r="T1374" s="272" t="s">
        <v>493</v>
      </c>
    </row>
    <row r="1375" spans="19:20">
      <c r="S1375" s="273" t="s">
        <v>3023</v>
      </c>
      <c r="T1375" s="272" t="s">
        <v>3374</v>
      </c>
    </row>
    <row r="1376" spans="19:20">
      <c r="S1376" s="273" t="s">
        <v>2381</v>
      </c>
      <c r="T1376" s="272" t="s">
        <v>494</v>
      </c>
    </row>
    <row r="1377" spans="19:20">
      <c r="S1377" s="273" t="s">
        <v>2382</v>
      </c>
      <c r="T1377" s="272" t="s">
        <v>1103</v>
      </c>
    </row>
    <row r="1378" spans="19:20">
      <c r="S1378" s="273" t="s">
        <v>2383</v>
      </c>
      <c r="T1378" s="272" t="s">
        <v>544</v>
      </c>
    </row>
    <row r="1379" spans="19:20">
      <c r="S1379" s="273" t="s">
        <v>2384</v>
      </c>
      <c r="T1379" s="272" t="s">
        <v>1104</v>
      </c>
    </row>
    <row r="1380" spans="19:20">
      <c r="S1380" s="273" t="s">
        <v>2385</v>
      </c>
      <c r="T1380" s="272" t="s">
        <v>1105</v>
      </c>
    </row>
    <row r="1381" spans="19:20">
      <c r="S1381" s="273" t="s">
        <v>2386</v>
      </c>
      <c r="T1381" s="272" t="s">
        <v>545</v>
      </c>
    </row>
    <row r="1382" spans="19:20">
      <c r="S1382" s="273" t="s">
        <v>2387</v>
      </c>
      <c r="T1382" s="272" t="s">
        <v>495</v>
      </c>
    </row>
    <row r="1383" spans="19:20">
      <c r="S1383" s="273" t="s">
        <v>3024</v>
      </c>
      <c r="T1383" s="272" t="s">
        <v>3375</v>
      </c>
    </row>
    <row r="1384" spans="19:20">
      <c r="S1384" s="273" t="s">
        <v>2388</v>
      </c>
      <c r="T1384" s="272" t="s">
        <v>496</v>
      </c>
    </row>
    <row r="1385" spans="19:20">
      <c r="S1385" s="273" t="s">
        <v>2389</v>
      </c>
      <c r="T1385" s="272" t="s">
        <v>497</v>
      </c>
    </row>
    <row r="1386" spans="19:20">
      <c r="S1386" s="273" t="s">
        <v>2390</v>
      </c>
      <c r="T1386" s="272" t="s">
        <v>546</v>
      </c>
    </row>
    <row r="1387" spans="19:20">
      <c r="S1387" s="273" t="s">
        <v>3025</v>
      </c>
      <c r="T1387" s="272" t="s">
        <v>3376</v>
      </c>
    </row>
    <row r="1388" spans="19:20">
      <c r="S1388" s="273" t="s">
        <v>2391</v>
      </c>
      <c r="T1388" s="272" t="s">
        <v>1106</v>
      </c>
    </row>
    <row r="1389" spans="19:20">
      <c r="S1389" s="273" t="s">
        <v>3026</v>
      </c>
      <c r="T1389" s="272" t="s">
        <v>3026</v>
      </c>
    </row>
    <row r="1390" spans="19:20">
      <c r="S1390" s="273" t="s">
        <v>2392</v>
      </c>
      <c r="T1390" s="272" t="s">
        <v>1107</v>
      </c>
    </row>
    <row r="1391" spans="19:20">
      <c r="S1391" s="273" t="s">
        <v>2393</v>
      </c>
      <c r="T1391" s="272" t="s">
        <v>498</v>
      </c>
    </row>
    <row r="1392" spans="19:20">
      <c r="S1392" s="273" t="s">
        <v>3027</v>
      </c>
      <c r="T1392" s="272" t="s">
        <v>3377</v>
      </c>
    </row>
    <row r="1393" spans="19:20">
      <c r="S1393" s="273" t="s">
        <v>2394</v>
      </c>
      <c r="T1393" s="272" t="s">
        <v>499</v>
      </c>
    </row>
    <row r="1394" spans="19:20">
      <c r="S1394" s="273" t="s">
        <v>3028</v>
      </c>
      <c r="T1394" s="272" t="s">
        <v>3378</v>
      </c>
    </row>
    <row r="1395" spans="19:20">
      <c r="S1395" s="273" t="s">
        <v>3029</v>
      </c>
      <c r="T1395" s="272" t="s">
        <v>3379</v>
      </c>
    </row>
    <row r="1396" spans="19:20">
      <c r="S1396" s="273" t="s">
        <v>2395</v>
      </c>
      <c r="T1396" s="272" t="s">
        <v>1149</v>
      </c>
    </row>
    <row r="1397" spans="19:20">
      <c r="S1397" s="273" t="s">
        <v>3030</v>
      </c>
      <c r="T1397" s="272" t="s">
        <v>3380</v>
      </c>
    </row>
    <row r="1398" spans="19:20">
      <c r="S1398" s="273" t="s">
        <v>3031</v>
      </c>
      <c r="T1398" s="272" t="s">
        <v>3381</v>
      </c>
    </row>
    <row r="1399" spans="19:20">
      <c r="S1399" s="273" t="s">
        <v>3032</v>
      </c>
      <c r="T1399" s="272" t="s">
        <v>3382</v>
      </c>
    </row>
    <row r="1400" spans="19:20">
      <c r="S1400" s="273" t="s">
        <v>2396</v>
      </c>
      <c r="T1400" s="272" t="s">
        <v>1108</v>
      </c>
    </row>
    <row r="1401" spans="19:20">
      <c r="S1401" s="273" t="s">
        <v>2397</v>
      </c>
      <c r="T1401" s="272" t="s">
        <v>547</v>
      </c>
    </row>
    <row r="1402" spans="19:20">
      <c r="S1402" s="273" t="s">
        <v>2398</v>
      </c>
      <c r="T1402" s="272" t="s">
        <v>548</v>
      </c>
    </row>
    <row r="1403" spans="19:20">
      <c r="S1403" s="273" t="s">
        <v>3033</v>
      </c>
      <c r="T1403" s="272" t="s">
        <v>3383</v>
      </c>
    </row>
    <row r="1404" spans="19:20">
      <c r="S1404" s="273" t="s">
        <v>2399</v>
      </c>
      <c r="T1404" s="272" t="s">
        <v>631</v>
      </c>
    </row>
    <row r="1405" spans="19:20">
      <c r="S1405" s="273" t="s">
        <v>2400</v>
      </c>
      <c r="T1405" s="272" t="s">
        <v>1109</v>
      </c>
    </row>
    <row r="1406" spans="19:20" ht="13.5" thickBot="1">
      <c r="S1406" s="274" t="s">
        <v>3034</v>
      </c>
      <c r="T1406" s="275" t="s">
        <v>3384</v>
      </c>
    </row>
  </sheetData>
  <sheetProtection formatCells="0" selectLockedCells="1"/>
  <sortState ref="B3:B36">
    <sortCondition ref="B3"/>
  </sortState>
  <mergeCells count="24">
    <mergeCell ref="AG2:AG4"/>
    <mergeCell ref="AQ5:AT5"/>
    <mergeCell ref="BC2:BD2"/>
    <mergeCell ref="BA2:BB2"/>
    <mergeCell ref="AV1:BD1"/>
    <mergeCell ref="AL5:AO5"/>
    <mergeCell ref="AL2:AL4"/>
    <mergeCell ref="AY2:AZ2"/>
    <mergeCell ref="BE2:BE17"/>
    <mergeCell ref="I2:I15"/>
    <mergeCell ref="J1:Q1"/>
    <mergeCell ref="B1:H1"/>
    <mergeCell ref="S1:T1"/>
    <mergeCell ref="V1:AS1"/>
    <mergeCell ref="AW2:AX2"/>
    <mergeCell ref="AQ2:AQ4"/>
    <mergeCell ref="R2:R11"/>
    <mergeCell ref="U2:U17"/>
    <mergeCell ref="AU2:AU17"/>
    <mergeCell ref="AG5:AJ5"/>
    <mergeCell ref="AB5:AE5"/>
    <mergeCell ref="AB2:AB4"/>
    <mergeCell ref="W5:Z5"/>
    <mergeCell ref="W2:W4"/>
  </mergeCells>
  <printOptions horizontalCentered="1"/>
  <pageMargins left="0.59055118110236227" right="0.47244094488188981" top="0.70866141732283472" bottom="0.55118110236220474" header="0.31496062992125984" footer="0.19685039370078741"/>
  <pageSetup fitToHeight="0" orientation="landscape" r:id="rId1"/>
  <headerFooter alignWithMargins="0">
    <oddFooter>&amp;L&amp;8QRF-121_XXX_XXXXXX_XXX_XX
Revision: 18&amp;C&amp;8Page &amp;P
Classification: SDL Internal &amp;R&amp;8Revision Date: 05/03/2018
Approved by: Eileen Smyth</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BI1000"/>
  <sheetViews>
    <sheetView workbookViewId="0">
      <selection activeCell="BH2" sqref="BH2"/>
    </sheetView>
  </sheetViews>
  <sheetFormatPr defaultRowHeight="12.75"/>
  <cols>
    <col min="1" max="3" width="18.7109375" style="80" customWidth="1"/>
    <col min="4" max="4" width="16.5703125" style="80" customWidth="1"/>
    <col min="5" max="10" width="18.7109375" style="80" customWidth="1"/>
    <col min="11" max="11" width="15.5703125" style="80" customWidth="1"/>
    <col min="12" max="14" width="18.7109375" style="80" customWidth="1"/>
    <col min="15" max="15" width="16.42578125" style="80" bestFit="1" customWidth="1"/>
    <col min="16" max="17" width="15.28515625" style="80" bestFit="1" customWidth="1"/>
    <col min="18" max="18" width="11" style="80" bestFit="1" customWidth="1"/>
    <col min="19" max="19" width="15.140625" style="80" bestFit="1" customWidth="1"/>
    <col min="20" max="20" width="12.5703125" style="80" customWidth="1"/>
    <col min="21" max="21" width="18.7109375" style="80" customWidth="1"/>
    <col min="22" max="22" width="14.5703125" style="80" customWidth="1"/>
    <col min="23" max="23" width="16.42578125" style="80" customWidth="1"/>
    <col min="24" max="24" width="13.5703125" style="80" customWidth="1"/>
    <col min="25" max="25" width="14.5703125" style="80" customWidth="1"/>
    <col min="26" max="26" width="13.42578125" style="80" customWidth="1"/>
    <col min="27" max="27" width="13.28515625" style="81" customWidth="1"/>
    <col min="28" max="28" width="18.7109375" style="81" customWidth="1"/>
    <col min="29" max="29" width="14.5703125" style="81" customWidth="1"/>
    <col min="30" max="30" width="18.7109375" style="81" customWidth="1"/>
    <col min="31" max="31" width="20.7109375" style="81" customWidth="1"/>
    <col min="32" max="32" width="18.7109375" style="81" customWidth="1"/>
    <col min="33" max="33" width="16.28515625" style="81" customWidth="1"/>
    <col min="34" max="34" width="18.42578125" style="81" customWidth="1"/>
    <col min="35" max="35" width="16.85546875" style="81" customWidth="1"/>
    <col min="36" max="36" width="17.28515625" style="81" customWidth="1"/>
    <col min="37" max="37" width="18.7109375" style="81" customWidth="1"/>
    <col min="38" max="38" width="19.42578125" customWidth="1"/>
    <col min="39" max="39" width="11.42578125" customWidth="1"/>
    <col min="40" max="40" width="11.140625" customWidth="1"/>
    <col min="41" max="41" width="11.28515625" customWidth="1"/>
    <col min="44" max="44" width="12.28515625" customWidth="1"/>
    <col min="45" max="45" width="14" customWidth="1"/>
    <col min="46" max="46" width="13.5703125" customWidth="1"/>
    <col min="47" max="48" width="14.85546875" customWidth="1"/>
    <col min="49" max="49" width="14.7109375" customWidth="1"/>
    <col min="50" max="50" width="11.28515625" customWidth="1"/>
    <col min="51" max="51" width="14.5703125" customWidth="1"/>
    <col min="52" max="52" width="13.42578125" customWidth="1"/>
    <col min="53" max="53" width="13.28515625" customWidth="1"/>
    <col min="54" max="54" width="12" customWidth="1"/>
    <col min="57" max="57" width="21.140625" customWidth="1"/>
    <col min="58" max="58" width="13" customWidth="1"/>
    <col min="59" max="59" width="12.42578125" customWidth="1"/>
    <col min="61" max="61" width="14.140625" customWidth="1"/>
  </cols>
  <sheetData>
    <row r="1" spans="1:61" s="205" customFormat="1" ht="48">
      <c r="A1" s="182" t="s">
        <v>687</v>
      </c>
      <c r="B1" s="182" t="s">
        <v>707</v>
      </c>
      <c r="C1" s="182" t="s">
        <v>633</v>
      </c>
      <c r="D1" s="182" t="s">
        <v>2455</v>
      </c>
      <c r="E1" s="182" t="s">
        <v>689</v>
      </c>
      <c r="F1" s="182" t="s">
        <v>1</v>
      </c>
      <c r="G1" s="168" t="s">
        <v>688</v>
      </c>
      <c r="H1" s="182" t="s">
        <v>695</v>
      </c>
      <c r="I1" s="182" t="s">
        <v>1112</v>
      </c>
      <c r="J1" s="182" t="s">
        <v>698</v>
      </c>
      <c r="K1" s="182" t="s">
        <v>2401</v>
      </c>
      <c r="L1" s="182" t="s">
        <v>690</v>
      </c>
      <c r="M1" s="182" t="s">
        <v>691</v>
      </c>
      <c r="N1" s="182" t="s">
        <v>692</v>
      </c>
      <c r="O1" s="182" t="s">
        <v>693</v>
      </c>
      <c r="P1" s="182" t="s">
        <v>694</v>
      </c>
      <c r="Q1" s="182" t="s">
        <v>696</v>
      </c>
      <c r="R1" s="182" t="str">
        <f>'Evaluation Report_Final Result'!$B15&amp;" "&amp;'Evaluation Report_Final Result'!$M14</f>
        <v>Terminology Critical Error</v>
      </c>
      <c r="S1" s="182" t="str">
        <f>'Evaluation Report_Final Result'!$B15&amp;" "&amp;'Evaluation Report_Final Result'!$I14</f>
        <v>Terminology Major Error</v>
      </c>
      <c r="T1" s="182" t="str">
        <f>'Evaluation Report_Final Result'!$B15&amp;" "&amp;'Evaluation Report_Final Result'!$E14</f>
        <v>Terminology Minor Error</v>
      </c>
      <c r="U1" s="182" t="str">
        <f>'Evaluation Report_Final Result'!$B16&amp;" "&amp;'Evaluation Report_Final Result'!$M14</f>
        <v>Accuracy Critical Error</v>
      </c>
      <c r="V1" s="182" t="str">
        <f>'Evaluation Report_Final Result'!$B16&amp;" "&amp;'Evaluation Report_Final Result'!$I14</f>
        <v>Accuracy Major Error</v>
      </c>
      <c r="W1" s="182" t="str">
        <f>'Evaluation Report_Final Result'!$B16&amp;" "&amp;'Evaluation Report_Final Result'!$E14</f>
        <v>Accuracy Minor Error</v>
      </c>
      <c r="X1" s="182" t="str">
        <f>'Evaluation Report_Final Result'!$B17&amp;" "&amp;'Evaluation Report_Final Result'!$M14</f>
        <v>Linguistic conventions Critical Error</v>
      </c>
      <c r="Y1" s="182" t="str">
        <f>'Evaluation Report_Final Result'!$B17&amp;" "&amp;'Evaluation Report_Final Result'!$I14</f>
        <v>Linguistic conventions Major Error</v>
      </c>
      <c r="Z1" s="182" t="str">
        <f>'Evaluation Report_Final Result'!$B17&amp;" "&amp;'Evaluation Report_Final Result'!$E14</f>
        <v>Linguistic conventions Minor Error</v>
      </c>
      <c r="AA1" s="182" t="str">
        <f>'Evaluation Report_Final Result'!$B18&amp;" "&amp;'Evaluation Report_Final Result'!$M14</f>
        <v>Style Critical Error</v>
      </c>
      <c r="AB1" s="182" t="str">
        <f>'Evaluation Report_Final Result'!$B18&amp;" "&amp;'Evaluation Report_Final Result'!$I14</f>
        <v>Style Major Error</v>
      </c>
      <c r="AC1" s="182" t="str">
        <f>'Evaluation Report_Final Result'!$B18&amp;" "&amp;'Evaluation Report_Final Result'!$E14</f>
        <v>Style Minor Error</v>
      </c>
      <c r="AD1" s="182" t="str">
        <f>'Evaluation Report_Final Result'!$B19&amp;" "&amp;'Evaluation Report_Final Result'!$M14</f>
        <v>Locale conventions Critical Error</v>
      </c>
      <c r="AE1" s="182" t="str">
        <f>'Evaluation Report_Final Result'!$B19&amp;" "&amp;'Evaluation Report_Final Result'!$I14</f>
        <v>Locale conventions Major Error</v>
      </c>
      <c r="AF1" s="182" t="str">
        <f>'Evaluation Report_Final Result'!$B19&amp;" "&amp;'Evaluation Report_Final Result'!$E14</f>
        <v>Locale conventions Minor Error</v>
      </c>
      <c r="AG1" s="182" t="str">
        <f>'Evaluation Report_Final Result'!$B20&amp;" "&amp;'Evaluation Report_Final Result'!$M14</f>
        <v>Audience appropriateness Critical Error</v>
      </c>
      <c r="AH1" s="182" t="str">
        <f>'Evaluation Report_Final Result'!$B20&amp;" "&amp;'Evaluation Report_Final Result'!$I14</f>
        <v>Audience appropriateness Major Error</v>
      </c>
      <c r="AI1" s="182" t="str">
        <f>'Evaluation Report_Final Result'!$B20&amp;" "&amp;'Evaluation Report_Final Result'!$E14</f>
        <v>Audience appropriateness Minor Error</v>
      </c>
      <c r="AJ1" s="182" t="str">
        <f>'Evaluation Report_Final Result'!$B21&amp;" "&amp;'Evaluation Report_Final Result'!$M14</f>
        <v>Design and markup Critical Error</v>
      </c>
      <c r="AK1" s="182" t="str">
        <f>'Evaluation Report_Final Result'!$B21&amp;" "&amp;'Evaluation Report_Final Result'!$I14</f>
        <v>Design and markup Major Error</v>
      </c>
      <c r="AL1" s="182" t="str">
        <f>'Evaluation Report_Final Result'!$B21&amp;" "&amp;'Evaluation Report_Final Result'!$E14</f>
        <v>Design and markup Minor Error</v>
      </c>
      <c r="AM1" s="182" t="str">
        <f>'Evaluation Report_Final Result'!$B22&amp;" "&amp;'Evaluation Report_Final Result'!$M14</f>
        <v>Other Critical Error</v>
      </c>
      <c r="AN1" s="182" t="str">
        <f>'Evaluation Report_Final Result'!$B22&amp;" "&amp;'Evaluation Report_Final Result'!$I14</f>
        <v>Other Major Error</v>
      </c>
      <c r="AO1" s="182" t="str">
        <f>'Evaluation Report_Final Result'!$B22&amp;" "&amp;'Evaluation Report_Final Result'!$E14</f>
        <v>Other Minor Error</v>
      </c>
      <c r="AP1" s="182" t="str">
        <f>'Evaluation Report_Final Result'!C24</f>
        <v>Legacy Data</v>
      </c>
      <c r="AQ1" s="182" t="str">
        <f>'Evaluation Report_Final Result'!J24</f>
        <v>Source Text Data</v>
      </c>
      <c r="AR1" s="182" t="str">
        <f>'Evaluation Report_Final Result'!C28</f>
        <v>Error Points Threshold</v>
      </c>
      <c r="AS1" s="182" t="str">
        <f>'Evaluation Report_Final Result'!F28</f>
        <v>Total Recorded Error Points</v>
      </c>
      <c r="AT1" s="182" t="s">
        <v>697</v>
      </c>
      <c r="AU1" s="182" t="str">
        <f>'Evaluation Report_Final Result'!J28</f>
        <v>Precision Ratio (100% max)</v>
      </c>
      <c r="AV1" s="182" t="str">
        <f>"Initial " &amp; 'Evaluation Report_Initial'!J34</f>
        <v>Initial RWS Quality Indicator</v>
      </c>
      <c r="AW1" s="182" t="str">
        <f>"Final " &amp; 'Evaluation Report_Final Result'!J34</f>
        <v>Final RWS Quality Indicator</v>
      </c>
      <c r="AX1" s="182" t="s">
        <v>2619</v>
      </c>
      <c r="AY1" s="182" t="s">
        <v>2620</v>
      </c>
      <c r="AZ1" s="182" t="s">
        <v>699</v>
      </c>
      <c r="BA1" s="182" t="s">
        <v>700</v>
      </c>
      <c r="BB1" s="182" t="s">
        <v>2472</v>
      </c>
      <c r="BC1" s="182" t="s">
        <v>701</v>
      </c>
      <c r="BD1" s="182" t="s">
        <v>702</v>
      </c>
      <c r="BE1" s="182" t="s">
        <v>2476</v>
      </c>
      <c r="BF1" s="182" t="s">
        <v>703</v>
      </c>
      <c r="BG1" s="182" t="s">
        <v>704</v>
      </c>
      <c r="BH1" s="182" t="s">
        <v>705</v>
      </c>
      <c r="BI1" s="182" t="s">
        <v>706</v>
      </c>
    </row>
    <row r="2" spans="1:61" s="78" customFormat="1" ht="34.5" customHeight="1">
      <c r="A2" s="204" t="str">
        <f>'Evaluation Report_Final Result'!B3</f>
        <v>Version: 1</v>
      </c>
      <c r="B2" s="206" t="str">
        <f ca="1">REPLACE(LEFT(CELL("filename",A1),FIND("]",CELL("filename",A1))-1),1,FIND("[",CELL("filename",A1)),"")</f>
        <v>RWS-5-401-F002-MQM QE Form-XXX_XXXXXX_XXX.XLSM</v>
      </c>
      <c r="C2" s="79" t="str">
        <f>'Evaluation Report_Final Result'!C5</f>
        <v>Do Not Fill Manually</v>
      </c>
      <c r="D2" s="76" t="str">
        <f>'Evaluation Report_Final Result'!C4</f>
        <v>XXX_XXXXXX_XXX</v>
      </c>
      <c r="E2" s="76">
        <f>'Evaluation Report_Final Result'!C8</f>
        <v>0</v>
      </c>
      <c r="F2" s="77">
        <f>'Evaluation Report_Final Result'!C10</f>
        <v>0</v>
      </c>
      <c r="G2" s="76">
        <f>'Evaluation Report_Final Result'!M8</f>
        <v>0</v>
      </c>
      <c r="H2" s="76" t="str">
        <f>'Evaluation Report_Final Result'!M9</f>
        <v>TQA</v>
      </c>
      <c r="I2" s="76" t="str">
        <f>'Evaluation Report_Final Result'!M12</f>
        <v>Premium</v>
      </c>
      <c r="J2" s="76" t="str">
        <f>'Evaluation Report_Initial'!V4</f>
        <v>Do NOT review</v>
      </c>
      <c r="K2" s="76">
        <f>'Evaluation Report_Final Result'!M4</f>
        <v>0</v>
      </c>
      <c r="L2" s="76">
        <f>'Evaluation Report_Final Result'!C11</f>
        <v>0</v>
      </c>
      <c r="M2" s="76">
        <f>'Evaluation Report_Final Result'!C12</f>
        <v>0</v>
      </c>
      <c r="N2" s="76">
        <f>'Evaluation Report_Final Result'!M5</f>
        <v>0</v>
      </c>
      <c r="O2" s="76">
        <f>'Evaluation Report_Final Result'!M6</f>
        <v>0</v>
      </c>
      <c r="P2" s="76">
        <f>'Evaluation Report_Final Result'!M7</f>
        <v>0</v>
      </c>
      <c r="Q2" s="76">
        <f>'Evaluation Report_Final Result'!M10</f>
        <v>0</v>
      </c>
      <c r="R2" s="76">
        <f>'Evaluation Report_Final Result'!$M15</f>
        <v>0</v>
      </c>
      <c r="S2" s="76">
        <f>'Evaluation Report_Final Result'!$I15</f>
        <v>0</v>
      </c>
      <c r="T2" s="76">
        <f>'Evaluation Report_Final Result'!$E15</f>
        <v>0</v>
      </c>
      <c r="U2" s="76">
        <f>'Evaluation Report_Final Result'!$M16</f>
        <v>0</v>
      </c>
      <c r="V2" s="76">
        <f>'Evaluation Report_Final Result'!$I16</f>
        <v>0</v>
      </c>
      <c r="W2" s="76">
        <f>'Evaluation Report_Final Result'!$E16</f>
        <v>0</v>
      </c>
      <c r="X2" s="76">
        <f>'Evaluation Report_Final Result'!$M17</f>
        <v>0</v>
      </c>
      <c r="Y2" s="76">
        <f>'Evaluation Report_Final Result'!$I17</f>
        <v>0</v>
      </c>
      <c r="Z2" s="76">
        <f>'Evaluation Report_Final Result'!$E17</f>
        <v>0</v>
      </c>
      <c r="AA2" s="76">
        <f>'Evaluation Report_Final Result'!$K17</f>
        <v>0</v>
      </c>
      <c r="AB2" s="76">
        <f>'Evaluation Report_Final Result'!$I18</f>
        <v>0</v>
      </c>
      <c r="AC2" s="76">
        <f>'Evaluation Report_Final Result'!$E18</f>
        <v>0</v>
      </c>
      <c r="AD2" s="76">
        <f>'Evaluation Report_Final Result'!$K19</f>
        <v>0</v>
      </c>
      <c r="AE2" s="76">
        <f>'Evaluation Report_Final Result'!$I19</f>
        <v>0</v>
      </c>
      <c r="AF2" s="76">
        <f>'Evaluation Report_Final Result'!$E19</f>
        <v>0</v>
      </c>
      <c r="AG2" s="76">
        <f>'Evaluation Report_Final Result'!$K20</f>
        <v>0</v>
      </c>
      <c r="AH2" s="76">
        <f>'Evaluation Report_Final Result'!$I20</f>
        <v>0</v>
      </c>
      <c r="AI2" s="76">
        <f>'Evaluation Report_Final Result'!$E20</f>
        <v>0</v>
      </c>
      <c r="AJ2" s="76">
        <f>'Evaluation Report_Final Result'!$K21</f>
        <v>0</v>
      </c>
      <c r="AK2" s="76">
        <f>'Evaluation Report_Final Result'!$I21</f>
        <v>0</v>
      </c>
      <c r="AL2" s="76">
        <f>'Evaluation Report_Final Result'!$E21</f>
        <v>0</v>
      </c>
      <c r="AM2" s="76">
        <f>'Evaluation Report_Final Result'!$K22</f>
        <v>0</v>
      </c>
      <c r="AN2" s="76">
        <f>'Evaluation Report_Final Result'!$I22</f>
        <v>0</v>
      </c>
      <c r="AO2" s="76">
        <f>'Evaluation Report_Final Result'!$E22</f>
        <v>0</v>
      </c>
      <c r="AP2" s="76">
        <f>'Evaluation Report_Final Result'!G24</f>
        <v>0</v>
      </c>
      <c r="AQ2" s="76">
        <f>'Evaluation Report_Final Result'!N24</f>
        <v>0</v>
      </c>
      <c r="AR2" s="83">
        <f>'Evaluation Report_Final Result'!C30</f>
        <v>0</v>
      </c>
      <c r="AS2" s="76">
        <f>'Evaluation Report_Final Result'!F30</f>
        <v>0</v>
      </c>
      <c r="AT2" s="76" t="str">
        <f>'Evaluation Report_Final Result'!M32</f>
        <v>Small File QE</v>
      </c>
      <c r="AU2" s="82" t="e">
        <f>'Evaluation Report_Final Result'!J30</f>
        <v>#DIV/0!</v>
      </c>
      <c r="AV2" s="82" t="e">
        <f>'Evaluation Report_Initial'!J32</f>
        <v>#DIV/0!</v>
      </c>
      <c r="AW2" s="76" t="e">
        <f>'Evaluation Report_Final Result'!J32</f>
        <v>#DIV/0!</v>
      </c>
      <c r="AX2" s="76">
        <f>'Evaluation Report_Initial'!O38</f>
        <v>0</v>
      </c>
      <c r="AY2" s="76">
        <f>'Evaluation Report_Initial'!B39</f>
        <v>0</v>
      </c>
      <c r="AZ2" s="76">
        <f>'Evaluation Report_Final Result'!T17</f>
        <v>0</v>
      </c>
      <c r="BA2" s="76">
        <f>'Evaluation Report_Final Result'!X17</f>
        <v>0</v>
      </c>
      <c r="BB2" s="82" t="str">
        <f>'Evaluation Report_Final Result'!T19</f>
        <v>100%</v>
      </c>
      <c r="BC2" s="76">
        <f>'Evaluation Report_Final Result'!T22</f>
        <v>0</v>
      </c>
      <c r="BD2" s="76">
        <f>'Evaluation Report_Final Result'!X22</f>
        <v>0</v>
      </c>
      <c r="BE2" s="251" t="str">
        <f>'Evaluation Report_Final Result'!T24</f>
        <v>100%</v>
      </c>
      <c r="BF2" s="76">
        <f>'Evaluation Report_Final Result'!V28</f>
        <v>0</v>
      </c>
      <c r="BG2" s="76">
        <f>'Evaluation Report_Final Result'!V29</f>
        <v>0</v>
      </c>
      <c r="BH2" s="76">
        <f>'Evaluation Report_Final Result'!V30</f>
        <v>0</v>
      </c>
      <c r="BI2" s="83" t="str">
        <f>'Evaluation Report_Final Result'!W32</f>
        <v>N/A</v>
      </c>
    </row>
    <row r="3" spans="1:61" s="78" customFormat="1" ht="12">
      <c r="J3" s="76"/>
      <c r="R3" s="76"/>
      <c r="S3" s="76"/>
      <c r="T3" s="76"/>
      <c r="U3" s="76"/>
      <c r="V3" s="76"/>
      <c r="W3" s="76"/>
      <c r="X3" s="76"/>
      <c r="Y3" s="76"/>
      <c r="Z3" s="76"/>
      <c r="AA3" s="79"/>
      <c r="AB3" s="79"/>
      <c r="AC3" s="79"/>
      <c r="AD3" s="79"/>
      <c r="AE3" s="79"/>
      <c r="AF3" s="79"/>
      <c r="AG3" s="79"/>
      <c r="AH3" s="79"/>
      <c r="AI3" s="79"/>
      <c r="AJ3" s="79"/>
      <c r="AK3" s="79"/>
    </row>
    <row r="4" spans="1:61" s="78" customFormat="1" ht="15.75" customHeight="1">
      <c r="J4" s="76"/>
      <c r="R4" s="76"/>
      <c r="S4" s="76"/>
      <c r="T4" s="76"/>
      <c r="U4" s="76"/>
      <c r="V4" s="76"/>
      <c r="W4" s="76"/>
      <c r="X4" s="76"/>
      <c r="Y4" s="76"/>
      <c r="Z4" s="76"/>
      <c r="AA4" s="79"/>
      <c r="AB4" s="79"/>
      <c r="AC4" s="79"/>
      <c r="AD4" s="79"/>
      <c r="AE4" s="79"/>
      <c r="AF4" s="79"/>
      <c r="AG4" s="79"/>
      <c r="AH4" s="79"/>
      <c r="AI4" s="79"/>
      <c r="AJ4" s="79"/>
      <c r="AK4" s="79"/>
    </row>
    <row r="5" spans="1:61" s="78" customFormat="1" ht="12">
      <c r="E5" s="76"/>
      <c r="F5" s="77"/>
      <c r="J5" s="76"/>
      <c r="K5" s="76"/>
      <c r="L5" s="76"/>
      <c r="M5" s="76"/>
      <c r="N5" s="76"/>
      <c r="O5" s="76"/>
      <c r="P5" s="76"/>
      <c r="Q5" s="76"/>
      <c r="R5" s="76"/>
      <c r="S5" s="76"/>
      <c r="T5" s="76"/>
      <c r="U5" s="76"/>
      <c r="V5" s="76"/>
      <c r="W5" s="76"/>
      <c r="X5" s="76"/>
      <c r="Y5" s="76"/>
      <c r="Z5" s="76"/>
      <c r="AA5" s="79"/>
      <c r="AB5" s="79"/>
      <c r="AC5" s="79"/>
      <c r="AD5" s="79"/>
      <c r="AE5" s="79"/>
      <c r="AF5" s="79"/>
      <c r="AG5" s="79"/>
      <c r="AH5" s="79"/>
      <c r="AI5" s="79"/>
      <c r="AJ5" s="79"/>
      <c r="AK5" s="79"/>
    </row>
    <row r="6" spans="1:61" s="78" customFormat="1" ht="12" customHeight="1">
      <c r="E6" s="76"/>
      <c r="J6" s="76"/>
      <c r="K6" s="76"/>
      <c r="L6" s="76"/>
      <c r="M6" s="76"/>
      <c r="N6" s="76"/>
      <c r="O6" s="76"/>
      <c r="P6" s="76"/>
      <c r="Q6" s="76"/>
      <c r="R6" s="76"/>
      <c r="S6" s="76"/>
      <c r="T6" s="76"/>
      <c r="U6" s="76"/>
      <c r="V6" s="76"/>
      <c r="W6" s="76"/>
      <c r="X6" s="76"/>
      <c r="Y6" s="76"/>
      <c r="Z6" s="76"/>
      <c r="AA6" s="79"/>
      <c r="AB6" s="79"/>
      <c r="AC6" s="79"/>
      <c r="AD6" s="79"/>
      <c r="AE6" s="79"/>
      <c r="AF6" s="79"/>
      <c r="AG6" s="79"/>
      <c r="AH6" s="79"/>
      <c r="AI6" s="79"/>
      <c r="AJ6" s="79"/>
      <c r="AK6" s="79"/>
    </row>
    <row r="7" spans="1:61" s="78" customFormat="1" ht="12">
      <c r="I7" s="76"/>
      <c r="J7" s="76"/>
      <c r="Q7" s="76"/>
      <c r="W7" s="76"/>
      <c r="X7" s="76"/>
      <c r="Y7" s="76"/>
      <c r="Z7" s="76"/>
      <c r="AI7" s="79"/>
      <c r="AJ7" s="79"/>
      <c r="AK7" s="79"/>
    </row>
    <row r="8" spans="1:61" s="78" customFormat="1" ht="12">
      <c r="Q8" s="76"/>
      <c r="W8" s="76"/>
      <c r="X8" s="76"/>
      <c r="AI8" s="79"/>
      <c r="AJ8" s="79"/>
      <c r="AK8" s="79"/>
    </row>
    <row r="9" spans="1:61" s="78" customFormat="1" ht="12">
      <c r="K9" s="76"/>
      <c r="P9" s="76"/>
      <c r="Q9" s="76"/>
      <c r="R9" s="76"/>
      <c r="S9" s="76"/>
      <c r="AN9" s="76"/>
    </row>
    <row r="10" spans="1:61" s="78" customFormat="1" ht="12">
      <c r="E10" s="76"/>
      <c r="F10" s="77"/>
      <c r="G10" s="76"/>
      <c r="J10" s="76"/>
      <c r="K10" s="76"/>
      <c r="P10" s="76"/>
      <c r="Q10" s="76"/>
      <c r="R10" s="76"/>
      <c r="S10" s="76"/>
      <c r="Y10" s="76"/>
      <c r="Z10" s="76"/>
      <c r="AH10" s="79"/>
      <c r="AN10" s="76"/>
    </row>
    <row r="11" spans="1:61" s="78" customFormat="1" ht="12">
      <c r="D11" s="76"/>
      <c r="J11" s="76"/>
      <c r="K11" s="76"/>
      <c r="P11" s="76"/>
      <c r="Q11" s="76"/>
      <c r="R11" s="76"/>
      <c r="S11" s="76"/>
      <c r="Y11" s="76"/>
      <c r="Z11" s="76"/>
      <c r="AH11" s="79"/>
    </row>
    <row r="12" spans="1:61" s="78" customFormat="1" ht="12">
      <c r="D12" s="76"/>
      <c r="Y12" s="76"/>
      <c r="Z12" s="76"/>
      <c r="AH12" s="79"/>
    </row>
    <row r="13" spans="1:61" s="78" customFormat="1" ht="12" customHeight="1">
      <c r="D13" s="76"/>
      <c r="Y13" s="76"/>
      <c r="Z13" s="76"/>
      <c r="AH13" s="79"/>
      <c r="AI13" s="79"/>
      <c r="AJ13" s="79"/>
      <c r="AK13" s="79"/>
      <c r="AT13" s="76"/>
      <c r="AU13" s="76"/>
      <c r="AV13" s="76"/>
    </row>
    <row r="14" spans="1:61" s="78" customFormat="1" ht="12" customHeight="1">
      <c r="Z14" s="76"/>
      <c r="AH14" s="79"/>
      <c r="AI14" s="79"/>
      <c r="AJ14" s="79"/>
      <c r="AK14" s="79"/>
      <c r="AT14" s="76"/>
      <c r="AU14" s="76"/>
      <c r="AV14" s="76"/>
    </row>
    <row r="15" spans="1:61" s="78" customFormat="1" ht="12" customHeight="1">
      <c r="Z15" s="76"/>
      <c r="AD15" s="79"/>
      <c r="AE15" s="79"/>
      <c r="AF15" s="79"/>
      <c r="AG15" s="79"/>
      <c r="AH15" s="79"/>
      <c r="AI15" s="79"/>
      <c r="AJ15" s="79"/>
      <c r="AK15" s="79"/>
    </row>
    <row r="16" spans="1:61" s="78" customFormat="1" ht="12" customHeight="1">
      <c r="K16" s="76"/>
      <c r="L16" s="76"/>
      <c r="P16" s="76"/>
      <c r="Q16" s="76"/>
      <c r="R16" s="76"/>
      <c r="S16" s="76"/>
      <c r="W16" s="76"/>
      <c r="X16" s="76"/>
      <c r="Y16" s="76"/>
      <c r="Z16" s="76"/>
      <c r="AD16" s="79"/>
      <c r="AE16" s="79"/>
      <c r="AF16" s="79"/>
      <c r="AG16" s="79"/>
      <c r="AH16" s="79"/>
      <c r="AI16" s="79"/>
      <c r="AJ16" s="79"/>
      <c r="AK16" s="79"/>
    </row>
    <row r="17" spans="4:37" s="78" customFormat="1" ht="12">
      <c r="D17" s="76"/>
      <c r="K17" s="76"/>
      <c r="L17" s="76"/>
      <c r="P17" s="76"/>
      <c r="Q17" s="76"/>
      <c r="R17" s="76"/>
      <c r="S17" s="76"/>
      <c r="W17" s="76"/>
      <c r="X17" s="76"/>
      <c r="Y17" s="76"/>
      <c r="Z17" s="76"/>
      <c r="AA17" s="79"/>
      <c r="AB17" s="79"/>
      <c r="AC17" s="79"/>
      <c r="AD17" s="79"/>
      <c r="AE17" s="79"/>
      <c r="AF17" s="79"/>
      <c r="AG17" s="79"/>
      <c r="AH17" s="79"/>
      <c r="AI17" s="79"/>
      <c r="AJ17" s="79"/>
      <c r="AK17" s="79"/>
    </row>
    <row r="18" spans="4:37" s="78" customFormat="1" ht="12" customHeight="1">
      <c r="D18" s="76"/>
      <c r="K18" s="76"/>
      <c r="L18" s="76"/>
      <c r="P18" s="76"/>
      <c r="Q18" s="76"/>
      <c r="R18" s="76"/>
      <c r="S18" s="76"/>
      <c r="W18" s="76"/>
      <c r="X18" s="76"/>
      <c r="Y18" s="76"/>
      <c r="Z18" s="76"/>
      <c r="AA18" s="79"/>
      <c r="AB18" s="79"/>
      <c r="AC18" s="79"/>
      <c r="AD18" s="79"/>
      <c r="AE18" s="79"/>
      <c r="AF18" s="79"/>
      <c r="AG18" s="79"/>
      <c r="AH18" s="79"/>
      <c r="AI18" s="79"/>
      <c r="AJ18" s="79"/>
      <c r="AK18" s="79"/>
    </row>
    <row r="19" spans="4:37" s="78" customFormat="1" ht="12" customHeight="1">
      <c r="D19" s="76"/>
      <c r="K19" s="76"/>
      <c r="L19" s="76"/>
      <c r="P19" s="76"/>
      <c r="Q19" s="76"/>
      <c r="R19" s="76"/>
      <c r="S19" s="76"/>
      <c r="W19" s="76"/>
      <c r="X19" s="76"/>
      <c r="Y19" s="76"/>
      <c r="Z19" s="76"/>
      <c r="AA19" s="79"/>
      <c r="AB19" s="79"/>
      <c r="AC19" s="79"/>
      <c r="AD19" s="79"/>
      <c r="AE19" s="79"/>
      <c r="AF19" s="79"/>
      <c r="AG19" s="79"/>
      <c r="AH19" s="79"/>
      <c r="AI19" s="79"/>
      <c r="AJ19" s="79"/>
      <c r="AK19" s="79"/>
    </row>
    <row r="20" spans="4:37" s="78" customFormat="1" ht="12" customHeight="1">
      <c r="D20" s="76"/>
      <c r="E20" s="76"/>
      <c r="F20" s="77"/>
      <c r="G20" s="76"/>
      <c r="K20" s="76"/>
      <c r="L20" s="76"/>
      <c r="P20" s="76"/>
      <c r="Q20" s="76"/>
      <c r="R20" s="76"/>
      <c r="S20" s="76"/>
      <c r="W20" s="76"/>
      <c r="X20" s="76"/>
      <c r="Y20" s="76"/>
      <c r="Z20" s="76"/>
      <c r="AA20" s="79"/>
      <c r="AB20" s="79"/>
      <c r="AC20" s="79"/>
      <c r="AD20" s="79"/>
      <c r="AE20" s="79"/>
      <c r="AF20" s="79"/>
      <c r="AG20" s="79"/>
      <c r="AH20" s="79"/>
      <c r="AI20" s="79"/>
      <c r="AJ20" s="79"/>
      <c r="AK20" s="79"/>
    </row>
    <row r="21" spans="4:37" s="78" customFormat="1" ht="12" customHeight="1">
      <c r="D21" s="76"/>
      <c r="E21" s="76"/>
      <c r="F21" s="77"/>
      <c r="G21" s="76"/>
      <c r="H21" s="76"/>
      <c r="I21" s="76"/>
      <c r="J21" s="76"/>
      <c r="K21" s="76"/>
      <c r="L21" s="76"/>
      <c r="P21" s="76"/>
      <c r="Q21" s="76"/>
      <c r="R21" s="76"/>
      <c r="S21" s="76"/>
      <c r="W21" s="76"/>
      <c r="X21" s="76"/>
      <c r="Y21" s="76"/>
      <c r="Z21" s="76"/>
      <c r="AA21" s="79"/>
      <c r="AB21" s="79"/>
      <c r="AC21" s="79"/>
      <c r="AD21" s="79"/>
      <c r="AE21" s="79"/>
      <c r="AF21" s="79"/>
      <c r="AG21" s="79"/>
      <c r="AH21" s="79"/>
      <c r="AI21" s="79"/>
      <c r="AJ21" s="79"/>
      <c r="AK21" s="79"/>
    </row>
    <row r="22" spans="4:37" s="78" customFormat="1" ht="12" customHeight="1">
      <c r="D22" s="76"/>
      <c r="E22" s="76"/>
      <c r="F22" s="77"/>
      <c r="G22" s="76"/>
      <c r="H22" s="76"/>
      <c r="I22" s="76"/>
      <c r="J22" s="76"/>
      <c r="K22" s="76"/>
      <c r="L22" s="76"/>
      <c r="P22" s="76"/>
      <c r="Q22" s="76"/>
      <c r="R22" s="76"/>
      <c r="S22" s="76"/>
      <c r="W22" s="76"/>
      <c r="X22" s="76"/>
      <c r="Y22" s="76"/>
      <c r="Z22" s="76"/>
      <c r="AA22" s="79"/>
      <c r="AB22" s="79"/>
      <c r="AC22" s="79"/>
      <c r="AD22" s="79"/>
      <c r="AE22" s="79"/>
      <c r="AF22" s="79"/>
      <c r="AG22" s="79"/>
      <c r="AH22" s="79"/>
      <c r="AI22" s="79"/>
      <c r="AJ22" s="79"/>
      <c r="AK22" s="79"/>
    </row>
    <row r="23" spans="4:37" s="78" customFormat="1" ht="12" customHeight="1">
      <c r="D23" s="76"/>
      <c r="E23" s="76"/>
      <c r="F23" s="77"/>
      <c r="G23" s="76"/>
      <c r="H23" s="76"/>
      <c r="I23" s="76"/>
      <c r="J23" s="76"/>
      <c r="K23" s="76"/>
      <c r="L23" s="76"/>
      <c r="P23" s="76"/>
      <c r="Q23" s="76"/>
      <c r="R23" s="76"/>
      <c r="S23" s="76"/>
      <c r="W23" s="76"/>
      <c r="X23" s="76"/>
      <c r="Y23" s="76"/>
      <c r="Z23" s="76"/>
      <c r="AA23" s="79"/>
      <c r="AB23" s="79"/>
      <c r="AC23" s="79"/>
      <c r="AD23" s="79"/>
      <c r="AE23" s="79"/>
      <c r="AF23" s="79"/>
      <c r="AG23" s="79"/>
      <c r="AH23" s="79"/>
      <c r="AI23" s="79"/>
      <c r="AJ23" s="79"/>
      <c r="AK23" s="79"/>
    </row>
    <row r="24" spans="4:37" s="78" customFormat="1" ht="12" customHeight="1">
      <c r="D24" s="76"/>
      <c r="I24" s="76"/>
      <c r="J24" s="76"/>
      <c r="K24" s="76"/>
      <c r="L24" s="76"/>
      <c r="P24" s="76"/>
      <c r="Q24" s="76"/>
      <c r="R24" s="76"/>
      <c r="S24" s="76"/>
      <c r="T24" s="76"/>
      <c r="U24" s="76"/>
      <c r="V24" s="76"/>
      <c r="W24" s="76"/>
      <c r="X24" s="76"/>
      <c r="Y24" s="76"/>
      <c r="Z24" s="76"/>
      <c r="AA24" s="79"/>
      <c r="AB24" s="79"/>
      <c r="AC24" s="79"/>
      <c r="AD24" s="79"/>
      <c r="AE24" s="79"/>
      <c r="AF24" s="79"/>
      <c r="AG24" s="79"/>
      <c r="AH24" s="79"/>
      <c r="AI24" s="79"/>
      <c r="AJ24" s="79"/>
      <c r="AK24" s="79"/>
    </row>
    <row r="25" spans="4:37" s="78" customFormat="1" ht="12" customHeight="1">
      <c r="D25" s="76"/>
      <c r="I25" s="76"/>
      <c r="J25" s="76"/>
      <c r="K25" s="76"/>
      <c r="L25" s="76"/>
      <c r="P25" s="76"/>
      <c r="Q25" s="76"/>
      <c r="R25" s="76"/>
      <c r="S25" s="76"/>
      <c r="T25" s="76"/>
      <c r="U25" s="76"/>
      <c r="V25" s="76"/>
      <c r="W25" s="76"/>
      <c r="X25" s="76"/>
      <c r="Y25" s="76"/>
      <c r="Z25" s="76"/>
      <c r="AA25" s="79"/>
      <c r="AB25" s="79"/>
      <c r="AC25" s="79"/>
      <c r="AD25" s="79"/>
      <c r="AE25" s="79"/>
      <c r="AF25" s="79"/>
      <c r="AG25" s="79"/>
      <c r="AH25" s="79"/>
      <c r="AI25" s="79"/>
      <c r="AJ25" s="79"/>
      <c r="AK25" s="79"/>
    </row>
    <row r="26" spans="4:37" s="78" customFormat="1" ht="12" customHeight="1">
      <c r="D26" s="76"/>
      <c r="I26" s="76"/>
      <c r="J26" s="76"/>
      <c r="K26" s="76"/>
      <c r="L26" s="76"/>
      <c r="P26" s="76"/>
      <c r="Q26" s="76"/>
      <c r="R26" s="76"/>
      <c r="S26" s="76"/>
      <c r="T26" s="76"/>
      <c r="U26" s="76"/>
      <c r="V26" s="76"/>
      <c r="W26" s="76"/>
      <c r="X26" s="76"/>
      <c r="Y26" s="76"/>
      <c r="Z26" s="76"/>
      <c r="AA26" s="79"/>
      <c r="AB26" s="79"/>
      <c r="AC26" s="79"/>
      <c r="AD26" s="79"/>
      <c r="AE26" s="79"/>
      <c r="AF26" s="79"/>
      <c r="AG26" s="79"/>
      <c r="AH26" s="79"/>
      <c r="AI26" s="79"/>
      <c r="AJ26" s="79"/>
      <c r="AK26" s="79"/>
    </row>
    <row r="27" spans="4:37" s="78" customFormat="1" ht="12" customHeight="1">
      <c r="D27" s="76"/>
      <c r="I27" s="76"/>
      <c r="J27" s="76"/>
      <c r="K27" s="76"/>
      <c r="L27" s="76"/>
      <c r="M27" s="76"/>
      <c r="N27" s="76"/>
      <c r="O27" s="76"/>
      <c r="P27" s="76"/>
      <c r="Q27" s="76"/>
      <c r="R27" s="76"/>
      <c r="S27" s="76"/>
      <c r="T27" s="76"/>
      <c r="U27" s="76"/>
      <c r="V27" s="76"/>
      <c r="W27" s="76"/>
      <c r="X27" s="76"/>
      <c r="Y27" s="76"/>
      <c r="Z27" s="76"/>
      <c r="AA27" s="79"/>
      <c r="AB27" s="79"/>
      <c r="AC27" s="79"/>
      <c r="AD27" s="79"/>
      <c r="AE27" s="79"/>
      <c r="AF27" s="79"/>
      <c r="AG27" s="79"/>
      <c r="AH27" s="79"/>
      <c r="AI27" s="79"/>
      <c r="AJ27" s="79"/>
      <c r="AK27" s="79"/>
    </row>
    <row r="28" spans="4:37" s="78" customFormat="1" ht="12" customHeight="1">
      <c r="D28" s="76"/>
      <c r="I28" s="76"/>
      <c r="J28" s="76"/>
      <c r="K28" s="76"/>
      <c r="L28" s="76"/>
      <c r="M28" s="76"/>
      <c r="N28" s="76"/>
      <c r="O28" s="76"/>
      <c r="P28" s="76"/>
      <c r="Q28" s="76"/>
      <c r="R28" s="76"/>
      <c r="S28" s="76"/>
      <c r="T28" s="76"/>
      <c r="U28" s="76"/>
      <c r="V28" s="76"/>
      <c r="W28" s="76"/>
      <c r="X28" s="76"/>
      <c r="Y28" s="76"/>
      <c r="Z28" s="76"/>
      <c r="AA28" s="79"/>
      <c r="AB28" s="79"/>
      <c r="AC28" s="79"/>
      <c r="AD28" s="79"/>
      <c r="AE28" s="79"/>
      <c r="AF28" s="79"/>
      <c r="AG28" s="79"/>
      <c r="AH28" s="79"/>
      <c r="AI28" s="79"/>
      <c r="AJ28" s="79"/>
      <c r="AK28" s="79"/>
    </row>
    <row r="29" spans="4:37" s="78" customFormat="1" ht="12" customHeight="1">
      <c r="D29" s="76"/>
      <c r="I29" s="76"/>
      <c r="J29" s="76"/>
      <c r="K29" s="76"/>
      <c r="L29" s="76"/>
      <c r="M29" s="76"/>
      <c r="N29" s="76"/>
      <c r="O29" s="76"/>
      <c r="P29" s="76"/>
      <c r="Q29" s="76"/>
      <c r="R29" s="76"/>
      <c r="S29" s="76"/>
      <c r="T29" s="76"/>
      <c r="U29" s="76"/>
      <c r="V29" s="76"/>
      <c r="W29" s="76"/>
      <c r="X29" s="76"/>
      <c r="Y29" s="76"/>
      <c r="Z29" s="76"/>
      <c r="AA29" s="79"/>
      <c r="AB29" s="79"/>
      <c r="AC29" s="79"/>
      <c r="AD29" s="79"/>
      <c r="AE29" s="79"/>
      <c r="AF29" s="79"/>
      <c r="AG29" s="79"/>
      <c r="AH29" s="79"/>
      <c r="AI29" s="79"/>
      <c r="AJ29" s="79"/>
      <c r="AK29" s="79"/>
    </row>
    <row r="30" spans="4:37" s="78" customFormat="1" ht="12" customHeight="1">
      <c r="D30" s="76"/>
      <c r="E30" s="76"/>
      <c r="F30" s="77"/>
      <c r="G30" s="76"/>
      <c r="H30" s="76"/>
      <c r="I30" s="76"/>
      <c r="J30" s="76"/>
      <c r="K30" s="76"/>
      <c r="L30" s="76"/>
      <c r="M30" s="76"/>
      <c r="N30" s="76"/>
      <c r="O30" s="76"/>
      <c r="P30" s="76"/>
      <c r="Q30" s="76"/>
      <c r="R30" s="76"/>
      <c r="S30" s="76"/>
      <c r="T30" s="76"/>
      <c r="U30" s="76"/>
      <c r="V30" s="76"/>
      <c r="W30" s="76"/>
      <c r="X30" s="76"/>
      <c r="Y30" s="76"/>
      <c r="Z30" s="76"/>
      <c r="AA30" s="79"/>
      <c r="AB30" s="79"/>
      <c r="AC30" s="79"/>
      <c r="AD30" s="79"/>
      <c r="AE30" s="79"/>
      <c r="AF30" s="79"/>
      <c r="AG30" s="79"/>
      <c r="AH30" s="79"/>
      <c r="AI30" s="79"/>
      <c r="AJ30" s="79"/>
      <c r="AK30" s="79"/>
    </row>
    <row r="31" spans="4:37" s="78" customFormat="1" ht="12" customHeight="1">
      <c r="D31" s="76"/>
      <c r="E31" s="76"/>
      <c r="F31" s="77"/>
      <c r="G31" s="76"/>
      <c r="H31" s="76"/>
      <c r="I31" s="76"/>
      <c r="J31" s="76"/>
      <c r="K31" s="76"/>
      <c r="L31" s="76"/>
      <c r="M31" s="76"/>
      <c r="N31" s="76"/>
      <c r="O31" s="76"/>
      <c r="P31" s="76"/>
      <c r="Q31" s="76"/>
      <c r="R31" s="76"/>
      <c r="S31" s="76"/>
      <c r="T31" s="76"/>
      <c r="U31" s="76"/>
      <c r="V31" s="76"/>
      <c r="W31" s="76"/>
      <c r="X31" s="76"/>
      <c r="Y31" s="76"/>
      <c r="Z31" s="76"/>
      <c r="AA31" s="79"/>
      <c r="AB31" s="79"/>
      <c r="AC31" s="79"/>
      <c r="AD31" s="79"/>
      <c r="AE31" s="79"/>
      <c r="AF31" s="79"/>
      <c r="AG31" s="79"/>
      <c r="AH31" s="79"/>
      <c r="AI31" s="79"/>
      <c r="AJ31" s="79"/>
      <c r="AK31" s="79"/>
    </row>
    <row r="32" spans="4:37" s="78" customFormat="1" ht="12" customHeight="1">
      <c r="D32" s="76"/>
      <c r="E32" s="76"/>
      <c r="F32" s="77"/>
      <c r="G32" s="76"/>
      <c r="H32" s="76"/>
      <c r="I32" s="76"/>
      <c r="J32" s="76"/>
      <c r="K32" s="76"/>
      <c r="L32" s="76"/>
      <c r="M32" s="76"/>
      <c r="N32" s="76"/>
      <c r="O32" s="76"/>
      <c r="P32" s="76"/>
      <c r="Q32" s="76"/>
      <c r="R32" s="76"/>
      <c r="S32" s="76"/>
      <c r="T32" s="76"/>
      <c r="U32" s="76"/>
      <c r="V32" s="76"/>
      <c r="W32" s="76"/>
      <c r="X32" s="76"/>
      <c r="Y32" s="76"/>
      <c r="Z32" s="76"/>
      <c r="AA32" s="79"/>
      <c r="AB32" s="79"/>
      <c r="AC32" s="79"/>
      <c r="AD32" s="79"/>
      <c r="AE32" s="79"/>
      <c r="AF32" s="79"/>
      <c r="AG32" s="79"/>
      <c r="AH32" s="79"/>
      <c r="AI32" s="79"/>
      <c r="AJ32" s="79"/>
      <c r="AK32" s="79"/>
    </row>
    <row r="33" spans="1:37" s="78" customFormat="1" ht="12" customHeight="1">
      <c r="D33" s="76"/>
      <c r="E33" s="76"/>
      <c r="F33" s="77"/>
      <c r="G33" s="76"/>
      <c r="H33" s="76"/>
      <c r="I33" s="76"/>
      <c r="J33" s="76"/>
      <c r="K33" s="76"/>
      <c r="L33" s="76"/>
      <c r="M33" s="76"/>
      <c r="N33" s="76"/>
      <c r="O33" s="76"/>
      <c r="P33" s="76"/>
      <c r="Q33" s="76"/>
      <c r="R33" s="76"/>
      <c r="S33" s="76"/>
      <c r="T33" s="76"/>
      <c r="U33" s="76"/>
      <c r="V33" s="76"/>
      <c r="W33" s="76"/>
      <c r="X33" s="76"/>
      <c r="Y33" s="76"/>
      <c r="Z33" s="76"/>
      <c r="AA33" s="79"/>
      <c r="AB33" s="79"/>
      <c r="AC33" s="79"/>
      <c r="AD33" s="79"/>
      <c r="AE33" s="79"/>
      <c r="AF33" s="79"/>
      <c r="AG33" s="79"/>
      <c r="AH33" s="79"/>
      <c r="AI33" s="79"/>
      <c r="AJ33" s="79"/>
      <c r="AK33" s="79"/>
    </row>
    <row r="34" spans="1:37" s="78" customFormat="1" ht="12" customHeight="1">
      <c r="A34" s="76"/>
      <c r="B34" s="76"/>
      <c r="C34" s="76"/>
      <c r="D34" s="76"/>
      <c r="E34" s="76"/>
      <c r="F34" s="77"/>
      <c r="G34" s="76"/>
      <c r="H34" s="76"/>
      <c r="I34" s="76"/>
      <c r="J34" s="76"/>
      <c r="K34" s="76"/>
      <c r="L34" s="76"/>
      <c r="M34" s="76"/>
      <c r="N34" s="76"/>
      <c r="O34" s="76"/>
      <c r="P34" s="76"/>
      <c r="Q34" s="76"/>
      <c r="R34" s="76"/>
      <c r="S34" s="76"/>
      <c r="T34" s="76"/>
      <c r="U34" s="76"/>
      <c r="V34" s="76"/>
      <c r="W34" s="76"/>
      <c r="X34" s="76"/>
      <c r="Y34" s="76"/>
      <c r="Z34" s="76"/>
      <c r="AA34" s="79"/>
      <c r="AB34" s="79"/>
      <c r="AC34" s="79"/>
      <c r="AD34" s="79"/>
      <c r="AE34" s="79"/>
      <c r="AF34" s="79"/>
      <c r="AG34" s="79"/>
      <c r="AH34" s="79"/>
      <c r="AI34" s="79"/>
      <c r="AJ34" s="79"/>
      <c r="AK34" s="79"/>
    </row>
    <row r="35" spans="1:37" s="78" customFormat="1" ht="12" customHeight="1">
      <c r="A35" s="76"/>
      <c r="B35" s="76"/>
      <c r="C35" s="76"/>
      <c r="D35" s="76"/>
      <c r="E35" s="76"/>
      <c r="F35" s="77"/>
      <c r="G35" s="76"/>
      <c r="H35" s="76"/>
      <c r="I35" s="76"/>
      <c r="J35" s="76"/>
      <c r="K35" s="76"/>
      <c r="L35" s="76"/>
      <c r="M35" s="76"/>
      <c r="N35" s="76"/>
      <c r="O35" s="76"/>
      <c r="P35" s="76"/>
      <c r="Q35" s="76"/>
      <c r="R35" s="76"/>
      <c r="S35" s="76"/>
      <c r="T35" s="76"/>
      <c r="U35" s="76"/>
      <c r="V35" s="76"/>
      <c r="W35" s="76"/>
      <c r="X35" s="76"/>
      <c r="Y35" s="76"/>
      <c r="Z35" s="76"/>
      <c r="AA35" s="79"/>
      <c r="AB35" s="79"/>
      <c r="AC35" s="79"/>
      <c r="AD35" s="79"/>
      <c r="AE35" s="79"/>
      <c r="AF35" s="79"/>
      <c r="AG35" s="79"/>
      <c r="AH35" s="79"/>
      <c r="AI35" s="79"/>
      <c r="AJ35" s="79"/>
      <c r="AK35" s="79"/>
    </row>
    <row r="36" spans="1:37" s="78" customFormat="1" ht="12" customHeight="1">
      <c r="A36" s="76"/>
      <c r="B36" s="76"/>
      <c r="C36" s="76"/>
      <c r="D36" s="76"/>
      <c r="E36" s="76"/>
      <c r="F36" s="77"/>
      <c r="G36" s="76"/>
      <c r="H36" s="76"/>
      <c r="I36" s="76"/>
      <c r="J36" s="76"/>
      <c r="K36" s="76"/>
      <c r="L36" s="76"/>
      <c r="M36" s="76"/>
      <c r="N36" s="76"/>
      <c r="O36" s="76"/>
      <c r="P36" s="76"/>
      <c r="Q36" s="76"/>
      <c r="R36" s="76"/>
      <c r="S36" s="76"/>
      <c r="T36" s="76"/>
      <c r="U36" s="76"/>
      <c r="V36" s="76"/>
      <c r="W36" s="76"/>
      <c r="X36" s="76"/>
      <c r="Y36" s="76"/>
      <c r="Z36" s="76"/>
      <c r="AA36" s="79"/>
      <c r="AB36" s="79"/>
      <c r="AC36" s="79"/>
      <c r="AD36" s="79"/>
      <c r="AE36" s="79"/>
      <c r="AF36" s="79"/>
      <c r="AG36" s="79"/>
      <c r="AH36" s="79"/>
      <c r="AI36" s="79"/>
      <c r="AJ36" s="79"/>
      <c r="AK36" s="79"/>
    </row>
    <row r="37" spans="1:37" s="78" customFormat="1" ht="12" customHeight="1">
      <c r="A37" s="76"/>
      <c r="B37" s="76"/>
      <c r="C37" s="76"/>
      <c r="D37" s="76"/>
      <c r="E37" s="76"/>
      <c r="F37" s="77"/>
      <c r="G37" s="76"/>
      <c r="H37" s="76"/>
      <c r="I37" s="76"/>
      <c r="J37" s="76"/>
      <c r="K37" s="76"/>
      <c r="L37" s="76"/>
      <c r="M37" s="76"/>
      <c r="N37" s="76"/>
      <c r="O37" s="76"/>
      <c r="P37" s="76"/>
      <c r="Q37" s="76"/>
      <c r="R37" s="76"/>
      <c r="S37" s="76"/>
      <c r="T37" s="76"/>
      <c r="U37" s="76"/>
      <c r="V37" s="76"/>
      <c r="W37" s="76"/>
      <c r="X37" s="76"/>
      <c r="Y37" s="76"/>
      <c r="Z37" s="76"/>
      <c r="AA37" s="79"/>
      <c r="AB37" s="79"/>
      <c r="AC37" s="79"/>
      <c r="AD37" s="79"/>
      <c r="AE37" s="79"/>
      <c r="AF37" s="79"/>
      <c r="AG37" s="79"/>
      <c r="AH37" s="79"/>
      <c r="AI37" s="79"/>
      <c r="AJ37" s="79"/>
      <c r="AK37" s="79"/>
    </row>
    <row r="38" spans="1:37" s="78" customFormat="1" ht="12" customHeight="1">
      <c r="A38" s="76"/>
      <c r="B38" s="76"/>
      <c r="C38" s="76"/>
      <c r="D38" s="76"/>
      <c r="E38" s="76"/>
      <c r="F38" s="77"/>
      <c r="G38" s="76"/>
      <c r="H38" s="76"/>
      <c r="I38" s="76"/>
      <c r="J38" s="76"/>
      <c r="K38" s="76"/>
      <c r="L38" s="76"/>
      <c r="M38" s="76"/>
      <c r="N38" s="76"/>
      <c r="O38" s="76"/>
      <c r="P38" s="76"/>
      <c r="Q38" s="76"/>
      <c r="R38" s="76"/>
      <c r="S38" s="76"/>
      <c r="T38" s="76"/>
      <c r="U38" s="76"/>
      <c r="V38" s="76"/>
      <c r="W38" s="76"/>
      <c r="X38" s="76"/>
      <c r="Y38" s="76"/>
      <c r="Z38" s="76"/>
      <c r="AA38" s="79"/>
      <c r="AB38" s="79"/>
      <c r="AC38" s="79"/>
      <c r="AD38" s="79"/>
      <c r="AE38" s="79"/>
      <c r="AF38" s="79"/>
      <c r="AG38" s="79"/>
      <c r="AH38" s="79"/>
      <c r="AI38" s="79"/>
      <c r="AJ38" s="79"/>
      <c r="AK38" s="79"/>
    </row>
    <row r="39" spans="1:37" s="78" customFormat="1" ht="12" customHeight="1">
      <c r="A39" s="76"/>
      <c r="B39" s="76"/>
      <c r="C39" s="76"/>
      <c r="D39" s="76"/>
      <c r="E39" s="76"/>
      <c r="F39" s="77"/>
      <c r="G39" s="76"/>
      <c r="H39" s="76"/>
      <c r="I39" s="76"/>
      <c r="J39" s="76"/>
      <c r="K39" s="76"/>
      <c r="L39" s="76"/>
      <c r="M39" s="76"/>
      <c r="N39" s="76"/>
      <c r="O39" s="76"/>
      <c r="P39" s="76"/>
      <c r="Q39" s="76"/>
      <c r="R39" s="76"/>
      <c r="S39" s="76"/>
      <c r="T39" s="76"/>
      <c r="U39" s="76"/>
      <c r="V39" s="76"/>
      <c r="W39" s="76"/>
      <c r="X39" s="76"/>
      <c r="Y39" s="76"/>
      <c r="Z39" s="76"/>
      <c r="AA39" s="79"/>
      <c r="AB39" s="79"/>
      <c r="AC39" s="79"/>
      <c r="AD39" s="79"/>
      <c r="AE39" s="79"/>
      <c r="AF39" s="79"/>
      <c r="AG39" s="79"/>
      <c r="AH39" s="79"/>
      <c r="AI39" s="79"/>
      <c r="AJ39" s="79"/>
      <c r="AK39" s="79"/>
    </row>
    <row r="40" spans="1:37" s="78" customFormat="1" ht="12" customHeight="1">
      <c r="A40" s="76"/>
      <c r="B40" s="76"/>
      <c r="C40" s="76"/>
      <c r="D40" s="76"/>
      <c r="E40" s="76"/>
      <c r="F40" s="77"/>
      <c r="G40" s="76"/>
      <c r="H40" s="76"/>
      <c r="I40" s="76"/>
      <c r="J40" s="76"/>
      <c r="K40" s="76"/>
      <c r="L40" s="76"/>
      <c r="M40" s="76"/>
      <c r="N40" s="76"/>
      <c r="O40" s="76"/>
      <c r="P40" s="76"/>
      <c r="Q40" s="76"/>
      <c r="R40" s="76"/>
      <c r="S40" s="76"/>
      <c r="T40" s="76"/>
      <c r="U40" s="76"/>
      <c r="V40" s="76"/>
      <c r="W40" s="76"/>
      <c r="X40" s="76"/>
      <c r="Y40" s="76"/>
      <c r="Z40" s="76"/>
      <c r="AA40" s="79"/>
      <c r="AB40" s="79"/>
      <c r="AC40" s="79"/>
      <c r="AD40" s="79"/>
      <c r="AE40" s="79"/>
      <c r="AF40" s="79"/>
      <c r="AG40" s="79"/>
      <c r="AH40" s="79"/>
      <c r="AI40" s="79"/>
      <c r="AJ40" s="79"/>
      <c r="AK40" s="79"/>
    </row>
    <row r="41" spans="1:37" s="78" customFormat="1" ht="12" customHeight="1">
      <c r="A41" s="76"/>
      <c r="B41" s="76"/>
      <c r="C41" s="76"/>
      <c r="D41" s="76"/>
      <c r="E41" s="76"/>
      <c r="F41" s="77"/>
      <c r="G41" s="76"/>
      <c r="H41" s="76"/>
      <c r="I41" s="76"/>
      <c r="J41" s="76"/>
      <c r="K41" s="76"/>
      <c r="L41" s="76"/>
      <c r="M41" s="76"/>
      <c r="N41" s="76"/>
      <c r="O41" s="76"/>
      <c r="P41" s="76"/>
      <c r="Q41" s="76"/>
      <c r="R41" s="76"/>
      <c r="S41" s="76"/>
      <c r="T41" s="76"/>
      <c r="U41" s="76"/>
      <c r="V41" s="76"/>
      <c r="W41" s="76"/>
      <c r="X41" s="76"/>
      <c r="Y41" s="76"/>
      <c r="Z41" s="76"/>
      <c r="AA41" s="79"/>
      <c r="AB41" s="79"/>
      <c r="AC41" s="79"/>
      <c r="AD41" s="79"/>
      <c r="AE41" s="79"/>
      <c r="AF41" s="79"/>
      <c r="AG41" s="79"/>
      <c r="AH41" s="79"/>
      <c r="AI41" s="79"/>
      <c r="AJ41" s="79"/>
      <c r="AK41" s="79"/>
    </row>
    <row r="42" spans="1:37" s="78" customFormat="1" ht="12" customHeight="1">
      <c r="A42" s="76"/>
      <c r="B42" s="76"/>
      <c r="C42" s="76"/>
      <c r="D42" s="76"/>
      <c r="E42" s="76"/>
      <c r="F42" s="77"/>
      <c r="G42" s="76"/>
      <c r="H42" s="76"/>
      <c r="I42" s="76"/>
      <c r="J42" s="76"/>
      <c r="K42" s="76"/>
      <c r="L42" s="76"/>
      <c r="M42" s="76"/>
      <c r="N42" s="76"/>
      <c r="O42" s="76"/>
      <c r="P42" s="76"/>
      <c r="Q42" s="76"/>
      <c r="R42" s="76"/>
      <c r="S42" s="76"/>
      <c r="T42" s="76"/>
      <c r="U42" s="76"/>
      <c r="V42" s="76"/>
      <c r="W42" s="76"/>
      <c r="X42" s="76"/>
      <c r="Y42" s="76"/>
      <c r="Z42" s="76"/>
      <c r="AA42" s="79"/>
      <c r="AB42" s="79"/>
      <c r="AC42" s="79"/>
      <c r="AD42" s="79"/>
      <c r="AE42" s="79"/>
      <c r="AF42" s="79"/>
      <c r="AG42" s="79"/>
      <c r="AH42" s="79"/>
      <c r="AI42" s="79"/>
      <c r="AJ42" s="79"/>
      <c r="AK42" s="79"/>
    </row>
    <row r="43" spans="1:37" s="78" customFormat="1" ht="12" customHeight="1">
      <c r="A43" s="76"/>
      <c r="B43" s="76"/>
      <c r="C43" s="76"/>
      <c r="D43" s="76"/>
      <c r="E43" s="76"/>
      <c r="F43" s="77"/>
      <c r="G43" s="76"/>
      <c r="H43" s="76"/>
      <c r="I43" s="76"/>
      <c r="J43" s="76"/>
      <c r="K43" s="76"/>
      <c r="L43" s="76"/>
      <c r="M43" s="76"/>
      <c r="N43" s="76"/>
      <c r="O43" s="76"/>
      <c r="P43" s="76"/>
      <c r="Q43" s="76"/>
      <c r="R43" s="76"/>
      <c r="S43" s="76"/>
      <c r="T43" s="76"/>
      <c r="U43" s="76"/>
      <c r="V43" s="76"/>
      <c r="W43" s="76"/>
      <c r="X43" s="76"/>
      <c r="Y43" s="76"/>
      <c r="Z43" s="76"/>
      <c r="AA43" s="79"/>
      <c r="AB43" s="79"/>
      <c r="AC43" s="79"/>
      <c r="AD43" s="79"/>
      <c r="AE43" s="79"/>
      <c r="AF43" s="79"/>
      <c r="AG43" s="79"/>
      <c r="AH43" s="79"/>
      <c r="AI43" s="79"/>
      <c r="AJ43" s="79"/>
      <c r="AK43" s="79"/>
    </row>
    <row r="44" spans="1:37" s="78" customFormat="1" ht="12" customHeight="1">
      <c r="A44" s="76"/>
      <c r="B44" s="76"/>
      <c r="C44" s="76"/>
      <c r="D44" s="76"/>
      <c r="E44" s="76"/>
      <c r="F44" s="77"/>
      <c r="G44" s="76"/>
      <c r="H44" s="76"/>
      <c r="I44" s="76"/>
      <c r="J44" s="76"/>
      <c r="K44" s="76"/>
      <c r="L44" s="76"/>
      <c r="M44" s="76"/>
      <c r="N44" s="76"/>
      <c r="O44" s="76"/>
      <c r="P44" s="76"/>
      <c r="Q44" s="76"/>
      <c r="R44" s="76"/>
      <c r="S44" s="76"/>
      <c r="T44" s="76"/>
      <c r="U44" s="76"/>
      <c r="V44" s="76"/>
      <c r="W44" s="76"/>
      <c r="X44" s="76"/>
      <c r="Y44" s="76"/>
      <c r="Z44" s="76"/>
      <c r="AA44" s="79"/>
      <c r="AB44" s="79"/>
      <c r="AC44" s="79"/>
      <c r="AD44" s="79"/>
      <c r="AE44" s="79"/>
      <c r="AF44" s="79"/>
      <c r="AG44" s="79"/>
      <c r="AH44" s="79"/>
      <c r="AI44" s="79"/>
      <c r="AJ44" s="79"/>
      <c r="AK44" s="79"/>
    </row>
    <row r="45" spans="1:37" s="78" customFormat="1" ht="12" customHeight="1">
      <c r="A45" s="76"/>
      <c r="B45" s="76"/>
      <c r="C45" s="76"/>
      <c r="D45" s="76"/>
      <c r="E45" s="76"/>
      <c r="F45" s="77"/>
      <c r="G45" s="76"/>
      <c r="H45" s="76"/>
      <c r="I45" s="76"/>
      <c r="J45" s="76"/>
      <c r="K45" s="76"/>
      <c r="L45" s="76"/>
      <c r="M45" s="76"/>
      <c r="N45" s="76"/>
      <c r="O45" s="76"/>
      <c r="P45" s="76"/>
      <c r="Q45" s="76"/>
      <c r="R45" s="76"/>
      <c r="S45" s="76"/>
      <c r="T45" s="76"/>
      <c r="U45" s="76"/>
      <c r="V45" s="76"/>
      <c r="W45" s="76"/>
      <c r="X45" s="76"/>
      <c r="Y45" s="76"/>
      <c r="Z45" s="76"/>
      <c r="AA45" s="79"/>
      <c r="AB45" s="79"/>
      <c r="AC45" s="79"/>
      <c r="AD45" s="79"/>
      <c r="AE45" s="79"/>
      <c r="AF45" s="79"/>
      <c r="AG45" s="79"/>
      <c r="AH45" s="79"/>
      <c r="AI45" s="79"/>
      <c r="AJ45" s="79"/>
      <c r="AK45" s="79"/>
    </row>
    <row r="46" spans="1:37" s="78" customFormat="1" ht="12" customHeight="1">
      <c r="A46" s="76"/>
      <c r="B46" s="76"/>
      <c r="C46" s="76"/>
      <c r="D46" s="76"/>
      <c r="E46" s="76"/>
      <c r="F46" s="77"/>
      <c r="G46" s="76"/>
      <c r="H46" s="76"/>
      <c r="I46" s="76"/>
      <c r="J46" s="76"/>
      <c r="K46" s="76"/>
      <c r="L46" s="76"/>
      <c r="M46" s="76"/>
      <c r="N46" s="76"/>
      <c r="O46" s="76"/>
      <c r="P46" s="76"/>
      <c r="Q46" s="76"/>
      <c r="R46" s="76"/>
      <c r="S46" s="76"/>
      <c r="T46" s="76"/>
      <c r="U46" s="76"/>
      <c r="V46" s="76"/>
      <c r="W46" s="76"/>
      <c r="X46" s="76"/>
      <c r="Y46" s="76"/>
      <c r="Z46" s="76"/>
      <c r="AA46" s="79"/>
      <c r="AB46" s="79"/>
      <c r="AC46" s="79"/>
      <c r="AD46" s="79"/>
      <c r="AE46" s="79"/>
      <c r="AF46" s="79"/>
      <c r="AG46" s="79"/>
      <c r="AH46" s="79"/>
      <c r="AI46" s="79"/>
      <c r="AJ46" s="79"/>
      <c r="AK46" s="79"/>
    </row>
    <row r="47" spans="1:37" s="78" customFormat="1" ht="12" customHeight="1">
      <c r="A47" s="76"/>
      <c r="B47" s="76"/>
      <c r="C47" s="76"/>
      <c r="D47" s="76"/>
      <c r="E47" s="76"/>
      <c r="F47" s="77"/>
      <c r="G47" s="76"/>
      <c r="H47" s="76"/>
      <c r="I47" s="76"/>
      <c r="J47" s="76"/>
      <c r="K47" s="76"/>
      <c r="L47" s="76"/>
      <c r="M47" s="76"/>
      <c r="N47" s="76"/>
      <c r="O47" s="76"/>
      <c r="P47" s="76"/>
      <c r="Q47" s="76"/>
      <c r="R47" s="76"/>
      <c r="S47" s="76"/>
      <c r="T47" s="76"/>
      <c r="U47" s="76"/>
      <c r="V47" s="76"/>
      <c r="W47" s="76"/>
      <c r="X47" s="76"/>
      <c r="Y47" s="76"/>
      <c r="Z47" s="76"/>
      <c r="AA47" s="79"/>
      <c r="AB47" s="79"/>
      <c r="AC47" s="79"/>
      <c r="AD47" s="79"/>
      <c r="AE47" s="79"/>
      <c r="AF47" s="79"/>
      <c r="AG47" s="79"/>
      <c r="AH47" s="79"/>
      <c r="AI47" s="79"/>
      <c r="AJ47" s="79"/>
      <c r="AK47" s="79"/>
    </row>
    <row r="48" spans="1:37" s="78" customFormat="1" ht="12" customHeight="1">
      <c r="A48" s="76"/>
      <c r="B48" s="76"/>
      <c r="C48" s="76"/>
      <c r="D48" s="76"/>
      <c r="E48" s="76"/>
      <c r="F48" s="77"/>
      <c r="G48" s="76"/>
      <c r="H48" s="76"/>
      <c r="I48" s="76"/>
      <c r="J48" s="76"/>
      <c r="K48" s="76"/>
      <c r="L48" s="76"/>
      <c r="M48" s="76"/>
      <c r="N48" s="76"/>
      <c r="O48" s="76"/>
      <c r="P48" s="76"/>
      <c r="Q48" s="76"/>
      <c r="R48" s="76"/>
      <c r="S48" s="76"/>
      <c r="T48" s="76"/>
      <c r="U48" s="76"/>
      <c r="V48" s="76"/>
      <c r="W48" s="76"/>
      <c r="X48" s="76"/>
      <c r="Y48" s="76"/>
      <c r="Z48" s="76"/>
      <c r="AA48" s="79"/>
      <c r="AB48" s="79"/>
      <c r="AC48" s="79"/>
      <c r="AD48" s="79"/>
      <c r="AE48" s="79"/>
      <c r="AF48" s="79"/>
      <c r="AG48" s="79"/>
      <c r="AH48" s="79"/>
      <c r="AI48" s="79"/>
      <c r="AJ48" s="79"/>
      <c r="AK48" s="79"/>
    </row>
    <row r="49" spans="1:37" s="78" customFormat="1" ht="12" customHeight="1">
      <c r="A49" s="76"/>
      <c r="B49" s="76"/>
      <c r="C49" s="76"/>
      <c r="D49" s="76"/>
      <c r="E49" s="76"/>
      <c r="F49" s="77"/>
      <c r="G49" s="76"/>
      <c r="H49" s="76"/>
      <c r="I49" s="76"/>
      <c r="J49" s="76"/>
      <c r="K49" s="76"/>
      <c r="L49" s="76"/>
      <c r="M49" s="76"/>
      <c r="N49" s="76"/>
      <c r="O49" s="76"/>
      <c r="P49" s="76"/>
      <c r="Q49" s="76"/>
      <c r="R49" s="76"/>
      <c r="S49" s="76"/>
      <c r="T49" s="76"/>
      <c r="U49" s="76"/>
      <c r="V49" s="76"/>
      <c r="W49" s="76"/>
      <c r="X49" s="76"/>
      <c r="Y49" s="76"/>
      <c r="Z49" s="76"/>
      <c r="AA49" s="79"/>
      <c r="AB49" s="79"/>
      <c r="AC49" s="79"/>
      <c r="AD49" s="79"/>
      <c r="AE49" s="79"/>
      <c r="AF49" s="79"/>
      <c r="AG49" s="79"/>
      <c r="AH49" s="79"/>
      <c r="AI49" s="79"/>
      <c r="AJ49" s="79"/>
      <c r="AK49" s="79"/>
    </row>
    <row r="50" spans="1:37" s="78" customFormat="1" ht="12" customHeight="1">
      <c r="A50" s="76"/>
      <c r="B50" s="76"/>
      <c r="C50" s="76"/>
      <c r="D50" s="76"/>
      <c r="E50" s="76"/>
      <c r="F50" s="77"/>
      <c r="G50" s="76"/>
      <c r="H50" s="76"/>
      <c r="I50" s="76"/>
      <c r="J50" s="76"/>
      <c r="K50" s="76"/>
      <c r="L50" s="76"/>
      <c r="M50" s="76"/>
      <c r="N50" s="76"/>
      <c r="O50" s="76"/>
      <c r="P50" s="76"/>
      <c r="Q50" s="76"/>
      <c r="R50" s="76"/>
      <c r="S50" s="76"/>
      <c r="T50" s="76"/>
      <c r="U50" s="76"/>
      <c r="V50" s="76"/>
      <c r="W50" s="76"/>
      <c r="X50" s="76"/>
      <c r="Y50" s="76"/>
      <c r="Z50" s="76"/>
      <c r="AA50" s="79"/>
      <c r="AB50" s="79"/>
      <c r="AC50" s="79"/>
      <c r="AD50" s="79"/>
      <c r="AE50" s="79"/>
      <c r="AF50" s="79"/>
      <c r="AG50" s="79"/>
      <c r="AH50" s="79"/>
      <c r="AI50" s="79"/>
      <c r="AJ50" s="79"/>
      <c r="AK50" s="79"/>
    </row>
    <row r="51" spans="1:37" s="78" customFormat="1" ht="12" customHeight="1">
      <c r="A51" s="76"/>
      <c r="B51" s="76"/>
      <c r="C51" s="76"/>
      <c r="D51" s="76"/>
      <c r="E51" s="76"/>
      <c r="F51" s="77"/>
      <c r="G51" s="76"/>
      <c r="H51" s="76"/>
      <c r="I51" s="76"/>
      <c r="J51" s="76"/>
      <c r="K51" s="76"/>
      <c r="L51" s="76"/>
      <c r="M51" s="76"/>
      <c r="N51" s="76"/>
      <c r="O51" s="76"/>
      <c r="P51" s="76"/>
      <c r="Q51" s="76"/>
      <c r="R51" s="76"/>
      <c r="S51" s="76"/>
      <c r="T51" s="76"/>
      <c r="U51" s="76"/>
      <c r="V51" s="76"/>
      <c r="W51" s="76"/>
      <c r="X51" s="76"/>
      <c r="Y51" s="76"/>
      <c r="Z51" s="76"/>
      <c r="AA51" s="79"/>
      <c r="AB51" s="79"/>
      <c r="AC51" s="79"/>
      <c r="AD51" s="79"/>
      <c r="AE51" s="79"/>
      <c r="AF51" s="79"/>
      <c r="AG51" s="79"/>
      <c r="AH51" s="79"/>
      <c r="AI51" s="79"/>
      <c r="AJ51" s="79"/>
      <c r="AK51" s="79"/>
    </row>
    <row r="52" spans="1:37" s="78" customFormat="1" ht="12" customHeight="1">
      <c r="A52" s="76"/>
      <c r="B52" s="76"/>
      <c r="C52" s="76"/>
      <c r="D52" s="76"/>
      <c r="E52" s="76"/>
      <c r="F52" s="77"/>
      <c r="G52" s="76"/>
      <c r="H52" s="76"/>
      <c r="I52" s="76"/>
      <c r="J52" s="76"/>
      <c r="K52" s="76"/>
      <c r="L52" s="76"/>
      <c r="M52" s="76"/>
      <c r="N52" s="76"/>
      <c r="O52" s="76"/>
      <c r="P52" s="76"/>
      <c r="Q52" s="76"/>
      <c r="R52" s="76"/>
      <c r="S52" s="76"/>
      <c r="T52" s="76"/>
      <c r="U52" s="76"/>
      <c r="V52" s="76"/>
      <c r="W52" s="76"/>
      <c r="X52" s="76"/>
      <c r="Y52" s="76"/>
      <c r="Z52" s="76"/>
      <c r="AA52" s="79"/>
      <c r="AB52" s="79"/>
      <c r="AC52" s="79"/>
      <c r="AD52" s="79"/>
      <c r="AE52" s="79"/>
      <c r="AF52" s="79"/>
      <c r="AG52" s="79"/>
      <c r="AH52" s="79"/>
      <c r="AI52" s="79"/>
      <c r="AJ52" s="79"/>
      <c r="AK52" s="79"/>
    </row>
    <row r="53" spans="1:37" s="78" customFormat="1" ht="12" customHeight="1">
      <c r="A53" s="76"/>
      <c r="B53" s="76"/>
      <c r="C53" s="76"/>
      <c r="D53" s="76"/>
      <c r="E53" s="76"/>
      <c r="F53" s="77"/>
      <c r="G53" s="76"/>
      <c r="H53" s="76"/>
      <c r="I53" s="76"/>
      <c r="J53" s="76"/>
      <c r="K53" s="76"/>
      <c r="L53" s="76"/>
      <c r="M53" s="76"/>
      <c r="N53" s="76"/>
      <c r="O53" s="76"/>
      <c r="P53" s="76"/>
      <c r="Q53" s="76"/>
      <c r="R53" s="76"/>
      <c r="S53" s="76"/>
      <c r="T53" s="76"/>
      <c r="U53" s="76"/>
      <c r="V53" s="76"/>
      <c r="W53" s="76"/>
      <c r="X53" s="76"/>
      <c r="Y53" s="76"/>
      <c r="Z53" s="76"/>
      <c r="AA53" s="79"/>
      <c r="AB53" s="79"/>
      <c r="AC53" s="79"/>
      <c r="AD53" s="79"/>
      <c r="AE53" s="79"/>
      <c r="AF53" s="79"/>
      <c r="AG53" s="79"/>
      <c r="AH53" s="79"/>
      <c r="AI53" s="79"/>
      <c r="AJ53" s="79"/>
      <c r="AK53" s="79"/>
    </row>
    <row r="54" spans="1:37" s="78" customFormat="1" ht="12" customHeight="1">
      <c r="A54" s="76"/>
      <c r="B54" s="76"/>
      <c r="C54" s="76"/>
      <c r="D54" s="76"/>
      <c r="E54" s="76"/>
      <c r="F54" s="77"/>
      <c r="G54" s="76"/>
      <c r="H54" s="76"/>
      <c r="I54" s="76"/>
      <c r="J54" s="76"/>
      <c r="K54" s="76"/>
      <c r="L54" s="76"/>
      <c r="M54" s="76"/>
      <c r="N54" s="76"/>
      <c r="O54" s="76"/>
      <c r="P54" s="76"/>
      <c r="Q54" s="76"/>
      <c r="R54" s="76"/>
      <c r="S54" s="76"/>
      <c r="T54" s="76"/>
      <c r="U54" s="76"/>
      <c r="V54" s="76"/>
      <c r="W54" s="76"/>
      <c r="X54" s="76"/>
      <c r="Y54" s="76"/>
      <c r="Z54" s="76"/>
      <c r="AA54" s="79"/>
      <c r="AB54" s="79"/>
      <c r="AC54" s="79"/>
      <c r="AD54" s="79"/>
      <c r="AE54" s="79"/>
      <c r="AF54" s="79"/>
      <c r="AG54" s="79"/>
      <c r="AH54" s="79"/>
      <c r="AI54" s="79"/>
      <c r="AJ54" s="79"/>
      <c r="AK54" s="79"/>
    </row>
    <row r="55" spans="1:37" s="78" customFormat="1" ht="12" customHeight="1">
      <c r="A55" s="76"/>
      <c r="B55" s="76"/>
      <c r="C55" s="76"/>
      <c r="D55" s="76"/>
      <c r="E55" s="76"/>
      <c r="F55" s="77"/>
      <c r="G55" s="76"/>
      <c r="H55" s="76"/>
      <c r="I55" s="76"/>
      <c r="J55" s="76"/>
      <c r="K55" s="76"/>
      <c r="L55" s="76"/>
      <c r="M55" s="76"/>
      <c r="N55" s="76"/>
      <c r="O55" s="76"/>
      <c r="P55" s="76"/>
      <c r="Q55" s="76"/>
      <c r="R55" s="76"/>
      <c r="S55" s="76"/>
      <c r="T55" s="76"/>
      <c r="U55" s="76"/>
      <c r="V55" s="76"/>
      <c r="W55" s="76"/>
      <c r="X55" s="76"/>
      <c r="Y55" s="76"/>
      <c r="Z55" s="76"/>
      <c r="AA55" s="79"/>
      <c r="AB55" s="79"/>
      <c r="AC55" s="79"/>
      <c r="AD55" s="79"/>
      <c r="AE55" s="79"/>
      <c r="AF55" s="79"/>
      <c r="AG55" s="79"/>
      <c r="AH55" s="79"/>
      <c r="AI55" s="79"/>
      <c r="AJ55" s="79"/>
      <c r="AK55" s="79"/>
    </row>
    <row r="56" spans="1:37" s="78" customFormat="1" ht="12" customHeight="1">
      <c r="A56" s="76"/>
      <c r="B56" s="76"/>
      <c r="C56" s="76"/>
      <c r="D56" s="76"/>
      <c r="E56" s="76"/>
      <c r="F56" s="77"/>
      <c r="G56" s="76"/>
      <c r="H56" s="76"/>
      <c r="I56" s="76"/>
      <c r="J56" s="76"/>
      <c r="K56" s="76"/>
      <c r="L56" s="76"/>
      <c r="M56" s="76"/>
      <c r="N56" s="76"/>
      <c r="O56" s="76"/>
      <c r="P56" s="76"/>
      <c r="Q56" s="76"/>
      <c r="R56" s="76"/>
      <c r="S56" s="76"/>
      <c r="T56" s="76"/>
      <c r="U56" s="76"/>
      <c r="V56" s="76"/>
      <c r="W56" s="76"/>
      <c r="X56" s="76"/>
      <c r="Y56" s="76"/>
      <c r="Z56" s="76"/>
      <c r="AA56" s="79"/>
      <c r="AB56" s="79"/>
      <c r="AC56" s="79"/>
      <c r="AD56" s="79"/>
      <c r="AE56" s="79"/>
      <c r="AF56" s="79"/>
      <c r="AG56" s="79"/>
      <c r="AH56" s="79"/>
      <c r="AI56" s="79"/>
      <c r="AJ56" s="79"/>
      <c r="AK56" s="79"/>
    </row>
    <row r="57" spans="1:37" s="78" customFormat="1" ht="12" customHeight="1">
      <c r="A57" s="76"/>
      <c r="B57" s="76"/>
      <c r="C57" s="76"/>
      <c r="D57" s="76"/>
      <c r="E57" s="76"/>
      <c r="F57" s="77"/>
      <c r="G57" s="76"/>
      <c r="H57" s="76"/>
      <c r="I57" s="76"/>
      <c r="J57" s="76"/>
      <c r="K57" s="76"/>
      <c r="L57" s="76"/>
      <c r="M57" s="76"/>
      <c r="N57" s="76"/>
      <c r="O57" s="76"/>
      <c r="P57" s="76"/>
      <c r="Q57" s="76"/>
      <c r="R57" s="76"/>
      <c r="S57" s="76"/>
      <c r="T57" s="76"/>
      <c r="U57" s="76"/>
      <c r="V57" s="76"/>
      <c r="W57" s="76"/>
      <c r="X57" s="76"/>
      <c r="Y57" s="76"/>
      <c r="Z57" s="76"/>
      <c r="AA57" s="79"/>
      <c r="AB57" s="79"/>
      <c r="AC57" s="79"/>
      <c r="AD57" s="79"/>
      <c r="AE57" s="79"/>
      <c r="AF57" s="79"/>
      <c r="AG57" s="79"/>
      <c r="AH57" s="79"/>
      <c r="AI57" s="79"/>
      <c r="AJ57" s="79"/>
      <c r="AK57" s="79"/>
    </row>
    <row r="58" spans="1:37" s="78" customFormat="1" ht="12" customHeight="1">
      <c r="A58" s="76"/>
      <c r="B58" s="76"/>
      <c r="C58" s="76"/>
      <c r="D58" s="76"/>
      <c r="E58" s="76"/>
      <c r="F58" s="77"/>
      <c r="G58" s="76"/>
      <c r="H58" s="76"/>
      <c r="I58" s="76"/>
      <c r="J58" s="76"/>
      <c r="K58" s="76"/>
      <c r="L58" s="76"/>
      <c r="M58" s="76"/>
      <c r="N58" s="76"/>
      <c r="O58" s="76"/>
      <c r="P58" s="76"/>
      <c r="Q58" s="76"/>
      <c r="R58" s="76"/>
      <c r="S58" s="76"/>
      <c r="T58" s="76"/>
      <c r="U58" s="76"/>
      <c r="V58" s="76"/>
      <c r="W58" s="76"/>
      <c r="X58" s="76"/>
      <c r="Y58" s="76"/>
      <c r="Z58" s="76"/>
      <c r="AA58" s="79"/>
      <c r="AB58" s="79"/>
      <c r="AC58" s="79"/>
      <c r="AD58" s="79"/>
      <c r="AE58" s="79"/>
      <c r="AF58" s="79"/>
      <c r="AG58" s="79"/>
      <c r="AH58" s="79"/>
      <c r="AI58" s="79"/>
      <c r="AJ58" s="79"/>
      <c r="AK58" s="79"/>
    </row>
    <row r="59" spans="1:37" s="78" customFormat="1" ht="12" customHeight="1">
      <c r="A59" s="76"/>
      <c r="B59" s="76"/>
      <c r="C59" s="76"/>
      <c r="D59" s="76"/>
      <c r="E59" s="76"/>
      <c r="F59" s="77"/>
      <c r="G59" s="76"/>
      <c r="H59" s="76"/>
      <c r="I59" s="76"/>
      <c r="J59" s="76"/>
      <c r="K59" s="76"/>
      <c r="L59" s="76"/>
      <c r="M59" s="76"/>
      <c r="N59" s="76"/>
      <c r="O59" s="76"/>
      <c r="P59" s="76"/>
      <c r="Q59" s="76"/>
      <c r="R59" s="76"/>
      <c r="S59" s="76"/>
      <c r="T59" s="76"/>
      <c r="U59" s="76"/>
      <c r="V59" s="76"/>
      <c r="W59" s="76"/>
      <c r="X59" s="76"/>
      <c r="Y59" s="76"/>
      <c r="Z59" s="76"/>
      <c r="AA59" s="79"/>
      <c r="AB59" s="79"/>
      <c r="AC59" s="79"/>
      <c r="AD59" s="79"/>
      <c r="AE59" s="79"/>
      <c r="AF59" s="79"/>
      <c r="AG59" s="79"/>
      <c r="AH59" s="79"/>
      <c r="AI59" s="79"/>
      <c r="AJ59" s="79"/>
      <c r="AK59" s="79"/>
    </row>
    <row r="60" spans="1:37" s="78" customFormat="1" ht="12" customHeight="1">
      <c r="A60" s="76"/>
      <c r="B60" s="76"/>
      <c r="C60" s="76"/>
      <c r="D60" s="76"/>
      <c r="E60" s="76"/>
      <c r="F60" s="77"/>
      <c r="G60" s="76"/>
      <c r="H60" s="76"/>
      <c r="I60" s="76"/>
      <c r="J60" s="76"/>
      <c r="K60" s="76"/>
      <c r="L60" s="76"/>
      <c r="M60" s="76"/>
      <c r="N60" s="76"/>
      <c r="O60" s="76"/>
      <c r="P60" s="76"/>
      <c r="Q60" s="76"/>
      <c r="R60" s="76"/>
      <c r="S60" s="76"/>
      <c r="T60" s="76"/>
      <c r="U60" s="76"/>
      <c r="V60" s="76"/>
      <c r="W60" s="76"/>
      <c r="X60" s="76"/>
      <c r="Y60" s="76"/>
      <c r="Z60" s="76"/>
      <c r="AA60" s="79"/>
      <c r="AB60" s="79"/>
      <c r="AC60" s="79"/>
      <c r="AD60" s="79"/>
      <c r="AE60" s="79"/>
      <c r="AF60" s="79"/>
      <c r="AG60" s="79"/>
      <c r="AH60" s="79"/>
      <c r="AI60" s="79"/>
      <c r="AJ60" s="79"/>
      <c r="AK60" s="79"/>
    </row>
    <row r="61" spans="1:37" s="78" customFormat="1" ht="12" customHeight="1">
      <c r="A61" s="76"/>
      <c r="B61" s="76"/>
      <c r="C61" s="76"/>
      <c r="D61" s="76"/>
      <c r="E61" s="76"/>
      <c r="F61" s="77"/>
      <c r="G61" s="76"/>
      <c r="H61" s="76"/>
      <c r="I61" s="76"/>
      <c r="J61" s="76"/>
      <c r="K61" s="76"/>
      <c r="L61" s="76"/>
      <c r="M61" s="76"/>
      <c r="N61" s="76"/>
      <c r="O61" s="76"/>
      <c r="P61" s="76"/>
      <c r="Q61" s="76"/>
      <c r="R61" s="76"/>
      <c r="S61" s="76"/>
      <c r="T61" s="76"/>
      <c r="U61" s="76"/>
      <c r="V61" s="76"/>
      <c r="W61" s="76"/>
      <c r="X61" s="76"/>
      <c r="Y61" s="76"/>
      <c r="Z61" s="76"/>
      <c r="AA61" s="79"/>
      <c r="AB61" s="79"/>
      <c r="AC61" s="79"/>
      <c r="AD61" s="79"/>
      <c r="AE61" s="79"/>
      <c r="AF61" s="79"/>
      <c r="AG61" s="79"/>
      <c r="AH61" s="79"/>
      <c r="AI61" s="79"/>
      <c r="AJ61" s="79"/>
      <c r="AK61" s="79"/>
    </row>
    <row r="62" spans="1:37" s="78" customFormat="1" ht="12" customHeight="1">
      <c r="A62" s="76"/>
      <c r="B62" s="76"/>
      <c r="C62" s="76"/>
      <c r="D62" s="76"/>
      <c r="E62" s="76"/>
      <c r="F62" s="77"/>
      <c r="G62" s="76"/>
      <c r="H62" s="76"/>
      <c r="I62" s="76"/>
      <c r="J62" s="76"/>
      <c r="K62" s="76"/>
      <c r="L62" s="76"/>
      <c r="M62" s="76"/>
      <c r="N62" s="76"/>
      <c r="O62" s="76"/>
      <c r="P62" s="76"/>
      <c r="Q62" s="76"/>
      <c r="R62" s="76"/>
      <c r="S62" s="76"/>
      <c r="T62" s="76"/>
      <c r="U62" s="76"/>
      <c r="V62" s="76"/>
      <c r="W62" s="76"/>
      <c r="X62" s="76"/>
      <c r="Y62" s="76"/>
      <c r="Z62" s="76"/>
      <c r="AA62" s="79"/>
      <c r="AB62" s="79"/>
      <c r="AC62" s="79"/>
      <c r="AD62" s="79"/>
      <c r="AE62" s="79"/>
      <c r="AF62" s="79"/>
      <c r="AG62" s="79"/>
      <c r="AH62" s="79"/>
      <c r="AI62" s="79"/>
      <c r="AJ62" s="79"/>
      <c r="AK62" s="79"/>
    </row>
    <row r="63" spans="1:37" s="78" customFormat="1" ht="12" customHeight="1">
      <c r="A63" s="76"/>
      <c r="B63" s="76"/>
      <c r="C63" s="76"/>
      <c r="D63" s="76"/>
      <c r="E63" s="76"/>
      <c r="F63" s="77"/>
      <c r="G63" s="76"/>
      <c r="H63" s="76"/>
      <c r="I63" s="76"/>
      <c r="J63" s="76"/>
      <c r="K63" s="76"/>
      <c r="L63" s="76"/>
      <c r="M63" s="76"/>
      <c r="N63" s="76"/>
      <c r="O63" s="76"/>
      <c r="P63" s="76"/>
      <c r="Q63" s="76"/>
      <c r="R63" s="76"/>
      <c r="S63" s="76"/>
      <c r="T63" s="76"/>
      <c r="U63" s="76"/>
      <c r="V63" s="76"/>
      <c r="W63" s="76"/>
      <c r="X63" s="76"/>
      <c r="Y63" s="76"/>
      <c r="Z63" s="76"/>
      <c r="AA63" s="79"/>
      <c r="AB63" s="79"/>
      <c r="AC63" s="79"/>
      <c r="AD63" s="79"/>
      <c r="AE63" s="79"/>
      <c r="AF63" s="79"/>
      <c r="AG63" s="79"/>
      <c r="AH63" s="79"/>
      <c r="AI63" s="79"/>
      <c r="AJ63" s="79"/>
      <c r="AK63" s="79"/>
    </row>
    <row r="64" spans="1:37" s="78" customFormat="1" ht="12" customHeight="1">
      <c r="A64" s="76"/>
      <c r="B64" s="76"/>
      <c r="C64" s="76"/>
      <c r="D64" s="76"/>
      <c r="E64" s="76"/>
      <c r="F64" s="77"/>
      <c r="G64" s="76"/>
      <c r="H64" s="76"/>
      <c r="I64" s="76"/>
      <c r="J64" s="76"/>
      <c r="K64" s="76"/>
      <c r="L64" s="76"/>
      <c r="M64" s="76"/>
      <c r="N64" s="76"/>
      <c r="O64" s="76"/>
      <c r="P64" s="76"/>
      <c r="Q64" s="76"/>
      <c r="R64" s="76"/>
      <c r="S64" s="76"/>
      <c r="T64" s="76"/>
      <c r="U64" s="76"/>
      <c r="V64" s="76"/>
      <c r="W64" s="76"/>
      <c r="X64" s="76"/>
      <c r="Y64" s="76"/>
      <c r="Z64" s="76"/>
      <c r="AA64" s="79"/>
      <c r="AB64" s="79"/>
      <c r="AC64" s="79"/>
      <c r="AD64" s="79"/>
      <c r="AE64" s="79"/>
      <c r="AF64" s="79"/>
      <c r="AG64" s="79"/>
      <c r="AH64" s="79"/>
      <c r="AI64" s="79"/>
      <c r="AJ64" s="79"/>
      <c r="AK64" s="79"/>
    </row>
    <row r="65" spans="1:37" s="78" customFormat="1" ht="12" customHeight="1">
      <c r="A65" s="76"/>
      <c r="B65" s="76"/>
      <c r="C65" s="76"/>
      <c r="D65" s="76"/>
      <c r="E65" s="76"/>
      <c r="F65" s="77"/>
      <c r="G65" s="76"/>
      <c r="H65" s="76"/>
      <c r="I65" s="76"/>
      <c r="J65" s="76"/>
      <c r="K65" s="76"/>
      <c r="L65" s="76"/>
      <c r="M65" s="76"/>
      <c r="N65" s="76"/>
      <c r="O65" s="76"/>
      <c r="P65" s="76"/>
      <c r="Q65" s="76"/>
      <c r="R65" s="76"/>
      <c r="S65" s="76"/>
      <c r="T65" s="76"/>
      <c r="U65" s="76"/>
      <c r="V65" s="76"/>
      <c r="W65" s="76"/>
      <c r="X65" s="76"/>
      <c r="Y65" s="76"/>
      <c r="Z65" s="76"/>
      <c r="AA65" s="79"/>
      <c r="AB65" s="79"/>
      <c r="AC65" s="79"/>
      <c r="AD65" s="79"/>
      <c r="AE65" s="79"/>
      <c r="AF65" s="79"/>
      <c r="AG65" s="79"/>
      <c r="AH65" s="79"/>
      <c r="AI65" s="79"/>
      <c r="AJ65" s="79"/>
      <c r="AK65" s="79"/>
    </row>
    <row r="66" spans="1:37" s="78" customFormat="1" ht="12" customHeight="1">
      <c r="A66" s="76"/>
      <c r="B66" s="76"/>
      <c r="C66" s="76"/>
      <c r="D66" s="76"/>
      <c r="E66" s="76"/>
      <c r="F66" s="77"/>
      <c r="G66" s="76"/>
      <c r="H66" s="76"/>
      <c r="I66" s="76"/>
      <c r="J66" s="76"/>
      <c r="K66" s="76"/>
      <c r="L66" s="76"/>
      <c r="M66" s="76"/>
      <c r="N66" s="76"/>
      <c r="O66" s="76"/>
      <c r="P66" s="76"/>
      <c r="Q66" s="76"/>
      <c r="R66" s="76"/>
      <c r="S66" s="76"/>
      <c r="T66" s="76"/>
      <c r="U66" s="76"/>
      <c r="V66" s="76"/>
      <c r="W66" s="76"/>
      <c r="X66" s="76"/>
      <c r="Y66" s="76"/>
      <c r="Z66" s="76"/>
      <c r="AA66" s="79"/>
      <c r="AB66" s="79"/>
      <c r="AC66" s="79"/>
      <c r="AD66" s="79"/>
      <c r="AE66" s="79"/>
      <c r="AF66" s="79"/>
      <c r="AG66" s="79"/>
      <c r="AH66" s="79"/>
      <c r="AI66" s="79"/>
      <c r="AJ66" s="79"/>
      <c r="AK66" s="79"/>
    </row>
    <row r="67" spans="1:37" s="78" customFormat="1" ht="12" customHeight="1">
      <c r="A67" s="76"/>
      <c r="B67" s="76"/>
      <c r="C67" s="76"/>
      <c r="D67" s="76"/>
      <c r="E67" s="76"/>
      <c r="F67" s="77"/>
      <c r="G67" s="76"/>
      <c r="H67" s="76"/>
      <c r="I67" s="76"/>
      <c r="J67" s="76"/>
      <c r="K67" s="76"/>
      <c r="L67" s="76"/>
      <c r="M67" s="76"/>
      <c r="N67" s="76"/>
      <c r="O67" s="76"/>
      <c r="P67" s="76"/>
      <c r="Q67" s="76"/>
      <c r="R67" s="76"/>
      <c r="S67" s="76"/>
      <c r="T67" s="76"/>
      <c r="U67" s="76"/>
      <c r="V67" s="76"/>
      <c r="W67" s="76"/>
      <c r="X67" s="76"/>
      <c r="Y67" s="76"/>
      <c r="Z67" s="76"/>
      <c r="AA67" s="79"/>
      <c r="AB67" s="79"/>
      <c r="AC67" s="79"/>
      <c r="AD67" s="79"/>
      <c r="AE67" s="79"/>
      <c r="AF67" s="79"/>
      <c r="AG67" s="79"/>
      <c r="AH67" s="79"/>
      <c r="AI67" s="79"/>
      <c r="AJ67" s="79"/>
      <c r="AK67" s="79"/>
    </row>
    <row r="68" spans="1:37" s="78" customFormat="1" ht="12" customHeight="1">
      <c r="A68" s="76"/>
      <c r="B68" s="76"/>
      <c r="C68" s="76"/>
      <c r="D68" s="76"/>
      <c r="E68" s="76"/>
      <c r="F68" s="77"/>
      <c r="G68" s="76"/>
      <c r="H68" s="76"/>
      <c r="I68" s="76"/>
      <c r="J68" s="76"/>
      <c r="K68" s="76"/>
      <c r="L68" s="76"/>
      <c r="M68" s="76"/>
      <c r="N68" s="76"/>
      <c r="O68" s="76"/>
      <c r="P68" s="76"/>
      <c r="Q68" s="76"/>
      <c r="R68" s="76"/>
      <c r="S68" s="76"/>
      <c r="T68" s="76"/>
      <c r="U68" s="76"/>
      <c r="V68" s="76"/>
      <c r="W68" s="76"/>
      <c r="X68" s="76"/>
      <c r="Y68" s="76"/>
      <c r="Z68" s="76"/>
      <c r="AA68" s="79"/>
      <c r="AB68" s="79"/>
      <c r="AC68" s="79"/>
      <c r="AD68" s="79"/>
      <c r="AE68" s="79"/>
      <c r="AF68" s="79"/>
      <c r="AG68" s="79"/>
      <c r="AH68" s="79"/>
      <c r="AI68" s="79"/>
      <c r="AJ68" s="79"/>
      <c r="AK68" s="79"/>
    </row>
    <row r="69" spans="1:37" s="78" customFormat="1" ht="12" customHeight="1">
      <c r="A69" s="76"/>
      <c r="B69" s="76"/>
      <c r="C69" s="76"/>
      <c r="D69" s="76"/>
      <c r="E69" s="76"/>
      <c r="F69" s="77"/>
      <c r="G69" s="76"/>
      <c r="H69" s="76"/>
      <c r="I69" s="76"/>
      <c r="J69" s="76"/>
      <c r="K69" s="76"/>
      <c r="L69" s="76"/>
      <c r="M69" s="76"/>
      <c r="N69" s="76"/>
      <c r="O69" s="76"/>
      <c r="P69" s="76"/>
      <c r="Q69" s="76"/>
      <c r="R69" s="76"/>
      <c r="S69" s="76"/>
      <c r="T69" s="76"/>
      <c r="U69" s="76"/>
      <c r="V69" s="76"/>
      <c r="W69" s="76"/>
      <c r="X69" s="76"/>
      <c r="Y69" s="76"/>
      <c r="Z69" s="76"/>
      <c r="AA69" s="79"/>
      <c r="AB69" s="79"/>
      <c r="AC69" s="79"/>
      <c r="AD69" s="79"/>
      <c r="AE69" s="79"/>
      <c r="AF69" s="79"/>
      <c r="AG69" s="79"/>
      <c r="AH69" s="79"/>
      <c r="AI69" s="79"/>
      <c r="AJ69" s="79"/>
      <c r="AK69" s="79"/>
    </row>
    <row r="70" spans="1:37" s="78" customFormat="1" ht="12" customHeight="1">
      <c r="A70" s="76"/>
      <c r="B70" s="76"/>
      <c r="C70" s="76"/>
      <c r="D70" s="76"/>
      <c r="E70" s="76"/>
      <c r="F70" s="77"/>
      <c r="G70" s="76"/>
      <c r="H70" s="76"/>
      <c r="I70" s="76"/>
      <c r="J70" s="76"/>
      <c r="K70" s="76"/>
      <c r="L70" s="76"/>
      <c r="M70" s="76"/>
      <c r="N70" s="76"/>
      <c r="O70" s="76"/>
      <c r="P70" s="76"/>
      <c r="Q70" s="76"/>
      <c r="R70" s="76"/>
      <c r="S70" s="76"/>
      <c r="T70" s="76"/>
      <c r="U70" s="76"/>
      <c r="V70" s="76"/>
      <c r="W70" s="76"/>
      <c r="X70" s="76"/>
      <c r="Y70" s="76"/>
      <c r="Z70" s="76"/>
      <c r="AA70" s="79"/>
      <c r="AB70" s="79"/>
      <c r="AC70" s="79"/>
      <c r="AD70" s="79"/>
      <c r="AE70" s="79"/>
      <c r="AF70" s="79"/>
      <c r="AG70" s="79"/>
      <c r="AH70" s="79"/>
      <c r="AI70" s="79"/>
      <c r="AJ70" s="79"/>
      <c r="AK70" s="79"/>
    </row>
    <row r="71" spans="1:37" s="78" customFormat="1" ht="12" customHeight="1">
      <c r="A71" s="76"/>
      <c r="B71" s="76"/>
      <c r="C71" s="76"/>
      <c r="D71" s="76"/>
      <c r="E71" s="76"/>
      <c r="F71" s="77"/>
      <c r="G71" s="76"/>
      <c r="H71" s="76"/>
      <c r="I71" s="76"/>
      <c r="J71" s="76"/>
      <c r="K71" s="76"/>
      <c r="L71" s="76"/>
      <c r="M71" s="76"/>
      <c r="N71" s="76"/>
      <c r="O71" s="76"/>
      <c r="P71" s="76"/>
      <c r="Q71" s="76"/>
      <c r="R71" s="76"/>
      <c r="S71" s="76"/>
      <c r="T71" s="76"/>
      <c r="U71" s="76"/>
      <c r="V71" s="76"/>
      <c r="W71" s="76"/>
      <c r="X71" s="76"/>
      <c r="Y71" s="76"/>
      <c r="Z71" s="76"/>
      <c r="AA71" s="79"/>
      <c r="AB71" s="79"/>
      <c r="AC71" s="79"/>
      <c r="AD71" s="79"/>
      <c r="AE71" s="79"/>
      <c r="AF71" s="79"/>
      <c r="AG71" s="79"/>
      <c r="AH71" s="79"/>
      <c r="AI71" s="79"/>
      <c r="AJ71" s="79"/>
      <c r="AK71" s="79"/>
    </row>
    <row r="72" spans="1:37" s="78" customFormat="1" ht="12" customHeight="1">
      <c r="A72" s="76"/>
      <c r="B72" s="76"/>
      <c r="C72" s="76"/>
      <c r="D72" s="76"/>
      <c r="E72" s="76"/>
      <c r="F72" s="77"/>
      <c r="G72" s="76"/>
      <c r="H72" s="76"/>
      <c r="I72" s="76"/>
      <c r="J72" s="76"/>
      <c r="K72" s="76"/>
      <c r="L72" s="76"/>
      <c r="M72" s="76"/>
      <c r="N72" s="76"/>
      <c r="O72" s="76"/>
      <c r="P72" s="76"/>
      <c r="Q72" s="76"/>
      <c r="R72" s="76"/>
      <c r="S72" s="76"/>
      <c r="T72" s="76"/>
      <c r="U72" s="76"/>
      <c r="V72" s="76"/>
      <c r="W72" s="76"/>
      <c r="X72" s="76"/>
      <c r="Y72" s="76"/>
      <c r="Z72" s="76"/>
      <c r="AA72" s="79"/>
      <c r="AB72" s="79"/>
      <c r="AC72" s="79"/>
      <c r="AD72" s="79"/>
      <c r="AE72" s="79"/>
      <c r="AF72" s="79"/>
      <c r="AG72" s="79"/>
      <c r="AH72" s="79"/>
      <c r="AI72" s="79"/>
      <c r="AJ72" s="79"/>
      <c r="AK72" s="79"/>
    </row>
    <row r="73" spans="1:37" s="78" customFormat="1" ht="12" customHeight="1">
      <c r="A73" s="76"/>
      <c r="B73" s="76"/>
      <c r="C73" s="76"/>
      <c r="D73" s="76"/>
      <c r="E73" s="76"/>
      <c r="F73" s="77"/>
      <c r="G73" s="76"/>
      <c r="H73" s="76"/>
      <c r="I73" s="76"/>
      <c r="J73" s="76"/>
      <c r="K73" s="76"/>
      <c r="L73" s="76"/>
      <c r="M73" s="76"/>
      <c r="N73" s="76"/>
      <c r="O73" s="76"/>
      <c r="P73" s="76"/>
      <c r="Q73" s="76"/>
      <c r="R73" s="76"/>
      <c r="S73" s="76"/>
      <c r="T73" s="76"/>
      <c r="U73" s="76"/>
      <c r="V73" s="76"/>
      <c r="W73" s="76"/>
      <c r="X73" s="76"/>
      <c r="Y73" s="76"/>
      <c r="Z73" s="76"/>
      <c r="AA73" s="79"/>
      <c r="AB73" s="79"/>
      <c r="AC73" s="79"/>
      <c r="AD73" s="79"/>
      <c r="AE73" s="79"/>
      <c r="AF73" s="79"/>
      <c r="AG73" s="79"/>
      <c r="AH73" s="79"/>
      <c r="AI73" s="79"/>
      <c r="AJ73" s="79"/>
      <c r="AK73" s="79"/>
    </row>
    <row r="74" spans="1:37" s="78" customFormat="1" ht="12" customHeight="1">
      <c r="A74" s="76"/>
      <c r="B74" s="76"/>
      <c r="C74" s="76"/>
      <c r="D74" s="76"/>
      <c r="E74" s="76"/>
      <c r="F74" s="77"/>
      <c r="G74" s="76"/>
      <c r="H74" s="76"/>
      <c r="I74" s="76"/>
      <c r="J74" s="76"/>
      <c r="K74" s="76"/>
      <c r="L74" s="76"/>
      <c r="M74" s="76"/>
      <c r="N74" s="76"/>
      <c r="O74" s="76"/>
      <c r="P74" s="76"/>
      <c r="Q74" s="76"/>
      <c r="R74" s="76"/>
      <c r="S74" s="76"/>
      <c r="T74" s="76"/>
      <c r="U74" s="76"/>
      <c r="V74" s="76"/>
      <c r="W74" s="76"/>
      <c r="X74" s="76"/>
      <c r="Y74" s="76"/>
      <c r="Z74" s="76"/>
      <c r="AA74" s="79"/>
      <c r="AB74" s="79"/>
      <c r="AC74" s="79"/>
      <c r="AD74" s="79"/>
      <c r="AE74" s="79"/>
      <c r="AF74" s="79"/>
      <c r="AG74" s="79"/>
      <c r="AH74" s="79"/>
      <c r="AI74" s="79"/>
      <c r="AJ74" s="79"/>
      <c r="AK74" s="79"/>
    </row>
    <row r="75" spans="1:37" s="78" customFormat="1" ht="12" customHeight="1">
      <c r="A75" s="76"/>
      <c r="B75" s="76"/>
      <c r="C75" s="76"/>
      <c r="D75" s="76"/>
      <c r="E75" s="76"/>
      <c r="F75" s="77"/>
      <c r="G75" s="76"/>
      <c r="H75" s="76"/>
      <c r="I75" s="76"/>
      <c r="J75" s="76"/>
      <c r="K75" s="76"/>
      <c r="L75" s="76"/>
      <c r="M75" s="76"/>
      <c r="N75" s="76"/>
      <c r="O75" s="76"/>
      <c r="P75" s="76"/>
      <c r="Q75" s="76"/>
      <c r="R75" s="76"/>
      <c r="S75" s="76"/>
      <c r="T75" s="76"/>
      <c r="U75" s="76"/>
      <c r="V75" s="76"/>
      <c r="W75" s="76"/>
      <c r="X75" s="76"/>
      <c r="Y75" s="76"/>
      <c r="Z75" s="76"/>
      <c r="AA75" s="79"/>
      <c r="AB75" s="79"/>
      <c r="AC75" s="79"/>
      <c r="AD75" s="79"/>
      <c r="AE75" s="79"/>
      <c r="AF75" s="79"/>
      <c r="AG75" s="79"/>
      <c r="AH75" s="79"/>
      <c r="AI75" s="79"/>
      <c r="AJ75" s="79"/>
      <c r="AK75" s="79"/>
    </row>
    <row r="76" spans="1:37" s="78" customFormat="1" ht="12" customHeight="1">
      <c r="A76" s="76"/>
      <c r="B76" s="76"/>
      <c r="C76" s="76"/>
      <c r="D76" s="76"/>
      <c r="E76" s="76"/>
      <c r="F76" s="77"/>
      <c r="G76" s="76"/>
      <c r="H76" s="76"/>
      <c r="I76" s="76"/>
      <c r="J76" s="76"/>
      <c r="K76" s="76"/>
      <c r="L76" s="76"/>
      <c r="M76" s="76"/>
      <c r="N76" s="76"/>
      <c r="O76" s="76"/>
      <c r="P76" s="76"/>
      <c r="Q76" s="76"/>
      <c r="R76" s="76"/>
      <c r="S76" s="76"/>
      <c r="T76" s="76"/>
      <c r="U76" s="76"/>
      <c r="V76" s="76"/>
      <c r="W76" s="76"/>
      <c r="X76" s="76"/>
      <c r="Y76" s="76"/>
      <c r="Z76" s="76"/>
      <c r="AA76" s="79"/>
      <c r="AB76" s="79"/>
      <c r="AC76" s="79"/>
      <c r="AD76" s="79"/>
      <c r="AE76" s="79"/>
      <c r="AF76" s="79"/>
      <c r="AG76" s="79"/>
      <c r="AH76" s="79"/>
      <c r="AI76" s="79"/>
      <c r="AJ76" s="79"/>
      <c r="AK76" s="79"/>
    </row>
    <row r="77" spans="1:37" s="78" customFormat="1" ht="12" customHeight="1">
      <c r="A77" s="76"/>
      <c r="B77" s="76"/>
      <c r="C77" s="76"/>
      <c r="D77" s="76"/>
      <c r="E77" s="76"/>
      <c r="F77" s="77"/>
      <c r="G77" s="76"/>
      <c r="H77" s="76"/>
      <c r="I77" s="76"/>
      <c r="J77" s="76"/>
      <c r="K77" s="76"/>
      <c r="L77" s="76"/>
      <c r="M77" s="76"/>
      <c r="N77" s="76"/>
      <c r="O77" s="76"/>
      <c r="P77" s="76"/>
      <c r="Q77" s="76"/>
      <c r="R77" s="76"/>
      <c r="S77" s="76"/>
      <c r="T77" s="76"/>
      <c r="U77" s="76"/>
      <c r="V77" s="76"/>
      <c r="W77" s="76"/>
      <c r="X77" s="76"/>
      <c r="Y77" s="76"/>
      <c r="Z77" s="76"/>
      <c r="AA77" s="79"/>
      <c r="AB77" s="79"/>
      <c r="AC77" s="79"/>
      <c r="AD77" s="79"/>
      <c r="AE77" s="79"/>
      <c r="AF77" s="79"/>
      <c r="AG77" s="79"/>
      <c r="AH77" s="79"/>
      <c r="AI77" s="79"/>
      <c r="AJ77" s="79"/>
      <c r="AK77" s="79"/>
    </row>
    <row r="78" spans="1:37" s="78" customFormat="1" ht="12" customHeight="1">
      <c r="A78" s="76"/>
      <c r="B78" s="76"/>
      <c r="C78" s="76"/>
      <c r="D78" s="76"/>
      <c r="E78" s="76"/>
      <c r="F78" s="77"/>
      <c r="G78" s="76"/>
      <c r="H78" s="76"/>
      <c r="I78" s="76"/>
      <c r="J78" s="76"/>
      <c r="K78" s="76"/>
      <c r="L78" s="76"/>
      <c r="M78" s="76"/>
      <c r="N78" s="76"/>
      <c r="O78" s="76"/>
      <c r="P78" s="76"/>
      <c r="Q78" s="76"/>
      <c r="R78" s="76"/>
      <c r="S78" s="76"/>
      <c r="T78" s="76"/>
      <c r="U78" s="76"/>
      <c r="V78" s="76"/>
      <c r="W78" s="76"/>
      <c r="X78" s="76"/>
      <c r="Y78" s="76"/>
      <c r="Z78" s="76"/>
      <c r="AA78" s="79"/>
      <c r="AB78" s="79"/>
      <c r="AC78" s="79"/>
      <c r="AD78" s="79"/>
      <c r="AE78" s="79"/>
      <c r="AF78" s="79"/>
      <c r="AG78" s="79"/>
      <c r="AH78" s="79"/>
      <c r="AI78" s="79"/>
      <c r="AJ78" s="79"/>
      <c r="AK78" s="79"/>
    </row>
    <row r="79" spans="1:37" s="78" customFormat="1" ht="12" customHeight="1">
      <c r="A79" s="76"/>
      <c r="B79" s="76"/>
      <c r="C79" s="76"/>
      <c r="D79" s="76"/>
      <c r="E79" s="76"/>
      <c r="F79" s="77"/>
      <c r="G79" s="76"/>
      <c r="H79" s="76"/>
      <c r="I79" s="76"/>
      <c r="J79" s="76"/>
      <c r="K79" s="76"/>
      <c r="L79" s="76"/>
      <c r="M79" s="76"/>
      <c r="N79" s="76"/>
      <c r="O79" s="76"/>
      <c r="P79" s="76"/>
      <c r="Q79" s="76"/>
      <c r="R79" s="76"/>
      <c r="S79" s="76"/>
      <c r="T79" s="76"/>
      <c r="U79" s="76"/>
      <c r="V79" s="76"/>
      <c r="W79" s="76"/>
      <c r="X79" s="76"/>
      <c r="Y79" s="76"/>
      <c r="Z79" s="76"/>
      <c r="AA79" s="79"/>
      <c r="AB79" s="79"/>
      <c r="AC79" s="79"/>
      <c r="AD79" s="79"/>
      <c r="AE79" s="79"/>
      <c r="AF79" s="79"/>
      <c r="AG79" s="79"/>
      <c r="AH79" s="79"/>
      <c r="AI79" s="79"/>
      <c r="AJ79" s="79"/>
      <c r="AK79" s="79"/>
    </row>
    <row r="80" spans="1:37" s="78" customFormat="1" ht="12" customHeight="1">
      <c r="A80" s="76"/>
      <c r="B80" s="76"/>
      <c r="C80" s="76"/>
      <c r="D80" s="76"/>
      <c r="E80" s="76"/>
      <c r="F80" s="77"/>
      <c r="G80" s="76"/>
      <c r="H80" s="76"/>
      <c r="I80" s="76"/>
      <c r="J80" s="76"/>
      <c r="K80" s="76"/>
      <c r="L80" s="76"/>
      <c r="M80" s="76"/>
      <c r="N80" s="76"/>
      <c r="O80" s="76"/>
      <c r="P80" s="76"/>
      <c r="Q80" s="76"/>
      <c r="R80" s="76"/>
      <c r="S80" s="76"/>
      <c r="T80" s="76"/>
      <c r="U80" s="76"/>
      <c r="V80" s="76"/>
      <c r="W80" s="76"/>
      <c r="X80" s="76"/>
      <c r="Y80" s="76"/>
      <c r="Z80" s="76"/>
      <c r="AA80" s="79"/>
      <c r="AB80" s="79"/>
      <c r="AC80" s="79"/>
      <c r="AD80" s="79"/>
      <c r="AE80" s="79"/>
      <c r="AF80" s="79"/>
      <c r="AG80" s="79"/>
      <c r="AH80" s="79"/>
      <c r="AI80" s="79"/>
      <c r="AJ80" s="79"/>
      <c r="AK80" s="79"/>
    </row>
    <row r="81" spans="1:37" s="78" customFormat="1" ht="12" customHeight="1">
      <c r="A81" s="76"/>
      <c r="B81" s="76"/>
      <c r="C81" s="76"/>
      <c r="D81" s="76"/>
      <c r="E81" s="76"/>
      <c r="F81" s="77"/>
      <c r="G81" s="76"/>
      <c r="H81" s="76"/>
      <c r="I81" s="76"/>
      <c r="J81" s="76"/>
      <c r="K81" s="76"/>
      <c r="L81" s="76"/>
      <c r="M81" s="76"/>
      <c r="N81" s="76"/>
      <c r="O81" s="76"/>
      <c r="P81" s="76"/>
      <c r="Q81" s="76"/>
      <c r="R81" s="76"/>
      <c r="S81" s="76"/>
      <c r="T81" s="76"/>
      <c r="U81" s="76"/>
      <c r="V81" s="76"/>
      <c r="W81" s="76"/>
      <c r="X81" s="76"/>
      <c r="Y81" s="76"/>
      <c r="Z81" s="76"/>
      <c r="AA81" s="79"/>
      <c r="AB81" s="79"/>
      <c r="AC81" s="79"/>
      <c r="AD81" s="79"/>
      <c r="AE81" s="79"/>
      <c r="AF81" s="79"/>
      <c r="AG81" s="79"/>
      <c r="AH81" s="79"/>
      <c r="AI81" s="79"/>
      <c r="AJ81" s="79"/>
      <c r="AK81" s="79"/>
    </row>
    <row r="82" spans="1:37" s="78" customFormat="1" ht="12" customHeight="1">
      <c r="A82" s="76"/>
      <c r="B82" s="76"/>
      <c r="C82" s="76"/>
      <c r="D82" s="76"/>
      <c r="E82" s="76"/>
      <c r="F82" s="77"/>
      <c r="G82" s="76"/>
      <c r="H82" s="76"/>
      <c r="I82" s="76"/>
      <c r="J82" s="76"/>
      <c r="K82" s="76"/>
      <c r="L82" s="76"/>
      <c r="M82" s="76"/>
      <c r="N82" s="76"/>
      <c r="O82" s="76"/>
      <c r="P82" s="76"/>
      <c r="Q82" s="76"/>
      <c r="R82" s="76"/>
      <c r="S82" s="76"/>
      <c r="T82" s="76"/>
      <c r="U82" s="76"/>
      <c r="V82" s="76"/>
      <c r="W82" s="76"/>
      <c r="X82" s="76"/>
      <c r="Y82" s="76"/>
      <c r="Z82" s="76"/>
      <c r="AA82" s="79"/>
      <c r="AB82" s="79"/>
      <c r="AC82" s="79"/>
      <c r="AD82" s="79"/>
      <c r="AE82" s="79"/>
      <c r="AF82" s="79"/>
      <c r="AG82" s="79"/>
      <c r="AH82" s="79"/>
      <c r="AI82" s="79"/>
      <c r="AJ82" s="79"/>
      <c r="AK82" s="79"/>
    </row>
    <row r="83" spans="1:37" s="78" customFormat="1" ht="12" customHeight="1">
      <c r="A83" s="76"/>
      <c r="B83" s="76"/>
      <c r="C83" s="76"/>
      <c r="D83" s="76"/>
      <c r="E83" s="76"/>
      <c r="F83" s="77"/>
      <c r="G83" s="76"/>
      <c r="H83" s="76"/>
      <c r="I83" s="76"/>
      <c r="J83" s="76"/>
      <c r="K83" s="76"/>
      <c r="L83" s="76"/>
      <c r="M83" s="76"/>
      <c r="N83" s="76"/>
      <c r="O83" s="76"/>
      <c r="P83" s="76"/>
      <c r="Q83" s="76"/>
      <c r="R83" s="76"/>
      <c r="S83" s="76"/>
      <c r="T83" s="76"/>
      <c r="U83" s="76"/>
      <c r="V83" s="76"/>
      <c r="W83" s="76"/>
      <c r="X83" s="76"/>
      <c r="Y83" s="76"/>
      <c r="Z83" s="76"/>
      <c r="AA83" s="79"/>
      <c r="AB83" s="79"/>
      <c r="AC83" s="79"/>
      <c r="AD83" s="79"/>
      <c r="AE83" s="79"/>
      <c r="AF83" s="79"/>
      <c r="AG83" s="79"/>
      <c r="AH83" s="79"/>
      <c r="AI83" s="79"/>
      <c r="AJ83" s="79"/>
      <c r="AK83" s="79"/>
    </row>
    <row r="84" spans="1:37" s="78" customFormat="1" ht="12" customHeight="1">
      <c r="A84" s="76"/>
      <c r="B84" s="76"/>
      <c r="C84" s="76"/>
      <c r="D84" s="76"/>
      <c r="E84" s="76"/>
      <c r="F84" s="77"/>
      <c r="G84" s="76"/>
      <c r="H84" s="76"/>
      <c r="I84" s="76"/>
      <c r="J84" s="76"/>
      <c r="K84" s="76"/>
      <c r="L84" s="76"/>
      <c r="M84" s="76"/>
      <c r="N84" s="76"/>
      <c r="O84" s="76"/>
      <c r="P84" s="76"/>
      <c r="Q84" s="76"/>
      <c r="R84" s="76"/>
      <c r="S84" s="76"/>
      <c r="T84" s="76"/>
      <c r="U84" s="76"/>
      <c r="V84" s="76"/>
      <c r="W84" s="76"/>
      <c r="X84" s="76"/>
      <c r="Y84" s="76"/>
      <c r="Z84" s="76"/>
      <c r="AA84" s="79"/>
      <c r="AB84" s="79"/>
      <c r="AC84" s="79"/>
      <c r="AD84" s="79"/>
      <c r="AE84" s="79"/>
      <c r="AF84" s="79"/>
      <c r="AG84" s="79"/>
      <c r="AH84" s="79"/>
      <c r="AI84" s="79"/>
      <c r="AJ84" s="79"/>
      <c r="AK84" s="79"/>
    </row>
    <row r="85" spans="1:37" s="78" customFormat="1" ht="12" customHeight="1">
      <c r="A85" s="76"/>
      <c r="B85" s="76"/>
      <c r="C85" s="76"/>
      <c r="D85" s="76"/>
      <c r="E85" s="76"/>
      <c r="F85" s="77"/>
      <c r="G85" s="76"/>
      <c r="H85" s="76"/>
      <c r="I85" s="76"/>
      <c r="J85" s="76"/>
      <c r="K85" s="76"/>
      <c r="L85" s="76"/>
      <c r="M85" s="76"/>
      <c r="N85" s="76"/>
      <c r="O85" s="76"/>
      <c r="P85" s="76"/>
      <c r="Q85" s="76"/>
      <c r="R85" s="76"/>
      <c r="S85" s="76"/>
      <c r="T85" s="76"/>
      <c r="U85" s="76"/>
      <c r="V85" s="76"/>
      <c r="W85" s="76"/>
      <c r="X85" s="76"/>
      <c r="Y85" s="76"/>
      <c r="Z85" s="76"/>
      <c r="AA85" s="79"/>
      <c r="AB85" s="79"/>
      <c r="AC85" s="79"/>
      <c r="AD85" s="79"/>
      <c r="AE85" s="79"/>
      <c r="AF85" s="79"/>
      <c r="AG85" s="79"/>
      <c r="AH85" s="79"/>
      <c r="AI85" s="79"/>
      <c r="AJ85" s="79"/>
      <c r="AK85" s="79"/>
    </row>
    <row r="86" spans="1:37" s="78" customFormat="1" ht="12" customHeight="1">
      <c r="A86" s="76"/>
      <c r="B86" s="76"/>
      <c r="C86" s="76"/>
      <c r="D86" s="76"/>
      <c r="E86" s="76"/>
      <c r="F86" s="77"/>
      <c r="G86" s="76"/>
      <c r="H86" s="76"/>
      <c r="I86" s="76"/>
      <c r="J86" s="76"/>
      <c r="K86" s="76"/>
      <c r="L86" s="76"/>
      <c r="M86" s="76"/>
      <c r="N86" s="76"/>
      <c r="O86" s="76"/>
      <c r="P86" s="76"/>
      <c r="Q86" s="76"/>
      <c r="R86" s="76"/>
      <c r="S86" s="76"/>
      <c r="T86" s="76"/>
      <c r="U86" s="76"/>
      <c r="V86" s="76"/>
      <c r="W86" s="76"/>
      <c r="X86" s="76"/>
      <c r="Y86" s="76"/>
      <c r="Z86" s="76"/>
      <c r="AA86" s="79"/>
      <c r="AB86" s="79"/>
      <c r="AC86" s="79"/>
      <c r="AD86" s="79"/>
      <c r="AE86" s="79"/>
      <c r="AF86" s="79"/>
      <c r="AG86" s="79"/>
      <c r="AH86" s="79"/>
      <c r="AI86" s="79"/>
      <c r="AJ86" s="79"/>
      <c r="AK86" s="79"/>
    </row>
    <row r="87" spans="1:37" s="78" customFormat="1" ht="12" customHeight="1">
      <c r="A87" s="76"/>
      <c r="B87" s="76"/>
      <c r="C87" s="76"/>
      <c r="D87" s="76"/>
      <c r="E87" s="76"/>
      <c r="F87" s="77"/>
      <c r="G87" s="76"/>
      <c r="H87" s="76"/>
      <c r="I87" s="76"/>
      <c r="J87" s="76"/>
      <c r="K87" s="76"/>
      <c r="L87" s="76"/>
      <c r="M87" s="76"/>
      <c r="N87" s="76"/>
      <c r="O87" s="76"/>
      <c r="P87" s="76"/>
      <c r="Q87" s="76"/>
      <c r="R87" s="76"/>
      <c r="S87" s="76"/>
      <c r="T87" s="76"/>
      <c r="U87" s="76"/>
      <c r="V87" s="76"/>
      <c r="W87" s="76"/>
      <c r="X87" s="76"/>
      <c r="Y87" s="76"/>
      <c r="Z87" s="76"/>
      <c r="AA87" s="79"/>
      <c r="AB87" s="79"/>
      <c r="AC87" s="79"/>
      <c r="AD87" s="79"/>
      <c r="AE87" s="79"/>
      <c r="AF87" s="79"/>
      <c r="AG87" s="79"/>
      <c r="AH87" s="79"/>
      <c r="AI87" s="79"/>
      <c r="AJ87" s="79"/>
      <c r="AK87" s="79"/>
    </row>
    <row r="88" spans="1:37" s="78" customFormat="1" ht="12" customHeight="1">
      <c r="A88" s="76"/>
      <c r="B88" s="76"/>
      <c r="C88" s="76"/>
      <c r="D88" s="76"/>
      <c r="E88" s="76"/>
      <c r="F88" s="77"/>
      <c r="G88" s="76"/>
      <c r="H88" s="76"/>
      <c r="I88" s="76"/>
      <c r="J88" s="76"/>
      <c r="K88" s="76"/>
      <c r="L88" s="76"/>
      <c r="M88" s="76"/>
      <c r="N88" s="76"/>
      <c r="O88" s="76"/>
      <c r="P88" s="76"/>
      <c r="Q88" s="76"/>
      <c r="R88" s="76"/>
      <c r="S88" s="76"/>
      <c r="T88" s="76"/>
      <c r="U88" s="76"/>
      <c r="V88" s="76"/>
      <c r="W88" s="76"/>
      <c r="X88" s="76"/>
      <c r="Y88" s="76"/>
      <c r="Z88" s="76"/>
      <c r="AA88" s="79"/>
      <c r="AB88" s="79"/>
      <c r="AC88" s="79"/>
      <c r="AD88" s="79"/>
      <c r="AE88" s="79"/>
      <c r="AF88" s="79"/>
      <c r="AG88" s="79"/>
      <c r="AH88" s="79"/>
      <c r="AI88" s="79"/>
      <c r="AJ88" s="79"/>
      <c r="AK88" s="79"/>
    </row>
    <row r="89" spans="1:37" s="78" customFormat="1" ht="12" customHeight="1">
      <c r="A89" s="76"/>
      <c r="B89" s="76"/>
      <c r="C89" s="76"/>
      <c r="D89" s="76"/>
      <c r="E89" s="76"/>
      <c r="F89" s="77"/>
      <c r="G89" s="76"/>
      <c r="H89" s="76"/>
      <c r="I89" s="76"/>
      <c r="J89" s="76"/>
      <c r="K89" s="76"/>
      <c r="L89" s="76"/>
      <c r="M89" s="76"/>
      <c r="N89" s="76"/>
      <c r="O89" s="76"/>
      <c r="P89" s="76"/>
      <c r="Q89" s="76"/>
      <c r="R89" s="76"/>
      <c r="S89" s="76"/>
      <c r="T89" s="76"/>
      <c r="U89" s="76"/>
      <c r="V89" s="76"/>
      <c r="W89" s="76"/>
      <c r="X89" s="76"/>
      <c r="Y89" s="76"/>
      <c r="Z89" s="76"/>
      <c r="AA89" s="79"/>
      <c r="AB89" s="79"/>
      <c r="AC89" s="79"/>
      <c r="AD89" s="79"/>
      <c r="AE89" s="79"/>
      <c r="AF89" s="79"/>
      <c r="AG89" s="79"/>
      <c r="AH89" s="79"/>
      <c r="AI89" s="79"/>
      <c r="AJ89" s="79"/>
      <c r="AK89" s="79"/>
    </row>
    <row r="90" spans="1:37" s="78" customFormat="1" ht="12" customHeight="1">
      <c r="A90" s="76"/>
      <c r="B90" s="76"/>
      <c r="C90" s="76"/>
      <c r="D90" s="76"/>
      <c r="E90" s="76"/>
      <c r="F90" s="77"/>
      <c r="G90" s="76"/>
      <c r="H90" s="76"/>
      <c r="I90" s="76"/>
      <c r="J90" s="76"/>
      <c r="K90" s="76"/>
      <c r="L90" s="76"/>
      <c r="M90" s="76"/>
      <c r="N90" s="76"/>
      <c r="O90" s="76"/>
      <c r="P90" s="76"/>
      <c r="Q90" s="76"/>
      <c r="R90" s="76"/>
      <c r="S90" s="76"/>
      <c r="T90" s="76"/>
      <c r="U90" s="76"/>
      <c r="V90" s="76"/>
      <c r="W90" s="76"/>
      <c r="X90" s="76"/>
      <c r="Y90" s="76"/>
      <c r="Z90" s="76"/>
      <c r="AA90" s="79"/>
      <c r="AB90" s="79"/>
      <c r="AC90" s="79"/>
      <c r="AD90" s="79"/>
      <c r="AE90" s="79"/>
      <c r="AF90" s="79"/>
      <c r="AG90" s="79"/>
      <c r="AH90" s="79"/>
      <c r="AI90" s="79"/>
      <c r="AJ90" s="79"/>
      <c r="AK90" s="79"/>
    </row>
    <row r="91" spans="1:37" s="78" customFormat="1" ht="12" customHeight="1">
      <c r="A91" s="76"/>
      <c r="B91" s="76"/>
      <c r="C91" s="76"/>
      <c r="D91" s="76"/>
      <c r="E91" s="76"/>
      <c r="F91" s="77"/>
      <c r="G91" s="76"/>
      <c r="H91" s="76"/>
      <c r="I91" s="76"/>
      <c r="J91" s="76"/>
      <c r="K91" s="76"/>
      <c r="L91" s="76"/>
      <c r="M91" s="76"/>
      <c r="N91" s="76"/>
      <c r="O91" s="76"/>
      <c r="P91" s="76"/>
      <c r="Q91" s="76"/>
      <c r="R91" s="76"/>
      <c r="S91" s="76"/>
      <c r="T91" s="76"/>
      <c r="U91" s="76"/>
      <c r="V91" s="76"/>
      <c r="W91" s="76"/>
      <c r="X91" s="76"/>
      <c r="Y91" s="76"/>
      <c r="Z91" s="76"/>
      <c r="AA91" s="79"/>
      <c r="AB91" s="79"/>
      <c r="AC91" s="79"/>
      <c r="AD91" s="79"/>
      <c r="AE91" s="79"/>
      <c r="AF91" s="79"/>
      <c r="AG91" s="79"/>
      <c r="AH91" s="79"/>
      <c r="AI91" s="79"/>
      <c r="AJ91" s="79"/>
      <c r="AK91" s="79"/>
    </row>
    <row r="92" spans="1:37" s="78" customFormat="1" ht="12" customHeight="1">
      <c r="A92" s="76"/>
      <c r="B92" s="76"/>
      <c r="C92" s="76"/>
      <c r="D92" s="76"/>
      <c r="E92" s="76"/>
      <c r="F92" s="77"/>
      <c r="G92" s="76"/>
      <c r="H92" s="76"/>
      <c r="I92" s="76"/>
      <c r="J92" s="76"/>
      <c r="K92" s="76"/>
      <c r="L92" s="76"/>
      <c r="M92" s="76"/>
      <c r="N92" s="76"/>
      <c r="O92" s="76"/>
      <c r="P92" s="76"/>
      <c r="Q92" s="76"/>
      <c r="R92" s="76"/>
      <c r="S92" s="76"/>
      <c r="T92" s="76"/>
      <c r="U92" s="76"/>
      <c r="V92" s="76"/>
      <c r="W92" s="76"/>
      <c r="X92" s="76"/>
      <c r="Y92" s="76"/>
      <c r="Z92" s="76"/>
      <c r="AA92" s="79"/>
      <c r="AB92" s="79"/>
      <c r="AC92" s="79"/>
      <c r="AD92" s="79"/>
      <c r="AE92" s="79"/>
      <c r="AF92" s="79"/>
      <c r="AG92" s="79"/>
      <c r="AH92" s="79"/>
      <c r="AI92" s="79"/>
      <c r="AJ92" s="79"/>
      <c r="AK92" s="79"/>
    </row>
    <row r="93" spans="1:37" s="78" customFormat="1" ht="12" customHeight="1">
      <c r="A93" s="76"/>
      <c r="B93" s="76"/>
      <c r="C93" s="76"/>
      <c r="D93" s="76"/>
      <c r="E93" s="76"/>
      <c r="F93" s="77"/>
      <c r="G93" s="76"/>
      <c r="H93" s="76"/>
      <c r="I93" s="76"/>
      <c r="J93" s="76"/>
      <c r="K93" s="76"/>
      <c r="L93" s="76"/>
      <c r="M93" s="76"/>
      <c r="N93" s="76"/>
      <c r="O93" s="76"/>
      <c r="P93" s="76"/>
      <c r="Q93" s="76"/>
      <c r="R93" s="76"/>
      <c r="S93" s="76"/>
      <c r="T93" s="76"/>
      <c r="U93" s="76"/>
      <c r="V93" s="76"/>
      <c r="W93" s="76"/>
      <c r="X93" s="76"/>
      <c r="Y93" s="76"/>
      <c r="Z93" s="76"/>
      <c r="AA93" s="79"/>
      <c r="AB93" s="79"/>
      <c r="AC93" s="79"/>
      <c r="AD93" s="79"/>
      <c r="AE93" s="79"/>
      <c r="AF93" s="79"/>
      <c r="AG93" s="79"/>
      <c r="AH93" s="79"/>
      <c r="AI93" s="79"/>
      <c r="AJ93" s="79"/>
      <c r="AK93" s="79"/>
    </row>
    <row r="94" spans="1:37" s="78" customFormat="1" ht="12" customHeight="1">
      <c r="A94" s="76"/>
      <c r="B94" s="76"/>
      <c r="C94" s="76"/>
      <c r="D94" s="76"/>
      <c r="E94" s="76"/>
      <c r="F94" s="77"/>
      <c r="G94" s="76"/>
      <c r="H94" s="76"/>
      <c r="I94" s="76"/>
      <c r="J94" s="76"/>
      <c r="K94" s="76"/>
      <c r="L94" s="76"/>
      <c r="M94" s="76"/>
      <c r="N94" s="76"/>
      <c r="O94" s="76"/>
      <c r="P94" s="76"/>
      <c r="Q94" s="76"/>
      <c r="R94" s="76"/>
      <c r="S94" s="76"/>
      <c r="T94" s="76"/>
      <c r="U94" s="76"/>
      <c r="V94" s="76"/>
      <c r="W94" s="76"/>
      <c r="X94" s="76"/>
      <c r="Y94" s="76"/>
      <c r="Z94" s="76"/>
      <c r="AA94" s="79"/>
      <c r="AB94" s="79"/>
      <c r="AC94" s="79"/>
      <c r="AD94" s="79"/>
      <c r="AE94" s="79"/>
      <c r="AF94" s="79"/>
      <c r="AG94" s="79"/>
      <c r="AH94" s="79"/>
      <c r="AI94" s="79"/>
      <c r="AJ94" s="79"/>
      <c r="AK94" s="79"/>
    </row>
    <row r="95" spans="1:37" s="78" customFormat="1" ht="12" customHeight="1">
      <c r="A95" s="76"/>
      <c r="B95" s="76"/>
      <c r="C95" s="76"/>
      <c r="D95" s="76"/>
      <c r="E95" s="76"/>
      <c r="F95" s="77"/>
      <c r="G95" s="76"/>
      <c r="H95" s="76"/>
      <c r="I95" s="76"/>
      <c r="J95" s="76"/>
      <c r="K95" s="76"/>
      <c r="L95" s="76"/>
      <c r="M95" s="76"/>
      <c r="N95" s="76"/>
      <c r="O95" s="76"/>
      <c r="P95" s="76"/>
      <c r="Q95" s="76"/>
      <c r="R95" s="76"/>
      <c r="S95" s="76"/>
      <c r="T95" s="76"/>
      <c r="U95" s="76"/>
      <c r="V95" s="76"/>
      <c r="W95" s="76"/>
      <c r="X95" s="76"/>
      <c r="Y95" s="76"/>
      <c r="Z95" s="76"/>
      <c r="AA95" s="79"/>
      <c r="AB95" s="79"/>
      <c r="AC95" s="79"/>
      <c r="AD95" s="79"/>
      <c r="AE95" s="79"/>
      <c r="AF95" s="79"/>
      <c r="AG95" s="79"/>
      <c r="AH95" s="79"/>
      <c r="AI95" s="79"/>
      <c r="AJ95" s="79"/>
      <c r="AK95" s="79"/>
    </row>
    <row r="96" spans="1:37" s="78" customFormat="1" ht="12" customHeight="1">
      <c r="A96" s="76"/>
      <c r="B96" s="76"/>
      <c r="C96" s="76"/>
      <c r="D96" s="76"/>
      <c r="E96" s="76"/>
      <c r="F96" s="77"/>
      <c r="G96" s="76"/>
      <c r="H96" s="76"/>
      <c r="I96" s="76"/>
      <c r="J96" s="76"/>
      <c r="K96" s="76"/>
      <c r="L96" s="76"/>
      <c r="M96" s="76"/>
      <c r="N96" s="76"/>
      <c r="O96" s="76"/>
      <c r="P96" s="76"/>
      <c r="Q96" s="76"/>
      <c r="R96" s="76"/>
      <c r="S96" s="76"/>
      <c r="T96" s="76"/>
      <c r="U96" s="76"/>
      <c r="V96" s="76"/>
      <c r="W96" s="76"/>
      <c r="X96" s="76"/>
      <c r="Y96" s="76"/>
      <c r="Z96" s="76"/>
      <c r="AA96" s="79"/>
      <c r="AB96" s="79"/>
      <c r="AC96" s="79"/>
      <c r="AD96" s="79"/>
      <c r="AE96" s="79"/>
      <c r="AF96" s="79"/>
      <c r="AG96" s="79"/>
      <c r="AH96" s="79"/>
      <c r="AI96" s="79"/>
      <c r="AJ96" s="79"/>
      <c r="AK96" s="79"/>
    </row>
    <row r="97" spans="1:37" s="78" customFormat="1" ht="12" customHeight="1">
      <c r="A97" s="76"/>
      <c r="B97" s="76"/>
      <c r="C97" s="76"/>
      <c r="D97" s="76"/>
      <c r="E97" s="76"/>
      <c r="F97" s="77"/>
      <c r="G97" s="76"/>
      <c r="H97" s="76"/>
      <c r="I97" s="76"/>
      <c r="J97" s="76"/>
      <c r="K97" s="76"/>
      <c r="L97" s="76"/>
      <c r="M97" s="76"/>
      <c r="N97" s="76"/>
      <c r="O97" s="76"/>
      <c r="P97" s="76"/>
      <c r="Q97" s="76"/>
      <c r="R97" s="76"/>
      <c r="S97" s="76"/>
      <c r="T97" s="76"/>
      <c r="U97" s="76"/>
      <c r="V97" s="76"/>
      <c r="W97" s="76"/>
      <c r="X97" s="76"/>
      <c r="Y97" s="76"/>
      <c r="Z97" s="76"/>
      <c r="AA97" s="79"/>
      <c r="AB97" s="79"/>
      <c r="AC97" s="79"/>
      <c r="AD97" s="79"/>
      <c r="AE97" s="79"/>
      <c r="AF97" s="79"/>
      <c r="AG97" s="79"/>
      <c r="AH97" s="79"/>
      <c r="AI97" s="79"/>
      <c r="AJ97" s="79"/>
      <c r="AK97" s="79"/>
    </row>
    <row r="98" spans="1:37" s="78" customFormat="1" ht="12" customHeight="1">
      <c r="A98" s="76"/>
      <c r="B98" s="76"/>
      <c r="C98" s="76"/>
      <c r="D98" s="76"/>
      <c r="E98" s="76"/>
      <c r="F98" s="77"/>
      <c r="G98" s="76"/>
      <c r="H98" s="76"/>
      <c r="I98" s="76"/>
      <c r="J98" s="76"/>
      <c r="K98" s="76"/>
      <c r="L98" s="76"/>
      <c r="M98" s="76"/>
      <c r="N98" s="76"/>
      <c r="O98" s="76"/>
      <c r="P98" s="76"/>
      <c r="Q98" s="76"/>
      <c r="R98" s="76"/>
      <c r="S98" s="76"/>
      <c r="T98" s="76"/>
      <c r="U98" s="76"/>
      <c r="V98" s="76"/>
      <c r="W98" s="76"/>
      <c r="X98" s="76"/>
      <c r="Y98" s="76"/>
      <c r="Z98" s="76"/>
      <c r="AA98" s="79"/>
      <c r="AB98" s="79"/>
      <c r="AC98" s="79"/>
      <c r="AD98" s="79"/>
      <c r="AE98" s="79"/>
      <c r="AF98" s="79"/>
      <c r="AG98" s="79"/>
      <c r="AH98" s="79"/>
      <c r="AI98" s="79"/>
      <c r="AJ98" s="79"/>
      <c r="AK98" s="79"/>
    </row>
    <row r="99" spans="1:37" s="78" customFormat="1" ht="12" customHeight="1">
      <c r="A99" s="76"/>
      <c r="B99" s="76"/>
      <c r="C99" s="76"/>
      <c r="D99" s="76"/>
      <c r="E99" s="76"/>
      <c r="F99" s="77"/>
      <c r="G99" s="76"/>
      <c r="H99" s="76"/>
      <c r="I99" s="76"/>
      <c r="J99" s="76"/>
      <c r="K99" s="76"/>
      <c r="L99" s="76"/>
      <c r="M99" s="76"/>
      <c r="N99" s="76"/>
      <c r="O99" s="76"/>
      <c r="P99" s="76"/>
      <c r="Q99" s="76"/>
      <c r="R99" s="76"/>
      <c r="S99" s="76"/>
      <c r="T99" s="76"/>
      <c r="U99" s="76"/>
      <c r="V99" s="76"/>
      <c r="W99" s="76"/>
      <c r="X99" s="76"/>
      <c r="Y99" s="76"/>
      <c r="Z99" s="76"/>
      <c r="AA99" s="79"/>
      <c r="AB99" s="79"/>
      <c r="AC99" s="79"/>
      <c r="AD99" s="79"/>
      <c r="AE99" s="79"/>
      <c r="AF99" s="79"/>
      <c r="AG99" s="79"/>
      <c r="AH99" s="79"/>
      <c r="AI99" s="79"/>
      <c r="AJ99" s="79"/>
      <c r="AK99" s="79"/>
    </row>
    <row r="100" spans="1:37" s="78" customFormat="1" ht="12" customHeight="1">
      <c r="A100" s="76"/>
      <c r="B100" s="76"/>
      <c r="C100" s="76"/>
      <c r="D100" s="76"/>
      <c r="E100" s="76"/>
      <c r="F100" s="77"/>
      <c r="G100" s="76"/>
      <c r="H100" s="76"/>
      <c r="I100" s="76"/>
      <c r="J100" s="76"/>
      <c r="K100" s="76"/>
      <c r="L100" s="76"/>
      <c r="M100" s="76"/>
      <c r="N100" s="76"/>
      <c r="O100" s="76"/>
      <c r="P100" s="76"/>
      <c r="Q100" s="76"/>
      <c r="R100" s="76"/>
      <c r="S100" s="76"/>
      <c r="T100" s="76"/>
      <c r="U100" s="76"/>
      <c r="V100" s="76"/>
      <c r="W100" s="76"/>
      <c r="X100" s="76"/>
      <c r="Y100" s="76"/>
      <c r="Z100" s="76"/>
      <c r="AA100" s="79"/>
      <c r="AB100" s="79"/>
      <c r="AC100" s="79"/>
      <c r="AD100" s="79"/>
      <c r="AE100" s="79"/>
      <c r="AF100" s="79"/>
      <c r="AG100" s="79"/>
      <c r="AH100" s="79"/>
      <c r="AI100" s="79"/>
      <c r="AJ100" s="79"/>
      <c r="AK100" s="79"/>
    </row>
    <row r="101" spans="1:37" s="78" customFormat="1" ht="12" customHeight="1">
      <c r="A101" s="76"/>
      <c r="B101" s="76"/>
      <c r="C101" s="76"/>
      <c r="D101" s="76"/>
      <c r="E101" s="76"/>
      <c r="F101" s="77"/>
      <c r="G101" s="76"/>
      <c r="H101" s="76"/>
      <c r="I101" s="76"/>
      <c r="J101" s="76"/>
      <c r="K101" s="76"/>
      <c r="L101" s="76"/>
      <c r="M101" s="76"/>
      <c r="N101" s="76"/>
      <c r="O101" s="76"/>
      <c r="P101" s="76"/>
      <c r="Q101" s="76"/>
      <c r="R101" s="76"/>
      <c r="S101" s="76"/>
      <c r="T101" s="76"/>
      <c r="U101" s="76"/>
      <c r="V101" s="76"/>
      <c r="W101" s="76"/>
      <c r="X101" s="76"/>
      <c r="Y101" s="76"/>
      <c r="Z101" s="76"/>
      <c r="AA101" s="79"/>
      <c r="AB101" s="79"/>
      <c r="AC101" s="79"/>
      <c r="AD101" s="79"/>
      <c r="AE101" s="79"/>
      <c r="AF101" s="79"/>
      <c r="AG101" s="79"/>
      <c r="AH101" s="79"/>
      <c r="AI101" s="79"/>
      <c r="AJ101" s="79"/>
      <c r="AK101" s="79"/>
    </row>
    <row r="102" spans="1:37" s="78" customFormat="1" ht="12" customHeight="1">
      <c r="A102" s="76"/>
      <c r="B102" s="76"/>
      <c r="C102" s="76"/>
      <c r="D102" s="76"/>
      <c r="E102" s="76"/>
      <c r="F102" s="77"/>
      <c r="G102" s="76"/>
      <c r="H102" s="76"/>
      <c r="I102" s="76"/>
      <c r="J102" s="76"/>
      <c r="K102" s="76"/>
      <c r="L102" s="76"/>
      <c r="M102" s="76"/>
      <c r="N102" s="76"/>
      <c r="O102" s="76"/>
      <c r="P102" s="76"/>
      <c r="Q102" s="76"/>
      <c r="R102" s="76"/>
      <c r="S102" s="76"/>
      <c r="T102" s="76"/>
      <c r="U102" s="76"/>
      <c r="V102" s="76"/>
      <c r="W102" s="76"/>
      <c r="X102" s="76"/>
      <c r="Y102" s="76"/>
      <c r="Z102" s="76"/>
      <c r="AA102" s="79"/>
      <c r="AB102" s="79"/>
      <c r="AC102" s="79"/>
      <c r="AD102" s="79"/>
      <c r="AE102" s="79"/>
      <c r="AF102" s="79"/>
      <c r="AG102" s="79"/>
      <c r="AH102" s="79"/>
      <c r="AI102" s="79"/>
      <c r="AJ102" s="79"/>
      <c r="AK102" s="79"/>
    </row>
    <row r="103" spans="1:37" s="78" customFormat="1" ht="12" customHeight="1">
      <c r="A103" s="76"/>
      <c r="B103" s="76"/>
      <c r="C103" s="76"/>
      <c r="D103" s="76"/>
      <c r="E103" s="76"/>
      <c r="F103" s="77"/>
      <c r="G103" s="76"/>
      <c r="H103" s="76"/>
      <c r="I103" s="76"/>
      <c r="J103" s="76"/>
      <c r="K103" s="76"/>
      <c r="L103" s="76"/>
      <c r="M103" s="76"/>
      <c r="N103" s="76"/>
      <c r="O103" s="76"/>
      <c r="P103" s="76"/>
      <c r="Q103" s="76"/>
      <c r="R103" s="76"/>
      <c r="S103" s="76"/>
      <c r="T103" s="76"/>
      <c r="U103" s="76"/>
      <c r="V103" s="76"/>
      <c r="W103" s="76"/>
      <c r="X103" s="76"/>
      <c r="Y103" s="76"/>
      <c r="Z103" s="76"/>
      <c r="AA103" s="79"/>
      <c r="AB103" s="79"/>
      <c r="AC103" s="79"/>
      <c r="AD103" s="79"/>
      <c r="AE103" s="79"/>
      <c r="AF103" s="79"/>
      <c r="AG103" s="79"/>
      <c r="AH103" s="79"/>
      <c r="AI103" s="79"/>
      <c r="AJ103" s="79"/>
      <c r="AK103" s="79"/>
    </row>
    <row r="104" spans="1:37" s="78" customFormat="1" ht="12" customHeight="1">
      <c r="A104" s="76"/>
      <c r="B104" s="76"/>
      <c r="C104" s="76"/>
      <c r="D104" s="76"/>
      <c r="E104" s="76"/>
      <c r="F104" s="77"/>
      <c r="G104" s="76"/>
      <c r="H104" s="76"/>
      <c r="I104" s="76"/>
      <c r="J104" s="76"/>
      <c r="K104" s="76"/>
      <c r="L104" s="76"/>
      <c r="M104" s="76"/>
      <c r="N104" s="76"/>
      <c r="O104" s="76"/>
      <c r="P104" s="76"/>
      <c r="Q104" s="76"/>
      <c r="R104" s="76"/>
      <c r="S104" s="76"/>
      <c r="T104" s="76"/>
      <c r="U104" s="76"/>
      <c r="V104" s="76"/>
      <c r="W104" s="76"/>
      <c r="X104" s="76"/>
      <c r="Y104" s="76"/>
      <c r="Z104" s="76"/>
      <c r="AA104" s="79"/>
      <c r="AB104" s="79"/>
      <c r="AC104" s="79"/>
      <c r="AD104" s="79"/>
      <c r="AE104" s="79"/>
      <c r="AF104" s="79"/>
      <c r="AG104" s="79"/>
      <c r="AH104" s="79"/>
      <c r="AI104" s="79"/>
      <c r="AJ104" s="79"/>
      <c r="AK104" s="79"/>
    </row>
    <row r="105" spans="1:37" s="78" customFormat="1" ht="12" customHeight="1">
      <c r="A105" s="76"/>
      <c r="B105" s="76"/>
      <c r="C105" s="76"/>
      <c r="D105" s="76"/>
      <c r="E105" s="76"/>
      <c r="F105" s="77"/>
      <c r="G105" s="76"/>
      <c r="H105" s="76"/>
      <c r="I105" s="76"/>
      <c r="J105" s="76"/>
      <c r="K105" s="76"/>
      <c r="L105" s="76"/>
      <c r="M105" s="76"/>
      <c r="N105" s="76"/>
      <c r="O105" s="76"/>
      <c r="P105" s="76"/>
      <c r="Q105" s="76"/>
      <c r="R105" s="76"/>
      <c r="S105" s="76"/>
      <c r="T105" s="76"/>
      <c r="U105" s="76"/>
      <c r="V105" s="76"/>
      <c r="W105" s="76"/>
      <c r="X105" s="76"/>
      <c r="Y105" s="76"/>
      <c r="Z105" s="76"/>
      <c r="AA105" s="79"/>
      <c r="AB105" s="79"/>
      <c r="AC105" s="79"/>
      <c r="AD105" s="79"/>
      <c r="AE105" s="79"/>
      <c r="AF105" s="79"/>
      <c r="AG105" s="79"/>
      <c r="AH105" s="79"/>
      <c r="AI105" s="79"/>
      <c r="AJ105" s="79"/>
      <c r="AK105" s="79"/>
    </row>
    <row r="106" spans="1:37" s="78" customFormat="1" ht="12" customHeight="1">
      <c r="A106" s="76"/>
      <c r="B106" s="76"/>
      <c r="C106" s="76"/>
      <c r="D106" s="76"/>
      <c r="E106" s="76"/>
      <c r="F106" s="77"/>
      <c r="G106" s="76"/>
      <c r="H106" s="76"/>
      <c r="I106" s="76"/>
      <c r="J106" s="76"/>
      <c r="K106" s="76"/>
      <c r="L106" s="76"/>
      <c r="M106" s="76"/>
      <c r="N106" s="76"/>
      <c r="O106" s="76"/>
      <c r="P106" s="76"/>
      <c r="Q106" s="76"/>
      <c r="R106" s="76"/>
      <c r="S106" s="76"/>
      <c r="T106" s="76"/>
      <c r="U106" s="76"/>
      <c r="V106" s="76"/>
      <c r="W106" s="76"/>
      <c r="X106" s="76"/>
      <c r="Y106" s="76"/>
      <c r="Z106" s="76"/>
      <c r="AA106" s="79"/>
      <c r="AB106" s="79"/>
      <c r="AC106" s="79"/>
      <c r="AD106" s="79"/>
      <c r="AE106" s="79"/>
      <c r="AF106" s="79"/>
      <c r="AG106" s="79"/>
      <c r="AH106" s="79"/>
      <c r="AI106" s="79"/>
      <c r="AJ106" s="79"/>
      <c r="AK106" s="79"/>
    </row>
    <row r="107" spans="1:37" s="78" customFormat="1" ht="12" customHeight="1">
      <c r="A107" s="76"/>
      <c r="B107" s="76"/>
      <c r="C107" s="76"/>
      <c r="D107" s="76"/>
      <c r="E107" s="76"/>
      <c r="F107" s="77"/>
      <c r="G107" s="76"/>
      <c r="H107" s="76"/>
      <c r="I107" s="76"/>
      <c r="J107" s="76"/>
      <c r="K107" s="76"/>
      <c r="L107" s="76"/>
      <c r="M107" s="76"/>
      <c r="N107" s="76"/>
      <c r="O107" s="76"/>
      <c r="P107" s="76"/>
      <c r="Q107" s="76"/>
      <c r="R107" s="76"/>
      <c r="S107" s="76"/>
      <c r="T107" s="76"/>
      <c r="U107" s="76"/>
      <c r="V107" s="76"/>
      <c r="W107" s="76"/>
      <c r="X107" s="76"/>
      <c r="Y107" s="76"/>
      <c r="Z107" s="76"/>
      <c r="AA107" s="79"/>
      <c r="AB107" s="79"/>
      <c r="AC107" s="79"/>
      <c r="AD107" s="79"/>
      <c r="AE107" s="79"/>
      <c r="AF107" s="79"/>
      <c r="AG107" s="79"/>
      <c r="AH107" s="79"/>
      <c r="AI107" s="79"/>
      <c r="AJ107" s="79"/>
      <c r="AK107" s="79"/>
    </row>
    <row r="108" spans="1:37" s="78" customFormat="1" ht="12" customHeight="1">
      <c r="A108" s="76"/>
      <c r="B108" s="76"/>
      <c r="C108" s="76"/>
      <c r="D108" s="76"/>
      <c r="E108" s="76"/>
      <c r="F108" s="77"/>
      <c r="G108" s="76"/>
      <c r="H108" s="76"/>
      <c r="I108" s="76"/>
      <c r="J108" s="76"/>
      <c r="K108" s="76"/>
      <c r="L108" s="76"/>
      <c r="M108" s="76"/>
      <c r="N108" s="76"/>
      <c r="O108" s="76"/>
      <c r="P108" s="76"/>
      <c r="Q108" s="76"/>
      <c r="R108" s="76"/>
      <c r="S108" s="76"/>
      <c r="T108" s="76"/>
      <c r="U108" s="76"/>
      <c r="V108" s="76"/>
      <c r="W108" s="76"/>
      <c r="X108" s="76"/>
      <c r="Y108" s="76"/>
      <c r="Z108" s="76"/>
      <c r="AA108" s="79"/>
      <c r="AB108" s="79"/>
      <c r="AC108" s="79"/>
      <c r="AD108" s="79"/>
      <c r="AE108" s="79"/>
      <c r="AF108" s="79"/>
      <c r="AG108" s="79"/>
      <c r="AH108" s="79"/>
      <c r="AI108" s="79"/>
      <c r="AJ108" s="79"/>
      <c r="AK108" s="79"/>
    </row>
    <row r="109" spans="1:37" s="78" customFormat="1" ht="12" customHeight="1">
      <c r="A109" s="76"/>
      <c r="B109" s="76"/>
      <c r="C109" s="76"/>
      <c r="D109" s="76"/>
      <c r="E109" s="76"/>
      <c r="F109" s="77"/>
      <c r="G109" s="76"/>
      <c r="H109" s="76"/>
      <c r="I109" s="76"/>
      <c r="J109" s="76"/>
      <c r="K109" s="76"/>
      <c r="L109" s="76"/>
      <c r="M109" s="76"/>
      <c r="N109" s="76"/>
      <c r="O109" s="76"/>
      <c r="P109" s="76"/>
      <c r="Q109" s="76"/>
      <c r="R109" s="76"/>
      <c r="S109" s="76"/>
      <c r="T109" s="76"/>
      <c r="U109" s="76"/>
      <c r="V109" s="76"/>
      <c r="W109" s="76"/>
      <c r="X109" s="76"/>
      <c r="Y109" s="76"/>
      <c r="Z109" s="76"/>
      <c r="AA109" s="79"/>
      <c r="AB109" s="79"/>
      <c r="AC109" s="79"/>
      <c r="AD109" s="79"/>
      <c r="AE109" s="79"/>
      <c r="AF109" s="79"/>
      <c r="AG109" s="79"/>
      <c r="AH109" s="79"/>
      <c r="AI109" s="79"/>
      <c r="AJ109" s="79"/>
      <c r="AK109" s="79"/>
    </row>
    <row r="110" spans="1:37" s="78" customFormat="1" ht="12" customHeight="1">
      <c r="A110" s="76"/>
      <c r="B110" s="76"/>
      <c r="C110" s="76"/>
      <c r="D110" s="76"/>
      <c r="E110" s="76"/>
      <c r="F110" s="77"/>
      <c r="G110" s="76"/>
      <c r="H110" s="76"/>
      <c r="I110" s="76"/>
      <c r="J110" s="76"/>
      <c r="K110" s="76"/>
      <c r="L110" s="76"/>
      <c r="M110" s="76"/>
      <c r="N110" s="76"/>
      <c r="O110" s="76"/>
      <c r="P110" s="76"/>
      <c r="Q110" s="76"/>
      <c r="R110" s="76"/>
      <c r="S110" s="76"/>
      <c r="T110" s="76"/>
      <c r="U110" s="76"/>
      <c r="V110" s="76"/>
      <c r="W110" s="76"/>
      <c r="X110" s="76"/>
      <c r="Y110" s="76"/>
      <c r="Z110" s="76"/>
      <c r="AA110" s="79"/>
      <c r="AB110" s="79"/>
      <c r="AC110" s="79"/>
      <c r="AD110" s="79"/>
      <c r="AE110" s="79"/>
      <c r="AF110" s="79"/>
      <c r="AG110" s="79"/>
      <c r="AH110" s="79"/>
      <c r="AI110" s="79"/>
      <c r="AJ110" s="79"/>
      <c r="AK110" s="79"/>
    </row>
    <row r="111" spans="1:37" s="78" customFormat="1" ht="12" customHeight="1">
      <c r="A111" s="76"/>
      <c r="B111" s="76"/>
      <c r="C111" s="76"/>
      <c r="D111" s="76"/>
      <c r="E111" s="76"/>
      <c r="F111" s="77"/>
      <c r="G111" s="76"/>
      <c r="H111" s="76"/>
      <c r="I111" s="76"/>
      <c r="J111" s="76"/>
      <c r="K111" s="76"/>
      <c r="L111" s="76"/>
      <c r="M111" s="76"/>
      <c r="N111" s="76"/>
      <c r="O111" s="76"/>
      <c r="P111" s="76"/>
      <c r="Q111" s="76"/>
      <c r="R111" s="76"/>
      <c r="S111" s="76"/>
      <c r="T111" s="76"/>
      <c r="U111" s="76"/>
      <c r="V111" s="76"/>
      <c r="W111" s="76"/>
      <c r="X111" s="76"/>
      <c r="Y111" s="76"/>
      <c r="Z111" s="76"/>
      <c r="AA111" s="79"/>
      <c r="AB111" s="79"/>
      <c r="AC111" s="79"/>
      <c r="AD111" s="79"/>
      <c r="AE111" s="79"/>
      <c r="AF111" s="79"/>
      <c r="AG111" s="79"/>
      <c r="AH111" s="79"/>
      <c r="AI111" s="79"/>
      <c r="AJ111" s="79"/>
      <c r="AK111" s="79"/>
    </row>
    <row r="112" spans="1:37" s="78" customFormat="1" ht="12" customHeight="1">
      <c r="A112" s="76"/>
      <c r="B112" s="76"/>
      <c r="C112" s="76"/>
      <c r="D112" s="76"/>
      <c r="E112" s="76"/>
      <c r="F112" s="77"/>
      <c r="G112" s="76"/>
      <c r="H112" s="76"/>
      <c r="I112" s="76"/>
      <c r="J112" s="76"/>
      <c r="K112" s="76"/>
      <c r="L112" s="76"/>
      <c r="M112" s="76"/>
      <c r="N112" s="76"/>
      <c r="O112" s="76"/>
      <c r="P112" s="76"/>
      <c r="Q112" s="76"/>
      <c r="R112" s="76"/>
      <c r="S112" s="76"/>
      <c r="T112" s="76"/>
      <c r="U112" s="76"/>
      <c r="V112" s="76"/>
      <c r="W112" s="76"/>
      <c r="X112" s="76"/>
      <c r="Y112" s="76"/>
      <c r="Z112" s="76"/>
      <c r="AA112" s="79"/>
      <c r="AB112" s="79"/>
      <c r="AC112" s="79"/>
      <c r="AD112" s="79"/>
      <c r="AE112" s="79"/>
      <c r="AF112" s="79"/>
      <c r="AG112" s="79"/>
      <c r="AH112" s="79"/>
      <c r="AI112" s="79"/>
      <c r="AJ112" s="79"/>
      <c r="AK112" s="79"/>
    </row>
    <row r="113" spans="1:37" s="78" customFormat="1" ht="12" customHeight="1">
      <c r="A113" s="76"/>
      <c r="B113" s="76"/>
      <c r="C113" s="76"/>
      <c r="D113" s="76"/>
      <c r="E113" s="76"/>
      <c r="F113" s="77"/>
      <c r="G113" s="76"/>
      <c r="H113" s="76"/>
      <c r="I113" s="76"/>
      <c r="J113" s="76"/>
      <c r="K113" s="76"/>
      <c r="L113" s="76"/>
      <c r="M113" s="76"/>
      <c r="N113" s="76"/>
      <c r="O113" s="76"/>
      <c r="P113" s="76"/>
      <c r="Q113" s="76"/>
      <c r="R113" s="76"/>
      <c r="S113" s="76"/>
      <c r="T113" s="76"/>
      <c r="U113" s="76"/>
      <c r="V113" s="76"/>
      <c r="W113" s="76"/>
      <c r="X113" s="76"/>
      <c r="Y113" s="76"/>
      <c r="Z113" s="76"/>
      <c r="AA113" s="79"/>
      <c r="AB113" s="79"/>
      <c r="AC113" s="79"/>
      <c r="AD113" s="79"/>
      <c r="AE113" s="79"/>
      <c r="AF113" s="79"/>
      <c r="AG113" s="79"/>
      <c r="AH113" s="79"/>
      <c r="AI113" s="79"/>
      <c r="AJ113" s="79"/>
      <c r="AK113" s="79"/>
    </row>
    <row r="114" spans="1:37" s="78" customFormat="1" ht="12" customHeight="1">
      <c r="A114" s="76"/>
      <c r="B114" s="76"/>
      <c r="C114" s="76"/>
      <c r="D114" s="76"/>
      <c r="E114" s="76"/>
      <c r="F114" s="77"/>
      <c r="G114" s="76"/>
      <c r="H114" s="76"/>
      <c r="I114" s="76"/>
      <c r="J114" s="76"/>
      <c r="K114" s="76"/>
      <c r="L114" s="76"/>
      <c r="M114" s="76"/>
      <c r="N114" s="76"/>
      <c r="O114" s="76"/>
      <c r="P114" s="76"/>
      <c r="Q114" s="76"/>
      <c r="R114" s="76"/>
      <c r="S114" s="76"/>
      <c r="T114" s="76"/>
      <c r="U114" s="76"/>
      <c r="V114" s="76"/>
      <c r="W114" s="76"/>
      <c r="X114" s="76"/>
      <c r="Y114" s="76"/>
      <c r="Z114" s="76"/>
      <c r="AA114" s="79"/>
      <c r="AB114" s="79"/>
      <c r="AC114" s="79"/>
      <c r="AD114" s="79"/>
      <c r="AE114" s="79"/>
      <c r="AF114" s="79"/>
      <c r="AG114" s="79"/>
      <c r="AH114" s="79"/>
      <c r="AI114" s="79"/>
      <c r="AJ114" s="79"/>
      <c r="AK114" s="79"/>
    </row>
    <row r="115" spans="1:37" s="78" customFormat="1" ht="12" customHeight="1">
      <c r="A115" s="76"/>
      <c r="B115" s="76"/>
      <c r="C115" s="76"/>
      <c r="D115" s="76"/>
      <c r="E115" s="76"/>
      <c r="F115" s="77"/>
      <c r="G115" s="76"/>
      <c r="H115" s="76"/>
      <c r="I115" s="76"/>
      <c r="J115" s="76"/>
      <c r="K115" s="76"/>
      <c r="L115" s="76"/>
      <c r="M115" s="76"/>
      <c r="N115" s="76"/>
      <c r="O115" s="76"/>
      <c r="P115" s="76"/>
      <c r="Q115" s="76"/>
      <c r="R115" s="76"/>
      <c r="S115" s="76"/>
      <c r="T115" s="76"/>
      <c r="U115" s="76"/>
      <c r="V115" s="76"/>
      <c r="W115" s="76"/>
      <c r="X115" s="76"/>
      <c r="Y115" s="76"/>
      <c r="Z115" s="76"/>
      <c r="AA115" s="79"/>
      <c r="AB115" s="79"/>
      <c r="AC115" s="79"/>
      <c r="AD115" s="79"/>
      <c r="AE115" s="79"/>
      <c r="AF115" s="79"/>
      <c r="AG115" s="79"/>
      <c r="AH115" s="79"/>
      <c r="AI115" s="79"/>
      <c r="AJ115" s="79"/>
      <c r="AK115" s="79"/>
    </row>
    <row r="116" spans="1:37" s="78" customFormat="1" ht="12" customHeight="1">
      <c r="A116" s="76"/>
      <c r="B116" s="76"/>
      <c r="C116" s="76"/>
      <c r="D116" s="76"/>
      <c r="E116" s="76"/>
      <c r="F116" s="77"/>
      <c r="G116" s="76"/>
      <c r="H116" s="76"/>
      <c r="I116" s="76"/>
      <c r="J116" s="76"/>
      <c r="K116" s="76"/>
      <c r="L116" s="76"/>
      <c r="M116" s="76"/>
      <c r="N116" s="76"/>
      <c r="O116" s="76"/>
      <c r="P116" s="76"/>
      <c r="Q116" s="76"/>
      <c r="R116" s="76"/>
      <c r="S116" s="76"/>
      <c r="T116" s="76"/>
      <c r="U116" s="76"/>
      <c r="V116" s="76"/>
      <c r="W116" s="76"/>
      <c r="X116" s="76"/>
      <c r="Y116" s="76"/>
      <c r="Z116" s="76"/>
      <c r="AA116" s="79"/>
      <c r="AB116" s="79"/>
      <c r="AC116" s="79"/>
      <c r="AD116" s="79"/>
      <c r="AE116" s="79"/>
      <c r="AF116" s="79"/>
      <c r="AG116" s="79"/>
      <c r="AH116" s="79"/>
      <c r="AI116" s="79"/>
      <c r="AJ116" s="79"/>
      <c r="AK116" s="79"/>
    </row>
    <row r="117" spans="1:37" s="78" customFormat="1" ht="12" customHeight="1">
      <c r="A117" s="76"/>
      <c r="B117" s="76"/>
      <c r="C117" s="76"/>
      <c r="D117" s="76"/>
      <c r="E117" s="76"/>
      <c r="F117" s="77"/>
      <c r="G117" s="76"/>
      <c r="H117" s="76"/>
      <c r="I117" s="76"/>
      <c r="J117" s="76"/>
      <c r="K117" s="76"/>
      <c r="L117" s="76"/>
      <c r="M117" s="76"/>
      <c r="N117" s="76"/>
      <c r="O117" s="76"/>
      <c r="P117" s="76"/>
      <c r="Q117" s="76"/>
      <c r="R117" s="76"/>
      <c r="S117" s="76"/>
      <c r="T117" s="76"/>
      <c r="U117" s="76"/>
      <c r="V117" s="76"/>
      <c r="W117" s="76"/>
      <c r="X117" s="76"/>
      <c r="Y117" s="76"/>
      <c r="Z117" s="76"/>
      <c r="AA117" s="79"/>
      <c r="AB117" s="79"/>
      <c r="AC117" s="79"/>
      <c r="AD117" s="79"/>
      <c r="AE117" s="79"/>
      <c r="AF117" s="79"/>
      <c r="AG117" s="79"/>
      <c r="AH117" s="79"/>
      <c r="AI117" s="79"/>
      <c r="AJ117" s="79"/>
      <c r="AK117" s="79"/>
    </row>
    <row r="118" spans="1:37" s="78" customFormat="1" ht="12" customHeight="1">
      <c r="A118" s="76"/>
      <c r="B118" s="76"/>
      <c r="C118" s="76"/>
      <c r="D118" s="76"/>
      <c r="E118" s="76"/>
      <c r="F118" s="77"/>
      <c r="G118" s="76"/>
      <c r="H118" s="76"/>
      <c r="I118" s="76"/>
      <c r="J118" s="76"/>
      <c r="K118" s="76"/>
      <c r="L118" s="76"/>
      <c r="M118" s="76"/>
      <c r="N118" s="76"/>
      <c r="O118" s="76"/>
      <c r="P118" s="76"/>
      <c r="Q118" s="76"/>
      <c r="R118" s="76"/>
      <c r="S118" s="76"/>
      <c r="T118" s="76"/>
      <c r="U118" s="76"/>
      <c r="V118" s="76"/>
      <c r="W118" s="76"/>
      <c r="X118" s="76"/>
      <c r="Y118" s="76"/>
      <c r="Z118" s="76"/>
      <c r="AA118" s="79"/>
      <c r="AB118" s="79"/>
      <c r="AC118" s="79"/>
      <c r="AD118" s="79"/>
      <c r="AE118" s="79"/>
      <c r="AF118" s="79"/>
      <c r="AG118" s="79"/>
      <c r="AH118" s="79"/>
      <c r="AI118" s="79"/>
      <c r="AJ118" s="79"/>
      <c r="AK118" s="79"/>
    </row>
    <row r="119" spans="1:37" s="78" customFormat="1" ht="12" customHeight="1">
      <c r="A119" s="76"/>
      <c r="B119" s="76"/>
      <c r="C119" s="76"/>
      <c r="D119" s="76"/>
      <c r="E119" s="76"/>
      <c r="F119" s="77"/>
      <c r="G119" s="76"/>
      <c r="H119" s="76"/>
      <c r="I119" s="76"/>
      <c r="J119" s="76"/>
      <c r="K119" s="76"/>
      <c r="L119" s="76"/>
      <c r="M119" s="76"/>
      <c r="N119" s="76"/>
      <c r="O119" s="76"/>
      <c r="P119" s="76"/>
      <c r="Q119" s="76"/>
      <c r="R119" s="76"/>
      <c r="S119" s="76"/>
      <c r="T119" s="76"/>
      <c r="U119" s="76"/>
      <c r="V119" s="76"/>
      <c r="W119" s="76"/>
      <c r="X119" s="76"/>
      <c r="Y119" s="76"/>
      <c r="Z119" s="76"/>
      <c r="AA119" s="79"/>
      <c r="AB119" s="79"/>
      <c r="AC119" s="79"/>
      <c r="AD119" s="79"/>
      <c r="AE119" s="79"/>
      <c r="AF119" s="79"/>
      <c r="AG119" s="79"/>
      <c r="AH119" s="79"/>
      <c r="AI119" s="79"/>
      <c r="AJ119" s="79"/>
      <c r="AK119" s="79"/>
    </row>
    <row r="120" spans="1:37" s="78" customFormat="1" ht="12" customHeight="1">
      <c r="A120" s="76"/>
      <c r="B120" s="76"/>
      <c r="C120" s="76"/>
      <c r="D120" s="76"/>
      <c r="E120" s="76"/>
      <c r="F120" s="77"/>
      <c r="G120" s="76"/>
      <c r="H120" s="76"/>
      <c r="I120" s="76"/>
      <c r="J120" s="76"/>
      <c r="K120" s="76"/>
      <c r="L120" s="76"/>
      <c r="M120" s="76"/>
      <c r="N120" s="76"/>
      <c r="O120" s="76"/>
      <c r="P120" s="76"/>
      <c r="Q120" s="76"/>
      <c r="R120" s="76"/>
      <c r="S120" s="76"/>
      <c r="T120" s="76"/>
      <c r="U120" s="76"/>
      <c r="V120" s="76"/>
      <c r="W120" s="76"/>
      <c r="X120" s="76"/>
      <c r="Y120" s="76"/>
      <c r="Z120" s="76"/>
      <c r="AA120" s="79"/>
      <c r="AB120" s="79"/>
      <c r="AC120" s="79"/>
      <c r="AD120" s="79"/>
      <c r="AE120" s="79"/>
      <c r="AF120" s="79"/>
      <c r="AG120" s="79"/>
      <c r="AH120" s="79"/>
      <c r="AI120" s="79"/>
      <c r="AJ120" s="79"/>
      <c r="AK120" s="79"/>
    </row>
    <row r="121" spans="1:37" s="78" customFormat="1" ht="12" customHeight="1">
      <c r="A121" s="76"/>
      <c r="B121" s="76"/>
      <c r="C121" s="76"/>
      <c r="D121" s="76"/>
      <c r="E121" s="76"/>
      <c r="F121" s="77"/>
      <c r="G121" s="76"/>
      <c r="H121" s="76"/>
      <c r="I121" s="76"/>
      <c r="J121" s="76"/>
      <c r="K121" s="76"/>
      <c r="L121" s="76"/>
      <c r="M121" s="76"/>
      <c r="N121" s="76"/>
      <c r="O121" s="76"/>
      <c r="P121" s="76"/>
      <c r="Q121" s="76"/>
      <c r="R121" s="76"/>
      <c r="S121" s="76"/>
      <c r="T121" s="76"/>
      <c r="U121" s="76"/>
      <c r="V121" s="76"/>
      <c r="W121" s="76"/>
      <c r="X121" s="76"/>
      <c r="Y121" s="76"/>
      <c r="Z121" s="76"/>
      <c r="AA121" s="79"/>
      <c r="AB121" s="79"/>
      <c r="AC121" s="79"/>
      <c r="AD121" s="79"/>
      <c r="AE121" s="79"/>
      <c r="AF121" s="79"/>
      <c r="AG121" s="79"/>
      <c r="AH121" s="79"/>
      <c r="AI121" s="79"/>
      <c r="AJ121" s="79"/>
      <c r="AK121" s="79"/>
    </row>
    <row r="122" spans="1:37" s="78" customFormat="1" ht="12" customHeight="1">
      <c r="A122" s="76"/>
      <c r="B122" s="76"/>
      <c r="C122" s="76"/>
      <c r="D122" s="76"/>
      <c r="E122" s="76"/>
      <c r="F122" s="77"/>
      <c r="G122" s="76"/>
      <c r="H122" s="76"/>
      <c r="I122" s="76"/>
      <c r="J122" s="76"/>
      <c r="K122" s="76"/>
      <c r="L122" s="76"/>
      <c r="M122" s="76"/>
      <c r="N122" s="76"/>
      <c r="O122" s="76"/>
      <c r="P122" s="76"/>
      <c r="Q122" s="76"/>
      <c r="R122" s="76"/>
      <c r="S122" s="76"/>
      <c r="T122" s="76"/>
      <c r="U122" s="76"/>
      <c r="V122" s="76"/>
      <c r="W122" s="76"/>
      <c r="X122" s="76"/>
      <c r="Y122" s="76"/>
      <c r="Z122" s="76"/>
      <c r="AA122" s="79"/>
      <c r="AB122" s="79"/>
      <c r="AC122" s="79"/>
      <c r="AD122" s="79"/>
      <c r="AE122" s="79"/>
      <c r="AF122" s="79"/>
      <c r="AG122" s="79"/>
      <c r="AH122" s="79"/>
      <c r="AI122" s="79"/>
      <c r="AJ122" s="79"/>
      <c r="AK122" s="79"/>
    </row>
    <row r="123" spans="1:37" s="78" customFormat="1" ht="12" customHeight="1">
      <c r="A123" s="76"/>
      <c r="B123" s="76"/>
      <c r="C123" s="76"/>
      <c r="D123" s="76"/>
      <c r="E123" s="76"/>
      <c r="F123" s="77"/>
      <c r="G123" s="76"/>
      <c r="H123" s="76"/>
      <c r="I123" s="76"/>
      <c r="J123" s="76"/>
      <c r="K123" s="76"/>
      <c r="L123" s="76"/>
      <c r="M123" s="76"/>
      <c r="N123" s="76"/>
      <c r="O123" s="76"/>
      <c r="P123" s="76"/>
      <c r="Q123" s="76"/>
      <c r="R123" s="76"/>
      <c r="S123" s="76"/>
      <c r="T123" s="76"/>
      <c r="U123" s="76"/>
      <c r="V123" s="76"/>
      <c r="W123" s="76"/>
      <c r="X123" s="76"/>
      <c r="Y123" s="76"/>
      <c r="Z123" s="76"/>
      <c r="AA123" s="79"/>
      <c r="AB123" s="79"/>
      <c r="AC123" s="79"/>
      <c r="AD123" s="79"/>
      <c r="AE123" s="79"/>
      <c r="AF123" s="79"/>
      <c r="AG123" s="79"/>
      <c r="AH123" s="79"/>
      <c r="AI123" s="79"/>
      <c r="AJ123" s="79"/>
      <c r="AK123" s="79"/>
    </row>
    <row r="124" spans="1:37" s="78" customFormat="1" ht="12" customHeight="1">
      <c r="A124" s="76"/>
      <c r="B124" s="76"/>
      <c r="C124" s="76"/>
      <c r="D124" s="76"/>
      <c r="E124" s="76"/>
      <c r="F124" s="77"/>
      <c r="G124" s="76"/>
      <c r="H124" s="76"/>
      <c r="I124" s="76"/>
      <c r="J124" s="76"/>
      <c r="K124" s="76"/>
      <c r="L124" s="76"/>
      <c r="M124" s="76"/>
      <c r="N124" s="76"/>
      <c r="O124" s="76"/>
      <c r="P124" s="76"/>
      <c r="Q124" s="76"/>
      <c r="R124" s="76"/>
      <c r="S124" s="76"/>
      <c r="T124" s="76"/>
      <c r="U124" s="76"/>
      <c r="V124" s="76"/>
      <c r="W124" s="76"/>
      <c r="X124" s="76"/>
      <c r="Y124" s="76"/>
      <c r="Z124" s="76"/>
      <c r="AA124" s="79"/>
      <c r="AB124" s="79"/>
      <c r="AC124" s="79"/>
      <c r="AD124" s="79"/>
      <c r="AE124" s="79"/>
      <c r="AF124" s="79"/>
      <c r="AG124" s="79"/>
      <c r="AH124" s="79"/>
      <c r="AI124" s="79"/>
      <c r="AJ124" s="79"/>
      <c r="AK124" s="79"/>
    </row>
    <row r="125" spans="1:37" s="78" customFormat="1" ht="12" customHeight="1">
      <c r="A125" s="76"/>
      <c r="B125" s="76"/>
      <c r="C125" s="76"/>
      <c r="D125" s="76"/>
      <c r="E125" s="76"/>
      <c r="F125" s="77"/>
      <c r="G125" s="76"/>
      <c r="H125" s="76"/>
      <c r="I125" s="76"/>
      <c r="J125" s="76"/>
      <c r="K125" s="76"/>
      <c r="L125" s="76"/>
      <c r="M125" s="76"/>
      <c r="N125" s="76"/>
      <c r="O125" s="76"/>
      <c r="P125" s="76"/>
      <c r="Q125" s="76"/>
      <c r="R125" s="76"/>
      <c r="S125" s="76"/>
      <c r="T125" s="76"/>
      <c r="U125" s="76"/>
      <c r="V125" s="76"/>
      <c r="W125" s="76"/>
      <c r="X125" s="76"/>
      <c r="Y125" s="76"/>
      <c r="Z125" s="76"/>
      <c r="AA125" s="79"/>
      <c r="AB125" s="79"/>
      <c r="AC125" s="79"/>
      <c r="AD125" s="79"/>
      <c r="AE125" s="79"/>
      <c r="AF125" s="79"/>
      <c r="AG125" s="79"/>
      <c r="AH125" s="79"/>
      <c r="AI125" s="79"/>
      <c r="AJ125" s="79"/>
      <c r="AK125" s="79"/>
    </row>
    <row r="126" spans="1:37" s="78" customFormat="1" ht="12" customHeight="1">
      <c r="A126" s="76"/>
      <c r="B126" s="76"/>
      <c r="C126" s="76"/>
      <c r="D126" s="76"/>
      <c r="E126" s="76"/>
      <c r="F126" s="77"/>
      <c r="G126" s="76"/>
      <c r="H126" s="76"/>
      <c r="I126" s="76"/>
      <c r="J126" s="76"/>
      <c r="K126" s="76"/>
      <c r="L126" s="76"/>
      <c r="M126" s="76"/>
      <c r="N126" s="76"/>
      <c r="O126" s="76"/>
      <c r="P126" s="76"/>
      <c r="Q126" s="76"/>
      <c r="R126" s="76"/>
      <c r="S126" s="76"/>
      <c r="T126" s="76"/>
      <c r="U126" s="76"/>
      <c r="V126" s="76"/>
      <c r="W126" s="76"/>
      <c r="X126" s="76"/>
      <c r="Y126" s="76"/>
      <c r="Z126" s="76"/>
      <c r="AA126" s="79"/>
      <c r="AB126" s="79"/>
      <c r="AC126" s="79"/>
      <c r="AD126" s="79"/>
      <c r="AE126" s="79"/>
      <c r="AF126" s="79"/>
      <c r="AG126" s="79"/>
      <c r="AH126" s="79"/>
      <c r="AI126" s="79"/>
      <c r="AJ126" s="79"/>
      <c r="AK126" s="79"/>
    </row>
    <row r="127" spans="1:37" s="78" customFormat="1" ht="12" customHeight="1">
      <c r="A127" s="76"/>
      <c r="B127" s="76"/>
      <c r="C127" s="76"/>
      <c r="D127" s="76"/>
      <c r="E127" s="76"/>
      <c r="F127" s="77"/>
      <c r="G127" s="76"/>
      <c r="H127" s="76"/>
      <c r="I127" s="76"/>
      <c r="J127" s="76"/>
      <c r="K127" s="76"/>
      <c r="L127" s="76"/>
      <c r="M127" s="76"/>
      <c r="N127" s="76"/>
      <c r="O127" s="76"/>
      <c r="P127" s="76"/>
      <c r="Q127" s="76"/>
      <c r="R127" s="76"/>
      <c r="S127" s="76"/>
      <c r="T127" s="76"/>
      <c r="U127" s="76"/>
      <c r="V127" s="76"/>
      <c r="W127" s="76"/>
      <c r="X127" s="76"/>
      <c r="Y127" s="76"/>
      <c r="Z127" s="76"/>
      <c r="AA127" s="79"/>
      <c r="AB127" s="79"/>
      <c r="AC127" s="79"/>
      <c r="AD127" s="79"/>
      <c r="AE127" s="79"/>
      <c r="AF127" s="79"/>
      <c r="AG127" s="79"/>
      <c r="AH127" s="79"/>
      <c r="AI127" s="79"/>
      <c r="AJ127" s="79"/>
      <c r="AK127" s="79"/>
    </row>
    <row r="128" spans="1:37" s="78" customFormat="1" ht="12" customHeight="1">
      <c r="A128" s="76"/>
      <c r="B128" s="76"/>
      <c r="C128" s="76"/>
      <c r="D128" s="76"/>
      <c r="E128" s="76"/>
      <c r="F128" s="77"/>
      <c r="G128" s="76"/>
      <c r="H128" s="76"/>
      <c r="I128" s="76"/>
      <c r="J128" s="76"/>
      <c r="K128" s="76"/>
      <c r="L128" s="76"/>
      <c r="M128" s="76"/>
      <c r="N128" s="76"/>
      <c r="O128" s="76"/>
      <c r="P128" s="76"/>
      <c r="Q128" s="76"/>
      <c r="R128" s="76"/>
      <c r="S128" s="76"/>
      <c r="T128" s="76"/>
      <c r="U128" s="76"/>
      <c r="V128" s="76"/>
      <c r="W128" s="76"/>
      <c r="X128" s="76"/>
      <c r="Y128" s="76"/>
      <c r="Z128" s="76"/>
      <c r="AA128" s="79"/>
      <c r="AB128" s="79"/>
      <c r="AC128" s="79"/>
      <c r="AD128" s="79"/>
      <c r="AE128" s="79"/>
      <c r="AF128" s="79"/>
      <c r="AG128" s="79"/>
      <c r="AH128" s="79"/>
      <c r="AI128" s="79"/>
      <c r="AJ128" s="79"/>
      <c r="AK128" s="79"/>
    </row>
    <row r="129" spans="1:37" s="78" customFormat="1" ht="12" customHeight="1">
      <c r="A129" s="76"/>
      <c r="B129" s="76"/>
      <c r="C129" s="76"/>
      <c r="D129" s="76"/>
      <c r="E129" s="76"/>
      <c r="F129" s="77"/>
      <c r="G129" s="76"/>
      <c r="H129" s="76"/>
      <c r="I129" s="76"/>
      <c r="J129" s="76"/>
      <c r="K129" s="76"/>
      <c r="L129" s="76"/>
      <c r="M129" s="76"/>
      <c r="N129" s="76"/>
      <c r="O129" s="76"/>
      <c r="P129" s="76"/>
      <c r="Q129" s="76"/>
      <c r="R129" s="76"/>
      <c r="S129" s="76"/>
      <c r="T129" s="76"/>
      <c r="U129" s="76"/>
      <c r="V129" s="76"/>
      <c r="W129" s="76"/>
      <c r="X129" s="76"/>
      <c r="Y129" s="76"/>
      <c r="Z129" s="76"/>
      <c r="AA129" s="79"/>
      <c r="AB129" s="79"/>
      <c r="AC129" s="79"/>
      <c r="AD129" s="79"/>
      <c r="AE129" s="79"/>
      <c r="AF129" s="79"/>
      <c r="AG129" s="79"/>
      <c r="AH129" s="79"/>
      <c r="AI129" s="79"/>
      <c r="AJ129" s="79"/>
      <c r="AK129" s="79"/>
    </row>
    <row r="130" spans="1:37" s="78" customFormat="1" ht="12" customHeight="1">
      <c r="A130" s="76"/>
      <c r="B130" s="76"/>
      <c r="C130" s="76"/>
      <c r="D130" s="76"/>
      <c r="E130" s="76"/>
      <c r="F130" s="77"/>
      <c r="G130" s="76"/>
      <c r="H130" s="76"/>
      <c r="I130" s="76"/>
      <c r="J130" s="76"/>
      <c r="K130" s="76"/>
      <c r="L130" s="76"/>
      <c r="M130" s="76"/>
      <c r="N130" s="76"/>
      <c r="O130" s="76"/>
      <c r="P130" s="76"/>
      <c r="Q130" s="76"/>
      <c r="R130" s="76"/>
      <c r="S130" s="76"/>
      <c r="T130" s="76"/>
      <c r="U130" s="76"/>
      <c r="V130" s="76"/>
      <c r="W130" s="76"/>
      <c r="X130" s="76"/>
      <c r="Y130" s="76"/>
      <c r="Z130" s="76"/>
      <c r="AA130" s="79"/>
      <c r="AB130" s="79"/>
      <c r="AC130" s="79"/>
      <c r="AD130" s="79"/>
      <c r="AE130" s="79"/>
      <c r="AF130" s="79"/>
      <c r="AG130" s="79"/>
      <c r="AH130" s="79"/>
      <c r="AI130" s="79"/>
      <c r="AJ130" s="79"/>
      <c r="AK130" s="79"/>
    </row>
    <row r="131" spans="1:37" s="78" customFormat="1" ht="12" customHeight="1">
      <c r="A131" s="76"/>
      <c r="B131" s="76"/>
      <c r="C131" s="76"/>
      <c r="D131" s="76"/>
      <c r="E131" s="76"/>
      <c r="F131" s="77"/>
      <c r="G131" s="76"/>
      <c r="H131" s="76"/>
      <c r="I131" s="76"/>
      <c r="J131" s="76"/>
      <c r="K131" s="76"/>
      <c r="L131" s="76"/>
      <c r="M131" s="76"/>
      <c r="N131" s="76"/>
      <c r="O131" s="76"/>
      <c r="P131" s="76"/>
      <c r="Q131" s="76"/>
      <c r="R131" s="76"/>
      <c r="S131" s="76"/>
      <c r="T131" s="76"/>
      <c r="U131" s="76"/>
      <c r="V131" s="76"/>
      <c r="W131" s="76"/>
      <c r="X131" s="76"/>
      <c r="Y131" s="76"/>
      <c r="Z131" s="76"/>
      <c r="AA131" s="79"/>
      <c r="AB131" s="79"/>
      <c r="AC131" s="79"/>
      <c r="AD131" s="79"/>
      <c r="AE131" s="79"/>
      <c r="AF131" s="79"/>
      <c r="AG131" s="79"/>
      <c r="AH131" s="79"/>
      <c r="AI131" s="79"/>
      <c r="AJ131" s="79"/>
      <c r="AK131" s="79"/>
    </row>
    <row r="132" spans="1:37" s="78" customFormat="1" ht="12" customHeight="1">
      <c r="A132" s="76"/>
      <c r="B132" s="76"/>
      <c r="C132" s="76"/>
      <c r="D132" s="76"/>
      <c r="E132" s="76"/>
      <c r="F132" s="77"/>
      <c r="G132" s="76"/>
      <c r="H132" s="76"/>
      <c r="I132" s="76"/>
      <c r="J132" s="76"/>
      <c r="K132" s="76"/>
      <c r="L132" s="76"/>
      <c r="M132" s="76"/>
      <c r="N132" s="76"/>
      <c r="O132" s="76"/>
      <c r="P132" s="76"/>
      <c r="Q132" s="76"/>
      <c r="R132" s="76"/>
      <c r="S132" s="76"/>
      <c r="T132" s="76"/>
      <c r="U132" s="76"/>
      <c r="V132" s="76"/>
      <c r="W132" s="76"/>
      <c r="X132" s="76"/>
      <c r="Y132" s="76"/>
      <c r="Z132" s="76"/>
      <c r="AA132" s="79"/>
      <c r="AB132" s="79"/>
      <c r="AC132" s="79"/>
      <c r="AD132" s="79"/>
      <c r="AE132" s="79"/>
      <c r="AF132" s="79"/>
      <c r="AG132" s="79"/>
      <c r="AH132" s="79"/>
      <c r="AI132" s="79"/>
      <c r="AJ132" s="79"/>
      <c r="AK132" s="79"/>
    </row>
    <row r="133" spans="1:37" s="78" customFormat="1" ht="12" customHeight="1">
      <c r="A133" s="76"/>
      <c r="B133" s="76"/>
      <c r="C133" s="76"/>
      <c r="D133" s="76"/>
      <c r="E133" s="76"/>
      <c r="F133" s="77"/>
      <c r="G133" s="76"/>
      <c r="H133" s="76"/>
      <c r="I133" s="76"/>
      <c r="J133" s="76"/>
      <c r="K133" s="76"/>
      <c r="L133" s="76"/>
      <c r="M133" s="76"/>
      <c r="N133" s="76"/>
      <c r="O133" s="76"/>
      <c r="P133" s="76"/>
      <c r="Q133" s="76"/>
      <c r="R133" s="76"/>
      <c r="S133" s="76"/>
      <c r="T133" s="76"/>
      <c r="U133" s="76"/>
      <c r="V133" s="76"/>
      <c r="W133" s="76"/>
      <c r="X133" s="76"/>
      <c r="Y133" s="76"/>
      <c r="Z133" s="76"/>
      <c r="AA133" s="79"/>
      <c r="AB133" s="79"/>
      <c r="AC133" s="79"/>
      <c r="AD133" s="79"/>
      <c r="AE133" s="79"/>
      <c r="AF133" s="79"/>
      <c r="AG133" s="79"/>
      <c r="AH133" s="79"/>
      <c r="AI133" s="79"/>
      <c r="AJ133" s="79"/>
      <c r="AK133" s="79"/>
    </row>
    <row r="134" spans="1:37" s="78" customFormat="1" ht="12" customHeight="1">
      <c r="A134" s="76"/>
      <c r="B134" s="76"/>
      <c r="C134" s="76"/>
      <c r="D134" s="76"/>
      <c r="E134" s="76"/>
      <c r="F134" s="77"/>
      <c r="G134" s="76"/>
      <c r="H134" s="76"/>
      <c r="I134" s="76"/>
      <c r="J134" s="76"/>
      <c r="K134" s="76"/>
      <c r="L134" s="76"/>
      <c r="M134" s="76"/>
      <c r="N134" s="76"/>
      <c r="O134" s="76"/>
      <c r="P134" s="76"/>
      <c r="Q134" s="76"/>
      <c r="R134" s="76"/>
      <c r="S134" s="76"/>
      <c r="T134" s="76"/>
      <c r="U134" s="76"/>
      <c r="V134" s="76"/>
      <c r="W134" s="76"/>
      <c r="X134" s="76"/>
      <c r="Y134" s="76"/>
      <c r="Z134" s="76"/>
      <c r="AA134" s="79"/>
      <c r="AB134" s="79"/>
      <c r="AC134" s="79"/>
      <c r="AD134" s="79"/>
      <c r="AE134" s="79"/>
      <c r="AF134" s="79"/>
      <c r="AG134" s="79"/>
      <c r="AH134" s="79"/>
      <c r="AI134" s="79"/>
      <c r="AJ134" s="79"/>
      <c r="AK134" s="79"/>
    </row>
    <row r="135" spans="1:37" s="78" customFormat="1" ht="12" customHeight="1">
      <c r="A135" s="76"/>
      <c r="B135" s="76"/>
      <c r="C135" s="76"/>
      <c r="D135" s="76"/>
      <c r="E135" s="76"/>
      <c r="F135" s="77"/>
      <c r="G135" s="76"/>
      <c r="H135" s="76"/>
      <c r="I135" s="76"/>
      <c r="J135" s="76"/>
      <c r="K135" s="76"/>
      <c r="L135" s="76"/>
      <c r="M135" s="76"/>
      <c r="N135" s="76"/>
      <c r="O135" s="76"/>
      <c r="P135" s="76"/>
      <c r="Q135" s="76"/>
      <c r="R135" s="76"/>
      <c r="S135" s="76"/>
      <c r="T135" s="76"/>
      <c r="U135" s="76"/>
      <c r="V135" s="76"/>
      <c r="W135" s="76"/>
      <c r="X135" s="76"/>
      <c r="Y135" s="76"/>
      <c r="Z135" s="76"/>
      <c r="AA135" s="79"/>
      <c r="AB135" s="79"/>
      <c r="AC135" s="79"/>
      <c r="AD135" s="79"/>
      <c r="AE135" s="79"/>
      <c r="AF135" s="79"/>
      <c r="AG135" s="79"/>
      <c r="AH135" s="79"/>
      <c r="AI135" s="79"/>
      <c r="AJ135" s="79"/>
      <c r="AK135" s="79"/>
    </row>
    <row r="136" spans="1:37" s="78" customFormat="1" ht="12" customHeight="1">
      <c r="A136" s="76"/>
      <c r="B136" s="76"/>
      <c r="C136" s="76"/>
      <c r="D136" s="76"/>
      <c r="E136" s="76"/>
      <c r="F136" s="77"/>
      <c r="G136" s="76"/>
      <c r="H136" s="76"/>
      <c r="I136" s="76"/>
      <c r="J136" s="76"/>
      <c r="K136" s="76"/>
      <c r="L136" s="76"/>
      <c r="M136" s="76"/>
      <c r="N136" s="76"/>
      <c r="O136" s="76"/>
      <c r="P136" s="76"/>
      <c r="Q136" s="76"/>
      <c r="R136" s="76"/>
      <c r="S136" s="76"/>
      <c r="T136" s="76"/>
      <c r="U136" s="76"/>
      <c r="V136" s="76"/>
      <c r="W136" s="76"/>
      <c r="X136" s="76"/>
      <c r="Y136" s="76"/>
      <c r="Z136" s="76"/>
      <c r="AA136" s="79"/>
      <c r="AB136" s="79"/>
      <c r="AC136" s="79"/>
      <c r="AD136" s="79"/>
      <c r="AE136" s="79"/>
      <c r="AF136" s="79"/>
      <c r="AG136" s="79"/>
      <c r="AH136" s="79"/>
      <c r="AI136" s="79"/>
      <c r="AJ136" s="79"/>
      <c r="AK136" s="79"/>
    </row>
    <row r="137" spans="1:37" s="78" customFormat="1" ht="12" customHeight="1">
      <c r="A137" s="76"/>
      <c r="B137" s="76"/>
      <c r="C137" s="76"/>
      <c r="D137" s="76"/>
      <c r="E137" s="76"/>
      <c r="F137" s="77"/>
      <c r="G137" s="76"/>
      <c r="H137" s="76"/>
      <c r="I137" s="76"/>
      <c r="J137" s="76"/>
      <c r="K137" s="76"/>
      <c r="L137" s="76"/>
      <c r="M137" s="76"/>
      <c r="N137" s="76"/>
      <c r="O137" s="76"/>
      <c r="P137" s="76"/>
      <c r="Q137" s="76"/>
      <c r="R137" s="76"/>
      <c r="S137" s="76"/>
      <c r="T137" s="76"/>
      <c r="U137" s="76"/>
      <c r="V137" s="76"/>
      <c r="W137" s="76"/>
      <c r="X137" s="76"/>
      <c r="Y137" s="76"/>
      <c r="Z137" s="76"/>
      <c r="AA137" s="79"/>
      <c r="AB137" s="79"/>
      <c r="AC137" s="79"/>
      <c r="AD137" s="79"/>
      <c r="AE137" s="79"/>
      <c r="AF137" s="79"/>
      <c r="AG137" s="79"/>
      <c r="AH137" s="79"/>
      <c r="AI137" s="79"/>
      <c r="AJ137" s="79"/>
      <c r="AK137" s="79"/>
    </row>
    <row r="138" spans="1:37" s="78" customFormat="1" ht="12" customHeight="1">
      <c r="A138" s="76"/>
      <c r="B138" s="76"/>
      <c r="C138" s="76"/>
      <c r="D138" s="76"/>
      <c r="E138" s="76"/>
      <c r="F138" s="77"/>
      <c r="G138" s="76"/>
      <c r="H138" s="76"/>
      <c r="I138" s="76"/>
      <c r="J138" s="76"/>
      <c r="K138" s="76"/>
      <c r="L138" s="76"/>
      <c r="M138" s="76"/>
      <c r="N138" s="76"/>
      <c r="O138" s="76"/>
      <c r="P138" s="76"/>
      <c r="Q138" s="76"/>
      <c r="R138" s="76"/>
      <c r="S138" s="76"/>
      <c r="T138" s="76"/>
      <c r="U138" s="76"/>
      <c r="V138" s="76"/>
      <c r="W138" s="76"/>
      <c r="X138" s="76"/>
      <c r="Y138" s="76"/>
      <c r="Z138" s="76"/>
      <c r="AA138" s="79"/>
      <c r="AB138" s="79"/>
      <c r="AC138" s="79"/>
      <c r="AD138" s="79"/>
      <c r="AE138" s="79"/>
      <c r="AF138" s="79"/>
      <c r="AG138" s="79"/>
      <c r="AH138" s="79"/>
      <c r="AI138" s="79"/>
      <c r="AJ138" s="79"/>
      <c r="AK138" s="79"/>
    </row>
    <row r="139" spans="1:37" s="78" customFormat="1" ht="12" customHeight="1">
      <c r="A139" s="76"/>
      <c r="B139" s="76"/>
      <c r="C139" s="76"/>
      <c r="D139" s="76"/>
      <c r="E139" s="76"/>
      <c r="F139" s="77"/>
      <c r="G139" s="76"/>
      <c r="H139" s="76"/>
      <c r="I139" s="76"/>
      <c r="J139" s="76"/>
      <c r="K139" s="76"/>
      <c r="L139" s="76"/>
      <c r="M139" s="76"/>
      <c r="N139" s="76"/>
      <c r="O139" s="76"/>
      <c r="P139" s="76"/>
      <c r="Q139" s="76"/>
      <c r="R139" s="76"/>
      <c r="S139" s="76"/>
      <c r="T139" s="76"/>
      <c r="U139" s="76"/>
      <c r="V139" s="76"/>
      <c r="W139" s="76"/>
      <c r="X139" s="76"/>
      <c r="Y139" s="76"/>
      <c r="Z139" s="76"/>
      <c r="AA139" s="79"/>
      <c r="AB139" s="79"/>
      <c r="AC139" s="79"/>
      <c r="AD139" s="79"/>
      <c r="AE139" s="79"/>
      <c r="AF139" s="79"/>
      <c r="AG139" s="79"/>
      <c r="AH139" s="79"/>
      <c r="AI139" s="79"/>
      <c r="AJ139" s="79"/>
      <c r="AK139" s="79"/>
    </row>
    <row r="140" spans="1:37" s="78" customFormat="1" ht="12" customHeight="1">
      <c r="A140" s="76"/>
      <c r="B140" s="76"/>
      <c r="C140" s="76"/>
      <c r="D140" s="76"/>
      <c r="E140" s="76"/>
      <c r="F140" s="77"/>
      <c r="G140" s="76"/>
      <c r="H140" s="76"/>
      <c r="I140" s="76"/>
      <c r="J140" s="76"/>
      <c r="K140" s="76"/>
      <c r="L140" s="76"/>
      <c r="M140" s="76"/>
      <c r="N140" s="76"/>
      <c r="O140" s="76"/>
      <c r="P140" s="76"/>
      <c r="Q140" s="76"/>
      <c r="R140" s="76"/>
      <c r="S140" s="76"/>
      <c r="T140" s="76"/>
      <c r="U140" s="76"/>
      <c r="V140" s="76"/>
      <c r="W140" s="76"/>
      <c r="X140" s="76"/>
      <c r="Y140" s="76"/>
      <c r="Z140" s="76"/>
      <c r="AA140" s="79"/>
      <c r="AB140" s="79"/>
      <c r="AC140" s="79"/>
      <c r="AD140" s="79"/>
      <c r="AE140" s="79"/>
      <c r="AF140" s="79"/>
      <c r="AG140" s="79"/>
      <c r="AH140" s="79"/>
      <c r="AI140" s="79"/>
      <c r="AJ140" s="79"/>
      <c r="AK140" s="79"/>
    </row>
    <row r="141" spans="1:37" s="78" customFormat="1" ht="12" customHeight="1">
      <c r="A141" s="76"/>
      <c r="B141" s="76"/>
      <c r="C141" s="76"/>
      <c r="D141" s="76"/>
      <c r="E141" s="76"/>
      <c r="F141" s="77"/>
      <c r="G141" s="76"/>
      <c r="H141" s="76"/>
      <c r="I141" s="76"/>
      <c r="J141" s="76"/>
      <c r="K141" s="76"/>
      <c r="L141" s="76"/>
      <c r="M141" s="76"/>
      <c r="N141" s="76"/>
      <c r="O141" s="76"/>
      <c r="P141" s="76"/>
      <c r="Q141" s="76"/>
      <c r="R141" s="76"/>
      <c r="S141" s="76"/>
      <c r="T141" s="76"/>
      <c r="U141" s="76"/>
      <c r="V141" s="76"/>
      <c r="W141" s="76"/>
      <c r="X141" s="76"/>
      <c r="Y141" s="76"/>
      <c r="Z141" s="76"/>
      <c r="AA141" s="79"/>
      <c r="AB141" s="79"/>
      <c r="AC141" s="79"/>
      <c r="AD141" s="79"/>
      <c r="AE141" s="79"/>
      <c r="AF141" s="79"/>
      <c r="AG141" s="79"/>
      <c r="AH141" s="79"/>
      <c r="AI141" s="79"/>
      <c r="AJ141" s="79"/>
      <c r="AK141" s="79"/>
    </row>
    <row r="142" spans="1:37" s="78" customFormat="1" ht="12" customHeight="1">
      <c r="A142" s="76"/>
      <c r="B142" s="76"/>
      <c r="C142" s="76"/>
      <c r="D142" s="76"/>
      <c r="E142" s="76"/>
      <c r="F142" s="77"/>
      <c r="G142" s="76"/>
      <c r="H142" s="76"/>
      <c r="I142" s="76"/>
      <c r="J142" s="76"/>
      <c r="K142" s="76"/>
      <c r="L142" s="76"/>
      <c r="M142" s="76"/>
      <c r="N142" s="76"/>
      <c r="O142" s="76"/>
      <c r="P142" s="76"/>
      <c r="Q142" s="76"/>
      <c r="R142" s="76"/>
      <c r="S142" s="76"/>
      <c r="T142" s="76"/>
      <c r="U142" s="76"/>
      <c r="V142" s="76"/>
      <c r="W142" s="76"/>
      <c r="X142" s="76"/>
      <c r="Y142" s="76"/>
      <c r="Z142" s="76"/>
      <c r="AA142" s="79"/>
      <c r="AB142" s="79"/>
      <c r="AC142" s="79"/>
      <c r="AD142" s="79"/>
      <c r="AE142" s="79"/>
      <c r="AF142" s="79"/>
      <c r="AG142" s="79"/>
      <c r="AH142" s="79"/>
      <c r="AI142" s="79"/>
      <c r="AJ142" s="79"/>
      <c r="AK142" s="79"/>
    </row>
    <row r="143" spans="1:37" s="78" customFormat="1" ht="12" customHeight="1">
      <c r="A143" s="76"/>
      <c r="B143" s="76"/>
      <c r="C143" s="76"/>
      <c r="D143" s="76"/>
      <c r="E143" s="76"/>
      <c r="F143" s="77"/>
      <c r="G143" s="76"/>
      <c r="H143" s="76"/>
      <c r="I143" s="76"/>
      <c r="J143" s="76"/>
      <c r="K143" s="76"/>
      <c r="L143" s="76"/>
      <c r="M143" s="76"/>
      <c r="N143" s="76"/>
      <c r="O143" s="76"/>
      <c r="P143" s="76"/>
      <c r="Q143" s="76"/>
      <c r="R143" s="76"/>
      <c r="S143" s="76"/>
      <c r="T143" s="76"/>
      <c r="U143" s="76"/>
      <c r="V143" s="76"/>
      <c r="W143" s="76"/>
      <c r="X143" s="76"/>
      <c r="Y143" s="76"/>
      <c r="Z143" s="76"/>
      <c r="AA143" s="79"/>
      <c r="AB143" s="79"/>
      <c r="AC143" s="79"/>
      <c r="AD143" s="79"/>
      <c r="AE143" s="79"/>
      <c r="AF143" s="79"/>
      <c r="AG143" s="79"/>
      <c r="AH143" s="79"/>
      <c r="AI143" s="79"/>
      <c r="AJ143" s="79"/>
      <c r="AK143" s="79"/>
    </row>
    <row r="144" spans="1:37" s="78" customFormat="1" ht="12" customHeight="1">
      <c r="A144" s="76"/>
      <c r="B144" s="76"/>
      <c r="C144" s="76"/>
      <c r="D144" s="76"/>
      <c r="E144" s="76"/>
      <c r="F144" s="77"/>
      <c r="G144" s="76"/>
      <c r="H144" s="76"/>
      <c r="I144" s="76"/>
      <c r="J144" s="76"/>
      <c r="K144" s="76"/>
      <c r="L144" s="76"/>
      <c r="M144" s="76"/>
      <c r="N144" s="76"/>
      <c r="O144" s="76"/>
      <c r="P144" s="76"/>
      <c r="Q144" s="76"/>
      <c r="R144" s="76"/>
      <c r="S144" s="76"/>
      <c r="T144" s="76"/>
      <c r="U144" s="76"/>
      <c r="V144" s="76"/>
      <c r="W144" s="76"/>
      <c r="X144" s="76"/>
      <c r="Y144" s="76"/>
      <c r="Z144" s="76"/>
      <c r="AA144" s="79"/>
      <c r="AB144" s="79"/>
      <c r="AC144" s="79"/>
      <c r="AD144" s="79"/>
      <c r="AE144" s="79"/>
      <c r="AF144" s="79"/>
      <c r="AG144" s="79"/>
      <c r="AH144" s="79"/>
      <c r="AI144" s="79"/>
      <c r="AJ144" s="79"/>
      <c r="AK144" s="79"/>
    </row>
    <row r="145" spans="1:37" s="78" customFormat="1" ht="12" customHeight="1">
      <c r="A145" s="76"/>
      <c r="B145" s="76"/>
      <c r="C145" s="76"/>
      <c r="D145" s="76"/>
      <c r="E145" s="76"/>
      <c r="F145" s="77"/>
      <c r="G145" s="76"/>
      <c r="H145" s="76"/>
      <c r="I145" s="76"/>
      <c r="J145" s="76"/>
      <c r="K145" s="76"/>
      <c r="L145" s="76"/>
      <c r="M145" s="76"/>
      <c r="N145" s="76"/>
      <c r="O145" s="76"/>
      <c r="P145" s="76"/>
      <c r="Q145" s="76"/>
      <c r="R145" s="76"/>
      <c r="S145" s="76"/>
      <c r="T145" s="76"/>
      <c r="U145" s="76"/>
      <c r="V145" s="76"/>
      <c r="W145" s="76"/>
      <c r="X145" s="76"/>
      <c r="Y145" s="76"/>
      <c r="Z145" s="76"/>
      <c r="AA145" s="79"/>
      <c r="AB145" s="79"/>
      <c r="AC145" s="79"/>
      <c r="AD145" s="79"/>
      <c r="AE145" s="79"/>
      <c r="AF145" s="79"/>
      <c r="AG145" s="79"/>
      <c r="AH145" s="79"/>
      <c r="AI145" s="79"/>
      <c r="AJ145" s="79"/>
      <c r="AK145" s="79"/>
    </row>
    <row r="146" spans="1:37" s="78" customFormat="1" ht="12" customHeight="1">
      <c r="A146" s="76"/>
      <c r="B146" s="76"/>
      <c r="C146" s="76"/>
      <c r="D146" s="76"/>
      <c r="E146" s="76"/>
      <c r="F146" s="77"/>
      <c r="G146" s="76"/>
      <c r="H146" s="76"/>
      <c r="I146" s="76"/>
      <c r="J146" s="76"/>
      <c r="K146" s="76"/>
      <c r="L146" s="76"/>
      <c r="M146" s="76"/>
      <c r="N146" s="76"/>
      <c r="O146" s="76"/>
      <c r="P146" s="76"/>
      <c r="Q146" s="76"/>
      <c r="R146" s="76"/>
      <c r="S146" s="76"/>
      <c r="T146" s="76"/>
      <c r="U146" s="76"/>
      <c r="V146" s="76"/>
      <c r="W146" s="76"/>
      <c r="X146" s="76"/>
      <c r="Y146" s="76"/>
      <c r="Z146" s="76"/>
      <c r="AA146" s="79"/>
      <c r="AB146" s="79"/>
      <c r="AC146" s="79"/>
      <c r="AD146" s="79"/>
      <c r="AE146" s="79"/>
      <c r="AF146" s="79"/>
      <c r="AG146" s="79"/>
      <c r="AH146" s="79"/>
      <c r="AI146" s="79"/>
      <c r="AJ146" s="79"/>
      <c r="AK146" s="79"/>
    </row>
    <row r="147" spans="1:37" s="78" customFormat="1" ht="12" customHeight="1">
      <c r="A147" s="76"/>
      <c r="B147" s="76"/>
      <c r="C147" s="76"/>
      <c r="D147" s="76"/>
      <c r="E147" s="76"/>
      <c r="F147" s="77"/>
      <c r="G147" s="76"/>
      <c r="H147" s="76"/>
      <c r="I147" s="76"/>
      <c r="J147" s="76"/>
      <c r="K147" s="76"/>
      <c r="L147" s="76"/>
      <c r="M147" s="76"/>
      <c r="N147" s="76"/>
      <c r="O147" s="76"/>
      <c r="P147" s="76"/>
      <c r="Q147" s="76"/>
      <c r="R147" s="76"/>
      <c r="S147" s="76"/>
      <c r="T147" s="76"/>
      <c r="U147" s="76"/>
      <c r="V147" s="76"/>
      <c r="W147" s="76"/>
      <c r="X147" s="76"/>
      <c r="Y147" s="76"/>
      <c r="Z147" s="76"/>
      <c r="AA147" s="79"/>
      <c r="AB147" s="79"/>
      <c r="AC147" s="79"/>
      <c r="AD147" s="79"/>
      <c r="AE147" s="79"/>
      <c r="AF147" s="79"/>
      <c r="AG147" s="79"/>
      <c r="AH147" s="79"/>
      <c r="AI147" s="79"/>
      <c r="AJ147" s="79"/>
      <c r="AK147" s="79"/>
    </row>
    <row r="148" spans="1:37" s="78" customFormat="1" ht="12" customHeight="1">
      <c r="A148" s="76"/>
      <c r="B148" s="76"/>
      <c r="C148" s="76"/>
      <c r="D148" s="76"/>
      <c r="E148" s="76"/>
      <c r="F148" s="77"/>
      <c r="G148" s="76"/>
      <c r="H148" s="76"/>
      <c r="I148" s="76"/>
      <c r="J148" s="76"/>
      <c r="K148" s="76"/>
      <c r="L148" s="76"/>
      <c r="M148" s="76"/>
      <c r="N148" s="76"/>
      <c r="O148" s="76"/>
      <c r="P148" s="76"/>
      <c r="Q148" s="76"/>
      <c r="R148" s="76"/>
      <c r="S148" s="76"/>
      <c r="T148" s="76"/>
      <c r="U148" s="76"/>
      <c r="V148" s="76"/>
      <c r="W148" s="76"/>
      <c r="X148" s="76"/>
      <c r="Y148" s="76"/>
      <c r="Z148" s="76"/>
      <c r="AA148" s="79"/>
      <c r="AB148" s="79"/>
      <c r="AC148" s="79"/>
      <c r="AD148" s="79"/>
      <c r="AE148" s="79"/>
      <c r="AF148" s="79"/>
      <c r="AG148" s="79"/>
      <c r="AH148" s="79"/>
      <c r="AI148" s="79"/>
      <c r="AJ148" s="79"/>
      <c r="AK148" s="79"/>
    </row>
    <row r="149" spans="1:37" s="78" customFormat="1" ht="12" customHeight="1">
      <c r="A149" s="76"/>
      <c r="B149" s="76"/>
      <c r="C149" s="76"/>
      <c r="D149" s="76"/>
      <c r="E149" s="76"/>
      <c r="F149" s="77"/>
      <c r="G149" s="76"/>
      <c r="H149" s="76"/>
      <c r="I149" s="76"/>
      <c r="J149" s="76"/>
      <c r="K149" s="76"/>
      <c r="L149" s="76"/>
      <c r="M149" s="76"/>
      <c r="N149" s="76"/>
      <c r="O149" s="76"/>
      <c r="P149" s="76"/>
      <c r="Q149" s="76"/>
      <c r="R149" s="76"/>
      <c r="S149" s="76"/>
      <c r="T149" s="76"/>
      <c r="U149" s="76"/>
      <c r="V149" s="76"/>
      <c r="W149" s="76"/>
      <c r="X149" s="76"/>
      <c r="Y149" s="76"/>
      <c r="Z149" s="76"/>
      <c r="AA149" s="79"/>
      <c r="AB149" s="79"/>
      <c r="AC149" s="79"/>
      <c r="AD149" s="79"/>
      <c r="AE149" s="79"/>
      <c r="AF149" s="79"/>
      <c r="AG149" s="79"/>
      <c r="AH149" s="79"/>
      <c r="AI149" s="79"/>
      <c r="AJ149" s="79"/>
      <c r="AK149" s="79"/>
    </row>
    <row r="150" spans="1:37" s="78" customFormat="1" ht="12" customHeight="1">
      <c r="A150" s="76"/>
      <c r="B150" s="76"/>
      <c r="C150" s="76"/>
      <c r="D150" s="76"/>
      <c r="E150" s="76"/>
      <c r="F150" s="77"/>
      <c r="G150" s="76"/>
      <c r="H150" s="76"/>
      <c r="I150" s="76"/>
      <c r="J150" s="76"/>
      <c r="K150" s="76"/>
      <c r="L150" s="76"/>
      <c r="M150" s="76"/>
      <c r="N150" s="76"/>
      <c r="O150" s="76"/>
      <c r="P150" s="76"/>
      <c r="Q150" s="76"/>
      <c r="R150" s="76"/>
      <c r="S150" s="76"/>
      <c r="T150" s="76"/>
      <c r="U150" s="76"/>
      <c r="V150" s="76"/>
      <c r="W150" s="76"/>
      <c r="X150" s="76"/>
      <c r="Y150" s="76"/>
      <c r="Z150" s="76"/>
      <c r="AA150" s="79"/>
      <c r="AB150" s="79"/>
      <c r="AC150" s="79"/>
      <c r="AD150" s="79"/>
      <c r="AE150" s="79"/>
      <c r="AF150" s="79"/>
      <c r="AG150" s="79"/>
      <c r="AH150" s="79"/>
      <c r="AI150" s="79"/>
      <c r="AJ150" s="79"/>
      <c r="AK150" s="79"/>
    </row>
    <row r="151" spans="1:37" s="78" customFormat="1" ht="12" customHeight="1">
      <c r="A151" s="76"/>
      <c r="B151" s="76"/>
      <c r="C151" s="76"/>
      <c r="D151" s="76"/>
      <c r="E151" s="76"/>
      <c r="F151" s="77"/>
      <c r="G151" s="76"/>
      <c r="H151" s="76"/>
      <c r="I151" s="76"/>
      <c r="J151" s="76"/>
      <c r="K151" s="76"/>
      <c r="L151" s="76"/>
      <c r="M151" s="76"/>
      <c r="N151" s="76"/>
      <c r="O151" s="76"/>
      <c r="P151" s="76"/>
      <c r="Q151" s="76"/>
      <c r="R151" s="76"/>
      <c r="S151" s="76"/>
      <c r="T151" s="76"/>
      <c r="U151" s="76"/>
      <c r="V151" s="76"/>
      <c r="W151" s="76"/>
      <c r="X151" s="76"/>
      <c r="Y151" s="76"/>
      <c r="Z151" s="76"/>
      <c r="AA151" s="79"/>
      <c r="AB151" s="79"/>
      <c r="AC151" s="79"/>
      <c r="AD151" s="79"/>
      <c r="AE151" s="79"/>
      <c r="AF151" s="79"/>
      <c r="AG151" s="79"/>
      <c r="AH151" s="79"/>
      <c r="AI151" s="79"/>
      <c r="AJ151" s="79"/>
      <c r="AK151" s="79"/>
    </row>
    <row r="152" spans="1:37" s="78" customFormat="1" ht="12" customHeight="1">
      <c r="A152" s="76"/>
      <c r="B152" s="76"/>
      <c r="C152" s="76"/>
      <c r="D152" s="76"/>
      <c r="E152" s="76"/>
      <c r="F152" s="77"/>
      <c r="G152" s="76"/>
      <c r="H152" s="76"/>
      <c r="I152" s="76"/>
      <c r="J152" s="76"/>
      <c r="K152" s="76"/>
      <c r="L152" s="76"/>
      <c r="M152" s="76"/>
      <c r="N152" s="76"/>
      <c r="O152" s="76"/>
      <c r="P152" s="76"/>
      <c r="Q152" s="76"/>
      <c r="R152" s="76"/>
      <c r="S152" s="76"/>
      <c r="T152" s="76"/>
      <c r="U152" s="76"/>
      <c r="V152" s="76"/>
      <c r="W152" s="76"/>
      <c r="X152" s="76"/>
      <c r="Y152" s="76"/>
      <c r="Z152" s="76"/>
      <c r="AA152" s="79"/>
      <c r="AB152" s="79"/>
      <c r="AC152" s="79"/>
      <c r="AD152" s="79"/>
      <c r="AE152" s="79"/>
      <c r="AF152" s="79"/>
      <c r="AG152" s="79"/>
      <c r="AH152" s="79"/>
      <c r="AI152" s="79"/>
      <c r="AJ152" s="79"/>
      <c r="AK152" s="79"/>
    </row>
    <row r="153" spans="1:37" s="78" customFormat="1" ht="12" customHeight="1">
      <c r="A153" s="76"/>
      <c r="B153" s="76"/>
      <c r="C153" s="76"/>
      <c r="D153" s="76"/>
      <c r="E153" s="76"/>
      <c r="F153" s="77"/>
      <c r="G153" s="76"/>
      <c r="H153" s="76"/>
      <c r="I153" s="76"/>
      <c r="J153" s="76"/>
      <c r="K153" s="76"/>
      <c r="L153" s="76"/>
      <c r="M153" s="76"/>
      <c r="N153" s="76"/>
      <c r="O153" s="76"/>
      <c r="P153" s="76"/>
      <c r="Q153" s="76"/>
      <c r="R153" s="76"/>
      <c r="S153" s="76"/>
      <c r="T153" s="76"/>
      <c r="U153" s="76"/>
      <c r="V153" s="76"/>
      <c r="W153" s="76"/>
      <c r="X153" s="76"/>
      <c r="Y153" s="76"/>
      <c r="Z153" s="76"/>
      <c r="AA153" s="79"/>
      <c r="AB153" s="79"/>
      <c r="AC153" s="79"/>
      <c r="AD153" s="79"/>
      <c r="AE153" s="79"/>
      <c r="AF153" s="79"/>
      <c r="AG153" s="79"/>
      <c r="AH153" s="79"/>
      <c r="AI153" s="79"/>
      <c r="AJ153" s="79"/>
      <c r="AK153" s="79"/>
    </row>
    <row r="154" spans="1:37" s="78" customFormat="1" ht="12" customHeight="1">
      <c r="A154" s="76"/>
      <c r="B154" s="76"/>
      <c r="C154" s="76"/>
      <c r="D154" s="76"/>
      <c r="E154" s="76"/>
      <c r="F154" s="77"/>
      <c r="G154" s="76"/>
      <c r="H154" s="76"/>
      <c r="I154" s="76"/>
      <c r="J154" s="76"/>
      <c r="K154" s="76"/>
      <c r="L154" s="76"/>
      <c r="M154" s="76"/>
      <c r="N154" s="76"/>
      <c r="O154" s="76"/>
      <c r="P154" s="76"/>
      <c r="Q154" s="76"/>
      <c r="R154" s="76"/>
      <c r="S154" s="76"/>
      <c r="T154" s="76"/>
      <c r="U154" s="76"/>
      <c r="V154" s="76"/>
      <c r="W154" s="76"/>
      <c r="X154" s="76"/>
      <c r="Y154" s="76"/>
      <c r="Z154" s="76"/>
      <c r="AA154" s="79"/>
      <c r="AB154" s="79"/>
      <c r="AC154" s="79"/>
      <c r="AD154" s="79"/>
      <c r="AE154" s="79"/>
      <c r="AF154" s="79"/>
      <c r="AG154" s="79"/>
      <c r="AH154" s="79"/>
      <c r="AI154" s="79"/>
      <c r="AJ154" s="79"/>
      <c r="AK154" s="79"/>
    </row>
    <row r="155" spans="1:37" s="78" customFormat="1" ht="12" customHeight="1">
      <c r="A155" s="76"/>
      <c r="B155" s="76"/>
      <c r="C155" s="76"/>
      <c r="D155" s="76"/>
      <c r="E155" s="76"/>
      <c r="F155" s="77"/>
      <c r="G155" s="76"/>
      <c r="H155" s="76"/>
      <c r="I155" s="76"/>
      <c r="J155" s="76"/>
      <c r="K155" s="76"/>
      <c r="L155" s="76"/>
      <c r="M155" s="76"/>
      <c r="N155" s="76"/>
      <c r="O155" s="76"/>
      <c r="P155" s="76"/>
      <c r="Q155" s="76"/>
      <c r="R155" s="76"/>
      <c r="S155" s="76"/>
      <c r="T155" s="76"/>
      <c r="U155" s="76"/>
      <c r="V155" s="76"/>
      <c r="W155" s="76"/>
      <c r="X155" s="76"/>
      <c r="Y155" s="76"/>
      <c r="Z155" s="76"/>
      <c r="AA155" s="79"/>
      <c r="AB155" s="79"/>
      <c r="AC155" s="79"/>
      <c r="AD155" s="79"/>
      <c r="AE155" s="79"/>
      <c r="AF155" s="79"/>
      <c r="AG155" s="79"/>
      <c r="AH155" s="79"/>
      <c r="AI155" s="79"/>
      <c r="AJ155" s="79"/>
      <c r="AK155" s="79"/>
    </row>
    <row r="156" spans="1:37" s="78" customFormat="1" ht="12" customHeight="1">
      <c r="A156" s="76"/>
      <c r="B156" s="76"/>
      <c r="C156" s="76"/>
      <c r="D156" s="76"/>
      <c r="E156" s="76"/>
      <c r="F156" s="77"/>
      <c r="G156" s="76"/>
      <c r="H156" s="76"/>
      <c r="I156" s="76"/>
      <c r="J156" s="76"/>
      <c r="K156" s="76"/>
      <c r="L156" s="76"/>
      <c r="M156" s="76"/>
      <c r="N156" s="76"/>
      <c r="O156" s="76"/>
      <c r="P156" s="76"/>
      <c r="Q156" s="76"/>
      <c r="R156" s="76"/>
      <c r="S156" s="76"/>
      <c r="T156" s="76"/>
      <c r="U156" s="76"/>
      <c r="V156" s="76"/>
      <c r="W156" s="76"/>
      <c r="X156" s="76"/>
      <c r="Y156" s="76"/>
      <c r="Z156" s="76"/>
      <c r="AA156" s="79"/>
      <c r="AB156" s="79"/>
      <c r="AC156" s="79"/>
      <c r="AD156" s="79"/>
      <c r="AE156" s="79"/>
      <c r="AF156" s="79"/>
      <c r="AG156" s="79"/>
      <c r="AH156" s="79"/>
      <c r="AI156" s="79"/>
      <c r="AJ156" s="79"/>
      <c r="AK156" s="79"/>
    </row>
    <row r="157" spans="1:37" s="78" customFormat="1" ht="12" customHeight="1">
      <c r="A157" s="76"/>
      <c r="B157" s="76"/>
      <c r="C157" s="76"/>
      <c r="D157" s="76"/>
      <c r="E157" s="76"/>
      <c r="F157" s="77"/>
      <c r="G157" s="76"/>
      <c r="H157" s="76"/>
      <c r="I157" s="76"/>
      <c r="J157" s="76"/>
      <c r="K157" s="76"/>
      <c r="L157" s="76"/>
      <c r="M157" s="76"/>
      <c r="N157" s="76"/>
      <c r="O157" s="76"/>
      <c r="P157" s="76"/>
      <c r="Q157" s="76"/>
      <c r="R157" s="76"/>
      <c r="S157" s="76"/>
      <c r="T157" s="76"/>
      <c r="U157" s="76"/>
      <c r="V157" s="76"/>
      <c r="W157" s="76"/>
      <c r="X157" s="76"/>
      <c r="Y157" s="76"/>
      <c r="Z157" s="76"/>
      <c r="AA157" s="79"/>
      <c r="AB157" s="79"/>
      <c r="AC157" s="79"/>
      <c r="AD157" s="79"/>
      <c r="AE157" s="79"/>
      <c r="AF157" s="79"/>
      <c r="AG157" s="79"/>
      <c r="AH157" s="79"/>
      <c r="AI157" s="79"/>
      <c r="AJ157" s="79"/>
      <c r="AK157" s="79"/>
    </row>
    <row r="158" spans="1:37" s="78" customFormat="1" ht="12" customHeight="1">
      <c r="A158" s="76"/>
      <c r="B158" s="76"/>
      <c r="C158" s="76"/>
      <c r="D158" s="76"/>
      <c r="E158" s="76"/>
      <c r="F158" s="77"/>
      <c r="G158" s="76"/>
      <c r="H158" s="76"/>
      <c r="I158" s="76"/>
      <c r="J158" s="76"/>
      <c r="K158" s="76"/>
      <c r="L158" s="76"/>
      <c r="M158" s="76"/>
      <c r="N158" s="76"/>
      <c r="O158" s="76"/>
      <c r="P158" s="76"/>
      <c r="Q158" s="76"/>
      <c r="R158" s="76"/>
      <c r="S158" s="76"/>
      <c r="T158" s="76"/>
      <c r="U158" s="76"/>
      <c r="V158" s="76"/>
      <c r="W158" s="76"/>
      <c r="X158" s="76"/>
      <c r="Y158" s="76"/>
      <c r="Z158" s="76"/>
      <c r="AA158" s="79"/>
      <c r="AB158" s="79"/>
      <c r="AC158" s="79"/>
      <c r="AD158" s="79"/>
      <c r="AE158" s="79"/>
      <c r="AF158" s="79"/>
      <c r="AG158" s="79"/>
      <c r="AH158" s="79"/>
      <c r="AI158" s="79"/>
      <c r="AJ158" s="79"/>
      <c r="AK158" s="79"/>
    </row>
    <row r="159" spans="1:37" s="78" customFormat="1" ht="12" customHeight="1">
      <c r="A159" s="76"/>
      <c r="B159" s="76"/>
      <c r="C159" s="76"/>
      <c r="D159" s="76"/>
      <c r="E159" s="76"/>
      <c r="F159" s="77"/>
      <c r="G159" s="76"/>
      <c r="H159" s="76"/>
      <c r="I159" s="76"/>
      <c r="J159" s="76"/>
      <c r="K159" s="76"/>
      <c r="L159" s="76"/>
      <c r="M159" s="76"/>
      <c r="N159" s="76"/>
      <c r="O159" s="76"/>
      <c r="P159" s="76"/>
      <c r="Q159" s="76"/>
      <c r="R159" s="76"/>
      <c r="S159" s="76"/>
      <c r="T159" s="76"/>
      <c r="U159" s="76"/>
      <c r="V159" s="76"/>
      <c r="W159" s="76"/>
      <c r="X159" s="76"/>
      <c r="Y159" s="76"/>
      <c r="Z159" s="76"/>
      <c r="AA159" s="79"/>
      <c r="AB159" s="79"/>
      <c r="AC159" s="79"/>
      <c r="AD159" s="79"/>
      <c r="AE159" s="79"/>
      <c r="AF159" s="79"/>
      <c r="AG159" s="79"/>
      <c r="AH159" s="79"/>
      <c r="AI159" s="79"/>
      <c r="AJ159" s="79"/>
      <c r="AK159" s="79"/>
    </row>
    <row r="160" spans="1:37" s="78" customFormat="1" ht="12" customHeight="1">
      <c r="A160" s="76"/>
      <c r="B160" s="76"/>
      <c r="C160" s="76"/>
      <c r="D160" s="76"/>
      <c r="E160" s="76"/>
      <c r="F160" s="77"/>
      <c r="G160" s="76"/>
      <c r="H160" s="76"/>
      <c r="I160" s="76"/>
      <c r="J160" s="76"/>
      <c r="K160" s="76"/>
      <c r="L160" s="76"/>
      <c r="M160" s="76"/>
      <c r="N160" s="76"/>
      <c r="O160" s="76"/>
      <c r="P160" s="76"/>
      <c r="Q160" s="76"/>
      <c r="R160" s="76"/>
      <c r="S160" s="76"/>
      <c r="T160" s="76"/>
      <c r="U160" s="76"/>
      <c r="V160" s="76"/>
      <c r="W160" s="76"/>
      <c r="X160" s="76"/>
      <c r="Y160" s="76"/>
      <c r="Z160" s="76"/>
      <c r="AA160" s="79"/>
      <c r="AB160" s="79"/>
      <c r="AC160" s="79"/>
      <c r="AD160" s="79"/>
      <c r="AE160" s="79"/>
      <c r="AF160" s="79"/>
      <c r="AG160" s="79"/>
      <c r="AH160" s="79"/>
      <c r="AI160" s="79"/>
      <c r="AJ160" s="79"/>
      <c r="AK160" s="79"/>
    </row>
    <row r="161" spans="1:37" s="78" customFormat="1" ht="12" customHeight="1">
      <c r="A161" s="76"/>
      <c r="B161" s="76"/>
      <c r="C161" s="76"/>
      <c r="D161" s="76"/>
      <c r="E161" s="76"/>
      <c r="F161" s="77"/>
      <c r="G161" s="76"/>
      <c r="H161" s="76"/>
      <c r="I161" s="76"/>
      <c r="J161" s="76"/>
      <c r="K161" s="76"/>
      <c r="L161" s="76"/>
      <c r="M161" s="76"/>
      <c r="N161" s="76"/>
      <c r="O161" s="76"/>
      <c r="P161" s="76"/>
      <c r="Q161" s="76"/>
      <c r="R161" s="76"/>
      <c r="S161" s="76"/>
      <c r="T161" s="76"/>
      <c r="U161" s="76"/>
      <c r="V161" s="76"/>
      <c r="W161" s="76"/>
      <c r="X161" s="76"/>
      <c r="Y161" s="76"/>
      <c r="Z161" s="76"/>
      <c r="AA161" s="79"/>
      <c r="AB161" s="79"/>
      <c r="AC161" s="79"/>
      <c r="AD161" s="79"/>
      <c r="AE161" s="79"/>
      <c r="AF161" s="79"/>
      <c r="AG161" s="79"/>
      <c r="AH161" s="79"/>
      <c r="AI161" s="79"/>
      <c r="AJ161" s="79"/>
      <c r="AK161" s="79"/>
    </row>
    <row r="162" spans="1:37" s="78" customFormat="1" ht="12" customHeight="1">
      <c r="A162" s="76"/>
      <c r="B162" s="76"/>
      <c r="C162" s="76"/>
      <c r="D162" s="76"/>
      <c r="E162" s="76"/>
      <c r="F162" s="77"/>
      <c r="G162" s="76"/>
      <c r="H162" s="76"/>
      <c r="I162" s="76"/>
      <c r="J162" s="76"/>
      <c r="K162" s="76"/>
      <c r="L162" s="76"/>
      <c r="M162" s="76"/>
      <c r="N162" s="76"/>
      <c r="O162" s="76"/>
      <c r="P162" s="76"/>
      <c r="Q162" s="76"/>
      <c r="R162" s="76"/>
      <c r="S162" s="76"/>
      <c r="T162" s="76"/>
      <c r="U162" s="76"/>
      <c r="V162" s="76"/>
      <c r="W162" s="76"/>
      <c r="X162" s="76"/>
      <c r="Y162" s="76"/>
      <c r="Z162" s="76"/>
      <c r="AA162" s="79"/>
      <c r="AB162" s="79"/>
      <c r="AC162" s="79"/>
      <c r="AD162" s="79"/>
      <c r="AE162" s="79"/>
      <c r="AF162" s="79"/>
      <c r="AG162" s="79"/>
      <c r="AH162" s="79"/>
      <c r="AI162" s="79"/>
      <c r="AJ162" s="79"/>
      <c r="AK162" s="79"/>
    </row>
    <row r="163" spans="1:37" s="78" customFormat="1" ht="12" customHeight="1">
      <c r="A163" s="76"/>
      <c r="B163" s="76"/>
      <c r="C163" s="76"/>
      <c r="D163" s="76"/>
      <c r="E163" s="76"/>
      <c r="F163" s="77"/>
      <c r="G163" s="76"/>
      <c r="H163" s="76"/>
      <c r="I163" s="76"/>
      <c r="J163" s="76"/>
      <c r="K163" s="76"/>
      <c r="L163" s="76"/>
      <c r="M163" s="76"/>
      <c r="N163" s="76"/>
      <c r="O163" s="76"/>
      <c r="P163" s="76"/>
      <c r="Q163" s="76"/>
      <c r="R163" s="76"/>
      <c r="S163" s="76"/>
      <c r="T163" s="76"/>
      <c r="U163" s="76"/>
      <c r="V163" s="76"/>
      <c r="W163" s="76"/>
      <c r="X163" s="76"/>
      <c r="Y163" s="76"/>
      <c r="Z163" s="76"/>
      <c r="AA163" s="79"/>
      <c r="AB163" s="79"/>
      <c r="AC163" s="79"/>
      <c r="AD163" s="79"/>
      <c r="AE163" s="79"/>
      <c r="AF163" s="79"/>
      <c r="AG163" s="79"/>
      <c r="AH163" s="79"/>
      <c r="AI163" s="79"/>
      <c r="AJ163" s="79"/>
      <c r="AK163" s="79"/>
    </row>
    <row r="164" spans="1:37" s="78" customFormat="1" ht="12" customHeight="1">
      <c r="A164" s="76"/>
      <c r="B164" s="76"/>
      <c r="C164" s="76"/>
      <c r="D164" s="76"/>
      <c r="E164" s="76"/>
      <c r="F164" s="77"/>
      <c r="G164" s="76"/>
      <c r="H164" s="76"/>
      <c r="I164" s="76"/>
      <c r="J164" s="76"/>
      <c r="K164" s="76"/>
      <c r="L164" s="76"/>
      <c r="M164" s="76"/>
      <c r="N164" s="76"/>
      <c r="O164" s="76"/>
      <c r="P164" s="76"/>
      <c r="Q164" s="76"/>
      <c r="R164" s="76"/>
      <c r="S164" s="76"/>
      <c r="T164" s="76"/>
      <c r="U164" s="76"/>
      <c r="V164" s="76"/>
      <c r="W164" s="76"/>
      <c r="X164" s="76"/>
      <c r="Y164" s="76"/>
      <c r="Z164" s="76"/>
      <c r="AA164" s="79"/>
      <c r="AB164" s="79"/>
      <c r="AC164" s="79"/>
      <c r="AD164" s="79"/>
      <c r="AE164" s="79"/>
      <c r="AF164" s="79"/>
      <c r="AG164" s="79"/>
      <c r="AH164" s="79"/>
      <c r="AI164" s="79"/>
      <c r="AJ164" s="79"/>
      <c r="AK164" s="79"/>
    </row>
    <row r="165" spans="1:37" s="78" customFormat="1" ht="12" customHeight="1">
      <c r="A165" s="76"/>
      <c r="B165" s="76"/>
      <c r="C165" s="76"/>
      <c r="D165" s="76"/>
      <c r="E165" s="76"/>
      <c r="F165" s="77"/>
      <c r="G165" s="76"/>
      <c r="H165" s="76"/>
      <c r="I165" s="76"/>
      <c r="J165" s="76"/>
      <c r="K165" s="76"/>
      <c r="L165" s="76"/>
      <c r="M165" s="76"/>
      <c r="N165" s="76"/>
      <c r="O165" s="76"/>
      <c r="P165" s="76"/>
      <c r="Q165" s="76"/>
      <c r="R165" s="76"/>
      <c r="S165" s="76"/>
      <c r="T165" s="76"/>
      <c r="U165" s="76"/>
      <c r="V165" s="76"/>
      <c r="W165" s="76"/>
      <c r="X165" s="76"/>
      <c r="Y165" s="76"/>
      <c r="Z165" s="76"/>
      <c r="AA165" s="79"/>
      <c r="AB165" s="79"/>
      <c r="AC165" s="79"/>
      <c r="AD165" s="79"/>
      <c r="AE165" s="79"/>
      <c r="AF165" s="79"/>
      <c r="AG165" s="79"/>
      <c r="AH165" s="79"/>
      <c r="AI165" s="79"/>
      <c r="AJ165" s="79"/>
      <c r="AK165" s="79"/>
    </row>
    <row r="166" spans="1:37" s="78" customFormat="1" ht="12" customHeight="1">
      <c r="A166" s="76"/>
      <c r="B166" s="76"/>
      <c r="C166" s="76"/>
      <c r="D166" s="76"/>
      <c r="E166" s="76"/>
      <c r="F166" s="77"/>
      <c r="G166" s="76"/>
      <c r="H166" s="76"/>
      <c r="I166" s="76"/>
      <c r="J166" s="76"/>
      <c r="K166" s="76"/>
      <c r="L166" s="76"/>
      <c r="M166" s="76"/>
      <c r="N166" s="76"/>
      <c r="O166" s="76"/>
      <c r="P166" s="76"/>
      <c r="Q166" s="76"/>
      <c r="R166" s="76"/>
      <c r="S166" s="76"/>
      <c r="T166" s="76"/>
      <c r="U166" s="76"/>
      <c r="V166" s="76"/>
      <c r="W166" s="76"/>
      <c r="X166" s="76"/>
      <c r="Y166" s="76"/>
      <c r="Z166" s="76"/>
      <c r="AA166" s="79"/>
      <c r="AB166" s="79"/>
      <c r="AC166" s="79"/>
      <c r="AD166" s="79"/>
      <c r="AE166" s="79"/>
      <c r="AF166" s="79"/>
      <c r="AG166" s="79"/>
      <c r="AH166" s="79"/>
      <c r="AI166" s="79"/>
      <c r="AJ166" s="79"/>
      <c r="AK166" s="79"/>
    </row>
    <row r="167" spans="1:37" s="78" customFormat="1" ht="12" customHeight="1">
      <c r="A167" s="76"/>
      <c r="B167" s="76"/>
      <c r="C167" s="76"/>
      <c r="D167" s="76"/>
      <c r="E167" s="76"/>
      <c r="F167" s="77"/>
      <c r="G167" s="76"/>
      <c r="H167" s="76"/>
      <c r="I167" s="76"/>
      <c r="J167" s="76"/>
      <c r="K167" s="76"/>
      <c r="L167" s="76"/>
      <c r="M167" s="76"/>
      <c r="N167" s="76"/>
      <c r="O167" s="76"/>
      <c r="P167" s="76"/>
      <c r="Q167" s="76"/>
      <c r="R167" s="76"/>
      <c r="S167" s="76"/>
      <c r="T167" s="76"/>
      <c r="U167" s="76"/>
      <c r="V167" s="76"/>
      <c r="W167" s="76"/>
      <c r="X167" s="76"/>
      <c r="Y167" s="76"/>
      <c r="Z167" s="76"/>
      <c r="AA167" s="79"/>
      <c r="AB167" s="79"/>
      <c r="AC167" s="79"/>
      <c r="AD167" s="79"/>
      <c r="AE167" s="79"/>
      <c r="AF167" s="79"/>
      <c r="AG167" s="79"/>
      <c r="AH167" s="79"/>
      <c r="AI167" s="79"/>
      <c r="AJ167" s="79"/>
      <c r="AK167" s="79"/>
    </row>
    <row r="168" spans="1:37" s="78" customFormat="1" ht="12" customHeight="1">
      <c r="A168" s="76"/>
      <c r="B168" s="76"/>
      <c r="C168" s="76"/>
      <c r="D168" s="76"/>
      <c r="E168" s="76"/>
      <c r="F168" s="77"/>
      <c r="G168" s="76"/>
      <c r="H168" s="76"/>
      <c r="I168" s="76"/>
      <c r="J168" s="76"/>
      <c r="K168" s="76"/>
      <c r="L168" s="76"/>
      <c r="M168" s="76"/>
      <c r="N168" s="76"/>
      <c r="O168" s="76"/>
      <c r="P168" s="76"/>
      <c r="Q168" s="76"/>
      <c r="R168" s="76"/>
      <c r="S168" s="76"/>
      <c r="T168" s="76"/>
      <c r="U168" s="76"/>
      <c r="V168" s="76"/>
      <c r="W168" s="76"/>
      <c r="X168" s="76"/>
      <c r="Y168" s="76"/>
      <c r="Z168" s="76"/>
      <c r="AA168" s="79"/>
      <c r="AB168" s="79"/>
      <c r="AC168" s="79"/>
      <c r="AD168" s="79"/>
      <c r="AE168" s="79"/>
      <c r="AF168" s="79"/>
      <c r="AG168" s="79"/>
      <c r="AH168" s="79"/>
      <c r="AI168" s="79"/>
      <c r="AJ168" s="79"/>
      <c r="AK168" s="79"/>
    </row>
    <row r="169" spans="1:37" s="78" customFormat="1" ht="12" customHeight="1">
      <c r="A169" s="76"/>
      <c r="B169" s="76"/>
      <c r="C169" s="76"/>
      <c r="D169" s="76"/>
      <c r="E169" s="76"/>
      <c r="F169" s="77"/>
      <c r="G169" s="76"/>
      <c r="H169" s="76"/>
      <c r="I169" s="76"/>
      <c r="J169" s="76"/>
      <c r="K169" s="76"/>
      <c r="L169" s="76"/>
      <c r="M169" s="76"/>
      <c r="N169" s="76"/>
      <c r="O169" s="76"/>
      <c r="P169" s="76"/>
      <c r="Q169" s="76"/>
      <c r="R169" s="76"/>
      <c r="S169" s="76"/>
      <c r="T169" s="76"/>
      <c r="U169" s="76"/>
      <c r="V169" s="76"/>
      <c r="W169" s="76"/>
      <c r="X169" s="76"/>
      <c r="Y169" s="76"/>
      <c r="Z169" s="76"/>
      <c r="AA169" s="79"/>
      <c r="AB169" s="79"/>
      <c r="AC169" s="79"/>
      <c r="AD169" s="79"/>
      <c r="AE169" s="79"/>
      <c r="AF169" s="79"/>
      <c r="AG169" s="79"/>
      <c r="AH169" s="79"/>
      <c r="AI169" s="79"/>
      <c r="AJ169" s="79"/>
      <c r="AK169" s="79"/>
    </row>
    <row r="170" spans="1:37" s="78" customFormat="1" ht="12" customHeight="1">
      <c r="A170" s="76"/>
      <c r="B170" s="76"/>
      <c r="C170" s="76"/>
      <c r="D170" s="76"/>
      <c r="E170" s="76"/>
      <c r="F170" s="77"/>
      <c r="G170" s="76"/>
      <c r="H170" s="76"/>
      <c r="I170" s="76"/>
      <c r="J170" s="76"/>
      <c r="K170" s="76"/>
      <c r="L170" s="76"/>
      <c r="M170" s="76"/>
      <c r="N170" s="76"/>
      <c r="O170" s="76"/>
      <c r="P170" s="76"/>
      <c r="Q170" s="76"/>
      <c r="R170" s="76"/>
      <c r="S170" s="76"/>
      <c r="T170" s="76"/>
      <c r="U170" s="76"/>
      <c r="V170" s="76"/>
      <c r="W170" s="76"/>
      <c r="X170" s="76"/>
      <c r="Y170" s="76"/>
      <c r="Z170" s="76"/>
      <c r="AA170" s="79"/>
      <c r="AB170" s="79"/>
      <c r="AC170" s="79"/>
      <c r="AD170" s="79"/>
      <c r="AE170" s="79"/>
      <c r="AF170" s="79"/>
      <c r="AG170" s="79"/>
      <c r="AH170" s="79"/>
      <c r="AI170" s="79"/>
      <c r="AJ170" s="79"/>
      <c r="AK170" s="79"/>
    </row>
    <row r="171" spans="1:37" s="78" customFormat="1" ht="12" customHeight="1">
      <c r="A171" s="76"/>
      <c r="B171" s="76"/>
      <c r="C171" s="76"/>
      <c r="D171" s="76"/>
      <c r="E171" s="76"/>
      <c r="F171" s="77"/>
      <c r="G171" s="76"/>
      <c r="H171" s="76"/>
      <c r="I171" s="76"/>
      <c r="J171" s="76"/>
      <c r="K171" s="76"/>
      <c r="L171" s="76"/>
      <c r="M171" s="76"/>
      <c r="N171" s="76"/>
      <c r="O171" s="76"/>
      <c r="P171" s="76"/>
      <c r="Q171" s="76"/>
      <c r="R171" s="76"/>
      <c r="S171" s="76"/>
      <c r="T171" s="76"/>
      <c r="U171" s="76"/>
      <c r="V171" s="76"/>
      <c r="W171" s="76"/>
      <c r="X171" s="76"/>
      <c r="Y171" s="76"/>
      <c r="Z171" s="76"/>
      <c r="AA171" s="79"/>
      <c r="AB171" s="79"/>
      <c r="AC171" s="79"/>
      <c r="AD171" s="79"/>
      <c r="AE171" s="79"/>
      <c r="AF171" s="79"/>
      <c r="AG171" s="79"/>
      <c r="AH171" s="79"/>
      <c r="AI171" s="79"/>
      <c r="AJ171" s="79"/>
      <c r="AK171" s="79"/>
    </row>
    <row r="172" spans="1:37" s="78" customFormat="1" ht="12" customHeight="1">
      <c r="A172" s="76"/>
      <c r="B172" s="76"/>
      <c r="C172" s="76"/>
      <c r="D172" s="76"/>
      <c r="E172" s="76"/>
      <c r="F172" s="77"/>
      <c r="G172" s="76"/>
      <c r="H172" s="76"/>
      <c r="I172" s="76"/>
      <c r="J172" s="76"/>
      <c r="K172" s="76"/>
      <c r="L172" s="76"/>
      <c r="M172" s="76"/>
      <c r="N172" s="76"/>
      <c r="O172" s="76"/>
      <c r="P172" s="76"/>
      <c r="Q172" s="76"/>
      <c r="R172" s="76"/>
      <c r="S172" s="76"/>
      <c r="T172" s="76"/>
      <c r="U172" s="76"/>
      <c r="V172" s="76"/>
      <c r="W172" s="76"/>
      <c r="X172" s="76"/>
      <c r="Y172" s="76"/>
      <c r="Z172" s="76"/>
      <c r="AA172" s="79"/>
      <c r="AB172" s="79"/>
      <c r="AC172" s="79"/>
      <c r="AD172" s="79"/>
      <c r="AE172" s="79"/>
      <c r="AF172" s="79"/>
      <c r="AG172" s="79"/>
      <c r="AH172" s="79"/>
      <c r="AI172" s="79"/>
      <c r="AJ172" s="79"/>
      <c r="AK172" s="79"/>
    </row>
    <row r="173" spans="1:37" s="78" customFormat="1" ht="12" customHeight="1">
      <c r="A173" s="76"/>
      <c r="B173" s="76"/>
      <c r="C173" s="76"/>
      <c r="D173" s="76"/>
      <c r="E173" s="76"/>
      <c r="F173" s="77"/>
      <c r="G173" s="76"/>
      <c r="H173" s="76"/>
      <c r="I173" s="76"/>
      <c r="J173" s="76"/>
      <c r="K173" s="76"/>
      <c r="L173" s="76"/>
      <c r="M173" s="76"/>
      <c r="N173" s="76"/>
      <c r="O173" s="76"/>
      <c r="P173" s="76"/>
      <c r="Q173" s="76"/>
      <c r="R173" s="76"/>
      <c r="S173" s="76"/>
      <c r="T173" s="76"/>
      <c r="U173" s="76"/>
      <c r="V173" s="76"/>
      <c r="W173" s="76"/>
      <c r="X173" s="76"/>
      <c r="Y173" s="76"/>
      <c r="Z173" s="76"/>
      <c r="AA173" s="79"/>
      <c r="AB173" s="79"/>
      <c r="AC173" s="79"/>
      <c r="AD173" s="79"/>
      <c r="AE173" s="79"/>
      <c r="AF173" s="79"/>
      <c r="AG173" s="79"/>
      <c r="AH173" s="79"/>
      <c r="AI173" s="79"/>
      <c r="AJ173" s="79"/>
      <c r="AK173" s="79"/>
    </row>
    <row r="174" spans="1:37" s="78" customFormat="1" ht="12" customHeight="1">
      <c r="A174" s="76"/>
      <c r="B174" s="76"/>
      <c r="C174" s="76"/>
      <c r="D174" s="76"/>
      <c r="E174" s="76"/>
      <c r="F174" s="77"/>
      <c r="G174" s="76"/>
      <c r="H174" s="76"/>
      <c r="I174" s="76"/>
      <c r="J174" s="76"/>
      <c r="K174" s="76"/>
      <c r="L174" s="76"/>
      <c r="M174" s="76"/>
      <c r="N174" s="76"/>
      <c r="O174" s="76"/>
      <c r="P174" s="76"/>
      <c r="Q174" s="76"/>
      <c r="R174" s="76"/>
      <c r="S174" s="76"/>
      <c r="T174" s="76"/>
      <c r="U174" s="76"/>
      <c r="V174" s="76"/>
      <c r="W174" s="76"/>
      <c r="X174" s="76"/>
      <c r="Y174" s="76"/>
      <c r="Z174" s="76"/>
      <c r="AA174" s="79"/>
      <c r="AB174" s="79"/>
      <c r="AC174" s="79"/>
      <c r="AD174" s="79"/>
      <c r="AE174" s="79"/>
      <c r="AF174" s="79"/>
      <c r="AG174" s="79"/>
      <c r="AH174" s="79"/>
      <c r="AI174" s="79"/>
      <c r="AJ174" s="79"/>
      <c r="AK174" s="79"/>
    </row>
    <row r="175" spans="1:37" s="78" customFormat="1" ht="12" customHeight="1">
      <c r="A175" s="76"/>
      <c r="B175" s="76"/>
      <c r="C175" s="76"/>
      <c r="D175" s="76"/>
      <c r="E175" s="76"/>
      <c r="F175" s="77"/>
      <c r="G175" s="76"/>
      <c r="H175" s="76"/>
      <c r="I175" s="76"/>
      <c r="J175" s="76"/>
      <c r="K175" s="76"/>
      <c r="L175" s="76"/>
      <c r="M175" s="76"/>
      <c r="N175" s="76"/>
      <c r="O175" s="76"/>
      <c r="P175" s="76"/>
      <c r="Q175" s="76"/>
      <c r="R175" s="76"/>
      <c r="S175" s="76"/>
      <c r="T175" s="76"/>
      <c r="U175" s="76"/>
      <c r="V175" s="76"/>
      <c r="W175" s="76"/>
      <c r="X175" s="76"/>
      <c r="Y175" s="76"/>
      <c r="Z175" s="76"/>
      <c r="AA175" s="79"/>
      <c r="AB175" s="79"/>
      <c r="AC175" s="79"/>
      <c r="AD175" s="79"/>
      <c r="AE175" s="79"/>
      <c r="AF175" s="79"/>
      <c r="AG175" s="79"/>
      <c r="AH175" s="79"/>
      <c r="AI175" s="79"/>
      <c r="AJ175" s="79"/>
      <c r="AK175" s="79"/>
    </row>
    <row r="176" spans="1:37" s="78" customFormat="1" ht="12" customHeight="1">
      <c r="A176" s="76"/>
      <c r="B176" s="76"/>
      <c r="C176" s="76"/>
      <c r="D176" s="76"/>
      <c r="E176" s="76"/>
      <c r="F176" s="77"/>
      <c r="G176" s="76"/>
      <c r="H176" s="76"/>
      <c r="I176" s="76"/>
      <c r="J176" s="76"/>
      <c r="K176" s="76"/>
      <c r="L176" s="76"/>
      <c r="M176" s="76"/>
      <c r="N176" s="76"/>
      <c r="O176" s="76"/>
      <c r="P176" s="76"/>
      <c r="Q176" s="76"/>
      <c r="R176" s="76"/>
      <c r="S176" s="76"/>
      <c r="T176" s="76"/>
      <c r="U176" s="76"/>
      <c r="V176" s="76"/>
      <c r="W176" s="76"/>
      <c r="X176" s="76"/>
      <c r="Y176" s="76"/>
      <c r="Z176" s="76"/>
      <c r="AA176" s="79"/>
      <c r="AB176" s="79"/>
      <c r="AC176" s="79"/>
      <c r="AD176" s="79"/>
      <c r="AE176" s="79"/>
      <c r="AF176" s="79"/>
      <c r="AG176" s="79"/>
      <c r="AH176" s="79"/>
      <c r="AI176" s="79"/>
      <c r="AJ176" s="79"/>
      <c r="AK176" s="79"/>
    </row>
    <row r="177" spans="1:37" s="78" customFormat="1" ht="12" customHeight="1">
      <c r="A177" s="76"/>
      <c r="B177" s="76"/>
      <c r="C177" s="76"/>
      <c r="D177" s="76"/>
      <c r="E177" s="76"/>
      <c r="F177" s="77"/>
      <c r="G177" s="76"/>
      <c r="H177" s="76"/>
      <c r="I177" s="76"/>
      <c r="J177" s="76"/>
      <c r="K177" s="76"/>
      <c r="L177" s="76"/>
      <c r="M177" s="76"/>
      <c r="N177" s="76"/>
      <c r="O177" s="76"/>
      <c r="P177" s="76"/>
      <c r="Q177" s="76"/>
      <c r="R177" s="76"/>
      <c r="S177" s="76"/>
      <c r="T177" s="76"/>
      <c r="U177" s="76"/>
      <c r="V177" s="76"/>
      <c r="W177" s="76"/>
      <c r="X177" s="76"/>
      <c r="Y177" s="76"/>
      <c r="Z177" s="76"/>
      <c r="AA177" s="79"/>
      <c r="AB177" s="79"/>
      <c r="AC177" s="79"/>
      <c r="AD177" s="79"/>
      <c r="AE177" s="79"/>
      <c r="AF177" s="79"/>
      <c r="AG177" s="79"/>
      <c r="AH177" s="79"/>
      <c r="AI177" s="79"/>
      <c r="AJ177" s="79"/>
      <c r="AK177" s="79"/>
    </row>
    <row r="178" spans="1:37" s="78" customFormat="1" ht="12" customHeight="1">
      <c r="A178" s="76"/>
      <c r="B178" s="76"/>
      <c r="C178" s="76"/>
      <c r="D178" s="76"/>
      <c r="E178" s="76"/>
      <c r="F178" s="77"/>
      <c r="G178" s="76"/>
      <c r="H178" s="76"/>
      <c r="I178" s="76"/>
      <c r="J178" s="76"/>
      <c r="K178" s="76"/>
      <c r="L178" s="76"/>
      <c r="M178" s="76"/>
      <c r="N178" s="76"/>
      <c r="O178" s="76"/>
      <c r="P178" s="76"/>
      <c r="Q178" s="76"/>
      <c r="R178" s="76"/>
      <c r="S178" s="76"/>
      <c r="T178" s="76"/>
      <c r="U178" s="76"/>
      <c r="V178" s="76"/>
      <c r="W178" s="76"/>
      <c r="X178" s="76"/>
      <c r="Y178" s="76"/>
      <c r="Z178" s="76"/>
      <c r="AA178" s="79"/>
      <c r="AB178" s="79"/>
      <c r="AC178" s="79"/>
      <c r="AD178" s="79"/>
      <c r="AE178" s="79"/>
      <c r="AF178" s="79"/>
      <c r="AG178" s="79"/>
      <c r="AH178" s="79"/>
      <c r="AI178" s="79"/>
      <c r="AJ178" s="79"/>
      <c r="AK178" s="79"/>
    </row>
    <row r="179" spans="1:37" s="78" customFormat="1" ht="12" customHeight="1">
      <c r="A179" s="76"/>
      <c r="B179" s="76"/>
      <c r="C179" s="76"/>
      <c r="D179" s="76"/>
      <c r="E179" s="76"/>
      <c r="F179" s="77"/>
      <c r="G179" s="76"/>
      <c r="H179" s="76"/>
      <c r="I179" s="76"/>
      <c r="J179" s="76"/>
      <c r="K179" s="76"/>
      <c r="L179" s="76"/>
      <c r="M179" s="76"/>
      <c r="N179" s="76"/>
      <c r="O179" s="76"/>
      <c r="P179" s="76"/>
      <c r="Q179" s="76"/>
      <c r="R179" s="76"/>
      <c r="S179" s="76"/>
      <c r="T179" s="76"/>
      <c r="U179" s="76"/>
      <c r="V179" s="76"/>
      <c r="W179" s="76"/>
      <c r="X179" s="76"/>
      <c r="Y179" s="76"/>
      <c r="Z179" s="76"/>
      <c r="AA179" s="79"/>
      <c r="AB179" s="79"/>
      <c r="AC179" s="79"/>
      <c r="AD179" s="79"/>
      <c r="AE179" s="79"/>
      <c r="AF179" s="79"/>
      <c r="AG179" s="79"/>
      <c r="AH179" s="79"/>
      <c r="AI179" s="79"/>
      <c r="AJ179" s="79"/>
      <c r="AK179" s="79"/>
    </row>
    <row r="180" spans="1:37" s="78" customFormat="1" ht="12" customHeight="1">
      <c r="A180" s="76"/>
      <c r="B180" s="76"/>
      <c r="C180" s="76"/>
      <c r="D180" s="76"/>
      <c r="E180" s="76"/>
      <c r="F180" s="77"/>
      <c r="G180" s="76"/>
      <c r="H180" s="76"/>
      <c r="I180" s="76"/>
      <c r="J180" s="76"/>
      <c r="K180" s="76"/>
      <c r="L180" s="76"/>
      <c r="M180" s="76"/>
      <c r="N180" s="76"/>
      <c r="O180" s="76"/>
      <c r="P180" s="76"/>
      <c r="Q180" s="76"/>
      <c r="R180" s="76"/>
      <c r="S180" s="76"/>
      <c r="T180" s="76"/>
      <c r="U180" s="76"/>
      <c r="V180" s="76"/>
      <c r="W180" s="76"/>
      <c r="X180" s="76"/>
      <c r="Y180" s="76"/>
      <c r="Z180" s="76"/>
      <c r="AA180" s="79"/>
      <c r="AB180" s="79"/>
      <c r="AC180" s="79"/>
      <c r="AD180" s="79"/>
      <c r="AE180" s="79"/>
      <c r="AF180" s="79"/>
      <c r="AG180" s="79"/>
      <c r="AH180" s="79"/>
      <c r="AI180" s="79"/>
      <c r="AJ180" s="79"/>
      <c r="AK180" s="79"/>
    </row>
    <row r="181" spans="1:37" s="78" customFormat="1" ht="12" customHeight="1">
      <c r="A181" s="76"/>
      <c r="B181" s="76"/>
      <c r="C181" s="76"/>
      <c r="D181" s="76"/>
      <c r="E181" s="76"/>
      <c r="F181" s="77"/>
      <c r="G181" s="76"/>
      <c r="H181" s="76"/>
      <c r="I181" s="76"/>
      <c r="J181" s="76"/>
      <c r="K181" s="76"/>
      <c r="L181" s="76"/>
      <c r="M181" s="76"/>
      <c r="N181" s="76"/>
      <c r="O181" s="76"/>
      <c r="P181" s="76"/>
      <c r="Q181" s="76"/>
      <c r="R181" s="76"/>
      <c r="S181" s="76"/>
      <c r="T181" s="76"/>
      <c r="U181" s="76"/>
      <c r="V181" s="76"/>
      <c r="W181" s="76"/>
      <c r="X181" s="76"/>
      <c r="Y181" s="76"/>
      <c r="Z181" s="76"/>
      <c r="AA181" s="79"/>
      <c r="AB181" s="79"/>
      <c r="AC181" s="79"/>
      <c r="AD181" s="79"/>
      <c r="AE181" s="79"/>
      <c r="AF181" s="79"/>
      <c r="AG181" s="79"/>
      <c r="AH181" s="79"/>
      <c r="AI181" s="79"/>
      <c r="AJ181" s="79"/>
      <c r="AK181" s="79"/>
    </row>
    <row r="182" spans="1:37" s="78" customFormat="1" ht="12" customHeight="1">
      <c r="A182" s="76"/>
      <c r="B182" s="76"/>
      <c r="C182" s="76"/>
      <c r="D182" s="76"/>
      <c r="E182" s="76"/>
      <c r="F182" s="77"/>
      <c r="G182" s="76"/>
      <c r="H182" s="76"/>
      <c r="I182" s="76"/>
      <c r="J182" s="76"/>
      <c r="K182" s="76"/>
      <c r="L182" s="76"/>
      <c r="M182" s="76"/>
      <c r="N182" s="76"/>
      <c r="O182" s="76"/>
      <c r="P182" s="76"/>
      <c r="Q182" s="76"/>
      <c r="R182" s="76"/>
      <c r="S182" s="76"/>
      <c r="T182" s="76"/>
      <c r="U182" s="76"/>
      <c r="V182" s="76"/>
      <c r="W182" s="76"/>
      <c r="X182" s="76"/>
      <c r="Y182" s="76"/>
      <c r="Z182" s="76"/>
      <c r="AA182" s="79"/>
      <c r="AB182" s="79"/>
      <c r="AC182" s="79"/>
      <c r="AD182" s="79"/>
      <c r="AE182" s="79"/>
      <c r="AF182" s="79"/>
      <c r="AG182" s="79"/>
      <c r="AH182" s="79"/>
      <c r="AI182" s="79"/>
      <c r="AJ182" s="79"/>
      <c r="AK182" s="79"/>
    </row>
    <row r="183" spans="1:37" s="78" customFormat="1" ht="12" customHeight="1">
      <c r="A183" s="76"/>
      <c r="B183" s="76"/>
      <c r="C183" s="76"/>
      <c r="D183" s="76"/>
      <c r="E183" s="76"/>
      <c r="F183" s="77"/>
      <c r="G183" s="76"/>
      <c r="H183" s="76"/>
      <c r="I183" s="76"/>
      <c r="J183" s="76"/>
      <c r="K183" s="76"/>
      <c r="L183" s="76"/>
      <c r="M183" s="76"/>
      <c r="N183" s="76"/>
      <c r="O183" s="76"/>
      <c r="P183" s="76"/>
      <c r="Q183" s="76"/>
      <c r="R183" s="76"/>
      <c r="S183" s="76"/>
      <c r="T183" s="76"/>
      <c r="U183" s="76"/>
      <c r="V183" s="76"/>
      <c r="W183" s="76"/>
      <c r="X183" s="76"/>
      <c r="Y183" s="76"/>
      <c r="Z183" s="76"/>
      <c r="AA183" s="79"/>
      <c r="AB183" s="79"/>
      <c r="AC183" s="79"/>
      <c r="AD183" s="79"/>
      <c r="AE183" s="79"/>
      <c r="AF183" s="79"/>
      <c r="AG183" s="79"/>
      <c r="AH183" s="79"/>
      <c r="AI183" s="79"/>
      <c r="AJ183" s="79"/>
      <c r="AK183" s="79"/>
    </row>
    <row r="184" spans="1:37" s="78" customFormat="1" ht="12" customHeight="1">
      <c r="A184" s="76"/>
      <c r="B184" s="76"/>
      <c r="C184" s="76"/>
      <c r="D184" s="76"/>
      <c r="E184" s="76"/>
      <c r="F184" s="77"/>
      <c r="G184" s="76"/>
      <c r="H184" s="76"/>
      <c r="I184" s="76"/>
      <c r="J184" s="76"/>
      <c r="K184" s="76"/>
      <c r="L184" s="76"/>
      <c r="M184" s="76"/>
      <c r="N184" s="76"/>
      <c r="O184" s="76"/>
      <c r="P184" s="76"/>
      <c r="Q184" s="76"/>
      <c r="R184" s="76"/>
      <c r="S184" s="76"/>
      <c r="T184" s="76"/>
      <c r="U184" s="76"/>
      <c r="V184" s="76"/>
      <c r="W184" s="76"/>
      <c r="X184" s="76"/>
      <c r="Y184" s="76"/>
      <c r="Z184" s="76"/>
      <c r="AA184" s="79"/>
      <c r="AB184" s="79"/>
      <c r="AC184" s="79"/>
      <c r="AD184" s="79"/>
      <c r="AE184" s="79"/>
      <c r="AF184" s="79"/>
      <c r="AG184" s="79"/>
      <c r="AH184" s="79"/>
      <c r="AI184" s="79"/>
      <c r="AJ184" s="79"/>
      <c r="AK184" s="79"/>
    </row>
    <row r="185" spans="1:37" s="78" customFormat="1" ht="12" customHeight="1">
      <c r="A185" s="76"/>
      <c r="B185" s="76"/>
      <c r="C185" s="76"/>
      <c r="D185" s="76"/>
      <c r="E185" s="76"/>
      <c r="F185" s="77"/>
      <c r="G185" s="76"/>
      <c r="H185" s="76"/>
      <c r="I185" s="76"/>
      <c r="J185" s="76"/>
      <c r="K185" s="76"/>
      <c r="L185" s="76"/>
      <c r="M185" s="76"/>
      <c r="N185" s="76"/>
      <c r="O185" s="76"/>
      <c r="P185" s="76"/>
      <c r="Q185" s="76"/>
      <c r="R185" s="76"/>
      <c r="S185" s="76"/>
      <c r="T185" s="76"/>
      <c r="U185" s="76"/>
      <c r="V185" s="76"/>
      <c r="W185" s="76"/>
      <c r="X185" s="76"/>
      <c r="Y185" s="76"/>
      <c r="Z185" s="76"/>
      <c r="AA185" s="79"/>
      <c r="AB185" s="79"/>
      <c r="AC185" s="79"/>
      <c r="AD185" s="79"/>
      <c r="AE185" s="79"/>
      <c r="AF185" s="79"/>
      <c r="AG185" s="79"/>
      <c r="AH185" s="79"/>
      <c r="AI185" s="79"/>
      <c r="AJ185" s="79"/>
      <c r="AK185" s="79"/>
    </row>
    <row r="186" spans="1:37" s="78" customFormat="1" ht="12" customHeight="1">
      <c r="A186" s="76"/>
      <c r="B186" s="76"/>
      <c r="C186" s="76"/>
      <c r="D186" s="76"/>
      <c r="E186" s="76"/>
      <c r="F186" s="77"/>
      <c r="G186" s="76"/>
      <c r="H186" s="76"/>
      <c r="I186" s="76"/>
      <c r="J186" s="76"/>
      <c r="K186" s="76"/>
      <c r="L186" s="76"/>
      <c r="M186" s="76"/>
      <c r="N186" s="76"/>
      <c r="O186" s="76"/>
      <c r="P186" s="76"/>
      <c r="Q186" s="76"/>
      <c r="R186" s="76"/>
      <c r="S186" s="76"/>
      <c r="T186" s="76"/>
      <c r="U186" s="76"/>
      <c r="V186" s="76"/>
      <c r="W186" s="76"/>
      <c r="X186" s="76"/>
      <c r="Y186" s="76"/>
      <c r="Z186" s="76"/>
      <c r="AA186" s="79"/>
      <c r="AB186" s="79"/>
      <c r="AC186" s="79"/>
      <c r="AD186" s="79"/>
      <c r="AE186" s="79"/>
      <c r="AF186" s="79"/>
      <c r="AG186" s="79"/>
      <c r="AH186" s="79"/>
      <c r="AI186" s="79"/>
      <c r="AJ186" s="79"/>
      <c r="AK186" s="79"/>
    </row>
    <row r="187" spans="1:37" s="78" customFormat="1" ht="12" customHeight="1">
      <c r="A187" s="76"/>
      <c r="B187" s="76"/>
      <c r="C187" s="76"/>
      <c r="D187" s="76"/>
      <c r="E187" s="76"/>
      <c r="F187" s="77"/>
      <c r="G187" s="76"/>
      <c r="H187" s="76"/>
      <c r="I187" s="76"/>
      <c r="J187" s="76"/>
      <c r="K187" s="76"/>
      <c r="L187" s="76"/>
      <c r="M187" s="76"/>
      <c r="N187" s="76"/>
      <c r="O187" s="76"/>
      <c r="P187" s="76"/>
      <c r="Q187" s="76"/>
      <c r="R187" s="76"/>
      <c r="S187" s="76"/>
      <c r="T187" s="76"/>
      <c r="U187" s="76"/>
      <c r="V187" s="76"/>
      <c r="W187" s="76"/>
      <c r="X187" s="76"/>
      <c r="Y187" s="76"/>
      <c r="Z187" s="76"/>
      <c r="AA187" s="79"/>
      <c r="AB187" s="79"/>
      <c r="AC187" s="79"/>
      <c r="AD187" s="79"/>
      <c r="AE187" s="79"/>
      <c r="AF187" s="79"/>
      <c r="AG187" s="79"/>
      <c r="AH187" s="79"/>
      <c r="AI187" s="79"/>
      <c r="AJ187" s="79"/>
      <c r="AK187" s="79"/>
    </row>
    <row r="188" spans="1:37" s="78" customFormat="1" ht="12" customHeight="1">
      <c r="A188" s="76"/>
      <c r="B188" s="76"/>
      <c r="C188" s="76"/>
      <c r="D188" s="76"/>
      <c r="E188" s="76"/>
      <c r="F188" s="77"/>
      <c r="G188" s="76"/>
      <c r="H188" s="76"/>
      <c r="I188" s="76"/>
      <c r="J188" s="76"/>
      <c r="K188" s="76"/>
      <c r="L188" s="76"/>
      <c r="M188" s="76"/>
      <c r="N188" s="76"/>
      <c r="O188" s="76"/>
      <c r="P188" s="76"/>
      <c r="Q188" s="76"/>
      <c r="R188" s="76"/>
      <c r="S188" s="76"/>
      <c r="T188" s="76"/>
      <c r="U188" s="76"/>
      <c r="V188" s="76"/>
      <c r="W188" s="76"/>
      <c r="X188" s="76"/>
      <c r="Y188" s="76"/>
      <c r="Z188" s="76"/>
      <c r="AA188" s="79"/>
      <c r="AB188" s="79"/>
      <c r="AC188" s="79"/>
      <c r="AD188" s="79"/>
      <c r="AE188" s="79"/>
      <c r="AF188" s="79"/>
      <c r="AG188" s="79"/>
      <c r="AH188" s="79"/>
      <c r="AI188" s="79"/>
      <c r="AJ188" s="79"/>
      <c r="AK188" s="79"/>
    </row>
    <row r="189" spans="1:37" s="78" customFormat="1" ht="12" customHeight="1">
      <c r="A189" s="76"/>
      <c r="B189" s="76"/>
      <c r="C189" s="76"/>
      <c r="D189" s="76"/>
      <c r="E189" s="76"/>
      <c r="F189" s="77"/>
      <c r="G189" s="76"/>
      <c r="H189" s="76"/>
      <c r="I189" s="76"/>
      <c r="J189" s="76"/>
      <c r="K189" s="76"/>
      <c r="L189" s="76"/>
      <c r="M189" s="76"/>
      <c r="N189" s="76"/>
      <c r="O189" s="76"/>
      <c r="P189" s="76"/>
      <c r="Q189" s="76"/>
      <c r="R189" s="76"/>
      <c r="S189" s="76"/>
      <c r="T189" s="76"/>
      <c r="U189" s="76"/>
      <c r="V189" s="76"/>
      <c r="W189" s="76"/>
      <c r="X189" s="76"/>
      <c r="Y189" s="76"/>
      <c r="Z189" s="76"/>
      <c r="AA189" s="79"/>
      <c r="AB189" s="79"/>
      <c r="AC189" s="79"/>
      <c r="AD189" s="79"/>
      <c r="AE189" s="79"/>
      <c r="AF189" s="79"/>
      <c r="AG189" s="79"/>
      <c r="AH189" s="79"/>
      <c r="AI189" s="79"/>
      <c r="AJ189" s="79"/>
      <c r="AK189" s="79"/>
    </row>
    <row r="190" spans="1:37" s="78" customFormat="1" ht="12" customHeight="1">
      <c r="A190" s="76"/>
      <c r="B190" s="76"/>
      <c r="C190" s="76"/>
      <c r="D190" s="76"/>
      <c r="E190" s="76"/>
      <c r="F190" s="77"/>
      <c r="G190" s="76"/>
      <c r="H190" s="76"/>
      <c r="I190" s="76"/>
      <c r="J190" s="76"/>
      <c r="K190" s="76"/>
      <c r="L190" s="76"/>
      <c r="M190" s="76"/>
      <c r="N190" s="76"/>
      <c r="O190" s="76"/>
      <c r="P190" s="76"/>
      <c r="Q190" s="76"/>
      <c r="R190" s="76"/>
      <c r="S190" s="76"/>
      <c r="T190" s="76"/>
      <c r="U190" s="76"/>
      <c r="V190" s="76"/>
      <c r="W190" s="76"/>
      <c r="X190" s="76"/>
      <c r="Y190" s="76"/>
      <c r="Z190" s="76"/>
      <c r="AA190" s="79"/>
      <c r="AB190" s="79"/>
      <c r="AC190" s="79"/>
      <c r="AD190" s="79"/>
      <c r="AE190" s="79"/>
      <c r="AF190" s="79"/>
      <c r="AG190" s="79"/>
      <c r="AH190" s="79"/>
      <c r="AI190" s="79"/>
      <c r="AJ190" s="79"/>
      <c r="AK190" s="79"/>
    </row>
    <row r="191" spans="1:37" s="78" customFormat="1" ht="12" customHeight="1">
      <c r="A191" s="76"/>
      <c r="B191" s="76"/>
      <c r="C191" s="76"/>
      <c r="D191" s="76"/>
      <c r="E191" s="76"/>
      <c r="F191" s="77"/>
      <c r="G191" s="76"/>
      <c r="H191" s="76"/>
      <c r="I191" s="76"/>
      <c r="J191" s="76"/>
      <c r="K191" s="76"/>
      <c r="L191" s="76"/>
      <c r="M191" s="76"/>
      <c r="N191" s="76"/>
      <c r="O191" s="76"/>
      <c r="P191" s="76"/>
      <c r="Q191" s="76"/>
      <c r="R191" s="76"/>
      <c r="S191" s="76"/>
      <c r="T191" s="76"/>
      <c r="U191" s="76"/>
      <c r="V191" s="76"/>
      <c r="W191" s="76"/>
      <c r="X191" s="76"/>
      <c r="Y191" s="76"/>
      <c r="Z191" s="76"/>
      <c r="AA191" s="79"/>
      <c r="AB191" s="79"/>
      <c r="AC191" s="79"/>
      <c r="AD191" s="79"/>
      <c r="AE191" s="79"/>
      <c r="AF191" s="79"/>
      <c r="AG191" s="79"/>
      <c r="AH191" s="79"/>
      <c r="AI191" s="79"/>
      <c r="AJ191" s="79"/>
      <c r="AK191" s="79"/>
    </row>
    <row r="192" spans="1:37" s="78" customFormat="1" ht="12" customHeight="1">
      <c r="A192" s="76"/>
      <c r="B192" s="76"/>
      <c r="C192" s="76"/>
      <c r="D192" s="76"/>
      <c r="E192" s="76"/>
      <c r="F192" s="77"/>
      <c r="G192" s="76"/>
      <c r="H192" s="76"/>
      <c r="I192" s="76"/>
      <c r="J192" s="76"/>
      <c r="K192" s="76"/>
      <c r="L192" s="76"/>
      <c r="M192" s="76"/>
      <c r="N192" s="76"/>
      <c r="O192" s="76"/>
      <c r="P192" s="76"/>
      <c r="Q192" s="76"/>
      <c r="R192" s="76"/>
      <c r="S192" s="76"/>
      <c r="T192" s="76"/>
      <c r="U192" s="76"/>
      <c r="V192" s="76"/>
      <c r="W192" s="76"/>
      <c r="X192" s="76"/>
      <c r="Y192" s="76"/>
      <c r="Z192" s="76"/>
      <c r="AA192" s="79"/>
      <c r="AB192" s="79"/>
      <c r="AC192" s="79"/>
      <c r="AD192" s="79"/>
      <c r="AE192" s="79"/>
      <c r="AF192" s="79"/>
      <c r="AG192" s="79"/>
      <c r="AH192" s="79"/>
      <c r="AI192" s="79"/>
      <c r="AJ192" s="79"/>
      <c r="AK192" s="79"/>
    </row>
    <row r="193" spans="1:37" s="78" customFormat="1" ht="12" customHeight="1">
      <c r="A193" s="76"/>
      <c r="B193" s="76"/>
      <c r="C193" s="76"/>
      <c r="D193" s="76"/>
      <c r="E193" s="76"/>
      <c r="F193" s="77"/>
      <c r="G193" s="76"/>
      <c r="H193" s="76"/>
      <c r="I193" s="76"/>
      <c r="J193" s="76"/>
      <c r="K193" s="76"/>
      <c r="L193" s="76"/>
      <c r="M193" s="76"/>
      <c r="N193" s="76"/>
      <c r="O193" s="76"/>
      <c r="P193" s="76"/>
      <c r="Q193" s="76"/>
      <c r="R193" s="76"/>
      <c r="S193" s="76"/>
      <c r="T193" s="76"/>
      <c r="U193" s="76"/>
      <c r="V193" s="76"/>
      <c r="W193" s="76"/>
      <c r="X193" s="76"/>
      <c r="Y193" s="76"/>
      <c r="Z193" s="76"/>
      <c r="AA193" s="79"/>
      <c r="AB193" s="79"/>
      <c r="AC193" s="79"/>
      <c r="AD193" s="79"/>
      <c r="AE193" s="79"/>
      <c r="AF193" s="79"/>
      <c r="AG193" s="79"/>
      <c r="AH193" s="79"/>
      <c r="AI193" s="79"/>
      <c r="AJ193" s="79"/>
      <c r="AK193" s="79"/>
    </row>
    <row r="194" spans="1:37" s="78" customFormat="1" ht="12" customHeight="1">
      <c r="A194" s="76"/>
      <c r="B194" s="76"/>
      <c r="C194" s="76"/>
      <c r="D194" s="76"/>
      <c r="E194" s="76"/>
      <c r="F194" s="77"/>
      <c r="G194" s="76"/>
      <c r="H194" s="76"/>
      <c r="I194" s="76"/>
      <c r="J194" s="76"/>
      <c r="K194" s="76"/>
      <c r="L194" s="76"/>
      <c r="M194" s="76"/>
      <c r="N194" s="76"/>
      <c r="O194" s="76"/>
      <c r="P194" s="76"/>
      <c r="Q194" s="76"/>
      <c r="R194" s="76"/>
      <c r="S194" s="76"/>
      <c r="T194" s="76"/>
      <c r="U194" s="76"/>
      <c r="V194" s="76"/>
      <c r="W194" s="76"/>
      <c r="X194" s="76"/>
      <c r="Y194" s="76"/>
      <c r="Z194" s="76"/>
      <c r="AA194" s="79"/>
      <c r="AB194" s="79"/>
      <c r="AC194" s="79"/>
      <c r="AD194" s="79"/>
      <c r="AE194" s="79"/>
      <c r="AF194" s="79"/>
      <c r="AG194" s="79"/>
      <c r="AH194" s="79"/>
      <c r="AI194" s="79"/>
      <c r="AJ194" s="79"/>
      <c r="AK194" s="79"/>
    </row>
    <row r="195" spans="1:37" s="78" customFormat="1" ht="12" customHeight="1">
      <c r="A195" s="76"/>
      <c r="B195" s="76"/>
      <c r="C195" s="76"/>
      <c r="D195" s="76"/>
      <c r="E195" s="76"/>
      <c r="F195" s="77"/>
      <c r="G195" s="76"/>
      <c r="H195" s="76"/>
      <c r="I195" s="76"/>
      <c r="J195" s="76"/>
      <c r="K195" s="76"/>
      <c r="L195" s="76"/>
      <c r="M195" s="76"/>
      <c r="N195" s="76"/>
      <c r="O195" s="76"/>
      <c r="P195" s="76"/>
      <c r="Q195" s="76"/>
      <c r="R195" s="76"/>
      <c r="S195" s="76"/>
      <c r="T195" s="76"/>
      <c r="U195" s="76"/>
      <c r="V195" s="76"/>
      <c r="W195" s="76"/>
      <c r="X195" s="76"/>
      <c r="Y195" s="76"/>
      <c r="Z195" s="76"/>
      <c r="AA195" s="79"/>
      <c r="AB195" s="79"/>
      <c r="AC195" s="79"/>
      <c r="AD195" s="79"/>
      <c r="AE195" s="79"/>
      <c r="AF195" s="79"/>
      <c r="AG195" s="79"/>
      <c r="AH195" s="79"/>
      <c r="AI195" s="79"/>
      <c r="AJ195" s="79"/>
      <c r="AK195" s="79"/>
    </row>
    <row r="196" spans="1:37" s="78" customFormat="1" ht="12" customHeight="1">
      <c r="A196" s="76"/>
      <c r="B196" s="76"/>
      <c r="C196" s="76"/>
      <c r="D196" s="76"/>
      <c r="E196" s="76"/>
      <c r="F196" s="77"/>
      <c r="G196" s="76"/>
      <c r="H196" s="76"/>
      <c r="I196" s="76"/>
      <c r="J196" s="76"/>
      <c r="K196" s="76"/>
      <c r="L196" s="76"/>
      <c r="M196" s="76"/>
      <c r="N196" s="76"/>
      <c r="O196" s="76"/>
      <c r="P196" s="76"/>
      <c r="Q196" s="76"/>
      <c r="R196" s="76"/>
      <c r="S196" s="76"/>
      <c r="T196" s="76"/>
      <c r="U196" s="76"/>
      <c r="V196" s="76"/>
      <c r="W196" s="76"/>
      <c r="X196" s="76"/>
      <c r="Y196" s="76"/>
      <c r="Z196" s="76"/>
      <c r="AA196" s="79"/>
      <c r="AB196" s="79"/>
      <c r="AC196" s="79"/>
      <c r="AD196" s="79"/>
      <c r="AE196" s="79"/>
      <c r="AF196" s="79"/>
      <c r="AG196" s="79"/>
      <c r="AH196" s="79"/>
      <c r="AI196" s="79"/>
      <c r="AJ196" s="79"/>
      <c r="AK196" s="79"/>
    </row>
    <row r="197" spans="1:37" s="78" customFormat="1" ht="12" customHeight="1">
      <c r="A197" s="76"/>
      <c r="B197" s="76"/>
      <c r="C197" s="76"/>
      <c r="D197" s="76"/>
      <c r="E197" s="76"/>
      <c r="F197" s="77"/>
      <c r="G197" s="76"/>
      <c r="H197" s="76"/>
      <c r="I197" s="76"/>
      <c r="J197" s="76"/>
      <c r="K197" s="76"/>
      <c r="L197" s="76"/>
      <c r="M197" s="76"/>
      <c r="N197" s="76"/>
      <c r="O197" s="76"/>
      <c r="P197" s="76"/>
      <c r="Q197" s="76"/>
      <c r="R197" s="76"/>
      <c r="S197" s="76"/>
      <c r="T197" s="76"/>
      <c r="U197" s="76"/>
      <c r="V197" s="76"/>
      <c r="W197" s="76"/>
      <c r="X197" s="76"/>
      <c r="Y197" s="76"/>
      <c r="Z197" s="76"/>
      <c r="AA197" s="79"/>
      <c r="AB197" s="79"/>
      <c r="AC197" s="79"/>
      <c r="AD197" s="79"/>
      <c r="AE197" s="79"/>
      <c r="AF197" s="79"/>
      <c r="AG197" s="79"/>
      <c r="AH197" s="79"/>
      <c r="AI197" s="79"/>
      <c r="AJ197" s="79"/>
      <c r="AK197" s="79"/>
    </row>
    <row r="198" spans="1:37" s="78" customFormat="1" ht="12" customHeight="1">
      <c r="A198" s="76"/>
      <c r="B198" s="76"/>
      <c r="C198" s="76"/>
      <c r="D198" s="76"/>
      <c r="E198" s="76"/>
      <c r="F198" s="77"/>
      <c r="G198" s="76"/>
      <c r="H198" s="76"/>
      <c r="I198" s="76"/>
      <c r="J198" s="76"/>
      <c r="K198" s="76"/>
      <c r="L198" s="76"/>
      <c r="M198" s="76"/>
      <c r="N198" s="76"/>
      <c r="O198" s="76"/>
      <c r="P198" s="76"/>
      <c r="Q198" s="76"/>
      <c r="R198" s="76"/>
      <c r="S198" s="76"/>
      <c r="T198" s="76"/>
      <c r="U198" s="76"/>
      <c r="V198" s="76"/>
      <c r="W198" s="76"/>
      <c r="X198" s="76"/>
      <c r="Y198" s="76"/>
      <c r="Z198" s="76"/>
      <c r="AA198" s="79"/>
      <c r="AB198" s="79"/>
      <c r="AC198" s="79"/>
      <c r="AD198" s="79"/>
      <c r="AE198" s="79"/>
      <c r="AF198" s="79"/>
      <c r="AG198" s="79"/>
      <c r="AH198" s="79"/>
      <c r="AI198" s="79"/>
      <c r="AJ198" s="79"/>
      <c r="AK198" s="79"/>
    </row>
    <row r="199" spans="1:37" s="78" customFormat="1" ht="12" customHeight="1">
      <c r="A199" s="76"/>
      <c r="B199" s="76"/>
      <c r="C199" s="76"/>
      <c r="D199" s="76"/>
      <c r="E199" s="76"/>
      <c r="F199" s="77"/>
      <c r="G199" s="76"/>
      <c r="H199" s="76"/>
      <c r="I199" s="76"/>
      <c r="J199" s="76"/>
      <c r="K199" s="76"/>
      <c r="L199" s="76"/>
      <c r="M199" s="76"/>
      <c r="N199" s="76"/>
      <c r="O199" s="76"/>
      <c r="P199" s="76"/>
      <c r="Q199" s="76"/>
      <c r="R199" s="76"/>
      <c r="S199" s="76"/>
      <c r="T199" s="76"/>
      <c r="U199" s="76"/>
      <c r="V199" s="76"/>
      <c r="W199" s="76"/>
      <c r="X199" s="76"/>
      <c r="Y199" s="76"/>
      <c r="Z199" s="76"/>
      <c r="AA199" s="79"/>
      <c r="AB199" s="79"/>
      <c r="AC199" s="79"/>
      <c r="AD199" s="79"/>
      <c r="AE199" s="79"/>
      <c r="AF199" s="79"/>
      <c r="AG199" s="79"/>
      <c r="AH199" s="79"/>
      <c r="AI199" s="79"/>
      <c r="AJ199" s="79"/>
      <c r="AK199" s="79"/>
    </row>
    <row r="200" spans="1:37" s="78" customFormat="1" ht="12" customHeight="1">
      <c r="A200" s="76"/>
      <c r="B200" s="76"/>
      <c r="C200" s="76"/>
      <c r="D200" s="76"/>
      <c r="E200" s="76"/>
      <c r="F200" s="77"/>
      <c r="G200" s="76"/>
      <c r="H200" s="76"/>
      <c r="I200" s="76"/>
      <c r="J200" s="76"/>
      <c r="K200" s="76"/>
      <c r="L200" s="76"/>
      <c r="M200" s="76"/>
      <c r="N200" s="76"/>
      <c r="O200" s="76"/>
      <c r="P200" s="76"/>
      <c r="Q200" s="76"/>
      <c r="R200" s="76"/>
      <c r="S200" s="76"/>
      <c r="T200" s="76"/>
      <c r="U200" s="76"/>
      <c r="V200" s="76"/>
      <c r="W200" s="76"/>
      <c r="X200" s="76"/>
      <c r="Y200" s="76"/>
      <c r="Z200" s="76"/>
      <c r="AA200" s="79"/>
      <c r="AB200" s="79"/>
      <c r="AC200" s="79"/>
      <c r="AD200" s="79"/>
      <c r="AE200" s="79"/>
      <c r="AF200" s="79"/>
      <c r="AG200" s="79"/>
      <c r="AH200" s="79"/>
      <c r="AI200" s="79"/>
      <c r="AJ200" s="79"/>
      <c r="AK200" s="79"/>
    </row>
    <row r="201" spans="1:37" s="78" customFormat="1" ht="12" customHeight="1">
      <c r="A201" s="76"/>
      <c r="B201" s="76"/>
      <c r="C201" s="76"/>
      <c r="D201" s="76"/>
      <c r="E201" s="76"/>
      <c r="F201" s="77"/>
      <c r="G201" s="76"/>
      <c r="H201" s="76"/>
      <c r="I201" s="76"/>
      <c r="J201" s="76"/>
      <c r="K201" s="76"/>
      <c r="L201" s="76"/>
      <c r="M201" s="76"/>
      <c r="N201" s="76"/>
      <c r="O201" s="76"/>
      <c r="P201" s="76"/>
      <c r="Q201" s="76"/>
      <c r="R201" s="76"/>
      <c r="S201" s="76"/>
      <c r="T201" s="76"/>
      <c r="U201" s="76"/>
      <c r="V201" s="76"/>
      <c r="W201" s="76"/>
      <c r="X201" s="76"/>
      <c r="Y201" s="76"/>
      <c r="Z201" s="76"/>
      <c r="AA201" s="79"/>
      <c r="AB201" s="79"/>
      <c r="AC201" s="79"/>
      <c r="AD201" s="79"/>
      <c r="AE201" s="79"/>
      <c r="AF201" s="79"/>
      <c r="AG201" s="79"/>
      <c r="AH201" s="79"/>
      <c r="AI201" s="79"/>
      <c r="AJ201" s="79"/>
      <c r="AK201" s="79"/>
    </row>
    <row r="202" spans="1:37" s="78" customFormat="1" ht="12" customHeight="1">
      <c r="A202" s="76"/>
      <c r="B202" s="76"/>
      <c r="C202" s="76"/>
      <c r="D202" s="76"/>
      <c r="E202" s="76"/>
      <c r="F202" s="77"/>
      <c r="G202" s="76"/>
      <c r="H202" s="76"/>
      <c r="I202" s="76"/>
      <c r="J202" s="76"/>
      <c r="K202" s="76"/>
      <c r="L202" s="76"/>
      <c r="M202" s="76"/>
      <c r="N202" s="76"/>
      <c r="O202" s="76"/>
      <c r="P202" s="76"/>
      <c r="Q202" s="76"/>
      <c r="R202" s="76"/>
      <c r="S202" s="76"/>
      <c r="T202" s="76"/>
      <c r="U202" s="76"/>
      <c r="V202" s="76"/>
      <c r="W202" s="76"/>
      <c r="X202" s="76"/>
      <c r="Y202" s="76"/>
      <c r="Z202" s="76"/>
      <c r="AA202" s="79"/>
      <c r="AB202" s="79"/>
      <c r="AC202" s="79"/>
      <c r="AD202" s="79"/>
      <c r="AE202" s="79"/>
      <c r="AF202" s="79"/>
      <c r="AG202" s="79"/>
      <c r="AH202" s="79"/>
      <c r="AI202" s="79"/>
      <c r="AJ202" s="79"/>
      <c r="AK202" s="79"/>
    </row>
    <row r="203" spans="1:37" s="78" customFormat="1" ht="12" customHeight="1">
      <c r="A203" s="76"/>
      <c r="B203" s="76"/>
      <c r="C203" s="76"/>
      <c r="D203" s="76"/>
      <c r="E203" s="76"/>
      <c r="F203" s="77"/>
      <c r="G203" s="76"/>
      <c r="H203" s="76"/>
      <c r="I203" s="76"/>
      <c r="J203" s="76"/>
      <c r="K203" s="76"/>
      <c r="L203" s="76"/>
      <c r="M203" s="76"/>
      <c r="N203" s="76"/>
      <c r="O203" s="76"/>
      <c r="P203" s="76"/>
      <c r="Q203" s="76"/>
      <c r="R203" s="76"/>
      <c r="S203" s="76"/>
      <c r="T203" s="76"/>
      <c r="U203" s="76"/>
      <c r="V203" s="76"/>
      <c r="W203" s="76"/>
      <c r="X203" s="76"/>
      <c r="Y203" s="76"/>
      <c r="Z203" s="76"/>
      <c r="AA203" s="79"/>
      <c r="AB203" s="79"/>
      <c r="AC203" s="79"/>
      <c r="AD203" s="79"/>
      <c r="AE203" s="79"/>
      <c r="AF203" s="79"/>
      <c r="AG203" s="79"/>
      <c r="AH203" s="79"/>
      <c r="AI203" s="79"/>
      <c r="AJ203" s="79"/>
      <c r="AK203" s="79"/>
    </row>
    <row r="204" spans="1:37" s="78" customFormat="1" ht="12" customHeight="1">
      <c r="A204" s="76"/>
      <c r="B204" s="76"/>
      <c r="C204" s="76"/>
      <c r="D204" s="76"/>
      <c r="E204" s="76"/>
      <c r="F204" s="77"/>
      <c r="G204" s="76"/>
      <c r="H204" s="76"/>
      <c r="I204" s="76"/>
      <c r="J204" s="76"/>
      <c r="K204" s="76"/>
      <c r="L204" s="76"/>
      <c r="M204" s="76"/>
      <c r="N204" s="76"/>
      <c r="O204" s="76"/>
      <c r="P204" s="76"/>
      <c r="Q204" s="76"/>
      <c r="R204" s="76"/>
      <c r="S204" s="76"/>
      <c r="T204" s="76"/>
      <c r="U204" s="76"/>
      <c r="V204" s="76"/>
      <c r="W204" s="76"/>
      <c r="X204" s="76"/>
      <c r="Y204" s="76"/>
      <c r="Z204" s="76"/>
      <c r="AA204" s="79"/>
      <c r="AB204" s="79"/>
      <c r="AC204" s="79"/>
      <c r="AD204" s="79"/>
      <c r="AE204" s="79"/>
      <c r="AF204" s="79"/>
      <c r="AG204" s="79"/>
      <c r="AH204" s="79"/>
      <c r="AI204" s="79"/>
      <c r="AJ204" s="79"/>
      <c r="AK204" s="79"/>
    </row>
    <row r="205" spans="1:37" s="78" customFormat="1" ht="12" customHeight="1">
      <c r="A205" s="76"/>
      <c r="B205" s="76"/>
      <c r="C205" s="76"/>
      <c r="D205" s="76"/>
      <c r="E205" s="76"/>
      <c r="F205" s="77"/>
      <c r="G205" s="76"/>
      <c r="H205" s="76"/>
      <c r="I205" s="76"/>
      <c r="J205" s="76"/>
      <c r="K205" s="76"/>
      <c r="L205" s="76"/>
      <c r="M205" s="76"/>
      <c r="N205" s="76"/>
      <c r="O205" s="76"/>
      <c r="P205" s="76"/>
      <c r="Q205" s="76"/>
      <c r="R205" s="76"/>
      <c r="S205" s="76"/>
      <c r="T205" s="76"/>
      <c r="U205" s="76"/>
      <c r="V205" s="76"/>
      <c r="W205" s="76"/>
      <c r="X205" s="76"/>
      <c r="Y205" s="76"/>
      <c r="Z205" s="76"/>
      <c r="AA205" s="79"/>
      <c r="AB205" s="79"/>
      <c r="AC205" s="79"/>
      <c r="AD205" s="79"/>
      <c r="AE205" s="79"/>
      <c r="AF205" s="79"/>
      <c r="AG205" s="79"/>
      <c r="AH205" s="79"/>
      <c r="AI205" s="79"/>
      <c r="AJ205" s="79"/>
      <c r="AK205" s="79"/>
    </row>
    <row r="206" spans="1:37" s="78" customFormat="1" ht="12" customHeight="1">
      <c r="A206" s="76"/>
      <c r="B206" s="76"/>
      <c r="C206" s="76"/>
      <c r="D206" s="76"/>
      <c r="E206" s="76"/>
      <c r="F206" s="77"/>
      <c r="G206" s="76"/>
      <c r="H206" s="76"/>
      <c r="I206" s="76"/>
      <c r="J206" s="76"/>
      <c r="K206" s="76"/>
      <c r="L206" s="76"/>
      <c r="M206" s="76"/>
      <c r="N206" s="76"/>
      <c r="O206" s="76"/>
      <c r="P206" s="76"/>
      <c r="Q206" s="76"/>
      <c r="R206" s="76"/>
      <c r="S206" s="76"/>
      <c r="T206" s="76"/>
      <c r="U206" s="76"/>
      <c r="V206" s="76"/>
      <c r="W206" s="76"/>
      <c r="X206" s="76"/>
      <c r="Y206" s="76"/>
      <c r="Z206" s="76"/>
      <c r="AA206" s="79"/>
      <c r="AB206" s="79"/>
      <c r="AC206" s="79"/>
      <c r="AD206" s="79"/>
      <c r="AE206" s="79"/>
      <c r="AF206" s="79"/>
      <c r="AG206" s="79"/>
      <c r="AH206" s="79"/>
      <c r="AI206" s="79"/>
      <c r="AJ206" s="79"/>
      <c r="AK206" s="79"/>
    </row>
    <row r="207" spans="1:37" s="78" customFormat="1" ht="12" customHeight="1">
      <c r="A207" s="76"/>
      <c r="B207" s="76"/>
      <c r="C207" s="76"/>
      <c r="D207" s="76"/>
      <c r="E207" s="76"/>
      <c r="F207" s="77"/>
      <c r="G207" s="76"/>
      <c r="H207" s="76"/>
      <c r="I207" s="76"/>
      <c r="J207" s="76"/>
      <c r="K207" s="76"/>
      <c r="L207" s="76"/>
      <c r="M207" s="76"/>
      <c r="N207" s="76"/>
      <c r="O207" s="76"/>
      <c r="P207" s="76"/>
      <c r="Q207" s="76"/>
      <c r="R207" s="76"/>
      <c r="S207" s="76"/>
      <c r="T207" s="76"/>
      <c r="U207" s="76"/>
      <c r="V207" s="76"/>
      <c r="W207" s="76"/>
      <c r="X207" s="76"/>
      <c r="Y207" s="76"/>
      <c r="Z207" s="76"/>
      <c r="AA207" s="79"/>
      <c r="AB207" s="79"/>
      <c r="AC207" s="79"/>
      <c r="AD207" s="79"/>
      <c r="AE207" s="79"/>
      <c r="AF207" s="79"/>
      <c r="AG207" s="79"/>
      <c r="AH207" s="79"/>
      <c r="AI207" s="79"/>
      <c r="AJ207" s="79"/>
      <c r="AK207" s="79"/>
    </row>
    <row r="208" spans="1:37" s="78" customFormat="1" ht="12" customHeight="1">
      <c r="A208" s="76"/>
      <c r="B208" s="76"/>
      <c r="C208" s="76"/>
      <c r="D208" s="76"/>
      <c r="E208" s="76"/>
      <c r="F208" s="77"/>
      <c r="G208" s="76"/>
      <c r="H208" s="76"/>
      <c r="I208" s="76"/>
      <c r="J208" s="76"/>
      <c r="K208" s="76"/>
      <c r="L208" s="76"/>
      <c r="M208" s="76"/>
      <c r="N208" s="76"/>
      <c r="O208" s="76"/>
      <c r="P208" s="76"/>
      <c r="Q208" s="76"/>
      <c r="R208" s="76"/>
      <c r="S208" s="76"/>
      <c r="T208" s="76"/>
      <c r="U208" s="76"/>
      <c r="V208" s="76"/>
      <c r="W208" s="76"/>
      <c r="X208" s="76"/>
      <c r="Y208" s="76"/>
      <c r="Z208" s="76"/>
      <c r="AA208" s="79"/>
      <c r="AB208" s="79"/>
      <c r="AC208" s="79"/>
      <c r="AD208" s="79"/>
      <c r="AE208" s="79"/>
      <c r="AF208" s="79"/>
      <c r="AG208" s="79"/>
      <c r="AH208" s="79"/>
      <c r="AI208" s="79"/>
      <c r="AJ208" s="79"/>
      <c r="AK208" s="79"/>
    </row>
    <row r="209" spans="1:37" s="78" customFormat="1" ht="12" customHeight="1">
      <c r="A209" s="76"/>
      <c r="B209" s="76"/>
      <c r="C209" s="76"/>
      <c r="D209" s="76"/>
      <c r="E209" s="76"/>
      <c r="F209" s="77"/>
      <c r="G209" s="76"/>
      <c r="H209" s="76"/>
      <c r="I209" s="76"/>
      <c r="J209" s="76"/>
      <c r="K209" s="76"/>
      <c r="L209" s="76"/>
      <c r="M209" s="76"/>
      <c r="N209" s="76"/>
      <c r="O209" s="76"/>
      <c r="P209" s="76"/>
      <c r="Q209" s="76"/>
      <c r="R209" s="76"/>
      <c r="S209" s="76"/>
      <c r="T209" s="76"/>
      <c r="U209" s="76"/>
      <c r="V209" s="76"/>
      <c r="W209" s="76"/>
      <c r="X209" s="76"/>
      <c r="Y209" s="76"/>
      <c r="Z209" s="76"/>
      <c r="AA209" s="79"/>
      <c r="AB209" s="79"/>
      <c r="AC209" s="79"/>
      <c r="AD209" s="79"/>
      <c r="AE209" s="79"/>
      <c r="AF209" s="79"/>
      <c r="AG209" s="79"/>
      <c r="AH209" s="79"/>
      <c r="AI209" s="79"/>
      <c r="AJ209" s="79"/>
      <c r="AK209" s="79"/>
    </row>
    <row r="210" spans="1:37" s="78" customFormat="1" ht="12" customHeight="1">
      <c r="A210" s="76"/>
      <c r="B210" s="76"/>
      <c r="C210" s="76"/>
      <c r="D210" s="76"/>
      <c r="E210" s="76"/>
      <c r="F210" s="77"/>
      <c r="G210" s="76"/>
      <c r="H210" s="76"/>
      <c r="I210" s="76"/>
      <c r="J210" s="76"/>
      <c r="K210" s="76"/>
      <c r="L210" s="76"/>
      <c r="M210" s="76"/>
      <c r="N210" s="76"/>
      <c r="O210" s="76"/>
      <c r="P210" s="76"/>
      <c r="Q210" s="76"/>
      <c r="R210" s="76"/>
      <c r="S210" s="76"/>
      <c r="T210" s="76"/>
      <c r="U210" s="76"/>
      <c r="V210" s="76"/>
      <c r="W210" s="76"/>
      <c r="X210" s="76"/>
      <c r="Y210" s="76"/>
      <c r="Z210" s="76"/>
      <c r="AA210" s="79"/>
      <c r="AB210" s="79"/>
      <c r="AC210" s="79"/>
      <c r="AD210" s="79"/>
      <c r="AE210" s="79"/>
      <c r="AF210" s="79"/>
      <c r="AG210" s="79"/>
      <c r="AH210" s="79"/>
      <c r="AI210" s="79"/>
      <c r="AJ210" s="79"/>
      <c r="AK210" s="79"/>
    </row>
    <row r="211" spans="1:37" s="78" customFormat="1" ht="12" customHeight="1">
      <c r="A211" s="76"/>
      <c r="B211" s="76"/>
      <c r="C211" s="76"/>
      <c r="D211" s="76"/>
      <c r="E211" s="76"/>
      <c r="F211" s="77"/>
      <c r="G211" s="76"/>
      <c r="H211" s="76"/>
      <c r="I211" s="76"/>
      <c r="J211" s="76"/>
      <c r="K211" s="76"/>
      <c r="L211" s="76"/>
      <c r="M211" s="76"/>
      <c r="N211" s="76"/>
      <c r="O211" s="76"/>
      <c r="P211" s="76"/>
      <c r="Q211" s="76"/>
      <c r="R211" s="76"/>
      <c r="S211" s="76"/>
      <c r="T211" s="76"/>
      <c r="U211" s="76"/>
      <c r="V211" s="76"/>
      <c r="W211" s="76"/>
      <c r="X211" s="76"/>
      <c r="Y211" s="76"/>
      <c r="Z211" s="76"/>
      <c r="AA211" s="79"/>
      <c r="AB211" s="79"/>
      <c r="AC211" s="79"/>
      <c r="AD211" s="79"/>
      <c r="AE211" s="79"/>
      <c r="AF211" s="79"/>
      <c r="AG211" s="79"/>
      <c r="AH211" s="79"/>
      <c r="AI211" s="79"/>
      <c r="AJ211" s="79"/>
      <c r="AK211" s="79"/>
    </row>
    <row r="212" spans="1:37" s="78" customFormat="1" ht="12" customHeight="1">
      <c r="A212" s="76"/>
      <c r="B212" s="76"/>
      <c r="C212" s="76"/>
      <c r="D212" s="76"/>
      <c r="E212" s="76"/>
      <c r="F212" s="77"/>
      <c r="G212" s="76"/>
      <c r="H212" s="76"/>
      <c r="I212" s="76"/>
      <c r="J212" s="76"/>
      <c r="K212" s="76"/>
      <c r="L212" s="76"/>
      <c r="M212" s="76"/>
      <c r="N212" s="76"/>
      <c r="O212" s="76"/>
      <c r="P212" s="76"/>
      <c r="Q212" s="76"/>
      <c r="R212" s="76"/>
      <c r="S212" s="76"/>
      <c r="T212" s="76"/>
      <c r="U212" s="76"/>
      <c r="V212" s="76"/>
      <c r="W212" s="76"/>
      <c r="X212" s="76"/>
      <c r="Y212" s="76"/>
      <c r="Z212" s="76"/>
      <c r="AA212" s="79"/>
      <c r="AB212" s="79"/>
      <c r="AC212" s="79"/>
      <c r="AD212" s="79"/>
      <c r="AE212" s="79"/>
      <c r="AF212" s="79"/>
      <c r="AG212" s="79"/>
      <c r="AH212" s="79"/>
      <c r="AI212" s="79"/>
      <c r="AJ212" s="79"/>
      <c r="AK212" s="79"/>
    </row>
    <row r="213" spans="1:37" s="78" customFormat="1" ht="12" customHeight="1">
      <c r="A213" s="76"/>
      <c r="B213" s="76"/>
      <c r="C213" s="76"/>
      <c r="D213" s="76"/>
      <c r="E213" s="76"/>
      <c r="F213" s="77"/>
      <c r="G213" s="76"/>
      <c r="H213" s="76"/>
      <c r="I213" s="76"/>
      <c r="J213" s="76"/>
      <c r="K213" s="76"/>
      <c r="L213" s="76"/>
      <c r="M213" s="76"/>
      <c r="N213" s="76"/>
      <c r="O213" s="76"/>
      <c r="P213" s="76"/>
      <c r="Q213" s="76"/>
      <c r="R213" s="76"/>
      <c r="S213" s="76"/>
      <c r="T213" s="76"/>
      <c r="U213" s="76"/>
      <c r="V213" s="76"/>
      <c r="W213" s="76"/>
      <c r="X213" s="76"/>
      <c r="Y213" s="76"/>
      <c r="Z213" s="76"/>
      <c r="AA213" s="79"/>
      <c r="AB213" s="79"/>
      <c r="AC213" s="79"/>
      <c r="AD213" s="79"/>
      <c r="AE213" s="79"/>
      <c r="AF213" s="79"/>
      <c r="AG213" s="79"/>
      <c r="AH213" s="79"/>
      <c r="AI213" s="79"/>
      <c r="AJ213" s="79"/>
      <c r="AK213" s="79"/>
    </row>
    <row r="214" spans="1:37" s="78" customFormat="1" ht="12" customHeight="1">
      <c r="A214" s="76"/>
      <c r="B214" s="76"/>
      <c r="C214" s="76"/>
      <c r="D214" s="76"/>
      <c r="E214" s="76"/>
      <c r="F214" s="77"/>
      <c r="G214" s="76"/>
      <c r="H214" s="76"/>
      <c r="I214" s="76"/>
      <c r="J214" s="76"/>
      <c r="K214" s="76"/>
      <c r="L214" s="76"/>
      <c r="M214" s="76"/>
      <c r="N214" s="76"/>
      <c r="O214" s="76"/>
      <c r="P214" s="76"/>
      <c r="Q214" s="76"/>
      <c r="R214" s="76"/>
      <c r="S214" s="76"/>
      <c r="T214" s="76"/>
      <c r="U214" s="76"/>
      <c r="V214" s="76"/>
      <c r="W214" s="76"/>
      <c r="X214" s="76"/>
      <c r="Y214" s="76"/>
      <c r="Z214" s="76"/>
      <c r="AA214" s="79"/>
      <c r="AB214" s="79"/>
      <c r="AC214" s="79"/>
      <c r="AD214" s="79"/>
      <c r="AE214" s="79"/>
      <c r="AF214" s="79"/>
      <c r="AG214" s="79"/>
      <c r="AH214" s="79"/>
      <c r="AI214" s="79"/>
      <c r="AJ214" s="79"/>
      <c r="AK214" s="79"/>
    </row>
    <row r="215" spans="1:37" s="78" customFormat="1" ht="12" customHeight="1">
      <c r="A215" s="76"/>
      <c r="B215" s="76"/>
      <c r="C215" s="76"/>
      <c r="D215" s="76"/>
      <c r="E215" s="76"/>
      <c r="F215" s="77"/>
      <c r="G215" s="76"/>
      <c r="H215" s="76"/>
      <c r="I215" s="76"/>
      <c r="J215" s="76"/>
      <c r="K215" s="76"/>
      <c r="L215" s="76"/>
      <c r="M215" s="76"/>
      <c r="N215" s="76"/>
      <c r="O215" s="76"/>
      <c r="P215" s="76"/>
      <c r="Q215" s="76"/>
      <c r="R215" s="76"/>
      <c r="S215" s="76"/>
      <c r="T215" s="76"/>
      <c r="U215" s="76"/>
      <c r="V215" s="76"/>
      <c r="W215" s="76"/>
      <c r="X215" s="76"/>
      <c r="Y215" s="76"/>
      <c r="Z215" s="76"/>
      <c r="AA215" s="79"/>
      <c r="AB215" s="79"/>
      <c r="AC215" s="79"/>
      <c r="AD215" s="79"/>
      <c r="AE215" s="79"/>
      <c r="AF215" s="79"/>
      <c r="AG215" s="79"/>
      <c r="AH215" s="79"/>
      <c r="AI215" s="79"/>
      <c r="AJ215" s="79"/>
      <c r="AK215" s="79"/>
    </row>
    <row r="216" spans="1:37" s="78" customFormat="1" ht="12" customHeight="1">
      <c r="A216" s="76"/>
      <c r="B216" s="76"/>
      <c r="C216" s="76"/>
      <c r="D216" s="76"/>
      <c r="E216" s="76"/>
      <c r="F216" s="77"/>
      <c r="G216" s="76"/>
      <c r="H216" s="76"/>
      <c r="I216" s="76"/>
      <c r="J216" s="76"/>
      <c r="K216" s="76"/>
      <c r="L216" s="76"/>
      <c r="M216" s="76"/>
      <c r="N216" s="76"/>
      <c r="O216" s="76"/>
      <c r="P216" s="76"/>
      <c r="Q216" s="76"/>
      <c r="R216" s="76"/>
      <c r="S216" s="76"/>
      <c r="T216" s="76"/>
      <c r="U216" s="76"/>
      <c r="V216" s="76"/>
      <c r="W216" s="76"/>
      <c r="X216" s="76"/>
      <c r="Y216" s="76"/>
      <c r="Z216" s="76"/>
      <c r="AA216" s="79"/>
      <c r="AB216" s="79"/>
      <c r="AC216" s="79"/>
      <c r="AD216" s="79"/>
      <c r="AE216" s="79"/>
      <c r="AF216" s="79"/>
      <c r="AG216" s="79"/>
      <c r="AH216" s="79"/>
      <c r="AI216" s="79"/>
      <c r="AJ216" s="79"/>
      <c r="AK216" s="79"/>
    </row>
    <row r="217" spans="1:37" s="78" customFormat="1" ht="12" customHeight="1">
      <c r="A217" s="76"/>
      <c r="B217" s="76"/>
      <c r="C217" s="76"/>
      <c r="D217" s="76"/>
      <c r="E217" s="76"/>
      <c r="F217" s="77"/>
      <c r="G217" s="76"/>
      <c r="H217" s="76"/>
      <c r="I217" s="76"/>
      <c r="J217" s="76"/>
      <c r="K217" s="76"/>
      <c r="L217" s="76"/>
      <c r="M217" s="76"/>
      <c r="N217" s="76"/>
      <c r="O217" s="76"/>
      <c r="P217" s="76"/>
      <c r="Q217" s="76"/>
      <c r="R217" s="76"/>
      <c r="S217" s="76"/>
      <c r="T217" s="76"/>
      <c r="U217" s="76"/>
      <c r="V217" s="76"/>
      <c r="W217" s="76"/>
      <c r="X217" s="76"/>
      <c r="Y217" s="76"/>
      <c r="Z217" s="76"/>
      <c r="AA217" s="79"/>
      <c r="AB217" s="79"/>
      <c r="AC217" s="79"/>
      <c r="AD217" s="79"/>
      <c r="AE217" s="79"/>
      <c r="AF217" s="79"/>
      <c r="AG217" s="79"/>
      <c r="AH217" s="79"/>
      <c r="AI217" s="79"/>
      <c r="AJ217" s="79"/>
      <c r="AK217" s="79"/>
    </row>
    <row r="218" spans="1:37" s="78" customFormat="1" ht="12" customHeight="1">
      <c r="A218" s="76"/>
      <c r="B218" s="76"/>
      <c r="C218" s="76"/>
      <c r="D218" s="76"/>
      <c r="E218" s="76"/>
      <c r="F218" s="77"/>
      <c r="G218" s="76"/>
      <c r="H218" s="76"/>
      <c r="I218" s="76"/>
      <c r="J218" s="76"/>
      <c r="K218" s="76"/>
      <c r="L218" s="76"/>
      <c r="M218" s="76"/>
      <c r="N218" s="76"/>
      <c r="O218" s="76"/>
      <c r="P218" s="76"/>
      <c r="Q218" s="76"/>
      <c r="R218" s="76"/>
      <c r="S218" s="76"/>
      <c r="T218" s="76"/>
      <c r="U218" s="76"/>
      <c r="V218" s="76"/>
      <c r="W218" s="76"/>
      <c r="X218" s="76"/>
      <c r="Y218" s="76"/>
      <c r="Z218" s="76"/>
      <c r="AA218" s="79"/>
      <c r="AB218" s="79"/>
      <c r="AC218" s="79"/>
      <c r="AD218" s="79"/>
      <c r="AE218" s="79"/>
      <c r="AF218" s="79"/>
      <c r="AG218" s="79"/>
      <c r="AH218" s="79"/>
      <c r="AI218" s="79"/>
      <c r="AJ218" s="79"/>
      <c r="AK218" s="79"/>
    </row>
    <row r="219" spans="1:37" s="78" customFormat="1" ht="12" customHeight="1">
      <c r="A219" s="76"/>
      <c r="B219" s="76"/>
      <c r="C219" s="76"/>
      <c r="D219" s="76"/>
      <c r="E219" s="76"/>
      <c r="F219" s="77"/>
      <c r="G219" s="76"/>
      <c r="H219" s="76"/>
      <c r="I219" s="76"/>
      <c r="J219" s="76"/>
      <c r="K219" s="76"/>
      <c r="L219" s="76"/>
      <c r="M219" s="76"/>
      <c r="N219" s="76"/>
      <c r="O219" s="76"/>
      <c r="P219" s="76"/>
      <c r="Q219" s="76"/>
      <c r="R219" s="76"/>
      <c r="S219" s="76"/>
      <c r="T219" s="76"/>
      <c r="U219" s="76"/>
      <c r="V219" s="76"/>
      <c r="W219" s="76"/>
      <c r="X219" s="76"/>
      <c r="Y219" s="76"/>
      <c r="Z219" s="76"/>
      <c r="AA219" s="79"/>
      <c r="AB219" s="79"/>
      <c r="AC219" s="79"/>
      <c r="AD219" s="79"/>
      <c r="AE219" s="79"/>
      <c r="AF219" s="79"/>
      <c r="AG219" s="79"/>
      <c r="AH219" s="79"/>
      <c r="AI219" s="79"/>
      <c r="AJ219" s="79"/>
      <c r="AK219" s="79"/>
    </row>
    <row r="220" spans="1:37" s="78" customFormat="1" ht="12" customHeight="1">
      <c r="A220" s="76"/>
      <c r="B220" s="76"/>
      <c r="C220" s="76"/>
      <c r="D220" s="76"/>
      <c r="E220" s="76"/>
      <c r="F220" s="77"/>
      <c r="G220" s="76"/>
      <c r="H220" s="76"/>
      <c r="I220" s="76"/>
      <c r="J220" s="76"/>
      <c r="K220" s="76"/>
      <c r="L220" s="76"/>
      <c r="M220" s="76"/>
      <c r="N220" s="76"/>
      <c r="O220" s="76"/>
      <c r="P220" s="76"/>
      <c r="Q220" s="76"/>
      <c r="R220" s="76"/>
      <c r="S220" s="76"/>
      <c r="T220" s="76"/>
      <c r="U220" s="76"/>
      <c r="V220" s="76"/>
      <c r="W220" s="76"/>
      <c r="X220" s="76"/>
      <c r="Y220" s="76"/>
      <c r="Z220" s="76"/>
      <c r="AA220" s="79"/>
      <c r="AB220" s="79"/>
      <c r="AC220" s="79"/>
      <c r="AD220" s="79"/>
      <c r="AE220" s="79"/>
      <c r="AF220" s="79"/>
      <c r="AG220" s="79"/>
      <c r="AH220" s="79"/>
      <c r="AI220" s="79"/>
      <c r="AJ220" s="79"/>
      <c r="AK220" s="79"/>
    </row>
    <row r="221" spans="1:37" s="78" customFormat="1" ht="12" customHeight="1">
      <c r="A221" s="76"/>
      <c r="B221" s="76"/>
      <c r="C221" s="76"/>
      <c r="D221" s="76"/>
      <c r="E221" s="76"/>
      <c r="F221" s="77"/>
      <c r="G221" s="76"/>
      <c r="H221" s="76"/>
      <c r="I221" s="76"/>
      <c r="J221" s="76"/>
      <c r="K221" s="76"/>
      <c r="L221" s="76"/>
      <c r="M221" s="76"/>
      <c r="N221" s="76"/>
      <c r="O221" s="76"/>
      <c r="P221" s="76"/>
      <c r="Q221" s="76"/>
      <c r="R221" s="76"/>
      <c r="S221" s="76"/>
      <c r="T221" s="76"/>
      <c r="U221" s="76"/>
      <c r="V221" s="76"/>
      <c r="W221" s="76"/>
      <c r="X221" s="76"/>
      <c r="Y221" s="76"/>
      <c r="Z221" s="76"/>
      <c r="AA221" s="79"/>
      <c r="AB221" s="79"/>
      <c r="AC221" s="79"/>
      <c r="AD221" s="79"/>
      <c r="AE221" s="79"/>
      <c r="AF221" s="79"/>
      <c r="AG221" s="79"/>
      <c r="AH221" s="79"/>
      <c r="AI221" s="79"/>
      <c r="AJ221" s="79"/>
      <c r="AK221" s="79"/>
    </row>
    <row r="222" spans="1:37" s="78" customFormat="1" ht="12" customHeight="1">
      <c r="A222" s="76"/>
      <c r="B222" s="76"/>
      <c r="C222" s="76"/>
      <c r="D222" s="76"/>
      <c r="E222" s="76"/>
      <c r="F222" s="77"/>
      <c r="G222" s="76"/>
      <c r="H222" s="76"/>
      <c r="I222" s="76"/>
      <c r="J222" s="76"/>
      <c r="K222" s="76"/>
      <c r="L222" s="76"/>
      <c r="M222" s="76"/>
      <c r="N222" s="76"/>
      <c r="O222" s="76"/>
      <c r="P222" s="76"/>
      <c r="Q222" s="76"/>
      <c r="R222" s="76"/>
      <c r="S222" s="76"/>
      <c r="T222" s="76"/>
      <c r="U222" s="76"/>
      <c r="V222" s="76"/>
      <c r="W222" s="76"/>
      <c r="X222" s="76"/>
      <c r="Y222" s="76"/>
      <c r="Z222" s="76"/>
      <c r="AA222" s="79"/>
      <c r="AB222" s="79"/>
      <c r="AC222" s="79"/>
      <c r="AD222" s="79"/>
      <c r="AE222" s="79"/>
      <c r="AF222" s="79"/>
      <c r="AG222" s="79"/>
      <c r="AH222" s="79"/>
      <c r="AI222" s="79"/>
      <c r="AJ222" s="79"/>
      <c r="AK222" s="79"/>
    </row>
    <row r="223" spans="1:37" s="78" customFormat="1" ht="12" customHeight="1">
      <c r="A223" s="76"/>
      <c r="B223" s="76"/>
      <c r="C223" s="76"/>
      <c r="D223" s="76"/>
      <c r="E223" s="76"/>
      <c r="F223" s="77"/>
      <c r="G223" s="76"/>
      <c r="H223" s="76"/>
      <c r="I223" s="76"/>
      <c r="J223" s="76"/>
      <c r="K223" s="76"/>
      <c r="L223" s="76"/>
      <c r="M223" s="76"/>
      <c r="N223" s="76"/>
      <c r="O223" s="76"/>
      <c r="P223" s="76"/>
      <c r="Q223" s="76"/>
      <c r="R223" s="76"/>
      <c r="S223" s="76"/>
      <c r="T223" s="76"/>
      <c r="U223" s="76"/>
      <c r="V223" s="76"/>
      <c r="W223" s="76"/>
      <c r="X223" s="76"/>
      <c r="Y223" s="76"/>
      <c r="Z223" s="76"/>
      <c r="AA223" s="79"/>
      <c r="AB223" s="79"/>
      <c r="AC223" s="79"/>
      <c r="AD223" s="79"/>
      <c r="AE223" s="79"/>
      <c r="AF223" s="79"/>
      <c r="AG223" s="79"/>
      <c r="AH223" s="79"/>
      <c r="AI223" s="79"/>
      <c r="AJ223" s="79"/>
      <c r="AK223" s="79"/>
    </row>
    <row r="224" spans="1:37" s="78" customFormat="1" ht="12" customHeight="1">
      <c r="A224" s="76"/>
      <c r="B224" s="76"/>
      <c r="C224" s="76"/>
      <c r="D224" s="76"/>
      <c r="E224" s="76"/>
      <c r="F224" s="77"/>
      <c r="G224" s="76"/>
      <c r="H224" s="76"/>
      <c r="I224" s="76"/>
      <c r="J224" s="76"/>
      <c r="K224" s="76"/>
      <c r="L224" s="76"/>
      <c r="M224" s="76"/>
      <c r="N224" s="76"/>
      <c r="O224" s="76"/>
      <c r="P224" s="76"/>
      <c r="Q224" s="76"/>
      <c r="R224" s="76"/>
      <c r="S224" s="76"/>
      <c r="T224" s="76"/>
      <c r="U224" s="76"/>
      <c r="V224" s="76"/>
      <c r="W224" s="76"/>
      <c r="X224" s="76"/>
      <c r="Y224" s="76"/>
      <c r="Z224" s="76"/>
      <c r="AA224" s="79"/>
      <c r="AB224" s="79"/>
      <c r="AC224" s="79"/>
      <c r="AD224" s="79"/>
      <c r="AE224" s="79"/>
      <c r="AF224" s="79"/>
      <c r="AG224" s="79"/>
      <c r="AH224" s="79"/>
      <c r="AI224" s="79"/>
      <c r="AJ224" s="79"/>
      <c r="AK224" s="79"/>
    </row>
    <row r="225" spans="1:37" s="78" customFormat="1" ht="12" customHeight="1">
      <c r="A225" s="76"/>
      <c r="B225" s="76"/>
      <c r="C225" s="76"/>
      <c r="D225" s="76"/>
      <c r="E225" s="76"/>
      <c r="F225" s="77"/>
      <c r="G225" s="76"/>
      <c r="H225" s="76"/>
      <c r="I225" s="76"/>
      <c r="J225" s="76"/>
      <c r="K225" s="76"/>
      <c r="L225" s="76"/>
      <c r="M225" s="76"/>
      <c r="N225" s="76"/>
      <c r="O225" s="76"/>
      <c r="P225" s="76"/>
      <c r="Q225" s="76"/>
      <c r="R225" s="76"/>
      <c r="S225" s="76"/>
      <c r="T225" s="76"/>
      <c r="U225" s="76"/>
      <c r="V225" s="76"/>
      <c r="W225" s="76"/>
      <c r="X225" s="76"/>
      <c r="Y225" s="76"/>
      <c r="Z225" s="76"/>
      <c r="AA225" s="79"/>
      <c r="AB225" s="79"/>
      <c r="AC225" s="79"/>
      <c r="AD225" s="79"/>
      <c r="AE225" s="79"/>
      <c r="AF225" s="79"/>
      <c r="AG225" s="79"/>
      <c r="AH225" s="79"/>
      <c r="AI225" s="79"/>
      <c r="AJ225" s="79"/>
      <c r="AK225" s="79"/>
    </row>
    <row r="226" spans="1:37" s="78" customFormat="1" ht="12" customHeight="1">
      <c r="A226" s="76"/>
      <c r="B226" s="76"/>
      <c r="C226" s="76"/>
      <c r="D226" s="76"/>
      <c r="E226" s="76"/>
      <c r="F226" s="77"/>
      <c r="G226" s="76"/>
      <c r="H226" s="76"/>
      <c r="I226" s="76"/>
      <c r="J226" s="76"/>
      <c r="K226" s="76"/>
      <c r="L226" s="76"/>
      <c r="M226" s="76"/>
      <c r="N226" s="76"/>
      <c r="O226" s="76"/>
      <c r="P226" s="76"/>
      <c r="Q226" s="76"/>
      <c r="R226" s="76"/>
      <c r="S226" s="76"/>
      <c r="T226" s="76"/>
      <c r="U226" s="76"/>
      <c r="V226" s="76"/>
      <c r="W226" s="76"/>
      <c r="X226" s="76"/>
      <c r="Y226" s="76"/>
      <c r="Z226" s="76"/>
      <c r="AA226" s="79"/>
      <c r="AB226" s="79"/>
      <c r="AC226" s="79"/>
      <c r="AD226" s="79"/>
      <c r="AE226" s="79"/>
      <c r="AF226" s="79"/>
      <c r="AG226" s="79"/>
      <c r="AH226" s="79"/>
      <c r="AI226" s="79"/>
      <c r="AJ226" s="79"/>
      <c r="AK226" s="79"/>
    </row>
    <row r="227" spans="1:37" s="78" customFormat="1" ht="12" customHeight="1">
      <c r="A227" s="76"/>
      <c r="B227" s="76"/>
      <c r="C227" s="76"/>
      <c r="D227" s="76"/>
      <c r="E227" s="76"/>
      <c r="F227" s="77"/>
      <c r="G227" s="76"/>
      <c r="H227" s="76"/>
      <c r="I227" s="76"/>
      <c r="J227" s="76"/>
      <c r="K227" s="76"/>
      <c r="L227" s="76"/>
      <c r="M227" s="76"/>
      <c r="N227" s="76"/>
      <c r="O227" s="76"/>
      <c r="P227" s="76"/>
      <c r="Q227" s="76"/>
      <c r="R227" s="76"/>
      <c r="S227" s="76"/>
      <c r="T227" s="76"/>
      <c r="U227" s="76"/>
      <c r="V227" s="76"/>
      <c r="W227" s="76"/>
      <c r="X227" s="76"/>
      <c r="Y227" s="76"/>
      <c r="Z227" s="76"/>
      <c r="AA227" s="79"/>
      <c r="AB227" s="79"/>
      <c r="AC227" s="79"/>
      <c r="AD227" s="79"/>
      <c r="AE227" s="79"/>
      <c r="AF227" s="79"/>
      <c r="AG227" s="79"/>
      <c r="AH227" s="79"/>
      <c r="AI227" s="79"/>
      <c r="AJ227" s="79"/>
      <c r="AK227" s="79"/>
    </row>
    <row r="228" spans="1:37" s="78" customFormat="1" ht="12" customHeight="1">
      <c r="A228" s="76"/>
      <c r="B228" s="76"/>
      <c r="C228" s="76"/>
      <c r="D228" s="76"/>
      <c r="E228" s="76"/>
      <c r="F228" s="77"/>
      <c r="G228" s="76"/>
      <c r="H228" s="76"/>
      <c r="I228" s="76"/>
      <c r="J228" s="76"/>
      <c r="K228" s="76"/>
      <c r="L228" s="76"/>
      <c r="M228" s="76"/>
      <c r="N228" s="76"/>
      <c r="O228" s="76"/>
      <c r="P228" s="76"/>
      <c r="Q228" s="76"/>
      <c r="R228" s="76"/>
      <c r="S228" s="76"/>
      <c r="T228" s="76"/>
      <c r="U228" s="76"/>
      <c r="V228" s="76"/>
      <c r="W228" s="76"/>
      <c r="X228" s="76"/>
      <c r="Y228" s="76"/>
      <c r="Z228" s="76"/>
      <c r="AA228" s="79"/>
      <c r="AB228" s="79"/>
      <c r="AC228" s="79"/>
      <c r="AD228" s="79"/>
      <c r="AE228" s="79"/>
      <c r="AF228" s="79"/>
      <c r="AG228" s="79"/>
      <c r="AH228" s="79"/>
      <c r="AI228" s="79"/>
      <c r="AJ228" s="79"/>
      <c r="AK228" s="79"/>
    </row>
    <row r="229" spans="1:37" s="78" customFormat="1" ht="12" customHeight="1">
      <c r="A229" s="76"/>
      <c r="B229" s="76"/>
      <c r="C229" s="76"/>
      <c r="D229" s="76"/>
      <c r="E229" s="76"/>
      <c r="F229" s="77"/>
      <c r="G229" s="76"/>
      <c r="H229" s="76"/>
      <c r="I229" s="76"/>
      <c r="J229" s="76"/>
      <c r="K229" s="76"/>
      <c r="L229" s="76"/>
      <c r="M229" s="76"/>
      <c r="N229" s="76"/>
      <c r="O229" s="76"/>
      <c r="P229" s="76"/>
      <c r="Q229" s="76"/>
      <c r="R229" s="76"/>
      <c r="S229" s="76"/>
      <c r="T229" s="76"/>
      <c r="U229" s="76"/>
      <c r="V229" s="76"/>
      <c r="W229" s="76"/>
      <c r="X229" s="76"/>
      <c r="Y229" s="76"/>
      <c r="Z229" s="76"/>
      <c r="AA229" s="79"/>
      <c r="AB229" s="79"/>
      <c r="AC229" s="79"/>
      <c r="AD229" s="79"/>
      <c r="AE229" s="79"/>
      <c r="AF229" s="79"/>
      <c r="AG229" s="79"/>
      <c r="AH229" s="79"/>
      <c r="AI229" s="79"/>
      <c r="AJ229" s="79"/>
      <c r="AK229" s="79"/>
    </row>
    <row r="230" spans="1:37" s="78" customFormat="1" ht="12" customHeight="1">
      <c r="A230" s="76"/>
      <c r="B230" s="76"/>
      <c r="C230" s="76"/>
      <c r="D230" s="76"/>
      <c r="E230" s="76"/>
      <c r="F230" s="77"/>
      <c r="G230" s="76"/>
      <c r="H230" s="76"/>
      <c r="I230" s="76"/>
      <c r="J230" s="76"/>
      <c r="K230" s="76"/>
      <c r="L230" s="76"/>
      <c r="M230" s="76"/>
      <c r="N230" s="76"/>
      <c r="O230" s="76"/>
      <c r="P230" s="76"/>
      <c r="Q230" s="76"/>
      <c r="R230" s="76"/>
      <c r="S230" s="76"/>
      <c r="T230" s="76"/>
      <c r="U230" s="76"/>
      <c r="V230" s="76"/>
      <c r="W230" s="76"/>
      <c r="X230" s="76"/>
      <c r="Y230" s="76"/>
      <c r="Z230" s="76"/>
      <c r="AA230" s="79"/>
      <c r="AB230" s="79"/>
      <c r="AC230" s="79"/>
      <c r="AD230" s="79"/>
      <c r="AE230" s="79"/>
      <c r="AF230" s="79"/>
      <c r="AG230" s="79"/>
      <c r="AH230" s="79"/>
      <c r="AI230" s="79"/>
      <c r="AJ230" s="79"/>
      <c r="AK230" s="79"/>
    </row>
    <row r="231" spans="1:37" s="78" customFormat="1" ht="12" customHeight="1">
      <c r="A231" s="76"/>
      <c r="B231" s="76"/>
      <c r="C231" s="76"/>
      <c r="D231" s="76"/>
      <c r="E231" s="76"/>
      <c r="F231" s="77"/>
      <c r="G231" s="76"/>
      <c r="H231" s="76"/>
      <c r="I231" s="76"/>
      <c r="J231" s="76"/>
      <c r="K231" s="76"/>
      <c r="L231" s="76"/>
      <c r="M231" s="76"/>
      <c r="N231" s="76"/>
      <c r="O231" s="76"/>
      <c r="P231" s="76"/>
      <c r="Q231" s="76"/>
      <c r="R231" s="76"/>
      <c r="S231" s="76"/>
      <c r="T231" s="76"/>
      <c r="U231" s="76"/>
      <c r="V231" s="76"/>
      <c r="W231" s="76"/>
      <c r="X231" s="76"/>
      <c r="Y231" s="76"/>
      <c r="Z231" s="76"/>
      <c r="AA231" s="79"/>
      <c r="AB231" s="79"/>
      <c r="AC231" s="79"/>
      <c r="AD231" s="79"/>
      <c r="AE231" s="79"/>
      <c r="AF231" s="79"/>
      <c r="AG231" s="79"/>
      <c r="AH231" s="79"/>
      <c r="AI231" s="79"/>
      <c r="AJ231" s="79"/>
      <c r="AK231" s="79"/>
    </row>
    <row r="232" spans="1:37" s="78" customFormat="1" ht="12" customHeight="1">
      <c r="A232" s="76"/>
      <c r="B232" s="76"/>
      <c r="C232" s="76"/>
      <c r="D232" s="76"/>
      <c r="E232" s="76"/>
      <c r="F232" s="77"/>
      <c r="G232" s="76"/>
      <c r="H232" s="76"/>
      <c r="I232" s="76"/>
      <c r="J232" s="76"/>
      <c r="K232" s="76"/>
      <c r="L232" s="76"/>
      <c r="M232" s="76"/>
      <c r="N232" s="76"/>
      <c r="O232" s="76"/>
      <c r="P232" s="76"/>
      <c r="Q232" s="76"/>
      <c r="R232" s="76"/>
      <c r="S232" s="76"/>
      <c r="T232" s="76"/>
      <c r="U232" s="76"/>
      <c r="V232" s="76"/>
      <c r="W232" s="76"/>
      <c r="X232" s="76"/>
      <c r="Y232" s="76"/>
      <c r="Z232" s="76"/>
      <c r="AA232" s="79"/>
      <c r="AB232" s="79"/>
      <c r="AC232" s="79"/>
      <c r="AD232" s="79"/>
      <c r="AE232" s="79"/>
      <c r="AF232" s="79"/>
      <c r="AG232" s="79"/>
      <c r="AH232" s="79"/>
      <c r="AI232" s="79"/>
      <c r="AJ232" s="79"/>
      <c r="AK232" s="79"/>
    </row>
    <row r="233" spans="1:37" s="78" customFormat="1" ht="12" customHeight="1">
      <c r="A233" s="76"/>
      <c r="B233" s="76"/>
      <c r="C233" s="76"/>
      <c r="D233" s="76"/>
      <c r="E233" s="76"/>
      <c r="F233" s="77"/>
      <c r="G233" s="76"/>
      <c r="H233" s="76"/>
      <c r="I233" s="76"/>
      <c r="J233" s="76"/>
      <c r="K233" s="76"/>
      <c r="L233" s="76"/>
      <c r="M233" s="76"/>
      <c r="N233" s="76"/>
      <c r="O233" s="76"/>
      <c r="P233" s="76"/>
      <c r="Q233" s="76"/>
      <c r="R233" s="76"/>
      <c r="S233" s="76"/>
      <c r="T233" s="76"/>
      <c r="U233" s="76"/>
      <c r="V233" s="76"/>
      <c r="W233" s="76"/>
      <c r="X233" s="76"/>
      <c r="Y233" s="76"/>
      <c r="Z233" s="76"/>
      <c r="AA233" s="79"/>
      <c r="AB233" s="79"/>
      <c r="AC233" s="79"/>
      <c r="AD233" s="79"/>
      <c r="AE233" s="79"/>
      <c r="AF233" s="79"/>
      <c r="AG233" s="79"/>
      <c r="AH233" s="79"/>
      <c r="AI233" s="79"/>
      <c r="AJ233" s="79"/>
      <c r="AK233" s="79"/>
    </row>
    <row r="234" spans="1:37" s="78" customFormat="1" ht="12" customHeight="1">
      <c r="A234" s="76"/>
      <c r="B234" s="76"/>
      <c r="C234" s="76"/>
      <c r="D234" s="76"/>
      <c r="E234" s="76"/>
      <c r="F234" s="77"/>
      <c r="G234" s="76"/>
      <c r="H234" s="76"/>
      <c r="I234" s="76"/>
      <c r="J234" s="76"/>
      <c r="K234" s="76"/>
      <c r="L234" s="76"/>
      <c r="M234" s="76"/>
      <c r="N234" s="76"/>
      <c r="O234" s="76"/>
      <c r="P234" s="76"/>
      <c r="Q234" s="76"/>
      <c r="R234" s="76"/>
      <c r="S234" s="76"/>
      <c r="T234" s="76"/>
      <c r="U234" s="76"/>
      <c r="V234" s="76"/>
      <c r="W234" s="76"/>
      <c r="X234" s="76"/>
      <c r="Y234" s="76"/>
      <c r="Z234" s="76"/>
      <c r="AA234" s="79"/>
      <c r="AB234" s="79"/>
      <c r="AC234" s="79"/>
      <c r="AD234" s="79"/>
      <c r="AE234" s="79"/>
      <c r="AF234" s="79"/>
      <c r="AG234" s="79"/>
      <c r="AH234" s="79"/>
      <c r="AI234" s="79"/>
      <c r="AJ234" s="79"/>
      <c r="AK234" s="79"/>
    </row>
    <row r="235" spans="1:37" s="78" customFormat="1" ht="12" customHeight="1">
      <c r="A235" s="76"/>
      <c r="B235" s="76"/>
      <c r="C235" s="76"/>
      <c r="D235" s="76"/>
      <c r="E235" s="76"/>
      <c r="F235" s="77"/>
      <c r="G235" s="76"/>
      <c r="H235" s="76"/>
      <c r="I235" s="76"/>
      <c r="J235" s="76"/>
      <c r="K235" s="76"/>
      <c r="L235" s="76"/>
      <c r="M235" s="76"/>
      <c r="N235" s="76"/>
      <c r="O235" s="76"/>
      <c r="P235" s="76"/>
      <c r="Q235" s="76"/>
      <c r="R235" s="76"/>
      <c r="S235" s="76"/>
      <c r="T235" s="76"/>
      <c r="U235" s="76"/>
      <c r="V235" s="76"/>
      <c r="W235" s="76"/>
      <c r="X235" s="76"/>
      <c r="Y235" s="76"/>
      <c r="Z235" s="76"/>
      <c r="AA235" s="79"/>
      <c r="AB235" s="79"/>
      <c r="AC235" s="79"/>
      <c r="AD235" s="79"/>
      <c r="AE235" s="79"/>
      <c r="AF235" s="79"/>
      <c r="AG235" s="79"/>
      <c r="AH235" s="79"/>
      <c r="AI235" s="79"/>
      <c r="AJ235" s="79"/>
      <c r="AK235" s="79"/>
    </row>
    <row r="236" spans="1:37" s="78" customFormat="1" ht="12" customHeight="1">
      <c r="A236" s="76"/>
      <c r="B236" s="76"/>
      <c r="C236" s="76"/>
      <c r="D236" s="76"/>
      <c r="E236" s="76"/>
      <c r="F236" s="77"/>
      <c r="G236" s="76"/>
      <c r="H236" s="76"/>
      <c r="I236" s="76"/>
      <c r="J236" s="76"/>
      <c r="K236" s="76"/>
      <c r="L236" s="76"/>
      <c r="M236" s="76"/>
      <c r="N236" s="76"/>
      <c r="O236" s="76"/>
      <c r="P236" s="76"/>
      <c r="Q236" s="76"/>
      <c r="R236" s="76"/>
      <c r="S236" s="76"/>
      <c r="T236" s="76"/>
      <c r="U236" s="76"/>
      <c r="V236" s="76"/>
      <c r="W236" s="76"/>
      <c r="X236" s="76"/>
      <c r="Y236" s="76"/>
      <c r="Z236" s="76"/>
      <c r="AA236" s="79"/>
      <c r="AB236" s="79"/>
      <c r="AC236" s="79"/>
      <c r="AD236" s="79"/>
      <c r="AE236" s="79"/>
      <c r="AF236" s="79"/>
      <c r="AG236" s="79"/>
      <c r="AH236" s="79"/>
      <c r="AI236" s="79"/>
      <c r="AJ236" s="79"/>
      <c r="AK236" s="79"/>
    </row>
    <row r="237" spans="1:37" s="78" customFormat="1" ht="12" customHeight="1">
      <c r="A237" s="76"/>
      <c r="B237" s="76"/>
      <c r="C237" s="76"/>
      <c r="D237" s="76"/>
      <c r="E237" s="76"/>
      <c r="F237" s="77"/>
      <c r="G237" s="76"/>
      <c r="H237" s="76"/>
      <c r="I237" s="76"/>
      <c r="J237" s="76"/>
      <c r="K237" s="76"/>
      <c r="L237" s="76"/>
      <c r="M237" s="76"/>
      <c r="N237" s="76"/>
      <c r="O237" s="76"/>
      <c r="P237" s="76"/>
      <c r="Q237" s="76"/>
      <c r="R237" s="76"/>
      <c r="S237" s="76"/>
      <c r="T237" s="76"/>
      <c r="U237" s="76"/>
      <c r="V237" s="76"/>
      <c r="W237" s="76"/>
      <c r="X237" s="76"/>
      <c r="Y237" s="76"/>
      <c r="Z237" s="76"/>
      <c r="AA237" s="79"/>
      <c r="AB237" s="79"/>
      <c r="AC237" s="79"/>
      <c r="AD237" s="79"/>
      <c r="AE237" s="79"/>
      <c r="AF237" s="79"/>
      <c r="AG237" s="79"/>
      <c r="AH237" s="79"/>
      <c r="AI237" s="79"/>
      <c r="AJ237" s="79"/>
      <c r="AK237" s="79"/>
    </row>
    <row r="238" spans="1:37" s="78" customFormat="1" ht="12" customHeight="1">
      <c r="A238" s="76"/>
      <c r="B238" s="76"/>
      <c r="C238" s="76"/>
      <c r="D238" s="76"/>
      <c r="E238" s="76"/>
      <c r="F238" s="77"/>
      <c r="G238" s="76"/>
      <c r="H238" s="76"/>
      <c r="I238" s="76"/>
      <c r="J238" s="76"/>
      <c r="K238" s="76"/>
      <c r="L238" s="76"/>
      <c r="M238" s="76"/>
      <c r="N238" s="76"/>
      <c r="O238" s="76"/>
      <c r="P238" s="76"/>
      <c r="Q238" s="76"/>
      <c r="R238" s="76"/>
      <c r="S238" s="76"/>
      <c r="T238" s="76"/>
      <c r="U238" s="76"/>
      <c r="V238" s="76"/>
      <c r="W238" s="76"/>
      <c r="X238" s="76"/>
      <c r="Y238" s="76"/>
      <c r="Z238" s="76"/>
      <c r="AA238" s="79"/>
      <c r="AB238" s="79"/>
      <c r="AC238" s="79"/>
      <c r="AD238" s="79"/>
      <c r="AE238" s="79"/>
      <c r="AF238" s="79"/>
      <c r="AG238" s="79"/>
      <c r="AH238" s="79"/>
      <c r="AI238" s="79"/>
      <c r="AJ238" s="79"/>
      <c r="AK238" s="79"/>
    </row>
    <row r="239" spans="1:37" s="78" customFormat="1" ht="12" customHeight="1">
      <c r="A239" s="76"/>
      <c r="B239" s="76"/>
      <c r="C239" s="76"/>
      <c r="D239" s="76"/>
      <c r="E239" s="76"/>
      <c r="F239" s="77"/>
      <c r="G239" s="76"/>
      <c r="H239" s="76"/>
      <c r="I239" s="76"/>
      <c r="J239" s="76"/>
      <c r="K239" s="76"/>
      <c r="L239" s="76"/>
      <c r="M239" s="76"/>
      <c r="N239" s="76"/>
      <c r="O239" s="76"/>
      <c r="P239" s="76"/>
      <c r="Q239" s="76"/>
      <c r="R239" s="76"/>
      <c r="S239" s="76"/>
      <c r="T239" s="76"/>
      <c r="U239" s="76"/>
      <c r="V239" s="76"/>
      <c r="W239" s="76"/>
      <c r="X239" s="76"/>
      <c r="Y239" s="76"/>
      <c r="Z239" s="76"/>
      <c r="AA239" s="79"/>
      <c r="AB239" s="79"/>
      <c r="AC239" s="79"/>
      <c r="AD239" s="79"/>
      <c r="AE239" s="79"/>
      <c r="AF239" s="79"/>
      <c r="AG239" s="79"/>
      <c r="AH239" s="79"/>
      <c r="AI239" s="79"/>
      <c r="AJ239" s="79"/>
      <c r="AK239" s="79"/>
    </row>
    <row r="240" spans="1:37" s="78" customFormat="1" ht="12" customHeight="1">
      <c r="A240" s="76"/>
      <c r="B240" s="76"/>
      <c r="C240" s="76"/>
      <c r="D240" s="76"/>
      <c r="E240" s="76"/>
      <c r="F240" s="77"/>
      <c r="G240" s="76"/>
      <c r="H240" s="76"/>
      <c r="I240" s="76"/>
      <c r="J240" s="76"/>
      <c r="K240" s="76"/>
      <c r="L240" s="76"/>
      <c r="M240" s="76"/>
      <c r="N240" s="76"/>
      <c r="O240" s="76"/>
      <c r="P240" s="76"/>
      <c r="Q240" s="76"/>
      <c r="R240" s="76"/>
      <c r="S240" s="76"/>
      <c r="T240" s="76"/>
      <c r="U240" s="76"/>
      <c r="V240" s="76"/>
      <c r="W240" s="76"/>
      <c r="X240" s="76"/>
      <c r="Y240" s="76"/>
      <c r="Z240" s="76"/>
      <c r="AA240" s="79"/>
      <c r="AB240" s="79"/>
      <c r="AC240" s="79"/>
      <c r="AD240" s="79"/>
      <c r="AE240" s="79"/>
      <c r="AF240" s="79"/>
      <c r="AG240" s="79"/>
      <c r="AH240" s="79"/>
      <c r="AI240" s="79"/>
      <c r="AJ240" s="79"/>
      <c r="AK240" s="79"/>
    </row>
    <row r="241" spans="1:37" s="78" customFormat="1" ht="12" customHeight="1">
      <c r="A241" s="76"/>
      <c r="B241" s="76"/>
      <c r="C241" s="76"/>
      <c r="D241" s="76"/>
      <c r="E241" s="76"/>
      <c r="F241" s="77"/>
      <c r="G241" s="76"/>
      <c r="H241" s="76"/>
      <c r="I241" s="76"/>
      <c r="J241" s="76"/>
      <c r="K241" s="76"/>
      <c r="L241" s="76"/>
      <c r="M241" s="76"/>
      <c r="N241" s="76"/>
      <c r="O241" s="76"/>
      <c r="P241" s="76"/>
      <c r="Q241" s="76"/>
      <c r="R241" s="76"/>
      <c r="S241" s="76"/>
      <c r="T241" s="76"/>
      <c r="U241" s="76"/>
      <c r="V241" s="76"/>
      <c r="W241" s="76"/>
      <c r="X241" s="76"/>
      <c r="Y241" s="76"/>
      <c r="Z241" s="76"/>
      <c r="AA241" s="79"/>
      <c r="AB241" s="79"/>
      <c r="AC241" s="79"/>
      <c r="AD241" s="79"/>
      <c r="AE241" s="79"/>
      <c r="AF241" s="79"/>
      <c r="AG241" s="79"/>
      <c r="AH241" s="79"/>
      <c r="AI241" s="79"/>
      <c r="AJ241" s="79"/>
      <c r="AK241" s="79"/>
    </row>
    <row r="242" spans="1:37" s="78" customFormat="1" ht="12" customHeight="1">
      <c r="A242" s="76"/>
      <c r="B242" s="76"/>
      <c r="C242" s="76"/>
      <c r="D242" s="76"/>
      <c r="E242" s="76"/>
      <c r="F242" s="77"/>
      <c r="G242" s="76"/>
      <c r="H242" s="76"/>
      <c r="I242" s="76"/>
      <c r="J242" s="76"/>
      <c r="K242" s="76"/>
      <c r="L242" s="76"/>
      <c r="M242" s="76"/>
      <c r="N242" s="76"/>
      <c r="O242" s="76"/>
      <c r="P242" s="76"/>
      <c r="Q242" s="76"/>
      <c r="R242" s="76"/>
      <c r="S242" s="76"/>
      <c r="T242" s="76"/>
      <c r="U242" s="76"/>
      <c r="V242" s="76"/>
      <c r="W242" s="76"/>
      <c r="X242" s="76"/>
      <c r="Y242" s="76"/>
      <c r="Z242" s="76"/>
      <c r="AA242" s="79"/>
      <c r="AB242" s="79"/>
      <c r="AC242" s="79"/>
      <c r="AD242" s="79"/>
      <c r="AE242" s="79"/>
      <c r="AF242" s="79"/>
      <c r="AG242" s="79"/>
      <c r="AH242" s="79"/>
      <c r="AI242" s="79"/>
      <c r="AJ242" s="79"/>
      <c r="AK242" s="79"/>
    </row>
    <row r="243" spans="1:37" s="78" customFormat="1" ht="12" customHeight="1">
      <c r="A243" s="76"/>
      <c r="B243" s="76"/>
      <c r="C243" s="76"/>
      <c r="D243" s="76"/>
      <c r="E243" s="76"/>
      <c r="F243" s="77"/>
      <c r="G243" s="76"/>
      <c r="H243" s="76"/>
      <c r="I243" s="76"/>
      <c r="J243" s="76"/>
      <c r="K243" s="76"/>
      <c r="L243" s="76"/>
      <c r="M243" s="76"/>
      <c r="N243" s="76"/>
      <c r="O243" s="76"/>
      <c r="P243" s="76"/>
      <c r="Q243" s="76"/>
      <c r="R243" s="76"/>
      <c r="S243" s="76"/>
      <c r="T243" s="76"/>
      <c r="U243" s="76"/>
      <c r="V243" s="76"/>
      <c r="W243" s="76"/>
      <c r="X243" s="76"/>
      <c r="Y243" s="76"/>
      <c r="Z243" s="76"/>
      <c r="AA243" s="79"/>
      <c r="AB243" s="79"/>
      <c r="AC243" s="79"/>
      <c r="AD243" s="79"/>
      <c r="AE243" s="79"/>
      <c r="AF243" s="79"/>
      <c r="AG243" s="79"/>
      <c r="AH243" s="79"/>
      <c r="AI243" s="79"/>
      <c r="AJ243" s="79"/>
      <c r="AK243" s="79"/>
    </row>
    <row r="244" spans="1:37" s="78" customFormat="1" ht="12" customHeight="1">
      <c r="A244" s="76"/>
      <c r="B244" s="76"/>
      <c r="C244" s="76"/>
      <c r="D244" s="76"/>
      <c r="E244" s="76"/>
      <c r="F244" s="77"/>
      <c r="G244" s="76"/>
      <c r="H244" s="76"/>
      <c r="I244" s="76"/>
      <c r="J244" s="76"/>
      <c r="K244" s="76"/>
      <c r="L244" s="76"/>
      <c r="M244" s="76"/>
      <c r="N244" s="76"/>
      <c r="O244" s="76"/>
      <c r="P244" s="76"/>
      <c r="Q244" s="76"/>
      <c r="R244" s="76"/>
      <c r="S244" s="76"/>
      <c r="T244" s="76"/>
      <c r="U244" s="76"/>
      <c r="V244" s="76"/>
      <c r="W244" s="76"/>
      <c r="X244" s="76"/>
      <c r="Y244" s="76"/>
      <c r="Z244" s="76"/>
      <c r="AA244" s="79"/>
      <c r="AB244" s="79"/>
      <c r="AC244" s="79"/>
      <c r="AD244" s="79"/>
      <c r="AE244" s="79"/>
      <c r="AF244" s="79"/>
      <c r="AG244" s="79"/>
      <c r="AH244" s="79"/>
      <c r="AI244" s="79"/>
      <c r="AJ244" s="79"/>
      <c r="AK244" s="79"/>
    </row>
    <row r="245" spans="1:37" s="78" customFormat="1" ht="12" customHeight="1">
      <c r="A245" s="76"/>
      <c r="B245" s="76"/>
      <c r="C245" s="76"/>
      <c r="D245" s="76"/>
      <c r="E245" s="76"/>
      <c r="F245" s="77"/>
      <c r="G245" s="76"/>
      <c r="H245" s="76"/>
      <c r="I245" s="76"/>
      <c r="J245" s="76"/>
      <c r="K245" s="76"/>
      <c r="L245" s="76"/>
      <c r="M245" s="76"/>
      <c r="N245" s="76"/>
      <c r="O245" s="76"/>
      <c r="P245" s="76"/>
      <c r="Q245" s="76"/>
      <c r="R245" s="76"/>
      <c r="S245" s="76"/>
      <c r="T245" s="76"/>
      <c r="U245" s="76"/>
      <c r="V245" s="76"/>
      <c r="W245" s="76"/>
      <c r="X245" s="76"/>
      <c r="Y245" s="76"/>
      <c r="Z245" s="76"/>
      <c r="AA245" s="79"/>
      <c r="AB245" s="79"/>
      <c r="AC245" s="79"/>
      <c r="AD245" s="79"/>
      <c r="AE245" s="79"/>
      <c r="AF245" s="79"/>
      <c r="AG245" s="79"/>
      <c r="AH245" s="79"/>
      <c r="AI245" s="79"/>
      <c r="AJ245" s="79"/>
      <c r="AK245" s="79"/>
    </row>
    <row r="246" spans="1:37" s="78" customFormat="1" ht="12" customHeight="1">
      <c r="A246" s="76"/>
      <c r="B246" s="76"/>
      <c r="C246" s="76"/>
      <c r="D246" s="76"/>
      <c r="E246" s="76"/>
      <c r="F246" s="77"/>
      <c r="G246" s="76"/>
      <c r="H246" s="76"/>
      <c r="I246" s="76"/>
      <c r="J246" s="76"/>
      <c r="K246" s="76"/>
      <c r="L246" s="76"/>
      <c r="M246" s="76"/>
      <c r="N246" s="76"/>
      <c r="O246" s="76"/>
      <c r="P246" s="76"/>
      <c r="Q246" s="76"/>
      <c r="R246" s="76"/>
      <c r="S246" s="76"/>
      <c r="T246" s="76"/>
      <c r="U246" s="76"/>
      <c r="V246" s="76"/>
      <c r="W246" s="76"/>
      <c r="X246" s="76"/>
      <c r="Y246" s="76"/>
      <c r="Z246" s="76"/>
      <c r="AA246" s="79"/>
      <c r="AB246" s="79"/>
      <c r="AC246" s="79"/>
      <c r="AD246" s="79"/>
      <c r="AE246" s="79"/>
      <c r="AF246" s="79"/>
      <c r="AG246" s="79"/>
      <c r="AH246" s="79"/>
      <c r="AI246" s="79"/>
      <c r="AJ246" s="79"/>
      <c r="AK246" s="79"/>
    </row>
    <row r="247" spans="1:37" s="78" customFormat="1" ht="12" customHeight="1">
      <c r="A247" s="76"/>
      <c r="B247" s="76"/>
      <c r="C247" s="76"/>
      <c r="D247" s="76"/>
      <c r="E247" s="76"/>
      <c r="F247" s="77"/>
      <c r="G247" s="76"/>
      <c r="H247" s="76"/>
      <c r="I247" s="76"/>
      <c r="J247" s="76"/>
      <c r="K247" s="76"/>
      <c r="L247" s="76"/>
      <c r="M247" s="76"/>
      <c r="N247" s="76"/>
      <c r="O247" s="76"/>
      <c r="P247" s="76"/>
      <c r="Q247" s="76"/>
      <c r="R247" s="76"/>
      <c r="S247" s="76"/>
      <c r="T247" s="76"/>
      <c r="U247" s="76"/>
      <c r="V247" s="76"/>
      <c r="W247" s="76"/>
      <c r="X247" s="76"/>
      <c r="Y247" s="76"/>
      <c r="Z247" s="76"/>
      <c r="AA247" s="79"/>
      <c r="AB247" s="79"/>
      <c r="AC247" s="79"/>
      <c r="AD247" s="79"/>
      <c r="AE247" s="79"/>
      <c r="AF247" s="79"/>
      <c r="AG247" s="79"/>
      <c r="AH247" s="79"/>
      <c r="AI247" s="79"/>
      <c r="AJ247" s="79"/>
      <c r="AK247" s="79"/>
    </row>
    <row r="248" spans="1:37" s="78" customFormat="1" ht="12" customHeight="1">
      <c r="A248" s="76"/>
      <c r="B248" s="76"/>
      <c r="C248" s="76"/>
      <c r="D248" s="76"/>
      <c r="E248" s="76"/>
      <c r="F248" s="77"/>
      <c r="G248" s="76"/>
      <c r="H248" s="76"/>
      <c r="I248" s="76"/>
      <c r="J248" s="76"/>
      <c r="K248" s="76"/>
      <c r="L248" s="76"/>
      <c r="M248" s="76"/>
      <c r="N248" s="76"/>
      <c r="O248" s="76"/>
      <c r="P248" s="76"/>
      <c r="Q248" s="76"/>
      <c r="R248" s="76"/>
      <c r="S248" s="76"/>
      <c r="T248" s="76"/>
      <c r="U248" s="76"/>
      <c r="V248" s="76"/>
      <c r="W248" s="76"/>
      <c r="X248" s="76"/>
      <c r="Y248" s="76"/>
      <c r="Z248" s="76"/>
      <c r="AA248" s="79"/>
      <c r="AB248" s="79"/>
      <c r="AC248" s="79"/>
      <c r="AD248" s="79"/>
      <c r="AE248" s="79"/>
      <c r="AF248" s="79"/>
      <c r="AG248" s="79"/>
      <c r="AH248" s="79"/>
      <c r="AI248" s="79"/>
      <c r="AJ248" s="79"/>
      <c r="AK248" s="79"/>
    </row>
    <row r="249" spans="1:37" s="78" customFormat="1" ht="12" customHeight="1">
      <c r="A249" s="76"/>
      <c r="B249" s="76"/>
      <c r="C249" s="76"/>
      <c r="D249" s="76"/>
      <c r="E249" s="76"/>
      <c r="F249" s="77"/>
      <c r="G249" s="76"/>
      <c r="H249" s="76"/>
      <c r="I249" s="76"/>
      <c r="J249" s="76"/>
      <c r="K249" s="76"/>
      <c r="L249" s="76"/>
      <c r="M249" s="76"/>
      <c r="N249" s="76"/>
      <c r="O249" s="76"/>
      <c r="P249" s="76"/>
      <c r="Q249" s="76"/>
      <c r="R249" s="76"/>
      <c r="S249" s="76"/>
      <c r="T249" s="76"/>
      <c r="U249" s="76"/>
      <c r="V249" s="76"/>
      <c r="W249" s="76"/>
      <c r="X249" s="76"/>
      <c r="Y249" s="76"/>
      <c r="Z249" s="76"/>
      <c r="AA249" s="79"/>
      <c r="AB249" s="79"/>
      <c r="AC249" s="79"/>
      <c r="AD249" s="79"/>
      <c r="AE249" s="79"/>
      <c r="AF249" s="79"/>
      <c r="AG249" s="79"/>
      <c r="AH249" s="79"/>
      <c r="AI249" s="79"/>
      <c r="AJ249" s="79"/>
      <c r="AK249" s="79"/>
    </row>
    <row r="250" spans="1:37" s="78" customFormat="1" ht="12" customHeight="1">
      <c r="A250" s="76"/>
      <c r="B250" s="76"/>
      <c r="C250" s="76"/>
      <c r="D250" s="76"/>
      <c r="E250" s="76"/>
      <c r="F250" s="77"/>
      <c r="G250" s="76"/>
      <c r="H250" s="76"/>
      <c r="I250" s="76"/>
      <c r="J250" s="76"/>
      <c r="K250" s="76"/>
      <c r="L250" s="76"/>
      <c r="M250" s="76"/>
      <c r="N250" s="76"/>
      <c r="O250" s="76"/>
      <c r="P250" s="76"/>
      <c r="Q250" s="76"/>
      <c r="R250" s="76"/>
      <c r="S250" s="76"/>
      <c r="T250" s="76"/>
      <c r="U250" s="76"/>
      <c r="V250" s="76"/>
      <c r="W250" s="76"/>
      <c r="X250" s="76"/>
      <c r="Y250" s="76"/>
      <c r="Z250" s="76"/>
      <c r="AA250" s="79"/>
      <c r="AB250" s="79"/>
      <c r="AC250" s="79"/>
      <c r="AD250" s="79"/>
      <c r="AE250" s="79"/>
      <c r="AF250" s="79"/>
      <c r="AG250" s="79"/>
      <c r="AH250" s="79"/>
      <c r="AI250" s="79"/>
      <c r="AJ250" s="79"/>
      <c r="AK250" s="79"/>
    </row>
    <row r="251" spans="1:37" s="78" customFormat="1" ht="12" customHeight="1">
      <c r="A251" s="76"/>
      <c r="B251" s="76"/>
      <c r="C251" s="76"/>
      <c r="D251" s="76"/>
      <c r="E251" s="76"/>
      <c r="F251" s="77"/>
      <c r="G251" s="76"/>
      <c r="H251" s="76"/>
      <c r="I251" s="76"/>
      <c r="J251" s="76"/>
      <c r="K251" s="76"/>
      <c r="L251" s="76"/>
      <c r="M251" s="76"/>
      <c r="N251" s="76"/>
      <c r="O251" s="76"/>
      <c r="P251" s="76"/>
      <c r="Q251" s="76"/>
      <c r="R251" s="76"/>
      <c r="S251" s="76"/>
      <c r="T251" s="76"/>
      <c r="U251" s="76"/>
      <c r="V251" s="76"/>
      <c r="W251" s="76"/>
      <c r="X251" s="76"/>
      <c r="Y251" s="76"/>
      <c r="Z251" s="76"/>
      <c r="AA251" s="79"/>
      <c r="AB251" s="79"/>
      <c r="AC251" s="79"/>
      <c r="AD251" s="79"/>
      <c r="AE251" s="79"/>
      <c r="AF251" s="79"/>
      <c r="AG251" s="79"/>
      <c r="AH251" s="79"/>
      <c r="AI251" s="79"/>
      <c r="AJ251" s="79"/>
      <c r="AK251" s="79"/>
    </row>
    <row r="252" spans="1:37" s="78" customFormat="1" ht="12" customHeight="1">
      <c r="A252" s="76"/>
      <c r="B252" s="76"/>
      <c r="C252" s="76"/>
      <c r="D252" s="76"/>
      <c r="E252" s="76"/>
      <c r="F252" s="77"/>
      <c r="G252" s="76"/>
      <c r="H252" s="76"/>
      <c r="I252" s="76"/>
      <c r="J252" s="76"/>
      <c r="K252" s="76"/>
      <c r="L252" s="76"/>
      <c r="M252" s="76"/>
      <c r="N252" s="76"/>
      <c r="O252" s="76"/>
      <c r="P252" s="76"/>
      <c r="Q252" s="76"/>
      <c r="R252" s="76"/>
      <c r="S252" s="76"/>
      <c r="T252" s="76"/>
      <c r="U252" s="76"/>
      <c r="V252" s="76"/>
      <c r="W252" s="76"/>
      <c r="X252" s="76"/>
      <c r="Y252" s="76"/>
      <c r="Z252" s="76"/>
      <c r="AA252" s="79"/>
      <c r="AB252" s="79"/>
      <c r="AC252" s="79"/>
      <c r="AD252" s="79"/>
      <c r="AE252" s="79"/>
      <c r="AF252" s="79"/>
      <c r="AG252" s="79"/>
      <c r="AH252" s="79"/>
      <c r="AI252" s="79"/>
      <c r="AJ252" s="79"/>
      <c r="AK252" s="79"/>
    </row>
    <row r="253" spans="1:37" s="78" customFormat="1" ht="12" customHeight="1">
      <c r="A253" s="76"/>
      <c r="B253" s="76"/>
      <c r="C253" s="76"/>
      <c r="D253" s="76"/>
      <c r="E253" s="76"/>
      <c r="F253" s="77"/>
      <c r="G253" s="76"/>
      <c r="H253" s="76"/>
      <c r="I253" s="76"/>
      <c r="J253" s="76"/>
      <c r="K253" s="76"/>
      <c r="L253" s="76"/>
      <c r="M253" s="76"/>
      <c r="N253" s="76"/>
      <c r="O253" s="76"/>
      <c r="P253" s="76"/>
      <c r="Q253" s="76"/>
      <c r="R253" s="76"/>
      <c r="S253" s="76"/>
      <c r="T253" s="76"/>
      <c r="U253" s="76"/>
      <c r="V253" s="76"/>
      <c r="W253" s="76"/>
      <c r="X253" s="76"/>
      <c r="Y253" s="76"/>
      <c r="Z253" s="76"/>
      <c r="AA253" s="79"/>
      <c r="AB253" s="79"/>
      <c r="AC253" s="79"/>
      <c r="AD253" s="79"/>
      <c r="AE253" s="79"/>
      <c r="AF253" s="79"/>
      <c r="AG253" s="79"/>
      <c r="AH253" s="79"/>
      <c r="AI253" s="79"/>
      <c r="AJ253" s="79"/>
      <c r="AK253" s="79"/>
    </row>
    <row r="254" spans="1:37" s="78" customFormat="1" ht="12" customHeight="1">
      <c r="A254" s="76"/>
      <c r="B254" s="76"/>
      <c r="C254" s="76"/>
      <c r="D254" s="76"/>
      <c r="E254" s="76"/>
      <c r="F254" s="77"/>
      <c r="G254" s="76"/>
      <c r="H254" s="76"/>
      <c r="I254" s="76"/>
      <c r="J254" s="76"/>
      <c r="K254" s="76"/>
      <c r="L254" s="76"/>
      <c r="M254" s="76"/>
      <c r="N254" s="76"/>
      <c r="O254" s="76"/>
      <c r="P254" s="76"/>
      <c r="Q254" s="76"/>
      <c r="R254" s="76"/>
      <c r="S254" s="76"/>
      <c r="T254" s="76"/>
      <c r="U254" s="76"/>
      <c r="V254" s="76"/>
      <c r="W254" s="76"/>
      <c r="X254" s="76"/>
      <c r="Y254" s="76"/>
      <c r="Z254" s="76"/>
      <c r="AA254" s="79"/>
      <c r="AB254" s="79"/>
      <c r="AC254" s="79"/>
      <c r="AD254" s="79"/>
      <c r="AE254" s="79"/>
      <c r="AF254" s="79"/>
      <c r="AG254" s="79"/>
      <c r="AH254" s="79"/>
      <c r="AI254" s="79"/>
      <c r="AJ254" s="79"/>
      <c r="AK254" s="79"/>
    </row>
    <row r="255" spans="1:37" s="78" customFormat="1" ht="12" customHeight="1">
      <c r="A255" s="76"/>
      <c r="B255" s="76"/>
      <c r="C255" s="76"/>
      <c r="D255" s="76"/>
      <c r="E255" s="76"/>
      <c r="F255" s="77"/>
      <c r="G255" s="76"/>
      <c r="H255" s="76"/>
      <c r="I255" s="76"/>
      <c r="J255" s="76"/>
      <c r="K255" s="76"/>
      <c r="L255" s="76"/>
      <c r="M255" s="76"/>
      <c r="N255" s="76"/>
      <c r="O255" s="76"/>
      <c r="P255" s="76"/>
      <c r="Q255" s="76"/>
      <c r="R255" s="76"/>
      <c r="S255" s="76"/>
      <c r="T255" s="76"/>
      <c r="U255" s="76"/>
      <c r="V255" s="76"/>
      <c r="W255" s="76"/>
      <c r="X255" s="76"/>
      <c r="Y255" s="76"/>
      <c r="Z255" s="76"/>
      <c r="AA255" s="79"/>
      <c r="AB255" s="79"/>
      <c r="AC255" s="79"/>
      <c r="AD255" s="79"/>
      <c r="AE255" s="79"/>
      <c r="AF255" s="79"/>
      <c r="AG255" s="79"/>
      <c r="AH255" s="79"/>
      <c r="AI255" s="79"/>
      <c r="AJ255" s="79"/>
      <c r="AK255" s="79"/>
    </row>
    <row r="256" spans="1:37" s="78" customFormat="1" ht="12" customHeight="1">
      <c r="A256" s="76"/>
      <c r="B256" s="76"/>
      <c r="C256" s="76"/>
      <c r="D256" s="76"/>
      <c r="E256" s="76"/>
      <c r="F256" s="77"/>
      <c r="G256" s="76"/>
      <c r="H256" s="76"/>
      <c r="I256" s="76"/>
      <c r="J256" s="76"/>
      <c r="K256" s="76"/>
      <c r="L256" s="76"/>
      <c r="M256" s="76"/>
      <c r="N256" s="76"/>
      <c r="O256" s="76"/>
      <c r="P256" s="76"/>
      <c r="Q256" s="76"/>
      <c r="R256" s="76"/>
      <c r="S256" s="76"/>
      <c r="T256" s="76"/>
      <c r="U256" s="76"/>
      <c r="V256" s="76"/>
      <c r="W256" s="76"/>
      <c r="X256" s="76"/>
      <c r="Y256" s="76"/>
      <c r="Z256" s="76"/>
      <c r="AA256" s="79"/>
      <c r="AB256" s="79"/>
      <c r="AC256" s="79"/>
      <c r="AD256" s="79"/>
      <c r="AE256" s="79"/>
      <c r="AF256" s="79"/>
      <c r="AG256" s="79"/>
      <c r="AH256" s="79"/>
      <c r="AI256" s="79"/>
      <c r="AJ256" s="79"/>
      <c r="AK256" s="79"/>
    </row>
    <row r="257" spans="1:37" s="78" customFormat="1" ht="12" customHeight="1">
      <c r="A257" s="76"/>
      <c r="B257" s="76"/>
      <c r="C257" s="76"/>
      <c r="D257" s="76"/>
      <c r="E257" s="76"/>
      <c r="F257" s="77"/>
      <c r="G257" s="76"/>
      <c r="H257" s="76"/>
      <c r="I257" s="76"/>
      <c r="J257" s="76"/>
      <c r="K257" s="76"/>
      <c r="L257" s="76"/>
      <c r="M257" s="76"/>
      <c r="N257" s="76"/>
      <c r="O257" s="76"/>
      <c r="P257" s="76"/>
      <c r="Q257" s="76"/>
      <c r="R257" s="76"/>
      <c r="S257" s="76"/>
      <c r="T257" s="76"/>
      <c r="U257" s="76"/>
      <c r="V257" s="76"/>
      <c r="W257" s="76"/>
      <c r="X257" s="76"/>
      <c r="Y257" s="76"/>
      <c r="Z257" s="76"/>
      <c r="AA257" s="79"/>
      <c r="AB257" s="79"/>
      <c r="AC257" s="79"/>
      <c r="AD257" s="79"/>
      <c r="AE257" s="79"/>
      <c r="AF257" s="79"/>
      <c r="AG257" s="79"/>
      <c r="AH257" s="79"/>
      <c r="AI257" s="79"/>
      <c r="AJ257" s="79"/>
      <c r="AK257" s="79"/>
    </row>
    <row r="258" spans="1:37" s="78" customFormat="1" ht="12" customHeight="1">
      <c r="A258" s="76"/>
      <c r="B258" s="76"/>
      <c r="C258" s="76"/>
      <c r="D258" s="76"/>
      <c r="E258" s="76"/>
      <c r="F258" s="77"/>
      <c r="G258" s="76"/>
      <c r="H258" s="76"/>
      <c r="I258" s="76"/>
      <c r="J258" s="76"/>
      <c r="K258" s="76"/>
      <c r="L258" s="76"/>
      <c r="M258" s="76"/>
      <c r="N258" s="76"/>
      <c r="O258" s="76"/>
      <c r="P258" s="76"/>
      <c r="Q258" s="76"/>
      <c r="R258" s="76"/>
      <c r="S258" s="76"/>
      <c r="T258" s="76"/>
      <c r="U258" s="76"/>
      <c r="V258" s="76"/>
      <c r="W258" s="76"/>
      <c r="X258" s="76"/>
      <c r="Y258" s="76"/>
      <c r="Z258" s="76"/>
      <c r="AA258" s="79"/>
      <c r="AB258" s="79"/>
      <c r="AC258" s="79"/>
      <c r="AD258" s="79"/>
      <c r="AE258" s="79"/>
      <c r="AF258" s="79"/>
      <c r="AG258" s="79"/>
      <c r="AH258" s="79"/>
      <c r="AI258" s="79"/>
      <c r="AJ258" s="79"/>
      <c r="AK258" s="79"/>
    </row>
    <row r="259" spans="1:37" s="78" customFormat="1" ht="12" customHeight="1">
      <c r="A259" s="76"/>
      <c r="B259" s="76"/>
      <c r="C259" s="76"/>
      <c r="D259" s="76"/>
      <c r="E259" s="76"/>
      <c r="F259" s="77"/>
      <c r="G259" s="76"/>
      <c r="H259" s="76"/>
      <c r="I259" s="76"/>
      <c r="J259" s="76"/>
      <c r="K259" s="76"/>
      <c r="L259" s="76"/>
      <c r="M259" s="76"/>
      <c r="N259" s="76"/>
      <c r="O259" s="76"/>
      <c r="P259" s="76"/>
      <c r="Q259" s="76"/>
      <c r="R259" s="76"/>
      <c r="S259" s="76"/>
      <c r="T259" s="76"/>
      <c r="U259" s="76"/>
      <c r="V259" s="76"/>
      <c r="W259" s="76"/>
      <c r="X259" s="76"/>
      <c r="Y259" s="76"/>
      <c r="Z259" s="76"/>
      <c r="AA259" s="79"/>
      <c r="AB259" s="79"/>
      <c r="AC259" s="79"/>
      <c r="AD259" s="79"/>
      <c r="AE259" s="79"/>
      <c r="AF259" s="79"/>
      <c r="AG259" s="79"/>
      <c r="AH259" s="79"/>
      <c r="AI259" s="79"/>
      <c r="AJ259" s="79"/>
      <c r="AK259" s="79"/>
    </row>
    <row r="260" spans="1:37" s="78" customFormat="1" ht="12" customHeight="1">
      <c r="A260" s="76"/>
      <c r="B260" s="76"/>
      <c r="C260" s="76"/>
      <c r="D260" s="76"/>
      <c r="E260" s="76"/>
      <c r="F260" s="77"/>
      <c r="G260" s="76"/>
      <c r="H260" s="76"/>
      <c r="I260" s="76"/>
      <c r="J260" s="76"/>
      <c r="K260" s="76"/>
      <c r="L260" s="76"/>
      <c r="M260" s="76"/>
      <c r="N260" s="76"/>
      <c r="O260" s="76"/>
      <c r="P260" s="76"/>
      <c r="Q260" s="76"/>
      <c r="R260" s="76"/>
      <c r="S260" s="76"/>
      <c r="T260" s="76"/>
      <c r="U260" s="76"/>
      <c r="V260" s="76"/>
      <c r="W260" s="76"/>
      <c r="X260" s="76"/>
      <c r="Y260" s="76"/>
      <c r="Z260" s="76"/>
      <c r="AA260" s="79"/>
      <c r="AB260" s="79"/>
      <c r="AC260" s="79"/>
      <c r="AD260" s="79"/>
      <c r="AE260" s="79"/>
      <c r="AF260" s="79"/>
      <c r="AG260" s="79"/>
      <c r="AH260" s="79"/>
      <c r="AI260" s="79"/>
      <c r="AJ260" s="79"/>
      <c r="AK260" s="79"/>
    </row>
    <row r="261" spans="1:37" s="78" customFormat="1" ht="12" customHeight="1">
      <c r="A261" s="76"/>
      <c r="B261" s="76"/>
      <c r="C261" s="76"/>
      <c r="D261" s="76"/>
      <c r="E261" s="76"/>
      <c r="F261" s="77"/>
      <c r="G261" s="76"/>
      <c r="H261" s="76"/>
      <c r="I261" s="76"/>
      <c r="J261" s="76"/>
      <c r="K261" s="76"/>
      <c r="L261" s="76"/>
      <c r="M261" s="76"/>
      <c r="N261" s="76"/>
      <c r="O261" s="76"/>
      <c r="P261" s="76"/>
      <c r="Q261" s="76"/>
      <c r="R261" s="76"/>
      <c r="S261" s="76"/>
      <c r="T261" s="76"/>
      <c r="U261" s="76"/>
      <c r="V261" s="76"/>
      <c r="W261" s="76"/>
      <c r="X261" s="76"/>
      <c r="Y261" s="76"/>
      <c r="Z261" s="76"/>
      <c r="AA261" s="79"/>
      <c r="AB261" s="79"/>
      <c r="AC261" s="79"/>
      <c r="AD261" s="79"/>
      <c r="AE261" s="79"/>
      <c r="AF261" s="79"/>
      <c r="AG261" s="79"/>
      <c r="AH261" s="79"/>
      <c r="AI261" s="79"/>
      <c r="AJ261" s="79"/>
      <c r="AK261" s="79"/>
    </row>
    <row r="262" spans="1:37" s="78" customFormat="1" ht="12" customHeight="1">
      <c r="A262" s="76"/>
      <c r="B262" s="76"/>
      <c r="C262" s="76"/>
      <c r="D262" s="76"/>
      <c r="E262" s="76"/>
      <c r="F262" s="77"/>
      <c r="G262" s="76"/>
      <c r="H262" s="76"/>
      <c r="I262" s="76"/>
      <c r="J262" s="76"/>
      <c r="K262" s="76"/>
      <c r="L262" s="76"/>
      <c r="M262" s="76"/>
      <c r="N262" s="76"/>
      <c r="O262" s="76"/>
      <c r="P262" s="76"/>
      <c r="Q262" s="76"/>
      <c r="R262" s="76"/>
      <c r="S262" s="76"/>
      <c r="T262" s="76"/>
      <c r="U262" s="76"/>
      <c r="V262" s="76"/>
      <c r="W262" s="76"/>
      <c r="X262" s="76"/>
      <c r="Y262" s="76"/>
      <c r="Z262" s="76"/>
      <c r="AA262" s="79"/>
      <c r="AB262" s="79"/>
      <c r="AC262" s="79"/>
      <c r="AD262" s="79"/>
      <c r="AE262" s="79"/>
      <c r="AF262" s="79"/>
      <c r="AG262" s="79"/>
      <c r="AH262" s="79"/>
      <c r="AI262" s="79"/>
      <c r="AJ262" s="79"/>
      <c r="AK262" s="79"/>
    </row>
    <row r="263" spans="1:37" s="78" customFormat="1" ht="12" customHeight="1">
      <c r="A263" s="76"/>
      <c r="B263" s="76"/>
      <c r="C263" s="76"/>
      <c r="D263" s="76"/>
      <c r="E263" s="76"/>
      <c r="F263" s="77"/>
      <c r="G263" s="76"/>
      <c r="H263" s="76"/>
      <c r="I263" s="76"/>
      <c r="J263" s="76"/>
      <c r="K263" s="76"/>
      <c r="L263" s="76"/>
      <c r="M263" s="76"/>
      <c r="N263" s="76"/>
      <c r="O263" s="76"/>
      <c r="P263" s="76"/>
      <c r="Q263" s="76"/>
      <c r="R263" s="76"/>
      <c r="S263" s="76"/>
      <c r="T263" s="76"/>
      <c r="U263" s="76"/>
      <c r="V263" s="76"/>
      <c r="W263" s="76"/>
      <c r="X263" s="76"/>
      <c r="Y263" s="76"/>
      <c r="Z263" s="76"/>
      <c r="AA263" s="79"/>
      <c r="AB263" s="79"/>
      <c r="AC263" s="79"/>
      <c r="AD263" s="79"/>
      <c r="AE263" s="79"/>
      <c r="AF263" s="79"/>
      <c r="AG263" s="79"/>
      <c r="AH263" s="79"/>
      <c r="AI263" s="79"/>
      <c r="AJ263" s="79"/>
      <c r="AK263" s="79"/>
    </row>
    <row r="264" spans="1:37" s="78" customFormat="1" ht="12" customHeight="1">
      <c r="A264" s="76"/>
      <c r="B264" s="76"/>
      <c r="C264" s="76"/>
      <c r="D264" s="76"/>
      <c r="E264" s="76"/>
      <c r="F264" s="77"/>
      <c r="G264" s="76"/>
      <c r="H264" s="76"/>
      <c r="I264" s="76"/>
      <c r="J264" s="76"/>
      <c r="K264" s="76"/>
      <c r="L264" s="76"/>
      <c r="M264" s="76"/>
      <c r="N264" s="76"/>
      <c r="O264" s="76"/>
      <c r="P264" s="76"/>
      <c r="Q264" s="76"/>
      <c r="R264" s="76"/>
      <c r="S264" s="76"/>
      <c r="T264" s="76"/>
      <c r="U264" s="76"/>
      <c r="V264" s="76"/>
      <c r="W264" s="76"/>
      <c r="X264" s="76"/>
      <c r="Y264" s="76"/>
      <c r="Z264" s="76"/>
      <c r="AA264" s="79"/>
      <c r="AB264" s="79"/>
      <c r="AC264" s="79"/>
      <c r="AD264" s="79"/>
      <c r="AE264" s="79"/>
      <c r="AF264" s="79"/>
      <c r="AG264" s="79"/>
      <c r="AH264" s="79"/>
      <c r="AI264" s="79"/>
      <c r="AJ264" s="79"/>
      <c r="AK264" s="79"/>
    </row>
    <row r="265" spans="1:37" s="78" customFormat="1" ht="12" customHeight="1">
      <c r="A265" s="76"/>
      <c r="B265" s="76"/>
      <c r="C265" s="76"/>
      <c r="D265" s="76"/>
      <c r="E265" s="76"/>
      <c r="F265" s="77"/>
      <c r="G265" s="76"/>
      <c r="H265" s="76"/>
      <c r="I265" s="76"/>
      <c r="J265" s="76"/>
      <c r="K265" s="76"/>
      <c r="L265" s="76"/>
      <c r="M265" s="76"/>
      <c r="N265" s="76"/>
      <c r="O265" s="76"/>
      <c r="P265" s="76"/>
      <c r="Q265" s="76"/>
      <c r="R265" s="76"/>
      <c r="S265" s="76"/>
      <c r="T265" s="76"/>
      <c r="U265" s="76"/>
      <c r="V265" s="76"/>
      <c r="W265" s="76"/>
      <c r="X265" s="76"/>
      <c r="Y265" s="76"/>
      <c r="Z265" s="76"/>
      <c r="AA265" s="79"/>
      <c r="AB265" s="79"/>
      <c r="AC265" s="79"/>
      <c r="AD265" s="79"/>
      <c r="AE265" s="79"/>
      <c r="AF265" s="79"/>
      <c r="AG265" s="79"/>
      <c r="AH265" s="79"/>
      <c r="AI265" s="79"/>
      <c r="AJ265" s="79"/>
      <c r="AK265" s="79"/>
    </row>
    <row r="266" spans="1:37" s="78" customFormat="1" ht="12" customHeight="1">
      <c r="A266" s="76"/>
      <c r="B266" s="76"/>
      <c r="C266" s="76"/>
      <c r="D266" s="76"/>
      <c r="E266" s="76"/>
      <c r="F266" s="77"/>
      <c r="G266" s="76"/>
      <c r="H266" s="76"/>
      <c r="I266" s="76"/>
      <c r="J266" s="76"/>
      <c r="K266" s="76"/>
      <c r="L266" s="76"/>
      <c r="M266" s="76"/>
      <c r="N266" s="76"/>
      <c r="O266" s="76"/>
      <c r="P266" s="76"/>
      <c r="Q266" s="76"/>
      <c r="R266" s="76"/>
      <c r="S266" s="76"/>
      <c r="T266" s="76"/>
      <c r="U266" s="76"/>
      <c r="V266" s="76"/>
      <c r="W266" s="76"/>
      <c r="X266" s="76"/>
      <c r="Y266" s="76"/>
      <c r="Z266" s="76"/>
      <c r="AA266" s="79"/>
      <c r="AB266" s="79"/>
      <c r="AC266" s="79"/>
      <c r="AD266" s="79"/>
      <c r="AE266" s="79"/>
      <c r="AF266" s="79"/>
      <c r="AG266" s="79"/>
      <c r="AH266" s="79"/>
      <c r="AI266" s="79"/>
      <c r="AJ266" s="79"/>
      <c r="AK266" s="79"/>
    </row>
    <row r="267" spans="1:37" s="78" customFormat="1" ht="12" customHeight="1">
      <c r="A267" s="76"/>
      <c r="B267" s="76"/>
      <c r="C267" s="76"/>
      <c r="D267" s="76"/>
      <c r="E267" s="76"/>
      <c r="F267" s="77"/>
      <c r="G267" s="76"/>
      <c r="H267" s="76"/>
      <c r="I267" s="76"/>
      <c r="J267" s="76"/>
      <c r="K267" s="76"/>
      <c r="L267" s="76"/>
      <c r="M267" s="76"/>
      <c r="N267" s="76"/>
      <c r="O267" s="76"/>
      <c r="P267" s="76"/>
      <c r="Q267" s="76"/>
      <c r="R267" s="76"/>
      <c r="S267" s="76"/>
      <c r="T267" s="76"/>
      <c r="U267" s="76"/>
      <c r="V267" s="76"/>
      <c r="W267" s="76"/>
      <c r="X267" s="76"/>
      <c r="Y267" s="76"/>
      <c r="Z267" s="76"/>
      <c r="AA267" s="79"/>
      <c r="AB267" s="79"/>
      <c r="AC267" s="79"/>
      <c r="AD267" s="79"/>
      <c r="AE267" s="79"/>
      <c r="AF267" s="79"/>
      <c r="AG267" s="79"/>
      <c r="AH267" s="79"/>
      <c r="AI267" s="79"/>
      <c r="AJ267" s="79"/>
      <c r="AK267" s="79"/>
    </row>
    <row r="268" spans="1:37" s="78" customFormat="1" ht="12" customHeight="1">
      <c r="A268" s="76"/>
      <c r="B268" s="76"/>
      <c r="C268" s="76"/>
      <c r="D268" s="76"/>
      <c r="E268" s="76"/>
      <c r="F268" s="77"/>
      <c r="G268" s="76"/>
      <c r="H268" s="76"/>
      <c r="I268" s="76"/>
      <c r="J268" s="76"/>
      <c r="K268" s="76"/>
      <c r="L268" s="76"/>
      <c r="M268" s="76"/>
      <c r="N268" s="76"/>
      <c r="O268" s="76"/>
      <c r="P268" s="76"/>
      <c r="Q268" s="76"/>
      <c r="R268" s="76"/>
      <c r="S268" s="76"/>
      <c r="T268" s="76"/>
      <c r="U268" s="76"/>
      <c r="V268" s="76"/>
      <c r="W268" s="76"/>
      <c r="X268" s="76"/>
      <c r="Y268" s="76"/>
      <c r="Z268" s="76"/>
      <c r="AA268" s="79"/>
      <c r="AB268" s="79"/>
      <c r="AC268" s="79"/>
      <c r="AD268" s="79"/>
      <c r="AE268" s="79"/>
      <c r="AF268" s="79"/>
      <c r="AG268" s="79"/>
      <c r="AH268" s="79"/>
      <c r="AI268" s="79"/>
      <c r="AJ268" s="79"/>
      <c r="AK268" s="79"/>
    </row>
    <row r="269" spans="1:37" s="78" customFormat="1" ht="12" customHeight="1">
      <c r="A269" s="76"/>
      <c r="B269" s="76"/>
      <c r="C269" s="76"/>
      <c r="D269" s="76"/>
      <c r="E269" s="76"/>
      <c r="F269" s="77"/>
      <c r="G269" s="76"/>
      <c r="H269" s="76"/>
      <c r="I269" s="76"/>
      <c r="J269" s="76"/>
      <c r="K269" s="76"/>
      <c r="L269" s="76"/>
      <c r="M269" s="76"/>
      <c r="N269" s="76"/>
      <c r="O269" s="76"/>
      <c r="P269" s="76"/>
      <c r="Q269" s="76"/>
      <c r="R269" s="76"/>
      <c r="S269" s="76"/>
      <c r="T269" s="76"/>
      <c r="U269" s="76"/>
      <c r="V269" s="76"/>
      <c r="W269" s="76"/>
      <c r="X269" s="76"/>
      <c r="Y269" s="76"/>
      <c r="Z269" s="76"/>
      <c r="AA269" s="79"/>
      <c r="AB269" s="79"/>
      <c r="AC269" s="79"/>
      <c r="AD269" s="79"/>
      <c r="AE269" s="79"/>
      <c r="AF269" s="79"/>
      <c r="AG269" s="79"/>
      <c r="AH269" s="79"/>
      <c r="AI269" s="79"/>
      <c r="AJ269" s="79"/>
      <c r="AK269" s="79"/>
    </row>
    <row r="270" spans="1:37" s="78" customFormat="1" ht="12" customHeight="1">
      <c r="A270" s="76"/>
      <c r="B270" s="76"/>
      <c r="C270" s="76"/>
      <c r="D270" s="76"/>
      <c r="E270" s="76"/>
      <c r="F270" s="77"/>
      <c r="G270" s="76"/>
      <c r="H270" s="76"/>
      <c r="I270" s="76"/>
      <c r="J270" s="76"/>
      <c r="K270" s="76"/>
      <c r="L270" s="76"/>
      <c r="M270" s="76"/>
      <c r="N270" s="76"/>
      <c r="O270" s="76"/>
      <c r="P270" s="76"/>
      <c r="Q270" s="76"/>
      <c r="R270" s="76"/>
      <c r="S270" s="76"/>
      <c r="T270" s="76"/>
      <c r="U270" s="76"/>
      <c r="V270" s="76"/>
      <c r="W270" s="76"/>
      <c r="X270" s="76"/>
      <c r="Y270" s="76"/>
      <c r="Z270" s="76"/>
      <c r="AA270" s="79"/>
      <c r="AB270" s="79"/>
      <c r="AC270" s="79"/>
      <c r="AD270" s="79"/>
      <c r="AE270" s="79"/>
      <c r="AF270" s="79"/>
      <c r="AG270" s="79"/>
      <c r="AH270" s="79"/>
      <c r="AI270" s="79"/>
      <c r="AJ270" s="79"/>
      <c r="AK270" s="79"/>
    </row>
    <row r="271" spans="1:37" s="78" customFormat="1" ht="12" customHeight="1">
      <c r="A271" s="76"/>
      <c r="B271" s="76"/>
      <c r="C271" s="76"/>
      <c r="D271" s="76"/>
      <c r="E271" s="76"/>
      <c r="F271" s="77"/>
      <c r="G271" s="76"/>
      <c r="H271" s="76"/>
      <c r="I271" s="76"/>
      <c r="J271" s="76"/>
      <c r="K271" s="76"/>
      <c r="L271" s="76"/>
      <c r="M271" s="76"/>
      <c r="N271" s="76"/>
      <c r="O271" s="76"/>
      <c r="P271" s="76"/>
      <c r="Q271" s="76"/>
      <c r="R271" s="76"/>
      <c r="S271" s="76"/>
      <c r="T271" s="76"/>
      <c r="U271" s="76"/>
      <c r="V271" s="76"/>
      <c r="W271" s="76"/>
      <c r="X271" s="76"/>
      <c r="Y271" s="76"/>
      <c r="Z271" s="76"/>
      <c r="AA271" s="79"/>
      <c r="AB271" s="79"/>
      <c r="AC271" s="79"/>
      <c r="AD271" s="79"/>
      <c r="AE271" s="79"/>
      <c r="AF271" s="79"/>
      <c r="AG271" s="79"/>
      <c r="AH271" s="79"/>
      <c r="AI271" s="79"/>
      <c r="AJ271" s="79"/>
      <c r="AK271" s="79"/>
    </row>
    <row r="272" spans="1:37" s="78" customFormat="1" ht="12" customHeight="1">
      <c r="A272" s="76"/>
      <c r="B272" s="76"/>
      <c r="C272" s="76"/>
      <c r="D272" s="76"/>
      <c r="E272" s="76"/>
      <c r="F272" s="77"/>
      <c r="G272" s="76"/>
      <c r="H272" s="76"/>
      <c r="I272" s="76"/>
      <c r="J272" s="76"/>
      <c r="K272" s="76"/>
      <c r="L272" s="76"/>
      <c r="M272" s="76"/>
      <c r="N272" s="76"/>
      <c r="O272" s="76"/>
      <c r="P272" s="76"/>
      <c r="Q272" s="76"/>
      <c r="R272" s="76"/>
      <c r="S272" s="76"/>
      <c r="T272" s="76"/>
      <c r="U272" s="76"/>
      <c r="V272" s="76"/>
      <c r="W272" s="76"/>
      <c r="X272" s="76"/>
      <c r="Y272" s="76"/>
      <c r="Z272" s="76"/>
      <c r="AA272" s="79"/>
      <c r="AB272" s="79"/>
      <c r="AC272" s="79"/>
      <c r="AD272" s="79"/>
      <c r="AE272" s="79"/>
      <c r="AF272" s="79"/>
      <c r="AG272" s="79"/>
      <c r="AH272" s="79"/>
      <c r="AI272" s="79"/>
      <c r="AJ272" s="79"/>
      <c r="AK272" s="79"/>
    </row>
    <row r="273" spans="1:37" s="78" customFormat="1" ht="12" customHeight="1">
      <c r="A273" s="76"/>
      <c r="B273" s="76"/>
      <c r="C273" s="76"/>
      <c r="D273" s="76"/>
      <c r="E273" s="76"/>
      <c r="F273" s="77"/>
      <c r="G273" s="76"/>
      <c r="H273" s="76"/>
      <c r="I273" s="76"/>
      <c r="J273" s="76"/>
      <c r="K273" s="76"/>
      <c r="L273" s="76"/>
      <c r="M273" s="76"/>
      <c r="N273" s="76"/>
      <c r="O273" s="76"/>
      <c r="P273" s="76"/>
      <c r="Q273" s="76"/>
      <c r="R273" s="76"/>
      <c r="S273" s="76"/>
      <c r="T273" s="76"/>
      <c r="U273" s="76"/>
      <c r="V273" s="76"/>
      <c r="W273" s="76"/>
      <c r="X273" s="76"/>
      <c r="Y273" s="76"/>
      <c r="Z273" s="76"/>
      <c r="AA273" s="79"/>
      <c r="AB273" s="79"/>
      <c r="AC273" s="79"/>
      <c r="AD273" s="79"/>
      <c r="AE273" s="79"/>
      <c r="AF273" s="79"/>
      <c r="AG273" s="79"/>
      <c r="AH273" s="79"/>
      <c r="AI273" s="79"/>
      <c r="AJ273" s="79"/>
      <c r="AK273" s="79"/>
    </row>
    <row r="274" spans="1:37" s="78" customFormat="1" ht="12" customHeight="1">
      <c r="A274" s="76"/>
      <c r="B274" s="76"/>
      <c r="C274" s="76"/>
      <c r="D274" s="76"/>
      <c r="E274" s="76"/>
      <c r="F274" s="77"/>
      <c r="G274" s="76"/>
      <c r="H274" s="76"/>
      <c r="I274" s="76"/>
      <c r="J274" s="76"/>
      <c r="K274" s="76"/>
      <c r="L274" s="76"/>
      <c r="M274" s="76"/>
      <c r="N274" s="76"/>
      <c r="O274" s="76"/>
      <c r="P274" s="76"/>
      <c r="Q274" s="76"/>
      <c r="R274" s="76"/>
      <c r="S274" s="76"/>
      <c r="T274" s="76"/>
      <c r="U274" s="76"/>
      <c r="V274" s="76"/>
      <c r="W274" s="76"/>
      <c r="X274" s="76"/>
      <c r="Y274" s="76"/>
      <c r="Z274" s="76"/>
      <c r="AA274" s="79"/>
      <c r="AB274" s="79"/>
      <c r="AC274" s="79"/>
      <c r="AD274" s="79"/>
      <c r="AE274" s="79"/>
      <c r="AF274" s="79"/>
      <c r="AG274" s="79"/>
      <c r="AH274" s="79"/>
      <c r="AI274" s="79"/>
      <c r="AJ274" s="79"/>
      <c r="AK274" s="79"/>
    </row>
    <row r="275" spans="1:37" s="78" customFormat="1" ht="12" customHeight="1">
      <c r="A275" s="76"/>
      <c r="B275" s="76"/>
      <c r="C275" s="76"/>
      <c r="D275" s="76"/>
      <c r="E275" s="76"/>
      <c r="F275" s="77"/>
      <c r="G275" s="76"/>
      <c r="H275" s="76"/>
      <c r="I275" s="76"/>
      <c r="J275" s="76"/>
      <c r="K275" s="76"/>
      <c r="L275" s="76"/>
      <c r="M275" s="76"/>
      <c r="N275" s="76"/>
      <c r="O275" s="76"/>
      <c r="P275" s="76"/>
      <c r="Q275" s="76"/>
      <c r="R275" s="76"/>
      <c r="S275" s="76"/>
      <c r="T275" s="76"/>
      <c r="U275" s="76"/>
      <c r="V275" s="76"/>
      <c r="W275" s="76"/>
      <c r="X275" s="76"/>
      <c r="Y275" s="76"/>
      <c r="Z275" s="76"/>
      <c r="AA275" s="79"/>
      <c r="AB275" s="79"/>
      <c r="AC275" s="79"/>
      <c r="AD275" s="79"/>
      <c r="AE275" s="79"/>
      <c r="AF275" s="79"/>
      <c r="AG275" s="79"/>
      <c r="AH275" s="79"/>
      <c r="AI275" s="79"/>
      <c r="AJ275" s="79"/>
      <c r="AK275" s="79"/>
    </row>
    <row r="276" spans="1:37" s="78" customFormat="1" ht="12" customHeight="1">
      <c r="A276" s="76"/>
      <c r="B276" s="76"/>
      <c r="C276" s="76"/>
      <c r="D276" s="76"/>
      <c r="E276" s="76"/>
      <c r="F276" s="77"/>
      <c r="G276" s="76"/>
      <c r="H276" s="76"/>
      <c r="I276" s="76"/>
      <c r="J276" s="76"/>
      <c r="K276" s="76"/>
      <c r="L276" s="76"/>
      <c r="M276" s="76"/>
      <c r="N276" s="76"/>
      <c r="O276" s="76"/>
      <c r="P276" s="76"/>
      <c r="Q276" s="76"/>
      <c r="R276" s="76"/>
      <c r="S276" s="76"/>
      <c r="T276" s="76"/>
      <c r="U276" s="76"/>
      <c r="V276" s="76"/>
      <c r="W276" s="76"/>
      <c r="X276" s="76"/>
      <c r="Y276" s="76"/>
      <c r="Z276" s="76"/>
      <c r="AA276" s="79"/>
      <c r="AB276" s="79"/>
      <c r="AC276" s="79"/>
      <c r="AD276" s="79"/>
      <c r="AE276" s="79"/>
      <c r="AF276" s="79"/>
      <c r="AG276" s="79"/>
      <c r="AH276" s="79"/>
      <c r="AI276" s="79"/>
      <c r="AJ276" s="79"/>
      <c r="AK276" s="79"/>
    </row>
    <row r="277" spans="1:37" s="78" customFormat="1" ht="12" customHeight="1">
      <c r="A277" s="76"/>
      <c r="B277" s="76"/>
      <c r="C277" s="76"/>
      <c r="D277" s="76"/>
      <c r="E277" s="76"/>
      <c r="F277" s="77"/>
      <c r="G277" s="76"/>
      <c r="H277" s="76"/>
      <c r="I277" s="76"/>
      <c r="J277" s="76"/>
      <c r="K277" s="76"/>
      <c r="L277" s="76"/>
      <c r="M277" s="76"/>
      <c r="N277" s="76"/>
      <c r="O277" s="76"/>
      <c r="P277" s="76"/>
      <c r="Q277" s="76"/>
      <c r="R277" s="76"/>
      <c r="S277" s="76"/>
      <c r="T277" s="76"/>
      <c r="U277" s="76"/>
      <c r="V277" s="76"/>
      <c r="W277" s="76"/>
      <c r="X277" s="76"/>
      <c r="Y277" s="76"/>
      <c r="Z277" s="76"/>
      <c r="AA277" s="79"/>
      <c r="AB277" s="79"/>
      <c r="AC277" s="79"/>
      <c r="AD277" s="79"/>
      <c r="AE277" s="79"/>
      <c r="AF277" s="79"/>
      <c r="AG277" s="79"/>
      <c r="AH277" s="79"/>
      <c r="AI277" s="79"/>
      <c r="AJ277" s="79"/>
      <c r="AK277" s="79"/>
    </row>
    <row r="278" spans="1:37" s="78" customFormat="1" ht="12" customHeight="1">
      <c r="A278" s="76"/>
      <c r="B278" s="76"/>
      <c r="C278" s="76"/>
      <c r="D278" s="76"/>
      <c r="E278" s="76"/>
      <c r="F278" s="77"/>
      <c r="G278" s="76"/>
      <c r="H278" s="76"/>
      <c r="I278" s="76"/>
      <c r="J278" s="76"/>
      <c r="K278" s="76"/>
      <c r="L278" s="76"/>
      <c r="M278" s="76"/>
      <c r="N278" s="76"/>
      <c r="O278" s="76"/>
      <c r="P278" s="76"/>
      <c r="Q278" s="76"/>
      <c r="R278" s="76"/>
      <c r="S278" s="76"/>
      <c r="T278" s="76"/>
      <c r="U278" s="76"/>
      <c r="V278" s="76"/>
      <c r="W278" s="76"/>
      <c r="X278" s="76"/>
      <c r="Y278" s="76"/>
      <c r="Z278" s="76"/>
      <c r="AA278" s="79"/>
      <c r="AB278" s="79"/>
      <c r="AC278" s="79"/>
      <c r="AD278" s="79"/>
      <c r="AE278" s="79"/>
      <c r="AF278" s="79"/>
      <c r="AG278" s="79"/>
      <c r="AH278" s="79"/>
      <c r="AI278" s="79"/>
      <c r="AJ278" s="79"/>
      <c r="AK278" s="79"/>
    </row>
    <row r="279" spans="1:37" s="78" customFormat="1" ht="12" customHeight="1">
      <c r="A279" s="76"/>
      <c r="B279" s="76"/>
      <c r="C279" s="76"/>
      <c r="D279" s="76"/>
      <c r="E279" s="76"/>
      <c r="F279" s="77"/>
      <c r="G279" s="76"/>
      <c r="H279" s="76"/>
      <c r="I279" s="76"/>
      <c r="J279" s="76"/>
      <c r="K279" s="76"/>
      <c r="L279" s="76"/>
      <c r="M279" s="76"/>
      <c r="N279" s="76"/>
      <c r="O279" s="76"/>
      <c r="P279" s="76"/>
      <c r="Q279" s="76"/>
      <c r="R279" s="76"/>
      <c r="S279" s="76"/>
      <c r="T279" s="76"/>
      <c r="U279" s="76"/>
      <c r="V279" s="76"/>
      <c r="W279" s="76"/>
      <c r="X279" s="76"/>
      <c r="Y279" s="76"/>
      <c r="Z279" s="76"/>
      <c r="AA279" s="79"/>
      <c r="AB279" s="79"/>
      <c r="AC279" s="79"/>
      <c r="AD279" s="79"/>
      <c r="AE279" s="79"/>
      <c r="AF279" s="79"/>
      <c r="AG279" s="79"/>
      <c r="AH279" s="79"/>
      <c r="AI279" s="79"/>
      <c r="AJ279" s="79"/>
      <c r="AK279" s="79"/>
    </row>
    <row r="280" spans="1:37" s="78" customFormat="1" ht="12" customHeight="1">
      <c r="A280" s="76"/>
      <c r="B280" s="76"/>
      <c r="C280" s="76"/>
      <c r="D280" s="76"/>
      <c r="E280" s="76"/>
      <c r="F280" s="77"/>
      <c r="G280" s="76"/>
      <c r="H280" s="76"/>
      <c r="I280" s="76"/>
      <c r="J280" s="76"/>
      <c r="K280" s="76"/>
      <c r="L280" s="76"/>
      <c r="M280" s="76"/>
      <c r="N280" s="76"/>
      <c r="O280" s="76"/>
      <c r="P280" s="76"/>
      <c r="Q280" s="76"/>
      <c r="R280" s="76"/>
      <c r="S280" s="76"/>
      <c r="T280" s="76"/>
      <c r="U280" s="76"/>
      <c r="V280" s="76"/>
      <c r="W280" s="76"/>
      <c r="X280" s="76"/>
      <c r="Y280" s="76"/>
      <c r="Z280" s="76"/>
      <c r="AA280" s="79"/>
      <c r="AB280" s="79"/>
      <c r="AC280" s="79"/>
      <c r="AD280" s="79"/>
      <c r="AE280" s="79"/>
      <c r="AF280" s="79"/>
      <c r="AG280" s="79"/>
      <c r="AH280" s="79"/>
      <c r="AI280" s="79"/>
      <c r="AJ280" s="79"/>
      <c r="AK280" s="79"/>
    </row>
    <row r="281" spans="1:37" s="78" customFormat="1" ht="12" customHeight="1">
      <c r="A281" s="76"/>
      <c r="B281" s="76"/>
      <c r="C281" s="76"/>
      <c r="D281" s="76"/>
      <c r="E281" s="76"/>
      <c r="F281" s="77"/>
      <c r="G281" s="76"/>
      <c r="H281" s="76"/>
      <c r="I281" s="76"/>
      <c r="J281" s="76"/>
      <c r="K281" s="76"/>
      <c r="L281" s="76"/>
      <c r="M281" s="76"/>
      <c r="N281" s="76"/>
      <c r="O281" s="76"/>
      <c r="P281" s="76"/>
      <c r="Q281" s="76"/>
      <c r="R281" s="76"/>
      <c r="S281" s="76"/>
      <c r="T281" s="76"/>
      <c r="U281" s="76"/>
      <c r="V281" s="76"/>
      <c r="W281" s="76"/>
      <c r="X281" s="76"/>
      <c r="Y281" s="76"/>
      <c r="Z281" s="76"/>
      <c r="AA281" s="79"/>
      <c r="AB281" s="79"/>
      <c r="AC281" s="79"/>
      <c r="AD281" s="79"/>
      <c r="AE281" s="79"/>
      <c r="AF281" s="79"/>
      <c r="AG281" s="79"/>
      <c r="AH281" s="79"/>
      <c r="AI281" s="79"/>
      <c r="AJ281" s="79"/>
      <c r="AK281" s="79"/>
    </row>
    <row r="282" spans="1:37" s="78" customFormat="1" ht="12" customHeight="1">
      <c r="A282" s="76"/>
      <c r="B282" s="76"/>
      <c r="C282" s="76"/>
      <c r="D282" s="76"/>
      <c r="E282" s="76"/>
      <c r="F282" s="77"/>
      <c r="G282" s="76"/>
      <c r="H282" s="76"/>
      <c r="I282" s="76"/>
      <c r="J282" s="76"/>
      <c r="K282" s="76"/>
      <c r="L282" s="76"/>
      <c r="M282" s="76"/>
      <c r="N282" s="76"/>
      <c r="O282" s="76"/>
      <c r="P282" s="76"/>
      <c r="Q282" s="76"/>
      <c r="R282" s="76"/>
      <c r="S282" s="76"/>
      <c r="T282" s="76"/>
      <c r="U282" s="76"/>
      <c r="V282" s="76"/>
      <c r="W282" s="76"/>
      <c r="X282" s="76"/>
      <c r="Y282" s="76"/>
      <c r="Z282" s="76"/>
      <c r="AA282" s="79"/>
      <c r="AB282" s="79"/>
      <c r="AC282" s="79"/>
      <c r="AD282" s="79"/>
      <c r="AE282" s="79"/>
      <c r="AF282" s="79"/>
      <c r="AG282" s="79"/>
      <c r="AH282" s="79"/>
      <c r="AI282" s="79"/>
      <c r="AJ282" s="79"/>
      <c r="AK282" s="79"/>
    </row>
    <row r="283" spans="1:37" s="78" customFormat="1" ht="12" customHeight="1">
      <c r="A283" s="76"/>
      <c r="B283" s="76"/>
      <c r="C283" s="76"/>
      <c r="D283" s="76"/>
      <c r="E283" s="76"/>
      <c r="F283" s="77"/>
      <c r="G283" s="76"/>
      <c r="H283" s="76"/>
      <c r="I283" s="76"/>
      <c r="J283" s="76"/>
      <c r="K283" s="76"/>
      <c r="L283" s="76"/>
      <c r="M283" s="76"/>
      <c r="N283" s="76"/>
      <c r="O283" s="76"/>
      <c r="P283" s="76"/>
      <c r="Q283" s="76"/>
      <c r="R283" s="76"/>
      <c r="S283" s="76"/>
      <c r="T283" s="76"/>
      <c r="U283" s="76"/>
      <c r="V283" s="76"/>
      <c r="W283" s="76"/>
      <c r="X283" s="76"/>
      <c r="Y283" s="76"/>
      <c r="Z283" s="76"/>
      <c r="AA283" s="79"/>
      <c r="AB283" s="79"/>
      <c r="AC283" s="79"/>
      <c r="AD283" s="79"/>
      <c r="AE283" s="79"/>
      <c r="AF283" s="79"/>
      <c r="AG283" s="79"/>
      <c r="AH283" s="79"/>
      <c r="AI283" s="79"/>
      <c r="AJ283" s="79"/>
      <c r="AK283" s="79"/>
    </row>
    <row r="284" spans="1:37" s="78" customFormat="1" ht="12" customHeight="1">
      <c r="A284" s="76"/>
      <c r="B284" s="76"/>
      <c r="C284" s="76"/>
      <c r="D284" s="76"/>
      <c r="E284" s="76"/>
      <c r="F284" s="77"/>
      <c r="G284" s="76"/>
      <c r="H284" s="76"/>
      <c r="I284" s="76"/>
      <c r="J284" s="76"/>
      <c r="K284" s="76"/>
      <c r="L284" s="76"/>
      <c r="M284" s="76"/>
      <c r="N284" s="76"/>
      <c r="O284" s="76"/>
      <c r="P284" s="76"/>
      <c r="Q284" s="76"/>
      <c r="R284" s="76"/>
      <c r="S284" s="76"/>
      <c r="T284" s="76"/>
      <c r="U284" s="76"/>
      <c r="V284" s="76"/>
      <c r="W284" s="76"/>
      <c r="X284" s="76"/>
      <c r="Y284" s="76"/>
      <c r="Z284" s="76"/>
      <c r="AA284" s="79"/>
      <c r="AB284" s="79"/>
      <c r="AC284" s="79"/>
      <c r="AD284" s="79"/>
      <c r="AE284" s="79"/>
      <c r="AF284" s="79"/>
      <c r="AG284" s="79"/>
      <c r="AH284" s="79"/>
      <c r="AI284" s="79"/>
      <c r="AJ284" s="79"/>
      <c r="AK284" s="79"/>
    </row>
    <row r="285" spans="1:37" s="78" customFormat="1" ht="12" customHeight="1">
      <c r="A285" s="76"/>
      <c r="B285" s="76"/>
      <c r="C285" s="76"/>
      <c r="D285" s="76"/>
      <c r="E285" s="76"/>
      <c r="F285" s="77"/>
      <c r="G285" s="76"/>
      <c r="H285" s="76"/>
      <c r="I285" s="76"/>
      <c r="J285" s="76"/>
      <c r="K285" s="76"/>
      <c r="L285" s="76"/>
      <c r="M285" s="76"/>
      <c r="N285" s="76"/>
      <c r="O285" s="76"/>
      <c r="P285" s="76"/>
      <c r="Q285" s="76"/>
      <c r="R285" s="76"/>
      <c r="S285" s="76"/>
      <c r="T285" s="76"/>
      <c r="U285" s="76"/>
      <c r="V285" s="76"/>
      <c r="W285" s="76"/>
      <c r="X285" s="76"/>
      <c r="Y285" s="76"/>
      <c r="Z285" s="76"/>
      <c r="AA285" s="79"/>
      <c r="AB285" s="79"/>
      <c r="AC285" s="79"/>
      <c r="AD285" s="79"/>
      <c r="AE285" s="79"/>
      <c r="AF285" s="79"/>
      <c r="AG285" s="79"/>
      <c r="AH285" s="79"/>
      <c r="AI285" s="79"/>
      <c r="AJ285" s="79"/>
      <c r="AK285" s="79"/>
    </row>
    <row r="286" spans="1:37" s="78" customFormat="1" ht="12" customHeight="1">
      <c r="A286" s="76"/>
      <c r="B286" s="76"/>
      <c r="C286" s="76"/>
      <c r="D286" s="76"/>
      <c r="E286" s="76"/>
      <c r="F286" s="77"/>
      <c r="G286" s="76"/>
      <c r="H286" s="76"/>
      <c r="I286" s="76"/>
      <c r="J286" s="76"/>
      <c r="K286" s="76"/>
      <c r="L286" s="76"/>
      <c r="M286" s="76"/>
      <c r="N286" s="76"/>
      <c r="O286" s="76"/>
      <c r="P286" s="76"/>
      <c r="Q286" s="76"/>
      <c r="R286" s="76"/>
      <c r="S286" s="76"/>
      <c r="T286" s="76"/>
      <c r="U286" s="76"/>
      <c r="V286" s="76"/>
      <c r="W286" s="76"/>
      <c r="X286" s="76"/>
      <c r="Y286" s="76"/>
      <c r="Z286" s="76"/>
      <c r="AA286" s="79"/>
      <c r="AB286" s="79"/>
      <c r="AC286" s="79"/>
      <c r="AD286" s="79"/>
      <c r="AE286" s="79"/>
      <c r="AF286" s="79"/>
      <c r="AG286" s="79"/>
      <c r="AH286" s="79"/>
      <c r="AI286" s="79"/>
      <c r="AJ286" s="79"/>
      <c r="AK286" s="79"/>
    </row>
    <row r="287" spans="1:37" s="78" customFormat="1" ht="12" customHeight="1">
      <c r="A287" s="76"/>
      <c r="B287" s="76"/>
      <c r="C287" s="76"/>
      <c r="D287" s="76"/>
      <c r="E287" s="76"/>
      <c r="F287" s="77"/>
      <c r="G287" s="76"/>
      <c r="H287" s="76"/>
      <c r="I287" s="76"/>
      <c r="J287" s="76"/>
      <c r="K287" s="76"/>
      <c r="L287" s="76"/>
      <c r="M287" s="76"/>
      <c r="N287" s="76"/>
      <c r="O287" s="76"/>
      <c r="P287" s="76"/>
      <c r="Q287" s="76"/>
      <c r="R287" s="76"/>
      <c r="S287" s="76"/>
      <c r="T287" s="76"/>
      <c r="U287" s="76"/>
      <c r="V287" s="76"/>
      <c r="W287" s="76"/>
      <c r="X287" s="76"/>
      <c r="Y287" s="76"/>
      <c r="Z287" s="76"/>
      <c r="AA287" s="79"/>
      <c r="AB287" s="79"/>
      <c r="AC287" s="79"/>
      <c r="AD287" s="79"/>
      <c r="AE287" s="79"/>
      <c r="AF287" s="79"/>
      <c r="AG287" s="79"/>
      <c r="AH287" s="79"/>
      <c r="AI287" s="79"/>
      <c r="AJ287" s="79"/>
      <c r="AK287" s="79"/>
    </row>
    <row r="288" spans="1:37" s="78" customFormat="1" ht="12" customHeight="1">
      <c r="A288" s="76"/>
      <c r="B288" s="76"/>
      <c r="C288" s="76"/>
      <c r="D288" s="76"/>
      <c r="E288" s="76"/>
      <c r="F288" s="77"/>
      <c r="G288" s="76"/>
      <c r="H288" s="76"/>
      <c r="I288" s="76"/>
      <c r="J288" s="76"/>
      <c r="K288" s="76"/>
      <c r="L288" s="76"/>
      <c r="M288" s="76"/>
      <c r="N288" s="76"/>
      <c r="O288" s="76"/>
      <c r="P288" s="76"/>
      <c r="Q288" s="76"/>
      <c r="R288" s="76"/>
      <c r="S288" s="76"/>
      <c r="T288" s="76"/>
      <c r="U288" s="76"/>
      <c r="V288" s="76"/>
      <c r="W288" s="76"/>
      <c r="X288" s="76"/>
      <c r="Y288" s="76"/>
      <c r="Z288" s="76"/>
      <c r="AA288" s="79"/>
      <c r="AB288" s="79"/>
      <c r="AC288" s="79"/>
      <c r="AD288" s="79"/>
      <c r="AE288" s="79"/>
      <c r="AF288" s="79"/>
      <c r="AG288" s="79"/>
      <c r="AH288" s="79"/>
      <c r="AI288" s="79"/>
      <c r="AJ288" s="79"/>
      <c r="AK288" s="79"/>
    </row>
    <row r="289" spans="1:37" s="78" customFormat="1" ht="12" customHeight="1">
      <c r="A289" s="76"/>
      <c r="B289" s="76"/>
      <c r="C289" s="76"/>
      <c r="D289" s="76"/>
      <c r="E289" s="76"/>
      <c r="F289" s="77"/>
      <c r="G289" s="76"/>
      <c r="H289" s="76"/>
      <c r="I289" s="76"/>
      <c r="J289" s="76"/>
      <c r="K289" s="76"/>
      <c r="L289" s="76"/>
      <c r="M289" s="76"/>
      <c r="N289" s="76"/>
      <c r="O289" s="76"/>
      <c r="P289" s="76"/>
      <c r="Q289" s="76"/>
      <c r="R289" s="76"/>
      <c r="S289" s="76"/>
      <c r="T289" s="76"/>
      <c r="U289" s="76"/>
      <c r="V289" s="76"/>
      <c r="W289" s="76"/>
      <c r="X289" s="76"/>
      <c r="Y289" s="76"/>
      <c r="Z289" s="76"/>
      <c r="AA289" s="79"/>
      <c r="AB289" s="79"/>
      <c r="AC289" s="79"/>
      <c r="AD289" s="79"/>
      <c r="AE289" s="79"/>
      <c r="AF289" s="79"/>
      <c r="AG289" s="79"/>
      <c r="AH289" s="79"/>
      <c r="AI289" s="79"/>
      <c r="AJ289" s="79"/>
      <c r="AK289" s="79"/>
    </row>
    <row r="290" spans="1:37" s="78" customFormat="1" ht="12" customHeight="1">
      <c r="A290" s="76"/>
      <c r="B290" s="76"/>
      <c r="C290" s="76"/>
      <c r="D290" s="76"/>
      <c r="E290" s="76"/>
      <c r="F290" s="77"/>
      <c r="G290" s="76"/>
      <c r="H290" s="76"/>
      <c r="I290" s="76"/>
      <c r="J290" s="76"/>
      <c r="K290" s="76"/>
      <c r="L290" s="76"/>
      <c r="M290" s="76"/>
      <c r="N290" s="76"/>
      <c r="O290" s="76"/>
      <c r="P290" s="76"/>
      <c r="Q290" s="76"/>
      <c r="R290" s="76"/>
      <c r="S290" s="76"/>
      <c r="T290" s="76"/>
      <c r="U290" s="76"/>
      <c r="V290" s="76"/>
      <c r="W290" s="76"/>
      <c r="X290" s="76"/>
      <c r="Y290" s="76"/>
      <c r="Z290" s="76"/>
      <c r="AA290" s="79"/>
      <c r="AB290" s="79"/>
      <c r="AC290" s="79"/>
      <c r="AD290" s="79"/>
      <c r="AE290" s="79"/>
      <c r="AF290" s="79"/>
      <c r="AG290" s="79"/>
      <c r="AH290" s="79"/>
      <c r="AI290" s="79"/>
      <c r="AJ290" s="79"/>
      <c r="AK290" s="79"/>
    </row>
    <row r="291" spans="1:37" s="78" customFormat="1" ht="12" customHeight="1">
      <c r="A291" s="76"/>
      <c r="B291" s="76"/>
      <c r="C291" s="76"/>
      <c r="D291" s="76"/>
      <c r="E291" s="76"/>
      <c r="F291" s="77"/>
      <c r="G291" s="76"/>
      <c r="H291" s="76"/>
      <c r="I291" s="76"/>
      <c r="J291" s="76"/>
      <c r="K291" s="76"/>
      <c r="L291" s="76"/>
      <c r="M291" s="76"/>
      <c r="N291" s="76"/>
      <c r="O291" s="76"/>
      <c r="P291" s="76"/>
      <c r="Q291" s="76"/>
      <c r="R291" s="76"/>
      <c r="S291" s="76"/>
      <c r="T291" s="76"/>
      <c r="U291" s="76"/>
      <c r="V291" s="76"/>
      <c r="W291" s="76"/>
      <c r="X291" s="76"/>
      <c r="Y291" s="76"/>
      <c r="Z291" s="76"/>
      <c r="AA291" s="79"/>
      <c r="AB291" s="79"/>
      <c r="AC291" s="79"/>
      <c r="AD291" s="79"/>
      <c r="AE291" s="79"/>
      <c r="AF291" s="79"/>
      <c r="AG291" s="79"/>
      <c r="AH291" s="79"/>
      <c r="AI291" s="79"/>
      <c r="AJ291" s="79"/>
      <c r="AK291" s="79"/>
    </row>
    <row r="292" spans="1:37" s="78" customFormat="1" ht="12" customHeight="1">
      <c r="A292" s="76"/>
      <c r="B292" s="76"/>
      <c r="C292" s="76"/>
      <c r="D292" s="76"/>
      <c r="E292" s="76"/>
      <c r="F292" s="77"/>
      <c r="G292" s="76"/>
      <c r="H292" s="76"/>
      <c r="I292" s="76"/>
      <c r="J292" s="76"/>
      <c r="K292" s="76"/>
      <c r="L292" s="76"/>
      <c r="M292" s="76"/>
      <c r="N292" s="76"/>
      <c r="O292" s="76"/>
      <c r="P292" s="76"/>
      <c r="Q292" s="76"/>
      <c r="R292" s="76"/>
      <c r="S292" s="76"/>
      <c r="T292" s="76"/>
      <c r="U292" s="76"/>
      <c r="V292" s="76"/>
      <c r="W292" s="76"/>
      <c r="X292" s="76"/>
      <c r="Y292" s="76"/>
      <c r="Z292" s="76"/>
      <c r="AA292" s="79"/>
      <c r="AB292" s="79"/>
      <c r="AC292" s="79"/>
      <c r="AD292" s="79"/>
      <c r="AE292" s="79"/>
      <c r="AF292" s="79"/>
      <c r="AG292" s="79"/>
      <c r="AH292" s="79"/>
      <c r="AI292" s="79"/>
      <c r="AJ292" s="79"/>
      <c r="AK292" s="79"/>
    </row>
    <row r="293" spans="1:37" s="78" customFormat="1" ht="12" customHeight="1">
      <c r="A293" s="76"/>
      <c r="B293" s="76"/>
      <c r="C293" s="76"/>
      <c r="D293" s="76"/>
      <c r="E293" s="76"/>
      <c r="F293" s="77"/>
      <c r="G293" s="76"/>
      <c r="H293" s="76"/>
      <c r="I293" s="76"/>
      <c r="J293" s="76"/>
      <c r="K293" s="76"/>
      <c r="L293" s="76"/>
      <c r="M293" s="76"/>
      <c r="N293" s="76"/>
      <c r="O293" s="76"/>
      <c r="P293" s="76"/>
      <c r="Q293" s="76"/>
      <c r="R293" s="76"/>
      <c r="S293" s="76"/>
      <c r="T293" s="76"/>
      <c r="U293" s="76"/>
      <c r="V293" s="76"/>
      <c r="W293" s="76"/>
      <c r="X293" s="76"/>
      <c r="Y293" s="76"/>
      <c r="Z293" s="76"/>
      <c r="AA293" s="79"/>
      <c r="AB293" s="79"/>
      <c r="AC293" s="79"/>
      <c r="AD293" s="79"/>
      <c r="AE293" s="79"/>
      <c r="AF293" s="79"/>
      <c r="AG293" s="79"/>
      <c r="AH293" s="79"/>
      <c r="AI293" s="79"/>
      <c r="AJ293" s="79"/>
      <c r="AK293" s="79"/>
    </row>
    <row r="294" spans="1:37" s="78" customFormat="1" ht="12" customHeight="1">
      <c r="A294" s="76"/>
      <c r="B294" s="76"/>
      <c r="C294" s="76"/>
      <c r="D294" s="76"/>
      <c r="E294" s="76"/>
      <c r="F294" s="77"/>
      <c r="G294" s="76"/>
      <c r="H294" s="76"/>
      <c r="I294" s="76"/>
      <c r="J294" s="76"/>
      <c r="K294" s="76"/>
      <c r="L294" s="76"/>
      <c r="M294" s="76"/>
      <c r="N294" s="76"/>
      <c r="O294" s="76"/>
      <c r="P294" s="76"/>
      <c r="Q294" s="76"/>
      <c r="R294" s="76"/>
      <c r="S294" s="76"/>
      <c r="T294" s="76"/>
      <c r="U294" s="76"/>
      <c r="V294" s="76"/>
      <c r="W294" s="76"/>
      <c r="X294" s="76"/>
      <c r="Y294" s="76"/>
      <c r="Z294" s="76"/>
      <c r="AA294" s="79"/>
      <c r="AB294" s="79"/>
      <c r="AC294" s="79"/>
      <c r="AD294" s="79"/>
      <c r="AE294" s="79"/>
      <c r="AF294" s="79"/>
      <c r="AG294" s="79"/>
      <c r="AH294" s="79"/>
      <c r="AI294" s="79"/>
      <c r="AJ294" s="79"/>
      <c r="AK294" s="79"/>
    </row>
    <row r="295" spans="1:37" s="78" customFormat="1" ht="12" customHeight="1">
      <c r="A295" s="76"/>
      <c r="B295" s="76"/>
      <c r="C295" s="76"/>
      <c r="D295" s="76"/>
      <c r="E295" s="76"/>
      <c r="F295" s="77"/>
      <c r="G295" s="76"/>
      <c r="H295" s="76"/>
      <c r="I295" s="76"/>
      <c r="J295" s="76"/>
      <c r="K295" s="76"/>
      <c r="L295" s="76"/>
      <c r="M295" s="76"/>
      <c r="N295" s="76"/>
      <c r="O295" s="76"/>
      <c r="P295" s="76"/>
      <c r="Q295" s="76"/>
      <c r="R295" s="76"/>
      <c r="S295" s="76"/>
      <c r="T295" s="76"/>
      <c r="U295" s="76"/>
      <c r="V295" s="76"/>
      <c r="W295" s="76"/>
      <c r="X295" s="76"/>
      <c r="Y295" s="76"/>
      <c r="Z295" s="76"/>
      <c r="AA295" s="79"/>
      <c r="AB295" s="79"/>
      <c r="AC295" s="79"/>
      <c r="AD295" s="79"/>
      <c r="AE295" s="79"/>
      <c r="AF295" s="79"/>
      <c r="AG295" s="79"/>
      <c r="AH295" s="79"/>
      <c r="AI295" s="79"/>
      <c r="AJ295" s="79"/>
      <c r="AK295" s="79"/>
    </row>
    <row r="296" spans="1:37" s="78" customFormat="1" ht="12" customHeight="1">
      <c r="A296" s="76"/>
      <c r="B296" s="76"/>
      <c r="C296" s="76"/>
      <c r="D296" s="76"/>
      <c r="E296" s="76"/>
      <c r="F296" s="77"/>
      <c r="G296" s="76"/>
      <c r="H296" s="76"/>
      <c r="I296" s="76"/>
      <c r="J296" s="76"/>
      <c r="K296" s="76"/>
      <c r="L296" s="76"/>
      <c r="M296" s="76"/>
      <c r="N296" s="76"/>
      <c r="O296" s="76"/>
      <c r="P296" s="76"/>
      <c r="Q296" s="76"/>
      <c r="R296" s="76"/>
      <c r="S296" s="76"/>
      <c r="T296" s="76"/>
      <c r="U296" s="76"/>
      <c r="V296" s="76"/>
      <c r="W296" s="76"/>
      <c r="X296" s="76"/>
      <c r="Y296" s="76"/>
      <c r="Z296" s="76"/>
      <c r="AA296" s="79"/>
      <c r="AB296" s="79"/>
      <c r="AC296" s="79"/>
      <c r="AD296" s="79"/>
      <c r="AE296" s="79"/>
      <c r="AF296" s="79"/>
      <c r="AG296" s="79"/>
      <c r="AH296" s="79"/>
      <c r="AI296" s="79"/>
      <c r="AJ296" s="79"/>
      <c r="AK296" s="79"/>
    </row>
    <row r="297" spans="1:37" s="78" customFormat="1" ht="12" customHeight="1">
      <c r="A297" s="76"/>
      <c r="B297" s="76"/>
      <c r="C297" s="76"/>
      <c r="D297" s="76"/>
      <c r="E297" s="76"/>
      <c r="F297" s="77"/>
      <c r="G297" s="76"/>
      <c r="H297" s="76"/>
      <c r="I297" s="76"/>
      <c r="J297" s="76"/>
      <c r="K297" s="76"/>
      <c r="L297" s="76"/>
      <c r="M297" s="76"/>
      <c r="N297" s="76"/>
      <c r="O297" s="76"/>
      <c r="P297" s="76"/>
      <c r="Q297" s="76"/>
      <c r="R297" s="76"/>
      <c r="S297" s="76"/>
      <c r="T297" s="76"/>
      <c r="U297" s="76"/>
      <c r="V297" s="76"/>
      <c r="W297" s="76"/>
      <c r="X297" s="76"/>
      <c r="Y297" s="76"/>
      <c r="Z297" s="76"/>
      <c r="AA297" s="79"/>
      <c r="AB297" s="79"/>
      <c r="AC297" s="79"/>
      <c r="AD297" s="79"/>
      <c r="AE297" s="79"/>
      <c r="AF297" s="79"/>
      <c r="AG297" s="79"/>
      <c r="AH297" s="79"/>
      <c r="AI297" s="79"/>
      <c r="AJ297" s="79"/>
      <c r="AK297" s="79"/>
    </row>
    <row r="298" spans="1:37" s="78" customFormat="1" ht="12" customHeight="1">
      <c r="A298" s="76"/>
      <c r="B298" s="76"/>
      <c r="C298" s="76"/>
      <c r="D298" s="76"/>
      <c r="E298" s="76"/>
      <c r="F298" s="77"/>
      <c r="G298" s="76"/>
      <c r="H298" s="76"/>
      <c r="I298" s="76"/>
      <c r="J298" s="76"/>
      <c r="K298" s="76"/>
      <c r="L298" s="76"/>
      <c r="M298" s="76"/>
      <c r="N298" s="76"/>
      <c r="O298" s="76"/>
      <c r="P298" s="76"/>
      <c r="Q298" s="76"/>
      <c r="R298" s="76"/>
      <c r="S298" s="76"/>
      <c r="T298" s="76"/>
      <c r="U298" s="76"/>
      <c r="V298" s="76"/>
      <c r="W298" s="76"/>
      <c r="X298" s="76"/>
      <c r="Y298" s="76"/>
      <c r="Z298" s="76"/>
      <c r="AA298" s="79"/>
      <c r="AB298" s="79"/>
      <c r="AC298" s="79"/>
      <c r="AD298" s="79"/>
      <c r="AE298" s="79"/>
      <c r="AF298" s="79"/>
      <c r="AG298" s="79"/>
      <c r="AH298" s="79"/>
      <c r="AI298" s="79"/>
      <c r="AJ298" s="79"/>
      <c r="AK298" s="79"/>
    </row>
    <row r="299" spans="1:37" s="78" customFormat="1" ht="12" customHeight="1">
      <c r="A299" s="76"/>
      <c r="B299" s="76"/>
      <c r="C299" s="76"/>
      <c r="D299" s="76"/>
      <c r="E299" s="76"/>
      <c r="F299" s="77"/>
      <c r="G299" s="76"/>
      <c r="H299" s="76"/>
      <c r="I299" s="76"/>
      <c r="J299" s="76"/>
      <c r="K299" s="76"/>
      <c r="L299" s="76"/>
      <c r="M299" s="76"/>
      <c r="N299" s="76"/>
      <c r="O299" s="76"/>
      <c r="P299" s="76"/>
      <c r="Q299" s="76"/>
      <c r="R299" s="76"/>
      <c r="S299" s="76"/>
      <c r="T299" s="76"/>
      <c r="U299" s="76"/>
      <c r="V299" s="76"/>
      <c r="W299" s="76"/>
      <c r="X299" s="76"/>
      <c r="Y299" s="76"/>
      <c r="Z299" s="76"/>
      <c r="AA299" s="79"/>
      <c r="AB299" s="79"/>
      <c r="AC299" s="79"/>
      <c r="AD299" s="79"/>
      <c r="AE299" s="79"/>
      <c r="AF299" s="79"/>
      <c r="AG299" s="79"/>
      <c r="AH299" s="79"/>
      <c r="AI299" s="79"/>
      <c r="AJ299" s="79"/>
      <c r="AK299" s="79"/>
    </row>
    <row r="300" spans="1:37" s="78" customFormat="1" ht="12" customHeight="1">
      <c r="A300" s="76"/>
      <c r="B300" s="76"/>
      <c r="C300" s="76"/>
      <c r="D300" s="76"/>
      <c r="E300" s="76"/>
      <c r="F300" s="77"/>
      <c r="G300" s="76"/>
      <c r="H300" s="76"/>
      <c r="I300" s="76"/>
      <c r="J300" s="76"/>
      <c r="K300" s="76"/>
      <c r="L300" s="76"/>
      <c r="M300" s="76"/>
      <c r="N300" s="76"/>
      <c r="O300" s="76"/>
      <c r="P300" s="76"/>
      <c r="Q300" s="76"/>
      <c r="R300" s="76"/>
      <c r="S300" s="76"/>
      <c r="T300" s="76"/>
      <c r="U300" s="76"/>
      <c r="V300" s="76"/>
      <c r="W300" s="76"/>
      <c r="X300" s="76"/>
      <c r="Y300" s="76"/>
      <c r="Z300" s="76"/>
      <c r="AA300" s="79"/>
      <c r="AB300" s="79"/>
      <c r="AC300" s="79"/>
      <c r="AD300" s="79"/>
      <c r="AE300" s="79"/>
      <c r="AF300" s="79"/>
      <c r="AG300" s="79"/>
      <c r="AH300" s="79"/>
      <c r="AI300" s="79"/>
      <c r="AJ300" s="79"/>
      <c r="AK300" s="79"/>
    </row>
    <row r="301" spans="1:37" s="78" customFormat="1" ht="12" customHeight="1">
      <c r="A301" s="76"/>
      <c r="B301" s="76"/>
      <c r="C301" s="76"/>
      <c r="D301" s="76"/>
      <c r="E301" s="76"/>
      <c r="F301" s="77"/>
      <c r="G301" s="76"/>
      <c r="H301" s="76"/>
      <c r="I301" s="76"/>
      <c r="J301" s="76"/>
      <c r="K301" s="76"/>
      <c r="L301" s="76"/>
      <c r="M301" s="76"/>
      <c r="N301" s="76"/>
      <c r="O301" s="76"/>
      <c r="P301" s="76"/>
      <c r="Q301" s="76"/>
      <c r="R301" s="76"/>
      <c r="S301" s="76"/>
      <c r="T301" s="76"/>
      <c r="U301" s="76"/>
      <c r="V301" s="76"/>
      <c r="W301" s="76"/>
      <c r="X301" s="76"/>
      <c r="Y301" s="76"/>
      <c r="Z301" s="76"/>
      <c r="AA301" s="79"/>
      <c r="AB301" s="79"/>
      <c r="AC301" s="79"/>
      <c r="AD301" s="79"/>
      <c r="AE301" s="79"/>
      <c r="AF301" s="79"/>
      <c r="AG301" s="79"/>
      <c r="AH301" s="79"/>
      <c r="AI301" s="79"/>
      <c r="AJ301" s="79"/>
      <c r="AK301" s="79"/>
    </row>
    <row r="302" spans="1:37" s="78" customFormat="1" ht="12" customHeight="1">
      <c r="A302" s="76"/>
      <c r="B302" s="76"/>
      <c r="C302" s="76"/>
      <c r="D302" s="76"/>
      <c r="E302" s="76"/>
      <c r="F302" s="77"/>
      <c r="G302" s="76"/>
      <c r="H302" s="76"/>
      <c r="I302" s="76"/>
      <c r="J302" s="76"/>
      <c r="K302" s="76"/>
      <c r="L302" s="76"/>
      <c r="M302" s="76"/>
      <c r="N302" s="76"/>
      <c r="O302" s="76"/>
      <c r="P302" s="76"/>
      <c r="Q302" s="76"/>
      <c r="R302" s="76"/>
      <c r="S302" s="76"/>
      <c r="T302" s="76"/>
      <c r="U302" s="76"/>
      <c r="V302" s="76"/>
      <c r="W302" s="76"/>
      <c r="X302" s="76"/>
      <c r="Y302" s="76"/>
      <c r="Z302" s="76"/>
      <c r="AA302" s="79"/>
      <c r="AB302" s="79"/>
      <c r="AC302" s="79"/>
      <c r="AD302" s="79"/>
      <c r="AE302" s="79"/>
      <c r="AF302" s="79"/>
      <c r="AG302" s="79"/>
      <c r="AH302" s="79"/>
      <c r="AI302" s="79"/>
      <c r="AJ302" s="79"/>
      <c r="AK302" s="79"/>
    </row>
    <row r="303" spans="1:37" s="78" customFormat="1" ht="12" customHeight="1">
      <c r="A303" s="76"/>
      <c r="B303" s="76"/>
      <c r="C303" s="76"/>
      <c r="D303" s="76"/>
      <c r="E303" s="76"/>
      <c r="F303" s="77"/>
      <c r="G303" s="76"/>
      <c r="H303" s="76"/>
      <c r="I303" s="76"/>
      <c r="J303" s="76"/>
      <c r="K303" s="76"/>
      <c r="L303" s="76"/>
      <c r="M303" s="76"/>
      <c r="N303" s="76"/>
      <c r="O303" s="76"/>
      <c r="P303" s="76"/>
      <c r="Q303" s="76"/>
      <c r="R303" s="76"/>
      <c r="S303" s="76"/>
      <c r="T303" s="76"/>
      <c r="U303" s="76"/>
      <c r="V303" s="76"/>
      <c r="W303" s="76"/>
      <c r="X303" s="76"/>
      <c r="Y303" s="76"/>
      <c r="Z303" s="76"/>
      <c r="AA303" s="79"/>
      <c r="AB303" s="79"/>
      <c r="AC303" s="79"/>
      <c r="AD303" s="79"/>
      <c r="AE303" s="79"/>
      <c r="AF303" s="79"/>
      <c r="AG303" s="79"/>
      <c r="AH303" s="79"/>
      <c r="AI303" s="79"/>
      <c r="AJ303" s="79"/>
      <c r="AK303" s="79"/>
    </row>
    <row r="304" spans="1:37" s="78" customFormat="1" ht="12" customHeight="1">
      <c r="A304" s="76"/>
      <c r="B304" s="76"/>
      <c r="C304" s="76"/>
      <c r="D304" s="76"/>
      <c r="E304" s="76"/>
      <c r="F304" s="77"/>
      <c r="G304" s="76"/>
      <c r="H304" s="76"/>
      <c r="I304" s="76"/>
      <c r="J304" s="76"/>
      <c r="K304" s="76"/>
      <c r="L304" s="76"/>
      <c r="M304" s="76"/>
      <c r="N304" s="76"/>
      <c r="O304" s="76"/>
      <c r="P304" s="76"/>
      <c r="Q304" s="76"/>
      <c r="R304" s="76"/>
      <c r="S304" s="76"/>
      <c r="T304" s="76"/>
      <c r="U304" s="76"/>
      <c r="V304" s="76"/>
      <c r="W304" s="76"/>
      <c r="X304" s="76"/>
      <c r="Y304" s="76"/>
      <c r="Z304" s="76"/>
      <c r="AA304" s="79"/>
      <c r="AB304" s="79"/>
      <c r="AC304" s="79"/>
      <c r="AD304" s="79"/>
      <c r="AE304" s="79"/>
      <c r="AF304" s="79"/>
      <c r="AG304" s="79"/>
      <c r="AH304" s="79"/>
      <c r="AI304" s="79"/>
      <c r="AJ304" s="79"/>
      <c r="AK304" s="79"/>
    </row>
    <row r="305" spans="1:37" s="78" customFormat="1" ht="12" customHeight="1">
      <c r="A305" s="76"/>
      <c r="B305" s="76"/>
      <c r="C305" s="76"/>
      <c r="D305" s="76"/>
      <c r="E305" s="76"/>
      <c r="F305" s="77"/>
      <c r="G305" s="76"/>
      <c r="H305" s="76"/>
      <c r="I305" s="76"/>
      <c r="J305" s="76"/>
      <c r="K305" s="76"/>
      <c r="L305" s="76"/>
      <c r="M305" s="76"/>
      <c r="N305" s="76"/>
      <c r="O305" s="76"/>
      <c r="P305" s="76"/>
      <c r="Q305" s="76"/>
      <c r="R305" s="76"/>
      <c r="S305" s="76"/>
      <c r="T305" s="76"/>
      <c r="U305" s="76"/>
      <c r="V305" s="76"/>
      <c r="W305" s="76"/>
      <c r="X305" s="76"/>
      <c r="Y305" s="76"/>
      <c r="Z305" s="76"/>
      <c r="AA305" s="79"/>
      <c r="AB305" s="79"/>
      <c r="AC305" s="79"/>
      <c r="AD305" s="79"/>
      <c r="AE305" s="79"/>
      <c r="AF305" s="79"/>
      <c r="AG305" s="79"/>
      <c r="AH305" s="79"/>
      <c r="AI305" s="79"/>
      <c r="AJ305" s="79"/>
      <c r="AK305" s="79"/>
    </row>
    <row r="306" spans="1:37" s="78" customFormat="1" ht="12" customHeight="1">
      <c r="A306" s="76"/>
      <c r="B306" s="76"/>
      <c r="C306" s="76"/>
      <c r="D306" s="76"/>
      <c r="E306" s="76"/>
      <c r="F306" s="77"/>
      <c r="G306" s="76"/>
      <c r="H306" s="76"/>
      <c r="I306" s="76"/>
      <c r="J306" s="76"/>
      <c r="K306" s="76"/>
      <c r="L306" s="76"/>
      <c r="M306" s="76"/>
      <c r="N306" s="76"/>
      <c r="O306" s="76"/>
      <c r="P306" s="76"/>
      <c r="Q306" s="76"/>
      <c r="R306" s="76"/>
      <c r="S306" s="76"/>
      <c r="T306" s="76"/>
      <c r="U306" s="76"/>
      <c r="V306" s="76"/>
      <c r="W306" s="76"/>
      <c r="X306" s="76"/>
      <c r="Y306" s="76"/>
      <c r="Z306" s="76"/>
      <c r="AA306" s="79"/>
      <c r="AB306" s="79"/>
      <c r="AC306" s="79"/>
      <c r="AD306" s="79"/>
      <c r="AE306" s="79"/>
      <c r="AF306" s="79"/>
      <c r="AG306" s="79"/>
      <c r="AH306" s="79"/>
      <c r="AI306" s="79"/>
      <c r="AJ306" s="79"/>
      <c r="AK306" s="79"/>
    </row>
    <row r="307" spans="1:37" s="78" customFormat="1" ht="12" customHeight="1">
      <c r="A307" s="76"/>
      <c r="B307" s="76"/>
      <c r="C307" s="76"/>
      <c r="D307" s="76"/>
      <c r="E307" s="76"/>
      <c r="F307" s="77"/>
      <c r="G307" s="76"/>
      <c r="H307" s="76"/>
      <c r="I307" s="76"/>
      <c r="J307" s="76"/>
      <c r="K307" s="76"/>
      <c r="L307" s="76"/>
      <c r="M307" s="76"/>
      <c r="N307" s="76"/>
      <c r="O307" s="76"/>
      <c r="P307" s="76"/>
      <c r="Q307" s="76"/>
      <c r="R307" s="76"/>
      <c r="S307" s="76"/>
      <c r="T307" s="76"/>
      <c r="U307" s="76"/>
      <c r="V307" s="76"/>
      <c r="W307" s="76"/>
      <c r="X307" s="76"/>
      <c r="Y307" s="76"/>
      <c r="Z307" s="76"/>
      <c r="AA307" s="79"/>
      <c r="AB307" s="79"/>
      <c r="AC307" s="79"/>
      <c r="AD307" s="79"/>
      <c r="AE307" s="79"/>
      <c r="AF307" s="79"/>
      <c r="AG307" s="79"/>
      <c r="AH307" s="79"/>
      <c r="AI307" s="79"/>
      <c r="AJ307" s="79"/>
      <c r="AK307" s="79"/>
    </row>
    <row r="308" spans="1:37" s="78" customFormat="1" ht="12" customHeight="1">
      <c r="A308" s="76"/>
      <c r="B308" s="76"/>
      <c r="C308" s="76"/>
      <c r="D308" s="76"/>
      <c r="E308" s="76"/>
      <c r="F308" s="77"/>
      <c r="G308" s="76"/>
      <c r="H308" s="76"/>
      <c r="I308" s="76"/>
      <c r="J308" s="76"/>
      <c r="K308" s="76"/>
      <c r="L308" s="76"/>
      <c r="M308" s="76"/>
      <c r="N308" s="76"/>
      <c r="O308" s="76"/>
      <c r="P308" s="76"/>
      <c r="Q308" s="76"/>
      <c r="R308" s="76"/>
      <c r="S308" s="76"/>
      <c r="T308" s="76"/>
      <c r="U308" s="76"/>
      <c r="V308" s="76"/>
      <c r="W308" s="76"/>
      <c r="X308" s="76"/>
      <c r="Y308" s="76"/>
      <c r="Z308" s="76"/>
      <c r="AA308" s="79"/>
      <c r="AB308" s="79"/>
      <c r="AC308" s="79"/>
      <c r="AD308" s="79"/>
      <c r="AE308" s="79"/>
      <c r="AF308" s="79"/>
      <c r="AG308" s="79"/>
      <c r="AH308" s="79"/>
      <c r="AI308" s="79"/>
      <c r="AJ308" s="79"/>
      <c r="AK308" s="79"/>
    </row>
    <row r="309" spans="1:37" s="78" customFormat="1" ht="12" customHeight="1">
      <c r="A309" s="76"/>
      <c r="B309" s="76"/>
      <c r="C309" s="76"/>
      <c r="D309" s="76"/>
      <c r="E309" s="76"/>
      <c r="F309" s="77"/>
      <c r="G309" s="76"/>
      <c r="H309" s="76"/>
      <c r="I309" s="76"/>
      <c r="J309" s="76"/>
      <c r="K309" s="76"/>
      <c r="L309" s="76"/>
      <c r="M309" s="76"/>
      <c r="N309" s="76"/>
      <c r="O309" s="76"/>
      <c r="P309" s="76"/>
      <c r="Q309" s="76"/>
      <c r="R309" s="76"/>
      <c r="S309" s="76"/>
      <c r="T309" s="76"/>
      <c r="U309" s="76"/>
      <c r="V309" s="76"/>
      <c r="W309" s="76"/>
      <c r="X309" s="76"/>
      <c r="Y309" s="76"/>
      <c r="Z309" s="76"/>
      <c r="AA309" s="79"/>
      <c r="AB309" s="79"/>
      <c r="AC309" s="79"/>
      <c r="AD309" s="79"/>
      <c r="AE309" s="79"/>
      <c r="AF309" s="79"/>
      <c r="AG309" s="79"/>
      <c r="AH309" s="79"/>
      <c r="AI309" s="79"/>
      <c r="AJ309" s="79"/>
      <c r="AK309" s="79"/>
    </row>
    <row r="310" spans="1:37" s="78" customFormat="1" ht="12" customHeight="1">
      <c r="A310" s="76"/>
      <c r="B310" s="76"/>
      <c r="C310" s="76"/>
      <c r="D310" s="76"/>
      <c r="E310" s="76"/>
      <c r="F310" s="77"/>
      <c r="G310" s="76"/>
      <c r="H310" s="76"/>
      <c r="I310" s="76"/>
      <c r="J310" s="76"/>
      <c r="K310" s="76"/>
      <c r="L310" s="76"/>
      <c r="M310" s="76"/>
      <c r="N310" s="76"/>
      <c r="O310" s="76"/>
      <c r="P310" s="76"/>
      <c r="Q310" s="76"/>
      <c r="R310" s="76"/>
      <c r="S310" s="76"/>
      <c r="T310" s="76"/>
      <c r="U310" s="76"/>
      <c r="V310" s="76"/>
      <c r="W310" s="76"/>
      <c r="X310" s="76"/>
      <c r="Y310" s="76"/>
      <c r="Z310" s="76"/>
      <c r="AA310" s="79"/>
      <c r="AB310" s="79"/>
      <c r="AC310" s="79"/>
      <c r="AD310" s="79"/>
      <c r="AE310" s="79"/>
      <c r="AF310" s="79"/>
      <c r="AG310" s="79"/>
      <c r="AH310" s="79"/>
      <c r="AI310" s="79"/>
      <c r="AJ310" s="79"/>
      <c r="AK310" s="79"/>
    </row>
    <row r="311" spans="1:37" s="78" customFormat="1" ht="12" customHeight="1">
      <c r="A311" s="76"/>
      <c r="B311" s="76"/>
      <c r="C311" s="76"/>
      <c r="D311" s="76"/>
      <c r="E311" s="76"/>
      <c r="F311" s="77"/>
      <c r="G311" s="76"/>
      <c r="H311" s="76"/>
      <c r="I311" s="76"/>
      <c r="J311" s="76"/>
      <c r="K311" s="76"/>
      <c r="L311" s="76"/>
      <c r="M311" s="76"/>
      <c r="N311" s="76"/>
      <c r="O311" s="76"/>
      <c r="P311" s="76"/>
      <c r="Q311" s="76"/>
      <c r="R311" s="76"/>
      <c r="S311" s="76"/>
      <c r="T311" s="76"/>
      <c r="U311" s="76"/>
      <c r="V311" s="76"/>
      <c r="W311" s="76"/>
      <c r="X311" s="76"/>
      <c r="Y311" s="76"/>
      <c r="Z311" s="76"/>
      <c r="AA311" s="79"/>
      <c r="AB311" s="79"/>
      <c r="AC311" s="79"/>
      <c r="AD311" s="79"/>
      <c r="AE311" s="79"/>
      <c r="AF311" s="79"/>
      <c r="AG311" s="79"/>
      <c r="AH311" s="79"/>
      <c r="AI311" s="79"/>
      <c r="AJ311" s="79"/>
      <c r="AK311" s="79"/>
    </row>
    <row r="312" spans="1:37" s="78" customFormat="1" ht="12" customHeight="1">
      <c r="A312" s="76"/>
      <c r="B312" s="76"/>
      <c r="C312" s="76"/>
      <c r="D312" s="76"/>
      <c r="E312" s="76"/>
      <c r="F312" s="77"/>
      <c r="G312" s="76"/>
      <c r="H312" s="76"/>
      <c r="I312" s="76"/>
      <c r="J312" s="76"/>
      <c r="K312" s="76"/>
      <c r="L312" s="76"/>
      <c r="M312" s="76"/>
      <c r="N312" s="76"/>
      <c r="O312" s="76"/>
      <c r="P312" s="76"/>
      <c r="Q312" s="76"/>
      <c r="R312" s="76"/>
      <c r="S312" s="76"/>
      <c r="T312" s="76"/>
      <c r="U312" s="76"/>
      <c r="V312" s="76"/>
      <c r="W312" s="76"/>
      <c r="X312" s="76"/>
      <c r="Y312" s="76"/>
      <c r="Z312" s="76"/>
      <c r="AA312" s="79"/>
      <c r="AB312" s="79"/>
      <c r="AC312" s="79"/>
      <c r="AD312" s="79"/>
      <c r="AE312" s="79"/>
      <c r="AF312" s="79"/>
      <c r="AG312" s="79"/>
      <c r="AH312" s="79"/>
      <c r="AI312" s="79"/>
      <c r="AJ312" s="79"/>
      <c r="AK312" s="79"/>
    </row>
    <row r="313" spans="1:37" s="78" customFormat="1" ht="12" customHeight="1">
      <c r="A313" s="76"/>
      <c r="B313" s="76"/>
      <c r="C313" s="76"/>
      <c r="D313" s="76"/>
      <c r="E313" s="76"/>
      <c r="F313" s="77"/>
      <c r="G313" s="76"/>
      <c r="H313" s="76"/>
      <c r="I313" s="76"/>
      <c r="J313" s="76"/>
      <c r="K313" s="76"/>
      <c r="L313" s="76"/>
      <c r="M313" s="76"/>
      <c r="N313" s="76"/>
      <c r="O313" s="76"/>
      <c r="P313" s="76"/>
      <c r="Q313" s="76"/>
      <c r="R313" s="76"/>
      <c r="S313" s="76"/>
      <c r="T313" s="76"/>
      <c r="U313" s="76"/>
      <c r="V313" s="76"/>
      <c r="W313" s="76"/>
      <c r="X313" s="76"/>
      <c r="Y313" s="76"/>
      <c r="Z313" s="76"/>
      <c r="AA313" s="79"/>
      <c r="AB313" s="79"/>
      <c r="AC313" s="79"/>
      <c r="AD313" s="79"/>
      <c r="AE313" s="79"/>
      <c r="AF313" s="79"/>
      <c r="AG313" s="79"/>
      <c r="AH313" s="79"/>
      <c r="AI313" s="79"/>
      <c r="AJ313" s="79"/>
      <c r="AK313" s="79"/>
    </row>
    <row r="314" spans="1:37" s="78" customFormat="1" ht="12" customHeight="1">
      <c r="A314" s="76"/>
      <c r="B314" s="76"/>
      <c r="C314" s="76"/>
      <c r="D314" s="76"/>
      <c r="E314" s="76"/>
      <c r="F314" s="77"/>
      <c r="G314" s="76"/>
      <c r="H314" s="76"/>
      <c r="I314" s="76"/>
      <c r="J314" s="76"/>
      <c r="K314" s="76"/>
      <c r="L314" s="76"/>
      <c r="M314" s="76"/>
      <c r="N314" s="76"/>
      <c r="O314" s="76"/>
      <c r="P314" s="76"/>
      <c r="Q314" s="76"/>
      <c r="R314" s="76"/>
      <c r="S314" s="76"/>
      <c r="T314" s="76"/>
      <c r="U314" s="76"/>
      <c r="V314" s="76"/>
      <c r="W314" s="76"/>
      <c r="X314" s="76"/>
      <c r="Y314" s="76"/>
      <c r="Z314" s="76"/>
      <c r="AA314" s="79"/>
      <c r="AB314" s="79"/>
      <c r="AC314" s="79"/>
      <c r="AD314" s="79"/>
      <c r="AE314" s="79"/>
      <c r="AF314" s="79"/>
      <c r="AG314" s="79"/>
      <c r="AH314" s="79"/>
      <c r="AI314" s="79"/>
      <c r="AJ314" s="79"/>
      <c r="AK314" s="79"/>
    </row>
    <row r="315" spans="1:37" s="78" customFormat="1" ht="12" customHeight="1">
      <c r="A315" s="76"/>
      <c r="B315" s="76"/>
      <c r="C315" s="76"/>
      <c r="D315" s="76"/>
      <c r="E315" s="76"/>
      <c r="F315" s="77"/>
      <c r="G315" s="76"/>
      <c r="H315" s="76"/>
      <c r="I315" s="76"/>
      <c r="J315" s="76"/>
      <c r="K315" s="76"/>
      <c r="L315" s="76"/>
      <c r="M315" s="76"/>
      <c r="N315" s="76"/>
      <c r="O315" s="76"/>
      <c r="P315" s="76"/>
      <c r="Q315" s="76"/>
      <c r="R315" s="76"/>
      <c r="S315" s="76"/>
      <c r="T315" s="76"/>
      <c r="U315" s="76"/>
      <c r="V315" s="76"/>
      <c r="W315" s="76"/>
      <c r="X315" s="76"/>
      <c r="Y315" s="76"/>
      <c r="Z315" s="76"/>
      <c r="AA315" s="79"/>
      <c r="AB315" s="79"/>
      <c r="AC315" s="79"/>
      <c r="AD315" s="79"/>
      <c r="AE315" s="79"/>
      <c r="AF315" s="79"/>
      <c r="AG315" s="79"/>
      <c r="AH315" s="79"/>
      <c r="AI315" s="79"/>
      <c r="AJ315" s="79"/>
      <c r="AK315" s="79"/>
    </row>
    <row r="316" spans="1:37" s="78" customFormat="1" ht="12" customHeight="1">
      <c r="A316" s="76"/>
      <c r="B316" s="76"/>
      <c r="C316" s="76"/>
      <c r="D316" s="76"/>
      <c r="E316" s="76"/>
      <c r="F316" s="77"/>
      <c r="G316" s="76"/>
      <c r="H316" s="76"/>
      <c r="I316" s="76"/>
      <c r="J316" s="76"/>
      <c r="K316" s="76"/>
      <c r="L316" s="76"/>
      <c r="M316" s="76"/>
      <c r="N316" s="76"/>
      <c r="O316" s="76"/>
      <c r="P316" s="76"/>
      <c r="Q316" s="76"/>
      <c r="R316" s="76"/>
      <c r="S316" s="76"/>
      <c r="T316" s="76"/>
      <c r="U316" s="76"/>
      <c r="V316" s="76"/>
      <c r="W316" s="76"/>
      <c r="X316" s="76"/>
      <c r="Y316" s="76"/>
      <c r="Z316" s="76"/>
      <c r="AA316" s="79"/>
      <c r="AB316" s="79"/>
      <c r="AC316" s="79"/>
      <c r="AD316" s="79"/>
      <c r="AE316" s="79"/>
      <c r="AF316" s="79"/>
      <c r="AG316" s="79"/>
      <c r="AH316" s="79"/>
      <c r="AI316" s="79"/>
      <c r="AJ316" s="79"/>
      <c r="AK316" s="79"/>
    </row>
    <row r="317" spans="1:37" s="78" customFormat="1" ht="12" customHeight="1">
      <c r="A317" s="76"/>
      <c r="B317" s="76"/>
      <c r="C317" s="76"/>
      <c r="D317" s="76"/>
      <c r="E317" s="76"/>
      <c r="F317" s="77"/>
      <c r="G317" s="76"/>
      <c r="H317" s="76"/>
      <c r="I317" s="76"/>
      <c r="J317" s="76"/>
      <c r="K317" s="76"/>
      <c r="L317" s="76"/>
      <c r="M317" s="76"/>
      <c r="N317" s="76"/>
      <c r="O317" s="76"/>
      <c r="P317" s="76"/>
      <c r="Q317" s="76"/>
      <c r="R317" s="76"/>
      <c r="S317" s="76"/>
      <c r="T317" s="76"/>
      <c r="U317" s="76"/>
      <c r="V317" s="76"/>
      <c r="W317" s="76"/>
      <c r="X317" s="76"/>
      <c r="Y317" s="76"/>
      <c r="Z317" s="76"/>
      <c r="AA317" s="79"/>
      <c r="AB317" s="79"/>
      <c r="AC317" s="79"/>
      <c r="AD317" s="79"/>
      <c r="AE317" s="79"/>
      <c r="AF317" s="79"/>
      <c r="AG317" s="79"/>
      <c r="AH317" s="79"/>
      <c r="AI317" s="79"/>
      <c r="AJ317" s="79"/>
      <c r="AK317" s="79"/>
    </row>
    <row r="318" spans="1:37" s="78" customFormat="1" ht="12" customHeight="1">
      <c r="A318" s="76"/>
      <c r="B318" s="76"/>
      <c r="C318" s="76"/>
      <c r="D318" s="76"/>
      <c r="E318" s="76"/>
      <c r="F318" s="77"/>
      <c r="G318" s="76"/>
      <c r="H318" s="76"/>
      <c r="I318" s="76"/>
      <c r="J318" s="76"/>
      <c r="K318" s="76"/>
      <c r="L318" s="76"/>
      <c r="M318" s="76"/>
      <c r="N318" s="76"/>
      <c r="O318" s="76"/>
      <c r="P318" s="76"/>
      <c r="Q318" s="76"/>
      <c r="R318" s="76"/>
      <c r="S318" s="76"/>
      <c r="T318" s="76"/>
      <c r="U318" s="76"/>
      <c r="V318" s="76"/>
      <c r="W318" s="76"/>
      <c r="X318" s="76"/>
      <c r="Y318" s="76"/>
      <c r="Z318" s="76"/>
      <c r="AA318" s="79"/>
      <c r="AB318" s="79"/>
      <c r="AC318" s="79"/>
      <c r="AD318" s="79"/>
      <c r="AE318" s="79"/>
      <c r="AF318" s="79"/>
      <c r="AG318" s="79"/>
      <c r="AH318" s="79"/>
      <c r="AI318" s="79"/>
      <c r="AJ318" s="79"/>
      <c r="AK318" s="79"/>
    </row>
    <row r="319" spans="1:37" s="78" customFormat="1" ht="12" customHeight="1">
      <c r="A319" s="76"/>
      <c r="B319" s="76"/>
      <c r="C319" s="76"/>
      <c r="D319" s="76"/>
      <c r="E319" s="76"/>
      <c r="F319" s="77"/>
      <c r="G319" s="76"/>
      <c r="H319" s="76"/>
      <c r="I319" s="76"/>
      <c r="J319" s="76"/>
      <c r="K319" s="76"/>
      <c r="L319" s="76"/>
      <c r="M319" s="76"/>
      <c r="N319" s="76"/>
      <c r="O319" s="76"/>
      <c r="P319" s="76"/>
      <c r="Q319" s="76"/>
      <c r="R319" s="76"/>
      <c r="S319" s="76"/>
      <c r="T319" s="76"/>
      <c r="U319" s="76"/>
      <c r="V319" s="76"/>
      <c r="W319" s="76"/>
      <c r="X319" s="76"/>
      <c r="Y319" s="76"/>
      <c r="Z319" s="76"/>
      <c r="AA319" s="79"/>
      <c r="AB319" s="79"/>
      <c r="AC319" s="79"/>
      <c r="AD319" s="79"/>
      <c r="AE319" s="79"/>
      <c r="AF319" s="79"/>
      <c r="AG319" s="79"/>
      <c r="AH319" s="79"/>
      <c r="AI319" s="79"/>
      <c r="AJ319" s="79"/>
      <c r="AK319" s="79"/>
    </row>
    <row r="320" spans="1:37" s="78" customFormat="1" ht="12" customHeight="1">
      <c r="A320" s="76"/>
      <c r="B320" s="76"/>
      <c r="C320" s="76"/>
      <c r="D320" s="76"/>
      <c r="E320" s="76"/>
      <c r="F320" s="77"/>
      <c r="G320" s="76"/>
      <c r="H320" s="76"/>
      <c r="I320" s="76"/>
      <c r="J320" s="76"/>
      <c r="K320" s="76"/>
      <c r="L320" s="76"/>
      <c r="M320" s="76"/>
      <c r="N320" s="76"/>
      <c r="O320" s="76"/>
      <c r="P320" s="76"/>
      <c r="Q320" s="76"/>
      <c r="R320" s="76"/>
      <c r="S320" s="76"/>
      <c r="T320" s="76"/>
      <c r="U320" s="76"/>
      <c r="V320" s="76"/>
      <c r="W320" s="76"/>
      <c r="X320" s="76"/>
      <c r="Y320" s="76"/>
      <c r="Z320" s="76"/>
      <c r="AA320" s="79"/>
      <c r="AB320" s="79"/>
      <c r="AC320" s="79"/>
      <c r="AD320" s="79"/>
      <c r="AE320" s="79"/>
      <c r="AF320" s="79"/>
      <c r="AG320" s="79"/>
      <c r="AH320" s="79"/>
      <c r="AI320" s="79"/>
      <c r="AJ320" s="79"/>
      <c r="AK320" s="79"/>
    </row>
    <row r="321" spans="1:37" s="78" customFormat="1" ht="12" customHeight="1">
      <c r="A321" s="76"/>
      <c r="B321" s="76"/>
      <c r="C321" s="76"/>
      <c r="D321" s="76"/>
      <c r="E321" s="76"/>
      <c r="F321" s="77"/>
      <c r="G321" s="76"/>
      <c r="H321" s="76"/>
      <c r="I321" s="76"/>
      <c r="J321" s="76"/>
      <c r="K321" s="76"/>
      <c r="L321" s="76"/>
      <c r="M321" s="76"/>
      <c r="N321" s="76"/>
      <c r="O321" s="76"/>
      <c r="P321" s="76"/>
      <c r="Q321" s="76"/>
      <c r="R321" s="76"/>
      <c r="S321" s="76"/>
      <c r="T321" s="76"/>
      <c r="U321" s="76"/>
      <c r="V321" s="76"/>
      <c r="W321" s="76"/>
      <c r="X321" s="76"/>
      <c r="Y321" s="76"/>
      <c r="Z321" s="76"/>
      <c r="AA321" s="79"/>
      <c r="AB321" s="79"/>
      <c r="AC321" s="79"/>
      <c r="AD321" s="79"/>
      <c r="AE321" s="79"/>
      <c r="AF321" s="79"/>
      <c r="AG321" s="79"/>
      <c r="AH321" s="79"/>
      <c r="AI321" s="79"/>
      <c r="AJ321" s="79"/>
      <c r="AK321" s="79"/>
    </row>
    <row r="322" spans="1:37" s="78" customFormat="1" ht="12" customHeight="1">
      <c r="A322" s="76"/>
      <c r="B322" s="76"/>
      <c r="C322" s="76"/>
      <c r="D322" s="76"/>
      <c r="E322" s="76"/>
      <c r="F322" s="77"/>
      <c r="G322" s="76"/>
      <c r="H322" s="76"/>
      <c r="I322" s="76"/>
      <c r="J322" s="76"/>
      <c r="K322" s="76"/>
      <c r="L322" s="76"/>
      <c r="M322" s="76"/>
      <c r="N322" s="76"/>
      <c r="O322" s="76"/>
      <c r="P322" s="76"/>
      <c r="Q322" s="76"/>
      <c r="R322" s="76"/>
      <c r="S322" s="76"/>
      <c r="T322" s="76"/>
      <c r="U322" s="76"/>
      <c r="V322" s="76"/>
      <c r="W322" s="76"/>
      <c r="X322" s="76"/>
      <c r="Y322" s="76"/>
      <c r="Z322" s="76"/>
      <c r="AA322" s="79"/>
      <c r="AB322" s="79"/>
      <c r="AC322" s="79"/>
      <c r="AD322" s="79"/>
      <c r="AE322" s="79"/>
      <c r="AF322" s="79"/>
      <c r="AG322" s="79"/>
      <c r="AH322" s="79"/>
      <c r="AI322" s="79"/>
      <c r="AJ322" s="79"/>
      <c r="AK322" s="79"/>
    </row>
    <row r="323" spans="1:37" s="78" customFormat="1" ht="12" customHeight="1">
      <c r="A323" s="76"/>
      <c r="B323" s="76"/>
      <c r="C323" s="76"/>
      <c r="D323" s="76"/>
      <c r="E323" s="76"/>
      <c r="F323" s="77"/>
      <c r="G323" s="76"/>
      <c r="H323" s="76"/>
      <c r="I323" s="76"/>
      <c r="J323" s="76"/>
      <c r="K323" s="76"/>
      <c r="L323" s="76"/>
      <c r="M323" s="76"/>
      <c r="N323" s="76"/>
      <c r="O323" s="76"/>
      <c r="P323" s="76"/>
      <c r="Q323" s="76"/>
      <c r="R323" s="76"/>
      <c r="S323" s="76"/>
      <c r="T323" s="76"/>
      <c r="U323" s="76"/>
      <c r="V323" s="76"/>
      <c r="W323" s="76"/>
      <c r="X323" s="76"/>
      <c r="Y323" s="76"/>
      <c r="Z323" s="76"/>
      <c r="AA323" s="79"/>
      <c r="AB323" s="79"/>
      <c r="AC323" s="79"/>
      <c r="AD323" s="79"/>
      <c r="AE323" s="79"/>
      <c r="AF323" s="79"/>
      <c r="AG323" s="79"/>
      <c r="AH323" s="79"/>
      <c r="AI323" s="79"/>
      <c r="AJ323" s="79"/>
      <c r="AK323" s="79"/>
    </row>
    <row r="324" spans="1:37" s="78" customFormat="1" ht="12" customHeight="1">
      <c r="A324" s="76"/>
      <c r="B324" s="76"/>
      <c r="C324" s="76"/>
      <c r="D324" s="76"/>
      <c r="E324" s="76"/>
      <c r="F324" s="77"/>
      <c r="G324" s="76"/>
      <c r="H324" s="76"/>
      <c r="I324" s="76"/>
      <c r="J324" s="76"/>
      <c r="K324" s="76"/>
      <c r="L324" s="76"/>
      <c r="M324" s="76"/>
      <c r="N324" s="76"/>
      <c r="O324" s="76"/>
      <c r="P324" s="76"/>
      <c r="Q324" s="76"/>
      <c r="R324" s="76"/>
      <c r="S324" s="76"/>
      <c r="T324" s="76"/>
      <c r="U324" s="76"/>
      <c r="V324" s="76"/>
      <c r="W324" s="76"/>
      <c r="X324" s="76"/>
      <c r="Y324" s="76"/>
      <c r="Z324" s="76"/>
      <c r="AA324" s="79"/>
      <c r="AB324" s="79"/>
      <c r="AC324" s="79"/>
      <c r="AD324" s="79"/>
      <c r="AE324" s="79"/>
      <c r="AF324" s="79"/>
      <c r="AG324" s="79"/>
      <c r="AH324" s="79"/>
      <c r="AI324" s="79"/>
      <c r="AJ324" s="79"/>
      <c r="AK324" s="79"/>
    </row>
    <row r="325" spans="1:37" s="78" customFormat="1" ht="12" customHeight="1">
      <c r="A325" s="76"/>
      <c r="B325" s="76"/>
      <c r="C325" s="76"/>
      <c r="D325" s="76"/>
      <c r="E325" s="76"/>
      <c r="F325" s="77"/>
      <c r="G325" s="76"/>
      <c r="H325" s="76"/>
      <c r="I325" s="76"/>
      <c r="J325" s="76"/>
      <c r="K325" s="76"/>
      <c r="L325" s="76"/>
      <c r="M325" s="76"/>
      <c r="N325" s="76"/>
      <c r="O325" s="76"/>
      <c r="P325" s="76"/>
      <c r="Q325" s="76"/>
      <c r="R325" s="76"/>
      <c r="S325" s="76"/>
      <c r="T325" s="76"/>
      <c r="U325" s="76"/>
      <c r="V325" s="76"/>
      <c r="W325" s="76"/>
      <c r="X325" s="76"/>
      <c r="Y325" s="76"/>
      <c r="Z325" s="76"/>
      <c r="AA325" s="79"/>
      <c r="AB325" s="79"/>
      <c r="AC325" s="79"/>
      <c r="AD325" s="79"/>
      <c r="AE325" s="79"/>
      <c r="AF325" s="79"/>
      <c r="AG325" s="79"/>
      <c r="AH325" s="79"/>
      <c r="AI325" s="79"/>
      <c r="AJ325" s="79"/>
      <c r="AK325" s="79"/>
    </row>
    <row r="326" spans="1:37" s="78" customFormat="1" ht="12" customHeight="1">
      <c r="A326" s="76"/>
      <c r="B326" s="76"/>
      <c r="C326" s="76"/>
      <c r="D326" s="76"/>
      <c r="E326" s="76"/>
      <c r="F326" s="77"/>
      <c r="G326" s="76"/>
      <c r="H326" s="76"/>
      <c r="I326" s="76"/>
      <c r="J326" s="76"/>
      <c r="K326" s="76"/>
      <c r="L326" s="76"/>
      <c r="M326" s="76"/>
      <c r="N326" s="76"/>
      <c r="O326" s="76"/>
      <c r="P326" s="76"/>
      <c r="Q326" s="76"/>
      <c r="R326" s="76"/>
      <c r="S326" s="76"/>
      <c r="T326" s="76"/>
      <c r="U326" s="76"/>
      <c r="V326" s="76"/>
      <c r="W326" s="76"/>
      <c r="X326" s="76"/>
      <c r="Y326" s="76"/>
      <c r="Z326" s="76"/>
      <c r="AA326" s="79"/>
      <c r="AB326" s="79"/>
      <c r="AC326" s="79"/>
      <c r="AD326" s="79"/>
      <c r="AE326" s="79"/>
      <c r="AF326" s="79"/>
      <c r="AG326" s="79"/>
      <c r="AH326" s="79"/>
      <c r="AI326" s="79"/>
      <c r="AJ326" s="79"/>
      <c r="AK326" s="79"/>
    </row>
    <row r="327" spans="1:37" s="78" customFormat="1" ht="12" customHeight="1">
      <c r="A327" s="76"/>
      <c r="B327" s="76"/>
      <c r="C327" s="76"/>
      <c r="D327" s="76"/>
      <c r="E327" s="76"/>
      <c r="F327" s="77"/>
      <c r="G327" s="76"/>
      <c r="H327" s="76"/>
      <c r="I327" s="76"/>
      <c r="J327" s="76"/>
      <c r="K327" s="76"/>
      <c r="L327" s="76"/>
      <c r="M327" s="76"/>
      <c r="N327" s="76"/>
      <c r="O327" s="76"/>
      <c r="P327" s="76"/>
      <c r="Q327" s="76"/>
      <c r="R327" s="76"/>
      <c r="S327" s="76"/>
      <c r="T327" s="76"/>
      <c r="U327" s="76"/>
      <c r="V327" s="76"/>
      <c r="W327" s="76"/>
      <c r="X327" s="76"/>
      <c r="Y327" s="76"/>
      <c r="Z327" s="76"/>
      <c r="AA327" s="79"/>
      <c r="AB327" s="79"/>
      <c r="AC327" s="79"/>
      <c r="AD327" s="79"/>
      <c r="AE327" s="79"/>
      <c r="AF327" s="79"/>
      <c r="AG327" s="79"/>
      <c r="AH327" s="79"/>
      <c r="AI327" s="79"/>
      <c r="AJ327" s="79"/>
      <c r="AK327" s="79"/>
    </row>
    <row r="328" spans="1:37" s="78" customFormat="1" ht="12" customHeight="1">
      <c r="A328" s="76"/>
      <c r="B328" s="76"/>
      <c r="C328" s="76"/>
      <c r="D328" s="76"/>
      <c r="E328" s="76"/>
      <c r="F328" s="77"/>
      <c r="G328" s="76"/>
      <c r="H328" s="76"/>
      <c r="I328" s="76"/>
      <c r="J328" s="76"/>
      <c r="K328" s="76"/>
      <c r="L328" s="76"/>
      <c r="M328" s="76"/>
      <c r="N328" s="76"/>
      <c r="O328" s="76"/>
      <c r="P328" s="76"/>
      <c r="Q328" s="76"/>
      <c r="R328" s="76"/>
      <c r="S328" s="76"/>
      <c r="T328" s="76"/>
      <c r="U328" s="76"/>
      <c r="V328" s="76"/>
      <c r="W328" s="76"/>
      <c r="X328" s="76"/>
      <c r="Y328" s="76"/>
      <c r="Z328" s="76"/>
      <c r="AA328" s="79"/>
      <c r="AB328" s="79"/>
      <c r="AC328" s="79"/>
      <c r="AD328" s="79"/>
      <c r="AE328" s="79"/>
      <c r="AF328" s="79"/>
      <c r="AG328" s="79"/>
      <c r="AH328" s="79"/>
      <c r="AI328" s="79"/>
      <c r="AJ328" s="79"/>
      <c r="AK328" s="79"/>
    </row>
    <row r="329" spans="1:37" s="78" customFormat="1" ht="12" customHeight="1">
      <c r="A329" s="76"/>
      <c r="B329" s="76"/>
      <c r="C329" s="76"/>
      <c r="D329" s="76"/>
      <c r="E329" s="76"/>
      <c r="F329" s="77"/>
      <c r="G329" s="76"/>
      <c r="H329" s="76"/>
      <c r="I329" s="76"/>
      <c r="J329" s="76"/>
      <c r="K329" s="76"/>
      <c r="L329" s="76"/>
      <c r="M329" s="76"/>
      <c r="N329" s="76"/>
      <c r="O329" s="76"/>
      <c r="P329" s="76"/>
      <c r="Q329" s="76"/>
      <c r="R329" s="76"/>
      <c r="S329" s="76"/>
      <c r="T329" s="76"/>
      <c r="U329" s="76"/>
      <c r="V329" s="76"/>
      <c r="W329" s="76"/>
      <c r="X329" s="76"/>
      <c r="Y329" s="76"/>
      <c r="Z329" s="76"/>
      <c r="AA329" s="79"/>
      <c r="AB329" s="79"/>
      <c r="AC329" s="79"/>
      <c r="AD329" s="79"/>
      <c r="AE329" s="79"/>
      <c r="AF329" s="79"/>
      <c r="AG329" s="79"/>
      <c r="AH329" s="79"/>
      <c r="AI329" s="79"/>
      <c r="AJ329" s="79"/>
      <c r="AK329" s="79"/>
    </row>
    <row r="330" spans="1:37" s="78" customFormat="1" ht="12" customHeight="1">
      <c r="A330" s="76"/>
      <c r="B330" s="76"/>
      <c r="C330" s="76"/>
      <c r="D330" s="76"/>
      <c r="E330" s="76"/>
      <c r="F330" s="77"/>
      <c r="G330" s="76"/>
      <c r="H330" s="76"/>
      <c r="I330" s="76"/>
      <c r="J330" s="76"/>
      <c r="K330" s="76"/>
      <c r="L330" s="76"/>
      <c r="M330" s="76"/>
      <c r="N330" s="76"/>
      <c r="O330" s="76"/>
      <c r="P330" s="76"/>
      <c r="Q330" s="76"/>
      <c r="R330" s="76"/>
      <c r="S330" s="76"/>
      <c r="T330" s="76"/>
      <c r="U330" s="76"/>
      <c r="V330" s="76"/>
      <c r="W330" s="76"/>
      <c r="X330" s="76"/>
      <c r="Y330" s="76"/>
      <c r="Z330" s="76"/>
      <c r="AA330" s="79"/>
      <c r="AB330" s="79"/>
      <c r="AC330" s="79"/>
      <c r="AD330" s="79"/>
      <c r="AE330" s="79"/>
      <c r="AF330" s="79"/>
      <c r="AG330" s="79"/>
      <c r="AH330" s="79"/>
      <c r="AI330" s="79"/>
      <c r="AJ330" s="79"/>
      <c r="AK330" s="79"/>
    </row>
    <row r="331" spans="1:37" s="78" customFormat="1" ht="12" customHeight="1">
      <c r="A331" s="76"/>
      <c r="B331" s="76"/>
      <c r="C331" s="76"/>
      <c r="D331" s="76"/>
      <c r="E331" s="76"/>
      <c r="F331" s="77"/>
      <c r="G331" s="76"/>
      <c r="H331" s="76"/>
      <c r="I331" s="76"/>
      <c r="J331" s="76"/>
      <c r="K331" s="76"/>
      <c r="L331" s="76"/>
      <c r="M331" s="76"/>
      <c r="N331" s="76"/>
      <c r="O331" s="76"/>
      <c r="P331" s="76"/>
      <c r="Q331" s="76"/>
      <c r="R331" s="76"/>
      <c r="S331" s="76"/>
      <c r="T331" s="76"/>
      <c r="U331" s="76"/>
      <c r="V331" s="76"/>
      <c r="W331" s="76"/>
      <c r="X331" s="76"/>
      <c r="Y331" s="76"/>
      <c r="Z331" s="76"/>
      <c r="AA331" s="79"/>
      <c r="AB331" s="79"/>
      <c r="AC331" s="79"/>
      <c r="AD331" s="79"/>
      <c r="AE331" s="79"/>
      <c r="AF331" s="79"/>
      <c r="AG331" s="79"/>
      <c r="AH331" s="79"/>
      <c r="AI331" s="79"/>
      <c r="AJ331" s="79"/>
      <c r="AK331" s="79"/>
    </row>
    <row r="332" spans="1:37" s="78" customFormat="1" ht="12" customHeight="1">
      <c r="A332" s="76"/>
      <c r="B332" s="76"/>
      <c r="C332" s="76"/>
      <c r="D332" s="76"/>
      <c r="E332" s="76"/>
      <c r="F332" s="77"/>
      <c r="G332" s="76"/>
      <c r="H332" s="76"/>
      <c r="I332" s="76"/>
      <c r="J332" s="76"/>
      <c r="K332" s="76"/>
      <c r="L332" s="76"/>
      <c r="M332" s="76"/>
      <c r="N332" s="76"/>
      <c r="O332" s="76"/>
      <c r="P332" s="76"/>
      <c r="Q332" s="76"/>
      <c r="R332" s="76"/>
      <c r="S332" s="76"/>
      <c r="T332" s="76"/>
      <c r="U332" s="76"/>
      <c r="V332" s="76"/>
      <c r="W332" s="76"/>
      <c r="X332" s="76"/>
      <c r="Y332" s="76"/>
      <c r="Z332" s="76"/>
      <c r="AA332" s="79"/>
      <c r="AB332" s="79"/>
      <c r="AC332" s="79"/>
      <c r="AD332" s="79"/>
      <c r="AE332" s="79"/>
      <c r="AF332" s="79"/>
      <c r="AG332" s="79"/>
      <c r="AH332" s="79"/>
      <c r="AI332" s="79"/>
      <c r="AJ332" s="79"/>
      <c r="AK332" s="79"/>
    </row>
    <row r="333" spans="1:37" s="78" customFormat="1" ht="12" customHeight="1">
      <c r="A333" s="76"/>
      <c r="B333" s="76"/>
      <c r="C333" s="76"/>
      <c r="D333" s="76"/>
      <c r="E333" s="76"/>
      <c r="F333" s="77"/>
      <c r="G333" s="76"/>
      <c r="H333" s="76"/>
      <c r="I333" s="76"/>
      <c r="J333" s="76"/>
      <c r="K333" s="76"/>
      <c r="L333" s="76"/>
      <c r="M333" s="76"/>
      <c r="N333" s="76"/>
      <c r="O333" s="76"/>
      <c r="P333" s="76"/>
      <c r="Q333" s="76"/>
      <c r="R333" s="76"/>
      <c r="S333" s="76"/>
      <c r="T333" s="76"/>
      <c r="U333" s="76"/>
      <c r="V333" s="76"/>
      <c r="W333" s="76"/>
      <c r="X333" s="76"/>
      <c r="Y333" s="76"/>
      <c r="Z333" s="76"/>
      <c r="AA333" s="79"/>
      <c r="AB333" s="79"/>
      <c r="AC333" s="79"/>
      <c r="AD333" s="79"/>
      <c r="AE333" s="79"/>
      <c r="AF333" s="79"/>
      <c r="AG333" s="79"/>
      <c r="AH333" s="79"/>
      <c r="AI333" s="79"/>
      <c r="AJ333" s="79"/>
      <c r="AK333" s="79"/>
    </row>
    <row r="334" spans="1:37" s="78" customFormat="1" ht="12" customHeight="1">
      <c r="A334" s="76"/>
      <c r="B334" s="76"/>
      <c r="C334" s="76"/>
      <c r="D334" s="76"/>
      <c r="E334" s="76"/>
      <c r="F334" s="77"/>
      <c r="G334" s="76"/>
      <c r="H334" s="76"/>
      <c r="I334" s="76"/>
      <c r="J334" s="76"/>
      <c r="K334" s="76"/>
      <c r="L334" s="76"/>
      <c r="M334" s="76"/>
      <c r="N334" s="76"/>
      <c r="O334" s="76"/>
      <c r="P334" s="76"/>
      <c r="Q334" s="76"/>
      <c r="R334" s="76"/>
      <c r="S334" s="76"/>
      <c r="T334" s="76"/>
      <c r="U334" s="76"/>
      <c r="V334" s="76"/>
      <c r="W334" s="76"/>
      <c r="X334" s="76"/>
      <c r="Y334" s="76"/>
      <c r="Z334" s="76"/>
      <c r="AA334" s="79"/>
      <c r="AB334" s="79"/>
      <c r="AC334" s="79"/>
      <c r="AD334" s="79"/>
      <c r="AE334" s="79"/>
      <c r="AF334" s="79"/>
      <c r="AG334" s="79"/>
      <c r="AH334" s="79"/>
      <c r="AI334" s="79"/>
      <c r="AJ334" s="79"/>
      <c r="AK334" s="79"/>
    </row>
    <row r="335" spans="1:37" s="78" customFormat="1" ht="12" customHeight="1">
      <c r="A335" s="76"/>
      <c r="B335" s="76"/>
      <c r="C335" s="76"/>
      <c r="D335" s="76"/>
      <c r="E335" s="76"/>
      <c r="F335" s="77"/>
      <c r="G335" s="76"/>
      <c r="H335" s="76"/>
      <c r="I335" s="76"/>
      <c r="J335" s="76"/>
      <c r="K335" s="76"/>
      <c r="L335" s="76"/>
      <c r="M335" s="76"/>
      <c r="N335" s="76"/>
      <c r="O335" s="76"/>
      <c r="P335" s="76"/>
      <c r="Q335" s="76"/>
      <c r="R335" s="76"/>
      <c r="S335" s="76"/>
      <c r="T335" s="76"/>
      <c r="U335" s="76"/>
      <c r="V335" s="76"/>
      <c r="W335" s="76"/>
      <c r="X335" s="76"/>
      <c r="Y335" s="76"/>
      <c r="Z335" s="76"/>
      <c r="AA335" s="79"/>
      <c r="AB335" s="79"/>
      <c r="AC335" s="79"/>
      <c r="AD335" s="79"/>
      <c r="AE335" s="79"/>
      <c r="AF335" s="79"/>
      <c r="AG335" s="79"/>
      <c r="AH335" s="79"/>
      <c r="AI335" s="79"/>
      <c r="AJ335" s="79"/>
      <c r="AK335" s="79"/>
    </row>
    <row r="336" spans="1:37" s="78" customFormat="1" ht="12" customHeight="1">
      <c r="A336" s="76"/>
      <c r="B336" s="76"/>
      <c r="C336" s="76"/>
      <c r="D336" s="76"/>
      <c r="E336" s="76"/>
      <c r="F336" s="77"/>
      <c r="G336" s="76"/>
      <c r="H336" s="76"/>
      <c r="I336" s="76"/>
      <c r="J336" s="76"/>
      <c r="K336" s="76"/>
      <c r="L336" s="76"/>
      <c r="M336" s="76"/>
      <c r="N336" s="76"/>
      <c r="O336" s="76"/>
      <c r="P336" s="76"/>
      <c r="Q336" s="76"/>
      <c r="R336" s="76"/>
      <c r="S336" s="76"/>
      <c r="T336" s="76"/>
      <c r="U336" s="76"/>
      <c r="V336" s="76"/>
      <c r="W336" s="76"/>
      <c r="X336" s="76"/>
      <c r="Y336" s="76"/>
      <c r="Z336" s="76"/>
      <c r="AA336" s="79"/>
      <c r="AB336" s="79"/>
      <c r="AC336" s="79"/>
      <c r="AD336" s="79"/>
      <c r="AE336" s="79"/>
      <c r="AF336" s="79"/>
      <c r="AG336" s="79"/>
      <c r="AH336" s="79"/>
      <c r="AI336" s="79"/>
      <c r="AJ336" s="79"/>
      <c r="AK336" s="79"/>
    </row>
    <row r="337" spans="1:37" s="78" customFormat="1" ht="12" customHeight="1">
      <c r="A337" s="76"/>
      <c r="B337" s="76"/>
      <c r="C337" s="76"/>
      <c r="D337" s="76"/>
      <c r="E337" s="76"/>
      <c r="F337" s="77"/>
      <c r="G337" s="76"/>
      <c r="H337" s="76"/>
      <c r="I337" s="76"/>
      <c r="J337" s="76"/>
      <c r="K337" s="76"/>
      <c r="L337" s="76"/>
      <c r="M337" s="76"/>
      <c r="N337" s="76"/>
      <c r="O337" s="76"/>
      <c r="P337" s="76"/>
      <c r="Q337" s="76"/>
      <c r="R337" s="76"/>
      <c r="S337" s="76"/>
      <c r="T337" s="76"/>
      <c r="U337" s="76"/>
      <c r="V337" s="76"/>
      <c r="W337" s="76"/>
      <c r="X337" s="76"/>
      <c r="Y337" s="76"/>
      <c r="Z337" s="76"/>
      <c r="AA337" s="79"/>
      <c r="AB337" s="79"/>
      <c r="AC337" s="79"/>
      <c r="AD337" s="79"/>
      <c r="AE337" s="79"/>
      <c r="AF337" s="79"/>
      <c r="AG337" s="79"/>
      <c r="AH337" s="79"/>
      <c r="AI337" s="79"/>
      <c r="AJ337" s="79"/>
      <c r="AK337" s="79"/>
    </row>
    <row r="338" spans="1:37" s="78" customFormat="1" ht="12" customHeight="1">
      <c r="A338" s="76"/>
      <c r="B338" s="76"/>
      <c r="C338" s="76"/>
      <c r="D338" s="76"/>
      <c r="E338" s="76"/>
      <c r="F338" s="77"/>
      <c r="G338" s="76"/>
      <c r="H338" s="76"/>
      <c r="I338" s="76"/>
      <c r="J338" s="76"/>
      <c r="K338" s="76"/>
      <c r="L338" s="76"/>
      <c r="M338" s="76"/>
      <c r="N338" s="76"/>
      <c r="O338" s="76"/>
      <c r="P338" s="76"/>
      <c r="Q338" s="76"/>
      <c r="R338" s="76"/>
      <c r="S338" s="76"/>
      <c r="T338" s="76"/>
      <c r="U338" s="76"/>
      <c r="V338" s="76"/>
      <c r="W338" s="76"/>
      <c r="X338" s="76"/>
      <c r="Y338" s="76"/>
      <c r="Z338" s="76"/>
      <c r="AA338" s="79"/>
      <c r="AB338" s="79"/>
      <c r="AC338" s="79"/>
      <c r="AD338" s="79"/>
      <c r="AE338" s="79"/>
      <c r="AF338" s="79"/>
      <c r="AG338" s="79"/>
      <c r="AH338" s="79"/>
      <c r="AI338" s="79"/>
      <c r="AJ338" s="79"/>
      <c r="AK338" s="79"/>
    </row>
    <row r="339" spans="1:37" s="78" customFormat="1" ht="12" customHeight="1">
      <c r="A339" s="76"/>
      <c r="B339" s="76"/>
      <c r="C339" s="76"/>
      <c r="D339" s="76"/>
      <c r="E339" s="76"/>
      <c r="F339" s="77"/>
      <c r="G339" s="76"/>
      <c r="H339" s="76"/>
      <c r="I339" s="76"/>
      <c r="J339" s="76"/>
      <c r="K339" s="76"/>
      <c r="L339" s="76"/>
      <c r="M339" s="76"/>
      <c r="N339" s="76"/>
      <c r="O339" s="76"/>
      <c r="P339" s="76"/>
      <c r="Q339" s="76"/>
      <c r="R339" s="76"/>
      <c r="S339" s="76"/>
      <c r="T339" s="76"/>
      <c r="U339" s="76"/>
      <c r="V339" s="76"/>
      <c r="W339" s="76"/>
      <c r="X339" s="76"/>
      <c r="Y339" s="76"/>
      <c r="Z339" s="76"/>
      <c r="AA339" s="79"/>
      <c r="AB339" s="79"/>
      <c r="AC339" s="79"/>
      <c r="AD339" s="79"/>
      <c r="AE339" s="79"/>
      <c r="AF339" s="79"/>
      <c r="AG339" s="79"/>
      <c r="AH339" s="79"/>
      <c r="AI339" s="79"/>
      <c r="AJ339" s="79"/>
      <c r="AK339" s="79"/>
    </row>
    <row r="340" spans="1:37" s="78" customFormat="1" ht="12" customHeight="1">
      <c r="A340" s="76"/>
      <c r="B340" s="76"/>
      <c r="C340" s="76"/>
      <c r="D340" s="76"/>
      <c r="E340" s="76"/>
      <c r="F340" s="77"/>
      <c r="G340" s="76"/>
      <c r="H340" s="76"/>
      <c r="I340" s="76"/>
      <c r="J340" s="76"/>
      <c r="K340" s="76"/>
      <c r="L340" s="76"/>
      <c r="M340" s="76"/>
      <c r="N340" s="76"/>
      <c r="O340" s="76"/>
      <c r="P340" s="76"/>
      <c r="Q340" s="76"/>
      <c r="R340" s="76"/>
      <c r="S340" s="76"/>
      <c r="T340" s="76"/>
      <c r="U340" s="76"/>
      <c r="V340" s="76"/>
      <c r="W340" s="76"/>
      <c r="X340" s="76"/>
      <c r="Y340" s="76"/>
      <c r="Z340" s="76"/>
      <c r="AA340" s="79"/>
      <c r="AB340" s="79"/>
      <c r="AC340" s="79"/>
      <c r="AD340" s="79"/>
      <c r="AE340" s="79"/>
      <c r="AF340" s="79"/>
      <c r="AG340" s="79"/>
      <c r="AH340" s="79"/>
      <c r="AI340" s="79"/>
      <c r="AJ340" s="79"/>
      <c r="AK340" s="79"/>
    </row>
    <row r="341" spans="1:37" s="78" customFormat="1" ht="12" customHeight="1">
      <c r="A341" s="76"/>
      <c r="B341" s="76"/>
      <c r="C341" s="76"/>
      <c r="D341" s="76"/>
      <c r="E341" s="76"/>
      <c r="F341" s="77"/>
      <c r="G341" s="76"/>
      <c r="H341" s="76"/>
      <c r="I341" s="76"/>
      <c r="J341" s="76"/>
      <c r="K341" s="76"/>
      <c r="L341" s="76"/>
      <c r="M341" s="76"/>
      <c r="N341" s="76"/>
      <c r="O341" s="76"/>
      <c r="P341" s="76"/>
      <c r="Q341" s="76"/>
      <c r="R341" s="76"/>
      <c r="S341" s="76"/>
      <c r="T341" s="76"/>
      <c r="U341" s="76"/>
      <c r="V341" s="76"/>
      <c r="W341" s="76"/>
      <c r="X341" s="76"/>
      <c r="Y341" s="76"/>
      <c r="Z341" s="76"/>
      <c r="AA341" s="79"/>
      <c r="AB341" s="79"/>
      <c r="AC341" s="79"/>
      <c r="AD341" s="79"/>
      <c r="AE341" s="79"/>
      <c r="AF341" s="79"/>
      <c r="AG341" s="79"/>
      <c r="AH341" s="79"/>
      <c r="AI341" s="79"/>
      <c r="AJ341" s="79"/>
      <c r="AK341" s="79"/>
    </row>
    <row r="342" spans="1:37" s="78" customFormat="1" ht="12" customHeight="1">
      <c r="A342" s="76"/>
      <c r="B342" s="76"/>
      <c r="C342" s="76"/>
      <c r="D342" s="76"/>
      <c r="E342" s="76"/>
      <c r="F342" s="77"/>
      <c r="G342" s="76"/>
      <c r="H342" s="76"/>
      <c r="I342" s="76"/>
      <c r="J342" s="76"/>
      <c r="K342" s="76"/>
      <c r="L342" s="76"/>
      <c r="M342" s="76"/>
      <c r="N342" s="76"/>
      <c r="O342" s="76"/>
      <c r="P342" s="76"/>
      <c r="Q342" s="76"/>
      <c r="R342" s="76"/>
      <c r="S342" s="76"/>
      <c r="T342" s="76"/>
      <c r="U342" s="76"/>
      <c r="V342" s="76"/>
      <c r="W342" s="76"/>
      <c r="X342" s="76"/>
      <c r="Y342" s="76"/>
      <c r="Z342" s="76"/>
      <c r="AA342" s="79"/>
      <c r="AB342" s="79"/>
      <c r="AC342" s="79"/>
      <c r="AD342" s="79"/>
      <c r="AE342" s="79"/>
      <c r="AF342" s="79"/>
      <c r="AG342" s="79"/>
      <c r="AH342" s="79"/>
      <c r="AI342" s="79"/>
      <c r="AJ342" s="79"/>
      <c r="AK342" s="79"/>
    </row>
    <row r="343" spans="1:37" s="78" customFormat="1" ht="12" customHeight="1">
      <c r="A343" s="76"/>
      <c r="B343" s="76"/>
      <c r="C343" s="76"/>
      <c r="D343" s="76"/>
      <c r="E343" s="76"/>
      <c r="F343" s="77"/>
      <c r="G343" s="76"/>
      <c r="H343" s="76"/>
      <c r="I343" s="76"/>
      <c r="J343" s="76"/>
      <c r="K343" s="76"/>
      <c r="L343" s="76"/>
      <c r="M343" s="76"/>
      <c r="N343" s="76"/>
      <c r="O343" s="76"/>
      <c r="P343" s="76"/>
      <c r="Q343" s="76"/>
      <c r="R343" s="76"/>
      <c r="S343" s="76"/>
      <c r="T343" s="76"/>
      <c r="U343" s="76"/>
      <c r="V343" s="76"/>
      <c r="W343" s="76"/>
      <c r="X343" s="76"/>
      <c r="Y343" s="76"/>
      <c r="Z343" s="76"/>
      <c r="AA343" s="79"/>
      <c r="AB343" s="79"/>
      <c r="AC343" s="79"/>
      <c r="AD343" s="79"/>
      <c r="AE343" s="79"/>
      <c r="AF343" s="79"/>
      <c r="AG343" s="79"/>
      <c r="AH343" s="79"/>
      <c r="AI343" s="79"/>
      <c r="AJ343" s="79"/>
      <c r="AK343" s="79"/>
    </row>
    <row r="344" spans="1:37" s="78" customFormat="1" ht="12" customHeight="1">
      <c r="A344" s="76"/>
      <c r="B344" s="76"/>
      <c r="C344" s="76"/>
      <c r="D344" s="76"/>
      <c r="E344" s="76"/>
      <c r="F344" s="77"/>
      <c r="G344" s="76"/>
      <c r="H344" s="76"/>
      <c r="I344" s="76"/>
      <c r="J344" s="76"/>
      <c r="K344" s="76"/>
      <c r="L344" s="76"/>
      <c r="M344" s="76"/>
      <c r="N344" s="76"/>
      <c r="O344" s="76"/>
      <c r="P344" s="76"/>
      <c r="Q344" s="76"/>
      <c r="R344" s="76"/>
      <c r="S344" s="76"/>
      <c r="T344" s="76"/>
      <c r="U344" s="76"/>
      <c r="V344" s="76"/>
      <c r="W344" s="76"/>
      <c r="X344" s="76"/>
      <c r="Y344" s="76"/>
      <c r="Z344" s="76"/>
      <c r="AA344" s="79"/>
      <c r="AB344" s="79"/>
      <c r="AC344" s="79"/>
      <c r="AD344" s="79"/>
      <c r="AE344" s="79"/>
      <c r="AF344" s="79"/>
      <c r="AG344" s="79"/>
      <c r="AH344" s="79"/>
      <c r="AI344" s="79"/>
      <c r="AJ344" s="79"/>
      <c r="AK344" s="79"/>
    </row>
    <row r="345" spans="1:37" s="78" customFormat="1" ht="12" customHeight="1">
      <c r="A345" s="76"/>
      <c r="B345" s="76"/>
      <c r="C345" s="76"/>
      <c r="D345" s="76"/>
      <c r="E345" s="76"/>
      <c r="F345" s="77"/>
      <c r="G345" s="76"/>
      <c r="H345" s="76"/>
      <c r="I345" s="76"/>
      <c r="J345" s="76"/>
      <c r="K345" s="76"/>
      <c r="L345" s="76"/>
      <c r="M345" s="76"/>
      <c r="N345" s="76"/>
      <c r="O345" s="76"/>
      <c r="P345" s="76"/>
      <c r="Q345" s="76"/>
      <c r="R345" s="76"/>
      <c r="S345" s="76"/>
      <c r="T345" s="76"/>
      <c r="U345" s="76"/>
      <c r="V345" s="76"/>
      <c r="W345" s="76"/>
      <c r="X345" s="76"/>
      <c r="Y345" s="76"/>
      <c r="Z345" s="76"/>
      <c r="AA345" s="79"/>
      <c r="AB345" s="79"/>
      <c r="AC345" s="79"/>
      <c r="AD345" s="79"/>
      <c r="AE345" s="79"/>
      <c r="AF345" s="79"/>
      <c r="AG345" s="79"/>
      <c r="AH345" s="79"/>
      <c r="AI345" s="79"/>
      <c r="AJ345" s="79"/>
      <c r="AK345" s="79"/>
    </row>
    <row r="346" spans="1:37" s="78" customFormat="1" ht="12" customHeight="1">
      <c r="A346" s="76"/>
      <c r="B346" s="76"/>
      <c r="C346" s="76"/>
      <c r="D346" s="76"/>
      <c r="E346" s="76"/>
      <c r="F346" s="77"/>
      <c r="G346" s="76"/>
      <c r="H346" s="76"/>
      <c r="I346" s="76"/>
      <c r="J346" s="76"/>
      <c r="K346" s="76"/>
      <c r="L346" s="76"/>
      <c r="M346" s="76"/>
      <c r="N346" s="76"/>
      <c r="O346" s="76"/>
      <c r="P346" s="76"/>
      <c r="Q346" s="76"/>
      <c r="R346" s="76"/>
      <c r="S346" s="76"/>
      <c r="T346" s="76"/>
      <c r="U346" s="76"/>
      <c r="V346" s="76"/>
      <c r="W346" s="76"/>
      <c r="X346" s="76"/>
      <c r="Y346" s="76"/>
      <c r="Z346" s="76"/>
      <c r="AA346" s="79"/>
      <c r="AB346" s="79"/>
      <c r="AC346" s="79"/>
      <c r="AD346" s="79"/>
      <c r="AE346" s="79"/>
      <c r="AF346" s="79"/>
      <c r="AG346" s="79"/>
      <c r="AH346" s="79"/>
      <c r="AI346" s="79"/>
      <c r="AJ346" s="79"/>
      <c r="AK346" s="79"/>
    </row>
    <row r="347" spans="1:37" s="78" customFormat="1" ht="12" customHeight="1">
      <c r="A347" s="76"/>
      <c r="B347" s="76"/>
      <c r="C347" s="76"/>
      <c r="D347" s="76"/>
      <c r="E347" s="76"/>
      <c r="F347" s="77"/>
      <c r="G347" s="76"/>
      <c r="H347" s="76"/>
      <c r="I347" s="76"/>
      <c r="J347" s="76"/>
      <c r="K347" s="76"/>
      <c r="L347" s="76"/>
      <c r="M347" s="76"/>
      <c r="N347" s="76"/>
      <c r="O347" s="76"/>
      <c r="P347" s="76"/>
      <c r="Q347" s="76"/>
      <c r="R347" s="76"/>
      <c r="S347" s="76"/>
      <c r="T347" s="76"/>
      <c r="U347" s="76"/>
      <c r="V347" s="76"/>
      <c r="W347" s="76"/>
      <c r="X347" s="76"/>
      <c r="Y347" s="76"/>
      <c r="Z347" s="76"/>
      <c r="AA347" s="79"/>
      <c r="AB347" s="79"/>
      <c r="AC347" s="79"/>
      <c r="AD347" s="79"/>
      <c r="AE347" s="79"/>
      <c r="AF347" s="79"/>
      <c r="AG347" s="79"/>
      <c r="AH347" s="79"/>
      <c r="AI347" s="79"/>
      <c r="AJ347" s="79"/>
      <c r="AK347" s="79"/>
    </row>
    <row r="348" spans="1:37" s="78" customFormat="1" ht="12" customHeight="1">
      <c r="A348" s="76"/>
      <c r="B348" s="76"/>
      <c r="C348" s="76"/>
      <c r="D348" s="76"/>
      <c r="E348" s="76"/>
      <c r="F348" s="77"/>
      <c r="G348" s="76"/>
      <c r="H348" s="76"/>
      <c r="I348" s="76"/>
      <c r="J348" s="76"/>
      <c r="K348" s="76"/>
      <c r="L348" s="76"/>
      <c r="M348" s="76"/>
      <c r="N348" s="76"/>
      <c r="O348" s="76"/>
      <c r="P348" s="76"/>
      <c r="Q348" s="76"/>
      <c r="R348" s="76"/>
      <c r="S348" s="76"/>
      <c r="T348" s="76"/>
      <c r="U348" s="76"/>
      <c r="V348" s="76"/>
      <c r="W348" s="76"/>
      <c r="X348" s="76"/>
      <c r="Y348" s="76"/>
      <c r="Z348" s="76"/>
      <c r="AA348" s="79"/>
      <c r="AB348" s="79"/>
      <c r="AC348" s="79"/>
      <c r="AD348" s="79"/>
      <c r="AE348" s="79"/>
      <c r="AF348" s="79"/>
      <c r="AG348" s="79"/>
      <c r="AH348" s="79"/>
      <c r="AI348" s="79"/>
      <c r="AJ348" s="79"/>
      <c r="AK348" s="79"/>
    </row>
    <row r="349" spans="1:37" s="78" customFormat="1" ht="12" customHeight="1">
      <c r="A349" s="76"/>
      <c r="B349" s="76"/>
      <c r="C349" s="76"/>
      <c r="D349" s="76"/>
      <c r="E349" s="76"/>
      <c r="F349" s="77"/>
      <c r="G349" s="76"/>
      <c r="H349" s="76"/>
      <c r="I349" s="76"/>
      <c r="J349" s="76"/>
      <c r="K349" s="76"/>
      <c r="L349" s="76"/>
      <c r="M349" s="76"/>
      <c r="N349" s="76"/>
      <c r="O349" s="76"/>
      <c r="P349" s="76"/>
      <c r="Q349" s="76"/>
      <c r="R349" s="76"/>
      <c r="S349" s="76"/>
      <c r="T349" s="76"/>
      <c r="U349" s="76"/>
      <c r="V349" s="76"/>
      <c r="W349" s="76"/>
      <c r="X349" s="76"/>
      <c r="Y349" s="76"/>
      <c r="Z349" s="76"/>
      <c r="AA349" s="79"/>
      <c r="AB349" s="79"/>
      <c r="AC349" s="79"/>
      <c r="AD349" s="79"/>
      <c r="AE349" s="79"/>
      <c r="AF349" s="79"/>
      <c r="AG349" s="79"/>
      <c r="AH349" s="79"/>
      <c r="AI349" s="79"/>
      <c r="AJ349" s="79"/>
      <c r="AK349" s="79"/>
    </row>
    <row r="350" spans="1:37" s="78" customFormat="1" ht="12" customHeight="1">
      <c r="A350" s="76"/>
      <c r="B350" s="76"/>
      <c r="C350" s="76"/>
      <c r="D350" s="76"/>
      <c r="E350" s="76"/>
      <c r="F350" s="77"/>
      <c r="G350" s="76"/>
      <c r="H350" s="76"/>
      <c r="I350" s="76"/>
      <c r="J350" s="76"/>
      <c r="K350" s="76"/>
      <c r="L350" s="76"/>
      <c r="M350" s="76"/>
      <c r="N350" s="76"/>
      <c r="O350" s="76"/>
      <c r="P350" s="76"/>
      <c r="Q350" s="76"/>
      <c r="R350" s="76"/>
      <c r="S350" s="76"/>
      <c r="T350" s="76"/>
      <c r="U350" s="76"/>
      <c r="V350" s="76"/>
      <c r="W350" s="76"/>
      <c r="X350" s="76"/>
      <c r="Y350" s="76"/>
      <c r="Z350" s="76"/>
      <c r="AA350" s="79"/>
      <c r="AB350" s="79"/>
      <c r="AC350" s="79"/>
      <c r="AD350" s="79"/>
      <c r="AE350" s="79"/>
      <c r="AF350" s="79"/>
      <c r="AG350" s="79"/>
      <c r="AH350" s="79"/>
      <c r="AI350" s="79"/>
      <c r="AJ350" s="79"/>
      <c r="AK350" s="79"/>
    </row>
    <row r="351" spans="1:37" s="78" customFormat="1" ht="12" customHeight="1">
      <c r="A351" s="76"/>
      <c r="B351" s="76"/>
      <c r="C351" s="76"/>
      <c r="D351" s="76"/>
      <c r="E351" s="76"/>
      <c r="F351" s="77"/>
      <c r="G351" s="76"/>
      <c r="H351" s="76"/>
      <c r="I351" s="76"/>
      <c r="J351" s="76"/>
      <c r="K351" s="76"/>
      <c r="L351" s="76"/>
      <c r="M351" s="76"/>
      <c r="N351" s="76"/>
      <c r="O351" s="76"/>
      <c r="P351" s="76"/>
      <c r="Q351" s="76"/>
      <c r="R351" s="76"/>
      <c r="S351" s="76"/>
      <c r="T351" s="76"/>
      <c r="U351" s="76"/>
      <c r="V351" s="76"/>
      <c r="W351" s="76"/>
      <c r="X351" s="76"/>
      <c r="Y351" s="76"/>
      <c r="Z351" s="76"/>
      <c r="AA351" s="79"/>
      <c r="AB351" s="79"/>
      <c r="AC351" s="79"/>
      <c r="AD351" s="79"/>
      <c r="AE351" s="79"/>
      <c r="AF351" s="79"/>
      <c r="AG351" s="79"/>
      <c r="AH351" s="79"/>
      <c r="AI351" s="79"/>
      <c r="AJ351" s="79"/>
      <c r="AK351" s="79"/>
    </row>
    <row r="352" spans="1:37" s="78" customFormat="1" ht="12" customHeight="1">
      <c r="A352" s="76"/>
      <c r="B352" s="76"/>
      <c r="C352" s="76"/>
      <c r="D352" s="76"/>
      <c r="E352" s="76"/>
      <c r="F352" s="77"/>
      <c r="G352" s="76"/>
      <c r="H352" s="76"/>
      <c r="I352" s="76"/>
      <c r="J352" s="76"/>
      <c r="K352" s="76"/>
      <c r="L352" s="76"/>
      <c r="M352" s="76"/>
      <c r="N352" s="76"/>
      <c r="O352" s="76"/>
      <c r="P352" s="76"/>
      <c r="Q352" s="76"/>
      <c r="R352" s="76"/>
      <c r="S352" s="76"/>
      <c r="T352" s="76"/>
      <c r="U352" s="76"/>
      <c r="V352" s="76"/>
      <c r="W352" s="76"/>
      <c r="X352" s="76"/>
      <c r="Y352" s="76"/>
      <c r="Z352" s="76"/>
      <c r="AA352" s="79"/>
      <c r="AB352" s="79"/>
      <c r="AC352" s="79"/>
      <c r="AD352" s="79"/>
      <c r="AE352" s="79"/>
      <c r="AF352" s="79"/>
      <c r="AG352" s="79"/>
      <c r="AH352" s="79"/>
      <c r="AI352" s="79"/>
      <c r="AJ352" s="79"/>
      <c r="AK352" s="79"/>
    </row>
    <row r="353" spans="1:37" s="78" customFormat="1" ht="12" customHeight="1">
      <c r="A353" s="76"/>
      <c r="B353" s="76"/>
      <c r="C353" s="76"/>
      <c r="D353" s="76"/>
      <c r="E353" s="76"/>
      <c r="F353" s="77"/>
      <c r="G353" s="76"/>
      <c r="H353" s="76"/>
      <c r="I353" s="76"/>
      <c r="J353" s="76"/>
      <c r="K353" s="76"/>
      <c r="L353" s="76"/>
      <c r="M353" s="76"/>
      <c r="N353" s="76"/>
      <c r="O353" s="76"/>
      <c r="P353" s="76"/>
      <c r="Q353" s="76"/>
      <c r="R353" s="76"/>
      <c r="S353" s="76"/>
      <c r="T353" s="76"/>
      <c r="U353" s="76"/>
      <c r="V353" s="76"/>
      <c r="W353" s="76"/>
      <c r="X353" s="76"/>
      <c r="Y353" s="76"/>
      <c r="Z353" s="76"/>
      <c r="AA353" s="79"/>
      <c r="AB353" s="79"/>
      <c r="AC353" s="79"/>
      <c r="AD353" s="79"/>
      <c r="AE353" s="79"/>
      <c r="AF353" s="79"/>
      <c r="AG353" s="79"/>
      <c r="AH353" s="79"/>
      <c r="AI353" s="79"/>
      <c r="AJ353" s="79"/>
      <c r="AK353" s="79"/>
    </row>
    <row r="354" spans="1:37" s="78" customFormat="1" ht="12" customHeight="1">
      <c r="A354" s="76"/>
      <c r="B354" s="76"/>
      <c r="C354" s="76"/>
      <c r="D354" s="76"/>
      <c r="E354" s="76"/>
      <c r="F354" s="77"/>
      <c r="G354" s="76"/>
      <c r="H354" s="76"/>
      <c r="I354" s="76"/>
      <c r="J354" s="76"/>
      <c r="K354" s="76"/>
      <c r="L354" s="76"/>
      <c r="M354" s="76"/>
      <c r="N354" s="76"/>
      <c r="O354" s="76"/>
      <c r="P354" s="76"/>
      <c r="Q354" s="76"/>
      <c r="R354" s="76"/>
      <c r="S354" s="76"/>
      <c r="T354" s="76"/>
      <c r="U354" s="76"/>
      <c r="V354" s="76"/>
      <c r="W354" s="76"/>
      <c r="X354" s="76"/>
      <c r="Y354" s="76"/>
      <c r="Z354" s="76"/>
      <c r="AA354" s="79"/>
      <c r="AB354" s="79"/>
      <c r="AC354" s="79"/>
      <c r="AD354" s="79"/>
      <c r="AE354" s="79"/>
      <c r="AF354" s="79"/>
      <c r="AG354" s="79"/>
      <c r="AH354" s="79"/>
      <c r="AI354" s="79"/>
      <c r="AJ354" s="79"/>
      <c r="AK354" s="79"/>
    </row>
    <row r="355" spans="1:37" s="78" customFormat="1" ht="12" customHeight="1">
      <c r="A355" s="76"/>
      <c r="B355" s="76"/>
      <c r="C355" s="76"/>
      <c r="D355" s="76"/>
      <c r="E355" s="76"/>
      <c r="F355" s="77"/>
      <c r="G355" s="76"/>
      <c r="H355" s="76"/>
      <c r="I355" s="76"/>
      <c r="J355" s="76"/>
      <c r="K355" s="76"/>
      <c r="L355" s="76"/>
      <c r="M355" s="76"/>
      <c r="N355" s="76"/>
      <c r="O355" s="76"/>
      <c r="P355" s="76"/>
      <c r="Q355" s="76"/>
      <c r="R355" s="76"/>
      <c r="S355" s="76"/>
      <c r="T355" s="76"/>
      <c r="U355" s="76"/>
      <c r="V355" s="76"/>
      <c r="W355" s="76"/>
      <c r="X355" s="76"/>
      <c r="Y355" s="76"/>
      <c r="Z355" s="76"/>
      <c r="AA355" s="79"/>
      <c r="AB355" s="79"/>
      <c r="AC355" s="79"/>
      <c r="AD355" s="79"/>
      <c r="AE355" s="79"/>
      <c r="AF355" s="79"/>
      <c r="AG355" s="79"/>
      <c r="AH355" s="79"/>
      <c r="AI355" s="79"/>
      <c r="AJ355" s="79"/>
      <c r="AK355" s="79"/>
    </row>
    <row r="356" spans="1:37" s="78" customFormat="1" ht="12" customHeight="1">
      <c r="A356" s="76"/>
      <c r="B356" s="76"/>
      <c r="C356" s="76"/>
      <c r="D356" s="76"/>
      <c r="E356" s="76"/>
      <c r="F356" s="77"/>
      <c r="G356" s="76"/>
      <c r="H356" s="76"/>
      <c r="I356" s="76"/>
      <c r="J356" s="76"/>
      <c r="K356" s="76"/>
      <c r="L356" s="76"/>
      <c r="M356" s="76"/>
      <c r="N356" s="76"/>
      <c r="O356" s="76"/>
      <c r="P356" s="76"/>
      <c r="Q356" s="76"/>
      <c r="R356" s="76"/>
      <c r="S356" s="76"/>
      <c r="T356" s="76"/>
      <c r="U356" s="76"/>
      <c r="V356" s="76"/>
      <c r="W356" s="76"/>
      <c r="X356" s="76"/>
      <c r="Y356" s="76"/>
      <c r="Z356" s="76"/>
      <c r="AA356" s="79"/>
      <c r="AB356" s="79"/>
      <c r="AC356" s="79"/>
      <c r="AD356" s="79"/>
      <c r="AE356" s="79"/>
      <c r="AF356" s="79"/>
      <c r="AG356" s="79"/>
      <c r="AH356" s="79"/>
      <c r="AI356" s="79"/>
      <c r="AJ356" s="79"/>
      <c r="AK356" s="79"/>
    </row>
    <row r="357" spans="1:37" s="78" customFormat="1" ht="12" customHeight="1">
      <c r="A357" s="76"/>
      <c r="B357" s="76"/>
      <c r="C357" s="76"/>
      <c r="D357" s="76"/>
      <c r="E357" s="76"/>
      <c r="F357" s="77"/>
      <c r="G357" s="76"/>
      <c r="H357" s="76"/>
      <c r="I357" s="76"/>
      <c r="J357" s="76"/>
      <c r="K357" s="76"/>
      <c r="L357" s="76"/>
      <c r="M357" s="76"/>
      <c r="N357" s="76"/>
      <c r="O357" s="76"/>
      <c r="P357" s="76"/>
      <c r="Q357" s="76"/>
      <c r="R357" s="76"/>
      <c r="S357" s="76"/>
      <c r="T357" s="76"/>
      <c r="U357" s="76"/>
      <c r="V357" s="76"/>
      <c r="W357" s="76"/>
      <c r="X357" s="76"/>
      <c r="Y357" s="76"/>
      <c r="Z357" s="76"/>
      <c r="AA357" s="79"/>
      <c r="AB357" s="79"/>
      <c r="AC357" s="79"/>
      <c r="AD357" s="79"/>
      <c r="AE357" s="79"/>
      <c r="AF357" s="79"/>
      <c r="AG357" s="79"/>
      <c r="AH357" s="79"/>
      <c r="AI357" s="79"/>
      <c r="AJ357" s="79"/>
      <c r="AK357" s="79"/>
    </row>
    <row r="358" spans="1:37" s="78" customFormat="1" ht="12" customHeight="1">
      <c r="A358" s="76"/>
      <c r="B358" s="76"/>
      <c r="C358" s="76"/>
      <c r="D358" s="76"/>
      <c r="E358" s="76"/>
      <c r="F358" s="77"/>
      <c r="G358" s="76"/>
      <c r="H358" s="76"/>
      <c r="I358" s="76"/>
      <c r="J358" s="76"/>
      <c r="K358" s="76"/>
      <c r="L358" s="76"/>
      <c r="M358" s="76"/>
      <c r="N358" s="76"/>
      <c r="O358" s="76"/>
      <c r="P358" s="76"/>
      <c r="Q358" s="76"/>
      <c r="R358" s="76"/>
      <c r="S358" s="76"/>
      <c r="T358" s="76"/>
      <c r="U358" s="76"/>
      <c r="V358" s="76"/>
      <c r="W358" s="76"/>
      <c r="X358" s="76"/>
      <c r="Y358" s="76"/>
      <c r="Z358" s="76"/>
      <c r="AA358" s="79"/>
      <c r="AB358" s="79"/>
      <c r="AC358" s="79"/>
      <c r="AD358" s="79"/>
      <c r="AE358" s="79"/>
      <c r="AF358" s="79"/>
      <c r="AG358" s="79"/>
      <c r="AH358" s="79"/>
      <c r="AI358" s="79"/>
      <c r="AJ358" s="79"/>
      <c r="AK358" s="79"/>
    </row>
    <row r="359" spans="1:37" s="78" customFormat="1" ht="12" customHeight="1">
      <c r="A359" s="76"/>
      <c r="B359" s="76"/>
      <c r="C359" s="76"/>
      <c r="D359" s="76"/>
      <c r="E359" s="76"/>
      <c r="F359" s="77"/>
      <c r="G359" s="76"/>
      <c r="H359" s="76"/>
      <c r="I359" s="76"/>
      <c r="J359" s="76"/>
      <c r="K359" s="76"/>
      <c r="L359" s="76"/>
      <c r="M359" s="76"/>
      <c r="N359" s="76"/>
      <c r="O359" s="76"/>
      <c r="P359" s="76"/>
      <c r="Q359" s="76"/>
      <c r="R359" s="76"/>
      <c r="S359" s="76"/>
      <c r="T359" s="76"/>
      <c r="U359" s="76"/>
      <c r="V359" s="76"/>
      <c r="W359" s="76"/>
      <c r="X359" s="76"/>
      <c r="Y359" s="76"/>
      <c r="Z359" s="76"/>
      <c r="AA359" s="79"/>
      <c r="AB359" s="79"/>
      <c r="AC359" s="79"/>
      <c r="AD359" s="79"/>
      <c r="AE359" s="79"/>
      <c r="AF359" s="79"/>
      <c r="AG359" s="79"/>
      <c r="AH359" s="79"/>
      <c r="AI359" s="79"/>
      <c r="AJ359" s="79"/>
      <c r="AK359" s="79"/>
    </row>
    <row r="360" spans="1:37" s="78" customFormat="1" ht="12" customHeight="1">
      <c r="A360" s="76"/>
      <c r="B360" s="76"/>
      <c r="C360" s="76"/>
      <c r="D360" s="76"/>
      <c r="E360" s="76"/>
      <c r="F360" s="77"/>
      <c r="G360" s="76"/>
      <c r="H360" s="76"/>
      <c r="I360" s="76"/>
      <c r="J360" s="76"/>
      <c r="K360" s="76"/>
      <c r="L360" s="76"/>
      <c r="M360" s="76"/>
      <c r="N360" s="76"/>
      <c r="O360" s="76"/>
      <c r="P360" s="76"/>
      <c r="Q360" s="76"/>
      <c r="R360" s="76"/>
      <c r="S360" s="76"/>
      <c r="T360" s="76"/>
      <c r="U360" s="76"/>
      <c r="V360" s="76"/>
      <c r="W360" s="76"/>
      <c r="X360" s="76"/>
      <c r="Y360" s="76"/>
      <c r="Z360" s="76"/>
      <c r="AA360" s="79"/>
      <c r="AB360" s="79"/>
      <c r="AC360" s="79"/>
      <c r="AD360" s="79"/>
      <c r="AE360" s="79"/>
      <c r="AF360" s="79"/>
      <c r="AG360" s="79"/>
      <c r="AH360" s="79"/>
      <c r="AI360" s="79"/>
      <c r="AJ360" s="79"/>
      <c r="AK360" s="79"/>
    </row>
    <row r="361" spans="1:37" s="78" customFormat="1" ht="12" customHeight="1">
      <c r="A361" s="76"/>
      <c r="B361" s="76"/>
      <c r="C361" s="76"/>
      <c r="D361" s="76"/>
      <c r="E361" s="76"/>
      <c r="F361" s="77"/>
      <c r="G361" s="76"/>
      <c r="H361" s="76"/>
      <c r="I361" s="76"/>
      <c r="J361" s="76"/>
      <c r="K361" s="76"/>
      <c r="L361" s="76"/>
      <c r="M361" s="76"/>
      <c r="N361" s="76"/>
      <c r="O361" s="76"/>
      <c r="P361" s="76"/>
      <c r="Q361" s="76"/>
      <c r="R361" s="76"/>
      <c r="S361" s="76"/>
      <c r="T361" s="76"/>
      <c r="U361" s="76"/>
      <c r="V361" s="76"/>
      <c r="W361" s="76"/>
      <c r="X361" s="76"/>
      <c r="Y361" s="76"/>
      <c r="Z361" s="76"/>
      <c r="AA361" s="79"/>
      <c r="AB361" s="79"/>
      <c r="AC361" s="79"/>
      <c r="AD361" s="79"/>
      <c r="AE361" s="79"/>
      <c r="AF361" s="79"/>
      <c r="AG361" s="79"/>
      <c r="AH361" s="79"/>
      <c r="AI361" s="79"/>
      <c r="AJ361" s="79"/>
      <c r="AK361" s="79"/>
    </row>
    <row r="362" spans="1:37" s="78" customFormat="1" ht="12" customHeight="1">
      <c r="A362" s="76"/>
      <c r="B362" s="76"/>
      <c r="C362" s="76"/>
      <c r="D362" s="76"/>
      <c r="E362" s="76"/>
      <c r="F362" s="77"/>
      <c r="G362" s="76"/>
      <c r="H362" s="76"/>
      <c r="I362" s="76"/>
      <c r="J362" s="76"/>
      <c r="K362" s="76"/>
      <c r="L362" s="76"/>
      <c r="M362" s="76"/>
      <c r="N362" s="76"/>
      <c r="O362" s="76"/>
      <c r="P362" s="76"/>
      <c r="Q362" s="76"/>
      <c r="R362" s="76"/>
      <c r="S362" s="76"/>
      <c r="T362" s="76"/>
      <c r="U362" s="76"/>
      <c r="V362" s="76"/>
      <c r="W362" s="76"/>
      <c r="X362" s="76"/>
      <c r="Y362" s="76"/>
      <c r="Z362" s="76"/>
      <c r="AA362" s="79"/>
      <c r="AB362" s="79"/>
      <c r="AC362" s="79"/>
      <c r="AD362" s="79"/>
      <c r="AE362" s="79"/>
      <c r="AF362" s="79"/>
      <c r="AG362" s="79"/>
      <c r="AH362" s="79"/>
      <c r="AI362" s="79"/>
      <c r="AJ362" s="79"/>
      <c r="AK362" s="79"/>
    </row>
    <row r="363" spans="1:37" s="78" customFormat="1" ht="12" customHeight="1">
      <c r="A363" s="76"/>
      <c r="B363" s="76"/>
      <c r="C363" s="76"/>
      <c r="D363" s="76"/>
      <c r="E363" s="76"/>
      <c r="F363" s="77"/>
      <c r="G363" s="76"/>
      <c r="H363" s="76"/>
      <c r="I363" s="76"/>
      <c r="J363" s="76"/>
      <c r="K363" s="76"/>
      <c r="L363" s="76"/>
      <c r="M363" s="76"/>
      <c r="N363" s="76"/>
      <c r="O363" s="76"/>
      <c r="P363" s="76"/>
      <c r="Q363" s="76"/>
      <c r="R363" s="76"/>
      <c r="S363" s="76"/>
      <c r="T363" s="76"/>
      <c r="U363" s="76"/>
      <c r="V363" s="76"/>
      <c r="W363" s="76"/>
      <c r="X363" s="76"/>
      <c r="Y363" s="76"/>
      <c r="Z363" s="76"/>
      <c r="AA363" s="79"/>
      <c r="AB363" s="79"/>
      <c r="AC363" s="79"/>
      <c r="AD363" s="79"/>
      <c r="AE363" s="79"/>
      <c r="AF363" s="79"/>
      <c r="AG363" s="79"/>
      <c r="AH363" s="79"/>
      <c r="AI363" s="79"/>
      <c r="AJ363" s="79"/>
      <c r="AK363" s="79"/>
    </row>
    <row r="364" spans="1:37" s="78" customFormat="1" ht="12" customHeight="1">
      <c r="A364" s="76"/>
      <c r="B364" s="76"/>
      <c r="C364" s="76"/>
      <c r="D364" s="76"/>
      <c r="E364" s="76"/>
      <c r="F364" s="77"/>
      <c r="G364" s="76"/>
      <c r="H364" s="76"/>
      <c r="I364" s="76"/>
      <c r="J364" s="76"/>
      <c r="K364" s="76"/>
      <c r="L364" s="76"/>
      <c r="M364" s="76"/>
      <c r="N364" s="76"/>
      <c r="O364" s="76"/>
      <c r="P364" s="76"/>
      <c r="Q364" s="76"/>
      <c r="R364" s="76"/>
      <c r="S364" s="76"/>
      <c r="T364" s="76"/>
      <c r="U364" s="76"/>
      <c r="V364" s="76"/>
      <c r="W364" s="76"/>
      <c r="X364" s="76"/>
      <c r="Y364" s="76"/>
      <c r="Z364" s="76"/>
      <c r="AA364" s="79"/>
      <c r="AB364" s="79"/>
      <c r="AC364" s="79"/>
      <c r="AD364" s="79"/>
      <c r="AE364" s="79"/>
      <c r="AF364" s="79"/>
      <c r="AG364" s="79"/>
      <c r="AH364" s="79"/>
      <c r="AI364" s="79"/>
      <c r="AJ364" s="79"/>
      <c r="AK364" s="79"/>
    </row>
    <row r="365" spans="1:37" s="78" customFormat="1" ht="12" customHeight="1">
      <c r="A365" s="76"/>
      <c r="B365" s="76"/>
      <c r="C365" s="76"/>
      <c r="D365" s="76"/>
      <c r="E365" s="76"/>
      <c r="F365" s="77"/>
      <c r="G365" s="76"/>
      <c r="H365" s="76"/>
      <c r="I365" s="76"/>
      <c r="J365" s="76"/>
      <c r="K365" s="76"/>
      <c r="L365" s="76"/>
      <c r="M365" s="76"/>
      <c r="N365" s="76"/>
      <c r="O365" s="76"/>
      <c r="P365" s="76"/>
      <c r="Q365" s="76"/>
      <c r="R365" s="76"/>
      <c r="S365" s="76"/>
      <c r="T365" s="76"/>
      <c r="U365" s="76"/>
      <c r="V365" s="76"/>
      <c r="W365" s="76"/>
      <c r="X365" s="76"/>
      <c r="Y365" s="76"/>
      <c r="Z365" s="76"/>
      <c r="AA365" s="79"/>
      <c r="AB365" s="79"/>
      <c r="AC365" s="79"/>
      <c r="AD365" s="79"/>
      <c r="AE365" s="79"/>
      <c r="AF365" s="79"/>
      <c r="AG365" s="79"/>
      <c r="AH365" s="79"/>
      <c r="AI365" s="79"/>
      <c r="AJ365" s="79"/>
      <c r="AK365" s="79"/>
    </row>
    <row r="366" spans="1:37" s="78" customFormat="1" ht="12" customHeight="1">
      <c r="A366" s="76"/>
      <c r="B366" s="76"/>
      <c r="C366" s="76"/>
      <c r="D366" s="76"/>
      <c r="E366" s="76"/>
      <c r="F366" s="77"/>
      <c r="G366" s="76"/>
      <c r="H366" s="76"/>
      <c r="I366" s="76"/>
      <c r="J366" s="76"/>
      <c r="K366" s="76"/>
      <c r="L366" s="76"/>
      <c r="M366" s="76"/>
      <c r="N366" s="76"/>
      <c r="O366" s="76"/>
      <c r="P366" s="76"/>
      <c r="Q366" s="76"/>
      <c r="R366" s="76"/>
      <c r="S366" s="76"/>
      <c r="T366" s="76"/>
      <c r="U366" s="76"/>
      <c r="V366" s="76"/>
      <c r="W366" s="76"/>
      <c r="X366" s="76"/>
      <c r="Y366" s="76"/>
      <c r="Z366" s="76"/>
      <c r="AA366" s="79"/>
      <c r="AB366" s="79"/>
      <c r="AC366" s="79"/>
      <c r="AD366" s="79"/>
      <c r="AE366" s="79"/>
      <c r="AF366" s="79"/>
      <c r="AG366" s="79"/>
      <c r="AH366" s="79"/>
      <c r="AI366" s="79"/>
      <c r="AJ366" s="79"/>
      <c r="AK366" s="79"/>
    </row>
    <row r="367" spans="1:37" s="78" customFormat="1" ht="12" customHeight="1">
      <c r="A367" s="76"/>
      <c r="B367" s="76"/>
      <c r="C367" s="76"/>
      <c r="D367" s="76"/>
      <c r="E367" s="76"/>
      <c r="F367" s="77"/>
      <c r="G367" s="76"/>
      <c r="H367" s="76"/>
      <c r="I367" s="76"/>
      <c r="J367" s="76"/>
      <c r="K367" s="76"/>
      <c r="L367" s="76"/>
      <c r="M367" s="76"/>
      <c r="N367" s="76"/>
      <c r="O367" s="76"/>
      <c r="P367" s="76"/>
      <c r="Q367" s="76"/>
      <c r="R367" s="76"/>
      <c r="S367" s="76"/>
      <c r="T367" s="76"/>
      <c r="U367" s="76"/>
      <c r="V367" s="76"/>
      <c r="W367" s="76"/>
      <c r="X367" s="76"/>
      <c r="Y367" s="76"/>
      <c r="Z367" s="76"/>
      <c r="AA367" s="79"/>
      <c r="AB367" s="79"/>
      <c r="AC367" s="79"/>
      <c r="AD367" s="79"/>
      <c r="AE367" s="79"/>
      <c r="AF367" s="79"/>
      <c r="AG367" s="79"/>
      <c r="AH367" s="79"/>
      <c r="AI367" s="79"/>
      <c r="AJ367" s="79"/>
      <c r="AK367" s="79"/>
    </row>
    <row r="368" spans="1:37" s="78" customFormat="1" ht="12" customHeight="1">
      <c r="A368" s="76"/>
      <c r="B368" s="76"/>
      <c r="C368" s="76"/>
      <c r="D368" s="76"/>
      <c r="E368" s="76"/>
      <c r="F368" s="77"/>
      <c r="G368" s="76"/>
      <c r="H368" s="76"/>
      <c r="I368" s="76"/>
      <c r="J368" s="76"/>
      <c r="K368" s="76"/>
      <c r="L368" s="76"/>
      <c r="M368" s="76"/>
      <c r="N368" s="76"/>
      <c r="O368" s="76"/>
      <c r="P368" s="76"/>
      <c r="Q368" s="76"/>
      <c r="R368" s="76"/>
      <c r="S368" s="76"/>
      <c r="T368" s="76"/>
      <c r="U368" s="76"/>
      <c r="V368" s="76"/>
      <c r="W368" s="76"/>
      <c r="X368" s="76"/>
      <c r="Y368" s="76"/>
      <c r="Z368" s="76"/>
      <c r="AA368" s="79"/>
      <c r="AB368" s="79"/>
      <c r="AC368" s="79"/>
      <c r="AD368" s="79"/>
      <c r="AE368" s="79"/>
      <c r="AF368" s="79"/>
      <c r="AG368" s="79"/>
      <c r="AH368" s="79"/>
      <c r="AI368" s="79"/>
      <c r="AJ368" s="79"/>
      <c r="AK368" s="79"/>
    </row>
    <row r="369" spans="1:37" s="78" customFormat="1" ht="12" customHeight="1">
      <c r="A369" s="76"/>
      <c r="B369" s="76"/>
      <c r="C369" s="76"/>
      <c r="D369" s="76"/>
      <c r="E369" s="76"/>
      <c r="F369" s="77"/>
      <c r="G369" s="76"/>
      <c r="H369" s="76"/>
      <c r="I369" s="76"/>
      <c r="J369" s="76"/>
      <c r="K369" s="76"/>
      <c r="L369" s="76"/>
      <c r="M369" s="76"/>
      <c r="N369" s="76"/>
      <c r="O369" s="76"/>
      <c r="P369" s="76"/>
      <c r="Q369" s="76"/>
      <c r="R369" s="76"/>
      <c r="S369" s="76"/>
      <c r="T369" s="76"/>
      <c r="U369" s="76"/>
      <c r="V369" s="76"/>
      <c r="W369" s="76"/>
      <c r="X369" s="76"/>
      <c r="Y369" s="76"/>
      <c r="Z369" s="76"/>
      <c r="AA369" s="79"/>
      <c r="AB369" s="79"/>
      <c r="AC369" s="79"/>
      <c r="AD369" s="79"/>
      <c r="AE369" s="79"/>
      <c r="AF369" s="79"/>
      <c r="AG369" s="79"/>
      <c r="AH369" s="79"/>
      <c r="AI369" s="79"/>
      <c r="AJ369" s="79"/>
      <c r="AK369" s="79"/>
    </row>
    <row r="370" spans="1:37" s="78" customFormat="1" ht="12" customHeight="1">
      <c r="A370" s="76"/>
      <c r="B370" s="76"/>
      <c r="C370" s="76"/>
      <c r="D370" s="76"/>
      <c r="E370" s="76"/>
      <c r="F370" s="77"/>
      <c r="G370" s="76"/>
      <c r="H370" s="76"/>
      <c r="I370" s="76"/>
      <c r="J370" s="76"/>
      <c r="K370" s="76"/>
      <c r="L370" s="76"/>
      <c r="M370" s="76"/>
      <c r="N370" s="76"/>
      <c r="O370" s="76"/>
      <c r="P370" s="76"/>
      <c r="Q370" s="76"/>
      <c r="R370" s="76"/>
      <c r="S370" s="76"/>
      <c r="T370" s="76"/>
      <c r="U370" s="76"/>
      <c r="V370" s="76"/>
      <c r="W370" s="76"/>
      <c r="X370" s="76"/>
      <c r="Y370" s="76"/>
      <c r="Z370" s="76"/>
      <c r="AA370" s="79"/>
      <c r="AB370" s="79"/>
      <c r="AC370" s="79"/>
      <c r="AD370" s="79"/>
      <c r="AE370" s="79"/>
      <c r="AF370" s="79"/>
      <c r="AG370" s="79"/>
      <c r="AH370" s="79"/>
      <c r="AI370" s="79"/>
      <c r="AJ370" s="79"/>
      <c r="AK370" s="79"/>
    </row>
    <row r="371" spans="1:37" s="78" customFormat="1" ht="12" customHeight="1">
      <c r="A371" s="76"/>
      <c r="B371" s="76"/>
      <c r="C371" s="76"/>
      <c r="D371" s="76"/>
      <c r="E371" s="76"/>
      <c r="F371" s="77"/>
      <c r="G371" s="76"/>
      <c r="H371" s="76"/>
      <c r="I371" s="76"/>
      <c r="J371" s="76"/>
      <c r="K371" s="76"/>
      <c r="L371" s="76"/>
      <c r="M371" s="76"/>
      <c r="N371" s="76"/>
      <c r="O371" s="76"/>
      <c r="P371" s="76"/>
      <c r="Q371" s="76"/>
      <c r="R371" s="76"/>
      <c r="S371" s="76"/>
      <c r="T371" s="76"/>
      <c r="U371" s="76"/>
      <c r="V371" s="76"/>
      <c r="W371" s="76"/>
      <c r="X371" s="76"/>
      <c r="Y371" s="76"/>
      <c r="Z371" s="76"/>
      <c r="AA371" s="79"/>
      <c r="AB371" s="79"/>
      <c r="AC371" s="79"/>
      <c r="AD371" s="79"/>
      <c r="AE371" s="79"/>
      <c r="AF371" s="79"/>
      <c r="AG371" s="79"/>
      <c r="AH371" s="79"/>
      <c r="AI371" s="79"/>
      <c r="AJ371" s="79"/>
      <c r="AK371" s="79"/>
    </row>
    <row r="372" spans="1:37" s="78" customFormat="1" ht="12" customHeight="1">
      <c r="A372" s="76"/>
      <c r="B372" s="76"/>
      <c r="C372" s="76"/>
      <c r="D372" s="76"/>
      <c r="E372" s="76"/>
      <c r="F372" s="77"/>
      <c r="G372" s="76"/>
      <c r="H372" s="76"/>
      <c r="I372" s="76"/>
      <c r="J372" s="76"/>
      <c r="K372" s="76"/>
      <c r="L372" s="76"/>
      <c r="M372" s="76"/>
      <c r="N372" s="76"/>
      <c r="O372" s="76"/>
      <c r="P372" s="76"/>
      <c r="Q372" s="76"/>
      <c r="R372" s="76"/>
      <c r="S372" s="76"/>
      <c r="T372" s="76"/>
      <c r="U372" s="76"/>
      <c r="V372" s="76"/>
      <c r="W372" s="76"/>
      <c r="X372" s="76"/>
      <c r="Y372" s="76"/>
      <c r="Z372" s="76"/>
      <c r="AA372" s="79"/>
      <c r="AB372" s="79"/>
      <c r="AC372" s="79"/>
      <c r="AD372" s="79"/>
      <c r="AE372" s="79"/>
      <c r="AF372" s="79"/>
      <c r="AG372" s="79"/>
      <c r="AH372" s="79"/>
      <c r="AI372" s="79"/>
      <c r="AJ372" s="79"/>
      <c r="AK372" s="79"/>
    </row>
    <row r="373" spans="1:37" s="78" customFormat="1" ht="12" customHeight="1">
      <c r="A373" s="76"/>
      <c r="B373" s="76"/>
      <c r="C373" s="76"/>
      <c r="D373" s="76"/>
      <c r="E373" s="76"/>
      <c r="F373" s="77"/>
      <c r="G373" s="76"/>
      <c r="H373" s="76"/>
      <c r="I373" s="76"/>
      <c r="J373" s="76"/>
      <c r="K373" s="76"/>
      <c r="L373" s="76"/>
      <c r="M373" s="76"/>
      <c r="N373" s="76"/>
      <c r="O373" s="76"/>
      <c r="P373" s="76"/>
      <c r="Q373" s="76"/>
      <c r="R373" s="76"/>
      <c r="S373" s="76"/>
      <c r="T373" s="76"/>
      <c r="U373" s="76"/>
      <c r="V373" s="76"/>
      <c r="W373" s="76"/>
      <c r="X373" s="76"/>
      <c r="Y373" s="76"/>
      <c r="Z373" s="76"/>
      <c r="AA373" s="79"/>
      <c r="AB373" s="79"/>
      <c r="AC373" s="79"/>
      <c r="AD373" s="79"/>
      <c r="AE373" s="79"/>
      <c r="AF373" s="79"/>
      <c r="AG373" s="79"/>
      <c r="AH373" s="79"/>
      <c r="AI373" s="79"/>
      <c r="AJ373" s="79"/>
      <c r="AK373" s="79"/>
    </row>
    <row r="374" spans="1:37" s="78" customFormat="1" ht="12" customHeight="1">
      <c r="A374" s="76"/>
      <c r="B374" s="76"/>
      <c r="C374" s="76"/>
      <c r="D374" s="76"/>
      <c r="E374" s="76"/>
      <c r="F374" s="77"/>
      <c r="G374" s="76"/>
      <c r="H374" s="76"/>
      <c r="I374" s="76"/>
      <c r="J374" s="76"/>
      <c r="K374" s="76"/>
      <c r="L374" s="76"/>
      <c r="M374" s="76"/>
      <c r="N374" s="76"/>
      <c r="O374" s="76"/>
      <c r="P374" s="76"/>
      <c r="Q374" s="76"/>
      <c r="R374" s="76"/>
      <c r="S374" s="76"/>
      <c r="T374" s="76"/>
      <c r="U374" s="76"/>
      <c r="V374" s="76"/>
      <c r="W374" s="76"/>
      <c r="X374" s="76"/>
      <c r="Y374" s="76"/>
      <c r="Z374" s="76"/>
      <c r="AA374" s="79"/>
      <c r="AB374" s="79"/>
      <c r="AC374" s="79"/>
      <c r="AD374" s="79"/>
      <c r="AE374" s="79"/>
      <c r="AF374" s="79"/>
      <c r="AG374" s="79"/>
      <c r="AH374" s="79"/>
      <c r="AI374" s="79"/>
      <c r="AJ374" s="79"/>
      <c r="AK374" s="79"/>
    </row>
    <row r="375" spans="1:37" s="78" customFormat="1" ht="12" customHeight="1">
      <c r="A375" s="76"/>
      <c r="B375" s="76"/>
      <c r="C375" s="76"/>
      <c r="D375" s="76"/>
      <c r="E375" s="76"/>
      <c r="F375" s="77"/>
      <c r="G375" s="76"/>
      <c r="H375" s="76"/>
      <c r="I375" s="76"/>
      <c r="J375" s="76"/>
      <c r="K375" s="76"/>
      <c r="L375" s="76"/>
      <c r="M375" s="76"/>
      <c r="N375" s="76"/>
      <c r="O375" s="76"/>
      <c r="P375" s="76"/>
      <c r="Q375" s="76"/>
      <c r="R375" s="76"/>
      <c r="S375" s="76"/>
      <c r="T375" s="76"/>
      <c r="U375" s="76"/>
      <c r="V375" s="76"/>
      <c r="W375" s="76"/>
      <c r="X375" s="76"/>
      <c r="Y375" s="76"/>
      <c r="Z375" s="76"/>
      <c r="AA375" s="79"/>
      <c r="AB375" s="79"/>
      <c r="AC375" s="79"/>
      <c r="AD375" s="79"/>
      <c r="AE375" s="79"/>
      <c r="AF375" s="79"/>
      <c r="AG375" s="79"/>
      <c r="AH375" s="79"/>
      <c r="AI375" s="79"/>
      <c r="AJ375" s="79"/>
      <c r="AK375" s="79"/>
    </row>
    <row r="376" spans="1:37" s="78" customFormat="1" ht="12" customHeight="1">
      <c r="A376" s="76"/>
      <c r="B376" s="76"/>
      <c r="C376" s="76"/>
      <c r="D376" s="76"/>
      <c r="E376" s="76"/>
      <c r="F376" s="77"/>
      <c r="G376" s="76"/>
      <c r="H376" s="76"/>
      <c r="I376" s="76"/>
      <c r="J376" s="76"/>
      <c r="K376" s="76"/>
      <c r="L376" s="76"/>
      <c r="M376" s="76"/>
      <c r="N376" s="76"/>
      <c r="O376" s="76"/>
      <c r="P376" s="76"/>
      <c r="Q376" s="76"/>
      <c r="R376" s="76"/>
      <c r="S376" s="76"/>
      <c r="T376" s="76"/>
      <c r="U376" s="76"/>
      <c r="V376" s="76"/>
      <c r="W376" s="76"/>
      <c r="X376" s="76"/>
      <c r="Y376" s="76"/>
      <c r="Z376" s="76"/>
      <c r="AA376" s="79"/>
      <c r="AB376" s="79"/>
      <c r="AC376" s="79"/>
      <c r="AD376" s="79"/>
      <c r="AE376" s="79"/>
      <c r="AF376" s="79"/>
      <c r="AG376" s="79"/>
      <c r="AH376" s="79"/>
      <c r="AI376" s="79"/>
      <c r="AJ376" s="79"/>
      <c r="AK376" s="79"/>
    </row>
    <row r="377" spans="1:37" s="78" customFormat="1" ht="12" customHeight="1">
      <c r="A377" s="76"/>
      <c r="B377" s="76"/>
      <c r="C377" s="76"/>
      <c r="D377" s="76"/>
      <c r="E377" s="76"/>
      <c r="F377" s="77"/>
      <c r="G377" s="76"/>
      <c r="H377" s="76"/>
      <c r="I377" s="76"/>
      <c r="J377" s="76"/>
      <c r="K377" s="76"/>
      <c r="L377" s="76"/>
      <c r="M377" s="76"/>
      <c r="N377" s="76"/>
      <c r="O377" s="76"/>
      <c r="P377" s="76"/>
      <c r="Q377" s="76"/>
      <c r="R377" s="76"/>
      <c r="S377" s="76"/>
      <c r="T377" s="76"/>
      <c r="U377" s="76"/>
      <c r="V377" s="76"/>
      <c r="W377" s="76"/>
      <c r="X377" s="76"/>
      <c r="Y377" s="76"/>
      <c r="Z377" s="76"/>
      <c r="AA377" s="79"/>
      <c r="AB377" s="79"/>
      <c r="AC377" s="79"/>
      <c r="AD377" s="79"/>
      <c r="AE377" s="79"/>
      <c r="AF377" s="79"/>
      <c r="AG377" s="79"/>
      <c r="AH377" s="79"/>
      <c r="AI377" s="79"/>
      <c r="AJ377" s="79"/>
      <c r="AK377" s="79"/>
    </row>
    <row r="378" spans="1:37" s="78" customFormat="1" ht="12" customHeight="1">
      <c r="A378" s="76"/>
      <c r="B378" s="76"/>
      <c r="C378" s="76"/>
      <c r="D378" s="76"/>
      <c r="E378" s="76"/>
      <c r="F378" s="77"/>
      <c r="G378" s="76"/>
      <c r="H378" s="76"/>
      <c r="I378" s="76"/>
      <c r="J378" s="76"/>
      <c r="K378" s="76"/>
      <c r="L378" s="76"/>
      <c r="M378" s="76"/>
      <c r="N378" s="76"/>
      <c r="O378" s="76"/>
      <c r="P378" s="76"/>
      <c r="Q378" s="76"/>
      <c r="R378" s="76"/>
      <c r="S378" s="76"/>
      <c r="T378" s="76"/>
      <c r="U378" s="76"/>
      <c r="V378" s="76"/>
      <c r="W378" s="76"/>
      <c r="X378" s="76"/>
      <c r="Y378" s="76"/>
      <c r="Z378" s="76"/>
      <c r="AA378" s="79"/>
      <c r="AB378" s="79"/>
      <c r="AC378" s="79"/>
      <c r="AD378" s="79"/>
      <c r="AE378" s="79"/>
      <c r="AF378" s="79"/>
      <c r="AG378" s="79"/>
      <c r="AH378" s="79"/>
      <c r="AI378" s="79"/>
      <c r="AJ378" s="79"/>
      <c r="AK378" s="79"/>
    </row>
    <row r="379" spans="1:37" s="78" customFormat="1" ht="12" customHeight="1">
      <c r="A379" s="76"/>
      <c r="B379" s="76"/>
      <c r="C379" s="76"/>
      <c r="D379" s="76"/>
      <c r="E379" s="76"/>
      <c r="F379" s="77"/>
      <c r="G379" s="76"/>
      <c r="H379" s="76"/>
      <c r="I379" s="76"/>
      <c r="J379" s="76"/>
      <c r="K379" s="76"/>
      <c r="L379" s="76"/>
      <c r="M379" s="76"/>
      <c r="N379" s="76"/>
      <c r="O379" s="76"/>
      <c r="P379" s="76"/>
      <c r="Q379" s="76"/>
      <c r="R379" s="76"/>
      <c r="S379" s="76"/>
      <c r="T379" s="76"/>
      <c r="U379" s="76"/>
      <c r="V379" s="76"/>
      <c r="W379" s="76"/>
      <c r="X379" s="76"/>
      <c r="Y379" s="76"/>
      <c r="Z379" s="76"/>
      <c r="AA379" s="79"/>
      <c r="AB379" s="79"/>
      <c r="AC379" s="79"/>
      <c r="AD379" s="79"/>
      <c r="AE379" s="79"/>
      <c r="AF379" s="79"/>
      <c r="AG379" s="79"/>
      <c r="AH379" s="79"/>
      <c r="AI379" s="79"/>
      <c r="AJ379" s="79"/>
      <c r="AK379" s="79"/>
    </row>
    <row r="380" spans="1:37" s="78" customFormat="1" ht="12" customHeight="1">
      <c r="A380" s="76"/>
      <c r="B380" s="76"/>
      <c r="C380" s="76"/>
      <c r="D380" s="76"/>
      <c r="E380" s="76"/>
      <c r="F380" s="77"/>
      <c r="G380" s="76"/>
      <c r="H380" s="76"/>
      <c r="I380" s="76"/>
      <c r="J380" s="76"/>
      <c r="K380" s="76"/>
      <c r="L380" s="76"/>
      <c r="M380" s="76"/>
      <c r="N380" s="76"/>
      <c r="O380" s="76"/>
      <c r="P380" s="76"/>
      <c r="Q380" s="76"/>
      <c r="R380" s="76"/>
      <c r="S380" s="76"/>
      <c r="T380" s="76"/>
      <c r="U380" s="76"/>
      <c r="V380" s="76"/>
      <c r="W380" s="76"/>
      <c r="X380" s="76"/>
      <c r="Y380" s="76"/>
      <c r="Z380" s="76"/>
      <c r="AA380" s="79"/>
      <c r="AB380" s="79"/>
      <c r="AC380" s="79"/>
      <c r="AD380" s="79"/>
      <c r="AE380" s="79"/>
      <c r="AF380" s="79"/>
      <c r="AG380" s="79"/>
      <c r="AH380" s="79"/>
      <c r="AI380" s="79"/>
      <c r="AJ380" s="79"/>
      <c r="AK380" s="79"/>
    </row>
    <row r="381" spans="1:37" s="78" customFormat="1" ht="12" customHeight="1">
      <c r="A381" s="76"/>
      <c r="B381" s="76"/>
      <c r="C381" s="76"/>
      <c r="D381" s="76"/>
      <c r="E381" s="76"/>
      <c r="F381" s="77"/>
      <c r="G381" s="76"/>
      <c r="H381" s="76"/>
      <c r="I381" s="76"/>
      <c r="J381" s="76"/>
      <c r="K381" s="76"/>
      <c r="L381" s="76"/>
      <c r="M381" s="76"/>
      <c r="N381" s="76"/>
      <c r="O381" s="76"/>
      <c r="P381" s="76"/>
      <c r="Q381" s="76"/>
      <c r="R381" s="76"/>
      <c r="S381" s="76"/>
      <c r="T381" s="76"/>
      <c r="U381" s="76"/>
      <c r="V381" s="76"/>
      <c r="W381" s="76"/>
      <c r="X381" s="76"/>
      <c r="Y381" s="76"/>
      <c r="Z381" s="76"/>
      <c r="AA381" s="79"/>
      <c r="AB381" s="79"/>
      <c r="AC381" s="79"/>
      <c r="AD381" s="79"/>
      <c r="AE381" s="79"/>
      <c r="AF381" s="79"/>
      <c r="AG381" s="79"/>
      <c r="AH381" s="79"/>
      <c r="AI381" s="79"/>
      <c r="AJ381" s="79"/>
      <c r="AK381" s="79"/>
    </row>
    <row r="382" spans="1:37" s="78" customFormat="1" ht="12" customHeight="1">
      <c r="A382" s="76"/>
      <c r="B382" s="76"/>
      <c r="C382" s="76"/>
      <c r="D382" s="76"/>
      <c r="E382" s="76"/>
      <c r="F382" s="77"/>
      <c r="G382" s="76"/>
      <c r="H382" s="76"/>
      <c r="I382" s="76"/>
      <c r="J382" s="76"/>
      <c r="K382" s="76"/>
      <c r="L382" s="76"/>
      <c r="M382" s="76"/>
      <c r="N382" s="76"/>
      <c r="O382" s="76"/>
      <c r="P382" s="76"/>
      <c r="Q382" s="76"/>
      <c r="R382" s="76"/>
      <c r="S382" s="76"/>
      <c r="T382" s="76"/>
      <c r="U382" s="76"/>
      <c r="V382" s="76"/>
      <c r="W382" s="76"/>
      <c r="X382" s="76"/>
      <c r="Y382" s="76"/>
      <c r="Z382" s="76"/>
      <c r="AA382" s="79"/>
      <c r="AB382" s="79"/>
      <c r="AC382" s="79"/>
      <c r="AD382" s="79"/>
      <c r="AE382" s="79"/>
      <c r="AF382" s="79"/>
      <c r="AG382" s="79"/>
      <c r="AH382" s="79"/>
      <c r="AI382" s="79"/>
      <c r="AJ382" s="79"/>
      <c r="AK382" s="79"/>
    </row>
    <row r="383" spans="1:37" s="78" customFormat="1" ht="12" customHeight="1">
      <c r="A383" s="76"/>
      <c r="B383" s="76"/>
      <c r="C383" s="76"/>
      <c r="D383" s="76"/>
      <c r="E383" s="76"/>
      <c r="F383" s="77"/>
      <c r="G383" s="76"/>
      <c r="H383" s="76"/>
      <c r="I383" s="76"/>
      <c r="J383" s="76"/>
      <c r="K383" s="76"/>
      <c r="L383" s="76"/>
      <c r="M383" s="76"/>
      <c r="N383" s="76"/>
      <c r="O383" s="76"/>
      <c r="P383" s="76"/>
      <c r="Q383" s="76"/>
      <c r="R383" s="76"/>
      <c r="S383" s="76"/>
      <c r="T383" s="76"/>
      <c r="U383" s="76"/>
      <c r="V383" s="76"/>
      <c r="W383" s="76"/>
      <c r="X383" s="76"/>
      <c r="Y383" s="76"/>
      <c r="Z383" s="76"/>
      <c r="AA383" s="79"/>
      <c r="AB383" s="79"/>
      <c r="AC383" s="79"/>
      <c r="AD383" s="79"/>
      <c r="AE383" s="79"/>
      <c r="AF383" s="79"/>
      <c r="AG383" s="79"/>
      <c r="AH383" s="79"/>
      <c r="AI383" s="79"/>
      <c r="AJ383" s="79"/>
      <c r="AK383" s="79"/>
    </row>
    <row r="384" spans="1:37" s="78" customFormat="1" ht="12" customHeight="1">
      <c r="A384" s="76"/>
      <c r="B384" s="76"/>
      <c r="C384" s="76"/>
      <c r="D384" s="76"/>
      <c r="E384" s="76"/>
      <c r="F384" s="77"/>
      <c r="G384" s="76"/>
      <c r="H384" s="76"/>
      <c r="I384" s="76"/>
      <c r="J384" s="76"/>
      <c r="K384" s="76"/>
      <c r="L384" s="76"/>
      <c r="M384" s="76"/>
      <c r="N384" s="76"/>
      <c r="O384" s="76"/>
      <c r="P384" s="76"/>
      <c r="Q384" s="76"/>
      <c r="R384" s="76"/>
      <c r="S384" s="76"/>
      <c r="T384" s="76"/>
      <c r="U384" s="76"/>
      <c r="V384" s="76"/>
      <c r="W384" s="76"/>
      <c r="X384" s="76"/>
      <c r="Y384" s="76"/>
      <c r="Z384" s="76"/>
      <c r="AA384" s="79"/>
      <c r="AB384" s="79"/>
      <c r="AC384" s="79"/>
      <c r="AD384" s="79"/>
      <c r="AE384" s="79"/>
      <c r="AF384" s="79"/>
      <c r="AG384" s="79"/>
      <c r="AH384" s="79"/>
      <c r="AI384" s="79"/>
      <c r="AJ384" s="79"/>
      <c r="AK384" s="79"/>
    </row>
    <row r="385" spans="1:37" s="78" customFormat="1" ht="12" customHeight="1">
      <c r="A385" s="76"/>
      <c r="B385" s="76"/>
      <c r="C385" s="76"/>
      <c r="D385" s="76"/>
      <c r="E385" s="76"/>
      <c r="F385" s="77"/>
      <c r="G385" s="76"/>
      <c r="H385" s="76"/>
      <c r="I385" s="76"/>
      <c r="J385" s="76"/>
      <c r="K385" s="76"/>
      <c r="L385" s="76"/>
      <c r="M385" s="76"/>
      <c r="N385" s="76"/>
      <c r="O385" s="76"/>
      <c r="P385" s="76"/>
      <c r="Q385" s="76"/>
      <c r="R385" s="76"/>
      <c r="S385" s="76"/>
      <c r="T385" s="76"/>
      <c r="U385" s="76"/>
      <c r="V385" s="76"/>
      <c r="W385" s="76"/>
      <c r="X385" s="76"/>
      <c r="Y385" s="76"/>
      <c r="Z385" s="76"/>
      <c r="AA385" s="79"/>
      <c r="AB385" s="79"/>
      <c r="AC385" s="79"/>
      <c r="AD385" s="79"/>
      <c r="AE385" s="79"/>
      <c r="AF385" s="79"/>
      <c r="AG385" s="79"/>
      <c r="AH385" s="79"/>
      <c r="AI385" s="79"/>
      <c r="AJ385" s="79"/>
      <c r="AK385" s="79"/>
    </row>
    <row r="386" spans="1:37" s="78" customFormat="1" ht="12" customHeight="1">
      <c r="A386" s="76"/>
      <c r="B386" s="76"/>
      <c r="C386" s="76"/>
      <c r="D386" s="76"/>
      <c r="E386" s="76"/>
      <c r="F386" s="77"/>
      <c r="G386" s="76"/>
      <c r="H386" s="76"/>
      <c r="I386" s="76"/>
      <c r="J386" s="76"/>
      <c r="K386" s="76"/>
      <c r="L386" s="76"/>
      <c r="M386" s="76"/>
      <c r="N386" s="76"/>
      <c r="O386" s="76"/>
      <c r="P386" s="76"/>
      <c r="Q386" s="76"/>
      <c r="R386" s="76"/>
      <c r="S386" s="76"/>
      <c r="T386" s="76"/>
      <c r="U386" s="76"/>
      <c r="V386" s="76"/>
      <c r="W386" s="76"/>
      <c r="X386" s="76"/>
      <c r="Y386" s="76"/>
      <c r="Z386" s="76"/>
      <c r="AA386" s="79"/>
      <c r="AB386" s="79"/>
      <c r="AC386" s="79"/>
      <c r="AD386" s="79"/>
      <c r="AE386" s="79"/>
      <c r="AF386" s="79"/>
      <c r="AG386" s="79"/>
      <c r="AH386" s="79"/>
      <c r="AI386" s="79"/>
      <c r="AJ386" s="79"/>
      <c r="AK386" s="79"/>
    </row>
    <row r="387" spans="1:37" s="78" customFormat="1" ht="12" customHeight="1">
      <c r="A387" s="76"/>
      <c r="B387" s="76"/>
      <c r="C387" s="76"/>
      <c r="D387" s="76"/>
      <c r="E387" s="76"/>
      <c r="F387" s="77"/>
      <c r="G387" s="76"/>
      <c r="H387" s="76"/>
      <c r="I387" s="76"/>
      <c r="J387" s="76"/>
      <c r="K387" s="76"/>
      <c r="L387" s="76"/>
      <c r="M387" s="76"/>
      <c r="N387" s="76"/>
      <c r="O387" s="76"/>
      <c r="P387" s="76"/>
      <c r="Q387" s="76"/>
      <c r="R387" s="76"/>
      <c r="S387" s="76"/>
      <c r="T387" s="76"/>
      <c r="U387" s="76"/>
      <c r="V387" s="76"/>
      <c r="W387" s="76"/>
      <c r="X387" s="76"/>
      <c r="Y387" s="76"/>
      <c r="Z387" s="76"/>
      <c r="AA387" s="79"/>
      <c r="AB387" s="79"/>
      <c r="AC387" s="79"/>
      <c r="AD387" s="79"/>
      <c r="AE387" s="79"/>
      <c r="AF387" s="79"/>
      <c r="AG387" s="79"/>
      <c r="AH387" s="79"/>
      <c r="AI387" s="79"/>
      <c r="AJ387" s="79"/>
      <c r="AK387" s="79"/>
    </row>
    <row r="388" spans="1:37" s="78" customFormat="1" ht="12" customHeight="1">
      <c r="A388" s="76"/>
      <c r="B388" s="76"/>
      <c r="C388" s="76"/>
      <c r="D388" s="76"/>
      <c r="E388" s="76"/>
      <c r="F388" s="77"/>
      <c r="G388" s="76"/>
      <c r="H388" s="76"/>
      <c r="I388" s="76"/>
      <c r="J388" s="76"/>
      <c r="K388" s="76"/>
      <c r="L388" s="76"/>
      <c r="M388" s="76"/>
      <c r="N388" s="76"/>
      <c r="O388" s="76"/>
      <c r="P388" s="76"/>
      <c r="Q388" s="76"/>
      <c r="R388" s="76"/>
      <c r="S388" s="76"/>
      <c r="T388" s="76"/>
      <c r="U388" s="76"/>
      <c r="V388" s="76"/>
      <c r="W388" s="76"/>
      <c r="X388" s="76"/>
      <c r="Y388" s="76"/>
      <c r="Z388" s="76"/>
      <c r="AA388" s="79"/>
      <c r="AB388" s="79"/>
      <c r="AC388" s="79"/>
      <c r="AD388" s="79"/>
      <c r="AE388" s="79"/>
      <c r="AF388" s="79"/>
      <c r="AG388" s="79"/>
      <c r="AH388" s="79"/>
      <c r="AI388" s="79"/>
      <c r="AJ388" s="79"/>
      <c r="AK388" s="79"/>
    </row>
    <row r="389" spans="1:37" s="78" customFormat="1" ht="12" customHeight="1">
      <c r="A389" s="76"/>
      <c r="B389" s="76"/>
      <c r="C389" s="76"/>
      <c r="D389" s="76"/>
      <c r="E389" s="76"/>
      <c r="F389" s="77"/>
      <c r="G389" s="76"/>
      <c r="H389" s="76"/>
      <c r="I389" s="76"/>
      <c r="J389" s="76"/>
      <c r="K389" s="76"/>
      <c r="L389" s="76"/>
      <c r="M389" s="76"/>
      <c r="N389" s="76"/>
      <c r="O389" s="76"/>
      <c r="P389" s="76"/>
      <c r="Q389" s="76"/>
      <c r="R389" s="76"/>
      <c r="S389" s="76"/>
      <c r="T389" s="76"/>
      <c r="U389" s="76"/>
      <c r="V389" s="76"/>
      <c r="W389" s="76"/>
      <c r="X389" s="76"/>
      <c r="Y389" s="76"/>
      <c r="Z389" s="76"/>
      <c r="AA389" s="79"/>
      <c r="AB389" s="79"/>
      <c r="AC389" s="79"/>
      <c r="AD389" s="79"/>
      <c r="AE389" s="79"/>
      <c r="AF389" s="79"/>
      <c r="AG389" s="79"/>
      <c r="AH389" s="79"/>
      <c r="AI389" s="79"/>
      <c r="AJ389" s="79"/>
      <c r="AK389" s="79"/>
    </row>
    <row r="390" spans="1:37" s="78" customFormat="1" ht="12" customHeight="1">
      <c r="A390" s="76"/>
      <c r="B390" s="76"/>
      <c r="C390" s="76"/>
      <c r="D390" s="76"/>
      <c r="E390" s="76"/>
      <c r="F390" s="77"/>
      <c r="G390" s="76"/>
      <c r="H390" s="76"/>
      <c r="I390" s="76"/>
      <c r="J390" s="76"/>
      <c r="K390" s="76"/>
      <c r="L390" s="76"/>
      <c r="M390" s="76"/>
      <c r="N390" s="76"/>
      <c r="O390" s="76"/>
      <c r="P390" s="76"/>
      <c r="Q390" s="76"/>
      <c r="R390" s="76"/>
      <c r="S390" s="76"/>
      <c r="T390" s="76"/>
      <c r="U390" s="76"/>
      <c r="V390" s="76"/>
      <c r="W390" s="76"/>
      <c r="X390" s="76"/>
      <c r="Y390" s="76"/>
      <c r="Z390" s="76"/>
      <c r="AA390" s="79"/>
      <c r="AB390" s="79"/>
      <c r="AC390" s="79"/>
      <c r="AD390" s="79"/>
      <c r="AE390" s="79"/>
      <c r="AF390" s="79"/>
      <c r="AG390" s="79"/>
      <c r="AH390" s="79"/>
      <c r="AI390" s="79"/>
      <c r="AJ390" s="79"/>
      <c r="AK390" s="79"/>
    </row>
    <row r="391" spans="1:37" s="78" customFormat="1" ht="12" customHeight="1">
      <c r="A391" s="76"/>
      <c r="B391" s="76"/>
      <c r="C391" s="76"/>
      <c r="D391" s="76"/>
      <c r="E391" s="76"/>
      <c r="F391" s="77"/>
      <c r="G391" s="76"/>
      <c r="H391" s="76"/>
      <c r="I391" s="76"/>
      <c r="J391" s="76"/>
      <c r="K391" s="76"/>
      <c r="L391" s="76"/>
      <c r="M391" s="76"/>
      <c r="N391" s="76"/>
      <c r="O391" s="76"/>
      <c r="P391" s="76"/>
      <c r="Q391" s="76"/>
      <c r="R391" s="76"/>
      <c r="S391" s="76"/>
      <c r="T391" s="76"/>
      <c r="U391" s="76"/>
      <c r="V391" s="76"/>
      <c r="W391" s="76"/>
      <c r="X391" s="76"/>
      <c r="Y391" s="76"/>
      <c r="Z391" s="76"/>
      <c r="AA391" s="79"/>
      <c r="AB391" s="79"/>
      <c r="AC391" s="79"/>
      <c r="AD391" s="79"/>
      <c r="AE391" s="79"/>
      <c r="AF391" s="79"/>
      <c r="AG391" s="79"/>
      <c r="AH391" s="79"/>
      <c r="AI391" s="79"/>
      <c r="AJ391" s="79"/>
      <c r="AK391" s="79"/>
    </row>
    <row r="392" spans="1:37" s="78" customFormat="1" ht="12" customHeight="1">
      <c r="A392" s="76"/>
      <c r="B392" s="76"/>
      <c r="C392" s="76"/>
      <c r="D392" s="76"/>
      <c r="E392" s="76"/>
      <c r="F392" s="77"/>
      <c r="G392" s="76"/>
      <c r="H392" s="76"/>
      <c r="I392" s="76"/>
      <c r="J392" s="76"/>
      <c r="K392" s="76"/>
      <c r="L392" s="76"/>
      <c r="M392" s="76"/>
      <c r="N392" s="76"/>
      <c r="O392" s="76"/>
      <c r="P392" s="76"/>
      <c r="Q392" s="76"/>
      <c r="R392" s="76"/>
      <c r="S392" s="76"/>
      <c r="T392" s="76"/>
      <c r="U392" s="76"/>
      <c r="V392" s="76"/>
      <c r="W392" s="76"/>
      <c r="X392" s="76"/>
      <c r="Y392" s="76"/>
      <c r="Z392" s="76"/>
      <c r="AA392" s="79"/>
      <c r="AB392" s="79"/>
      <c r="AC392" s="79"/>
      <c r="AD392" s="79"/>
      <c r="AE392" s="79"/>
      <c r="AF392" s="79"/>
      <c r="AG392" s="79"/>
      <c r="AH392" s="79"/>
      <c r="AI392" s="79"/>
      <c r="AJ392" s="79"/>
      <c r="AK392" s="79"/>
    </row>
    <row r="393" spans="1:37" s="78" customFormat="1" ht="12" customHeight="1">
      <c r="A393" s="76"/>
      <c r="B393" s="76"/>
      <c r="C393" s="76"/>
      <c r="D393" s="76"/>
      <c r="E393" s="76"/>
      <c r="F393" s="77"/>
      <c r="G393" s="76"/>
      <c r="H393" s="76"/>
      <c r="I393" s="76"/>
      <c r="J393" s="76"/>
      <c r="K393" s="76"/>
      <c r="L393" s="76"/>
      <c r="M393" s="76"/>
      <c r="N393" s="76"/>
      <c r="O393" s="76"/>
      <c r="P393" s="76"/>
      <c r="Q393" s="76"/>
      <c r="R393" s="76"/>
      <c r="S393" s="76"/>
      <c r="T393" s="76"/>
      <c r="U393" s="76"/>
      <c r="V393" s="76"/>
      <c r="W393" s="76"/>
      <c r="X393" s="76"/>
      <c r="Y393" s="76"/>
      <c r="Z393" s="76"/>
      <c r="AA393" s="79"/>
      <c r="AB393" s="79"/>
      <c r="AC393" s="79"/>
      <c r="AD393" s="79"/>
      <c r="AE393" s="79"/>
      <c r="AF393" s="79"/>
      <c r="AG393" s="79"/>
      <c r="AH393" s="79"/>
      <c r="AI393" s="79"/>
      <c r="AJ393" s="79"/>
      <c r="AK393" s="79"/>
    </row>
    <row r="394" spans="1:37" s="78" customFormat="1" ht="12" customHeight="1">
      <c r="A394" s="76"/>
      <c r="B394" s="76"/>
      <c r="C394" s="76"/>
      <c r="D394" s="76"/>
      <c r="E394" s="76"/>
      <c r="F394" s="77"/>
      <c r="G394" s="76"/>
      <c r="H394" s="76"/>
      <c r="I394" s="76"/>
      <c r="J394" s="76"/>
      <c r="K394" s="76"/>
      <c r="L394" s="76"/>
      <c r="M394" s="76"/>
      <c r="N394" s="76"/>
      <c r="O394" s="76"/>
      <c r="P394" s="76"/>
      <c r="Q394" s="76"/>
      <c r="R394" s="76"/>
      <c r="S394" s="76"/>
      <c r="T394" s="76"/>
      <c r="U394" s="76"/>
      <c r="V394" s="76"/>
      <c r="W394" s="76"/>
      <c r="X394" s="76"/>
      <c r="Y394" s="76"/>
      <c r="Z394" s="76"/>
      <c r="AA394" s="79"/>
      <c r="AB394" s="79"/>
      <c r="AC394" s="79"/>
      <c r="AD394" s="79"/>
      <c r="AE394" s="79"/>
      <c r="AF394" s="79"/>
      <c r="AG394" s="79"/>
      <c r="AH394" s="79"/>
      <c r="AI394" s="79"/>
      <c r="AJ394" s="79"/>
      <c r="AK394" s="79"/>
    </row>
    <row r="395" spans="1:37" s="78" customFormat="1" ht="12" customHeight="1">
      <c r="A395" s="76"/>
      <c r="B395" s="76"/>
      <c r="C395" s="76"/>
      <c r="D395" s="76"/>
      <c r="E395" s="76"/>
      <c r="F395" s="77"/>
      <c r="G395" s="76"/>
      <c r="H395" s="76"/>
      <c r="I395" s="76"/>
      <c r="J395" s="76"/>
      <c r="K395" s="76"/>
      <c r="L395" s="76"/>
      <c r="M395" s="76"/>
      <c r="N395" s="76"/>
      <c r="O395" s="76"/>
      <c r="P395" s="76"/>
      <c r="Q395" s="76"/>
      <c r="R395" s="76"/>
      <c r="S395" s="76"/>
      <c r="T395" s="76"/>
      <c r="U395" s="76"/>
      <c r="V395" s="76"/>
      <c r="W395" s="76"/>
      <c r="X395" s="76"/>
      <c r="Y395" s="76"/>
      <c r="Z395" s="76"/>
      <c r="AA395" s="79"/>
      <c r="AB395" s="79"/>
      <c r="AC395" s="79"/>
      <c r="AD395" s="79"/>
      <c r="AE395" s="79"/>
      <c r="AF395" s="79"/>
      <c r="AG395" s="79"/>
      <c r="AH395" s="79"/>
      <c r="AI395" s="79"/>
      <c r="AJ395" s="79"/>
      <c r="AK395" s="79"/>
    </row>
    <row r="396" spans="1:37" s="78" customFormat="1" ht="12" customHeight="1">
      <c r="A396" s="76"/>
      <c r="B396" s="76"/>
      <c r="C396" s="76"/>
      <c r="D396" s="76"/>
      <c r="E396" s="76"/>
      <c r="F396" s="77"/>
      <c r="G396" s="76"/>
      <c r="H396" s="76"/>
      <c r="I396" s="76"/>
      <c r="J396" s="76"/>
      <c r="K396" s="76"/>
      <c r="L396" s="76"/>
      <c r="M396" s="76"/>
      <c r="N396" s="76"/>
      <c r="O396" s="76"/>
      <c r="P396" s="76"/>
      <c r="Q396" s="76"/>
      <c r="R396" s="76"/>
      <c r="S396" s="76"/>
      <c r="T396" s="76"/>
      <c r="U396" s="76"/>
      <c r="V396" s="76"/>
      <c r="W396" s="76"/>
      <c r="X396" s="76"/>
      <c r="Y396" s="76"/>
      <c r="Z396" s="76"/>
      <c r="AA396" s="79"/>
      <c r="AB396" s="79"/>
      <c r="AC396" s="79"/>
      <c r="AD396" s="79"/>
      <c r="AE396" s="79"/>
      <c r="AF396" s="79"/>
      <c r="AG396" s="79"/>
      <c r="AH396" s="79"/>
      <c r="AI396" s="79"/>
      <c r="AJ396" s="79"/>
      <c r="AK396" s="79"/>
    </row>
    <row r="397" spans="1:37" s="78" customFormat="1" ht="12" customHeight="1">
      <c r="A397" s="76"/>
      <c r="B397" s="76"/>
      <c r="C397" s="76"/>
      <c r="D397" s="76"/>
      <c r="E397" s="76"/>
      <c r="F397" s="77"/>
      <c r="G397" s="76"/>
      <c r="H397" s="76"/>
      <c r="I397" s="76"/>
      <c r="J397" s="76"/>
      <c r="K397" s="76"/>
      <c r="L397" s="76"/>
      <c r="M397" s="76"/>
      <c r="N397" s="76"/>
      <c r="O397" s="76"/>
      <c r="P397" s="76"/>
      <c r="Q397" s="76"/>
      <c r="R397" s="76"/>
      <c r="S397" s="76"/>
      <c r="T397" s="76"/>
      <c r="U397" s="76"/>
      <c r="V397" s="76"/>
      <c r="W397" s="76"/>
      <c r="X397" s="76"/>
      <c r="Y397" s="76"/>
      <c r="Z397" s="76"/>
      <c r="AA397" s="79"/>
      <c r="AB397" s="79"/>
      <c r="AC397" s="79"/>
      <c r="AD397" s="79"/>
      <c r="AE397" s="79"/>
      <c r="AF397" s="79"/>
      <c r="AG397" s="79"/>
      <c r="AH397" s="79"/>
      <c r="AI397" s="79"/>
      <c r="AJ397" s="79"/>
      <c r="AK397" s="79"/>
    </row>
    <row r="398" spans="1:37" s="78" customFormat="1" ht="12" customHeight="1">
      <c r="A398" s="76"/>
      <c r="B398" s="76"/>
      <c r="C398" s="76"/>
      <c r="D398" s="76"/>
      <c r="E398" s="76"/>
      <c r="F398" s="77"/>
      <c r="G398" s="76"/>
      <c r="H398" s="76"/>
      <c r="I398" s="76"/>
      <c r="J398" s="76"/>
      <c r="K398" s="76"/>
      <c r="L398" s="76"/>
      <c r="M398" s="76"/>
      <c r="N398" s="76"/>
      <c r="O398" s="76"/>
      <c r="P398" s="76"/>
      <c r="Q398" s="76"/>
      <c r="R398" s="76"/>
      <c r="S398" s="76"/>
      <c r="T398" s="76"/>
      <c r="U398" s="76"/>
      <c r="V398" s="76"/>
      <c r="W398" s="76"/>
      <c r="X398" s="76"/>
      <c r="Y398" s="76"/>
      <c r="Z398" s="76"/>
      <c r="AA398" s="79"/>
      <c r="AB398" s="79"/>
      <c r="AC398" s="79"/>
      <c r="AD398" s="79"/>
      <c r="AE398" s="79"/>
      <c r="AF398" s="79"/>
      <c r="AG398" s="79"/>
      <c r="AH398" s="79"/>
      <c r="AI398" s="79"/>
      <c r="AJ398" s="79"/>
      <c r="AK398" s="79"/>
    </row>
    <row r="399" spans="1:37" s="78" customFormat="1" ht="12" customHeight="1">
      <c r="A399" s="76"/>
      <c r="B399" s="76"/>
      <c r="C399" s="76"/>
      <c r="D399" s="76"/>
      <c r="E399" s="76"/>
      <c r="F399" s="77"/>
      <c r="G399" s="76"/>
      <c r="H399" s="76"/>
      <c r="I399" s="76"/>
      <c r="J399" s="76"/>
      <c r="K399" s="76"/>
      <c r="L399" s="76"/>
      <c r="M399" s="76"/>
      <c r="N399" s="76"/>
      <c r="O399" s="76"/>
      <c r="P399" s="76"/>
      <c r="Q399" s="76"/>
      <c r="R399" s="76"/>
      <c r="S399" s="76"/>
      <c r="T399" s="76"/>
      <c r="U399" s="76"/>
      <c r="V399" s="76"/>
      <c r="W399" s="76"/>
      <c r="X399" s="76"/>
      <c r="Y399" s="76"/>
      <c r="Z399" s="76"/>
      <c r="AA399" s="79"/>
      <c r="AB399" s="79"/>
      <c r="AC399" s="79"/>
      <c r="AD399" s="79"/>
      <c r="AE399" s="79"/>
      <c r="AF399" s="79"/>
      <c r="AG399" s="79"/>
      <c r="AH399" s="79"/>
      <c r="AI399" s="79"/>
      <c r="AJ399" s="79"/>
      <c r="AK399" s="79"/>
    </row>
    <row r="400" spans="1:37" s="78" customFormat="1" ht="12" customHeight="1">
      <c r="A400" s="76"/>
      <c r="B400" s="76"/>
      <c r="C400" s="76"/>
      <c r="D400" s="76"/>
      <c r="E400" s="76"/>
      <c r="F400" s="77"/>
      <c r="G400" s="76"/>
      <c r="H400" s="76"/>
      <c r="I400" s="76"/>
      <c r="J400" s="76"/>
      <c r="K400" s="76"/>
      <c r="L400" s="76"/>
      <c r="M400" s="76"/>
      <c r="N400" s="76"/>
      <c r="O400" s="76"/>
      <c r="P400" s="76"/>
      <c r="Q400" s="76"/>
      <c r="R400" s="76"/>
      <c r="S400" s="76"/>
      <c r="T400" s="76"/>
      <c r="U400" s="76"/>
      <c r="V400" s="76"/>
      <c r="W400" s="76"/>
      <c r="X400" s="76"/>
      <c r="Y400" s="76"/>
      <c r="Z400" s="76"/>
      <c r="AA400" s="79"/>
      <c r="AB400" s="79"/>
      <c r="AC400" s="79"/>
      <c r="AD400" s="79"/>
      <c r="AE400" s="79"/>
      <c r="AF400" s="79"/>
      <c r="AG400" s="79"/>
      <c r="AH400" s="79"/>
      <c r="AI400" s="79"/>
      <c r="AJ400" s="79"/>
      <c r="AK400" s="79"/>
    </row>
    <row r="401" spans="1:37" s="78" customFormat="1" ht="12" customHeight="1">
      <c r="A401" s="76"/>
      <c r="B401" s="76"/>
      <c r="C401" s="76"/>
      <c r="D401" s="76"/>
      <c r="E401" s="76"/>
      <c r="F401" s="77"/>
      <c r="G401" s="76"/>
      <c r="H401" s="76"/>
      <c r="I401" s="76"/>
      <c r="J401" s="76"/>
      <c r="K401" s="76"/>
      <c r="L401" s="76"/>
      <c r="M401" s="76"/>
      <c r="N401" s="76"/>
      <c r="O401" s="76"/>
      <c r="P401" s="76"/>
      <c r="Q401" s="76"/>
      <c r="R401" s="76"/>
      <c r="S401" s="76"/>
      <c r="T401" s="76"/>
      <c r="U401" s="76"/>
      <c r="V401" s="76"/>
      <c r="W401" s="76"/>
      <c r="X401" s="76"/>
      <c r="Y401" s="76"/>
      <c r="Z401" s="76"/>
      <c r="AA401" s="79"/>
      <c r="AB401" s="79"/>
      <c r="AC401" s="79"/>
      <c r="AD401" s="79"/>
      <c r="AE401" s="79"/>
      <c r="AF401" s="79"/>
      <c r="AG401" s="79"/>
      <c r="AH401" s="79"/>
      <c r="AI401" s="79"/>
      <c r="AJ401" s="79"/>
      <c r="AK401" s="79"/>
    </row>
    <row r="402" spans="1:37" s="78" customFormat="1" ht="12" customHeight="1">
      <c r="A402" s="76"/>
      <c r="B402" s="76"/>
      <c r="C402" s="76"/>
      <c r="D402" s="76"/>
      <c r="E402" s="76"/>
      <c r="F402" s="77"/>
      <c r="G402" s="76"/>
      <c r="H402" s="76"/>
      <c r="I402" s="76"/>
      <c r="J402" s="76"/>
      <c r="K402" s="76"/>
      <c r="L402" s="76"/>
      <c r="M402" s="76"/>
      <c r="N402" s="76"/>
      <c r="O402" s="76"/>
      <c r="P402" s="76"/>
      <c r="Q402" s="76"/>
      <c r="R402" s="76"/>
      <c r="S402" s="76"/>
      <c r="T402" s="76"/>
      <c r="U402" s="76"/>
      <c r="V402" s="76"/>
      <c r="W402" s="76"/>
      <c r="X402" s="76"/>
      <c r="Y402" s="76"/>
      <c r="Z402" s="76"/>
      <c r="AA402" s="79"/>
      <c r="AB402" s="79"/>
      <c r="AC402" s="79"/>
      <c r="AD402" s="79"/>
      <c r="AE402" s="79"/>
      <c r="AF402" s="79"/>
      <c r="AG402" s="79"/>
      <c r="AH402" s="79"/>
      <c r="AI402" s="79"/>
      <c r="AJ402" s="79"/>
      <c r="AK402" s="79"/>
    </row>
    <row r="403" spans="1:37" s="78" customFormat="1" ht="12" customHeight="1">
      <c r="A403" s="76"/>
      <c r="B403" s="76"/>
      <c r="C403" s="76"/>
      <c r="D403" s="76"/>
      <c r="E403" s="76"/>
      <c r="F403" s="77"/>
      <c r="G403" s="76"/>
      <c r="H403" s="76"/>
      <c r="I403" s="76"/>
      <c r="J403" s="76"/>
      <c r="K403" s="76"/>
      <c r="L403" s="76"/>
      <c r="M403" s="76"/>
      <c r="N403" s="76"/>
      <c r="O403" s="76"/>
      <c r="P403" s="76"/>
      <c r="Q403" s="76"/>
      <c r="R403" s="76"/>
      <c r="S403" s="76"/>
      <c r="T403" s="76"/>
      <c r="U403" s="76"/>
      <c r="V403" s="76"/>
      <c r="W403" s="76"/>
      <c r="X403" s="76"/>
      <c r="Y403" s="76"/>
      <c r="Z403" s="76"/>
      <c r="AA403" s="79"/>
      <c r="AB403" s="79"/>
      <c r="AC403" s="79"/>
      <c r="AD403" s="79"/>
      <c r="AE403" s="79"/>
      <c r="AF403" s="79"/>
      <c r="AG403" s="79"/>
      <c r="AH403" s="79"/>
      <c r="AI403" s="79"/>
      <c r="AJ403" s="79"/>
      <c r="AK403" s="79"/>
    </row>
    <row r="404" spans="1:37" s="78" customFormat="1" ht="12" customHeight="1">
      <c r="A404" s="76"/>
      <c r="B404" s="76"/>
      <c r="C404" s="76"/>
      <c r="D404" s="76"/>
      <c r="E404" s="76"/>
      <c r="F404" s="77"/>
      <c r="G404" s="76"/>
      <c r="H404" s="76"/>
      <c r="I404" s="76"/>
      <c r="J404" s="76"/>
      <c r="K404" s="76"/>
      <c r="L404" s="76"/>
      <c r="M404" s="76"/>
      <c r="N404" s="76"/>
      <c r="O404" s="76"/>
      <c r="P404" s="76"/>
      <c r="Q404" s="76"/>
      <c r="R404" s="76"/>
      <c r="S404" s="76"/>
      <c r="T404" s="76"/>
      <c r="U404" s="76"/>
      <c r="V404" s="76"/>
      <c r="W404" s="76"/>
      <c r="X404" s="76"/>
      <c r="Y404" s="76"/>
      <c r="Z404" s="76"/>
      <c r="AA404" s="79"/>
      <c r="AB404" s="79"/>
      <c r="AC404" s="79"/>
      <c r="AD404" s="79"/>
      <c r="AE404" s="79"/>
      <c r="AF404" s="79"/>
      <c r="AG404" s="79"/>
      <c r="AH404" s="79"/>
      <c r="AI404" s="79"/>
      <c r="AJ404" s="79"/>
      <c r="AK404" s="79"/>
    </row>
    <row r="405" spans="1:37" s="78" customFormat="1" ht="12" customHeight="1">
      <c r="A405" s="76"/>
      <c r="B405" s="76"/>
      <c r="C405" s="76"/>
      <c r="D405" s="76"/>
      <c r="E405" s="76"/>
      <c r="F405" s="77"/>
      <c r="G405" s="76"/>
      <c r="H405" s="76"/>
      <c r="I405" s="76"/>
      <c r="J405" s="76"/>
      <c r="K405" s="76"/>
      <c r="L405" s="76"/>
      <c r="M405" s="76"/>
      <c r="N405" s="76"/>
      <c r="O405" s="76"/>
      <c r="P405" s="76"/>
      <c r="Q405" s="76"/>
      <c r="R405" s="76"/>
      <c r="S405" s="76"/>
      <c r="T405" s="76"/>
      <c r="U405" s="76"/>
      <c r="V405" s="76"/>
      <c r="W405" s="76"/>
      <c r="X405" s="76"/>
      <c r="Y405" s="76"/>
      <c r="Z405" s="76"/>
      <c r="AA405" s="79"/>
      <c r="AB405" s="79"/>
      <c r="AC405" s="79"/>
      <c r="AD405" s="79"/>
      <c r="AE405" s="79"/>
      <c r="AF405" s="79"/>
      <c r="AG405" s="79"/>
      <c r="AH405" s="79"/>
      <c r="AI405" s="79"/>
      <c r="AJ405" s="79"/>
      <c r="AK405" s="79"/>
    </row>
    <row r="406" spans="1:37" s="78" customFormat="1" ht="12" customHeight="1">
      <c r="A406" s="76"/>
      <c r="B406" s="76"/>
      <c r="C406" s="76"/>
      <c r="D406" s="76"/>
      <c r="E406" s="76"/>
      <c r="F406" s="77"/>
      <c r="G406" s="76"/>
      <c r="H406" s="76"/>
      <c r="I406" s="76"/>
      <c r="J406" s="76"/>
      <c r="K406" s="76"/>
      <c r="L406" s="76"/>
      <c r="M406" s="76"/>
      <c r="N406" s="76"/>
      <c r="O406" s="76"/>
      <c r="P406" s="76"/>
      <c r="Q406" s="76"/>
      <c r="R406" s="76"/>
      <c r="S406" s="76"/>
      <c r="T406" s="76"/>
      <c r="U406" s="76"/>
      <c r="V406" s="76"/>
      <c r="W406" s="76"/>
      <c r="X406" s="76"/>
      <c r="Y406" s="76"/>
      <c r="Z406" s="76"/>
      <c r="AA406" s="79"/>
      <c r="AB406" s="79"/>
      <c r="AC406" s="79"/>
      <c r="AD406" s="79"/>
      <c r="AE406" s="79"/>
      <c r="AF406" s="79"/>
      <c r="AG406" s="79"/>
      <c r="AH406" s="79"/>
      <c r="AI406" s="79"/>
      <c r="AJ406" s="79"/>
      <c r="AK406" s="79"/>
    </row>
    <row r="407" spans="1:37" s="78" customFormat="1" ht="12" customHeight="1">
      <c r="A407" s="76"/>
      <c r="B407" s="76"/>
      <c r="C407" s="76"/>
      <c r="D407" s="76"/>
      <c r="E407" s="76"/>
      <c r="F407" s="77"/>
      <c r="G407" s="76"/>
      <c r="H407" s="76"/>
      <c r="I407" s="76"/>
      <c r="J407" s="76"/>
      <c r="K407" s="76"/>
      <c r="L407" s="76"/>
      <c r="M407" s="76"/>
      <c r="N407" s="76"/>
      <c r="O407" s="76"/>
      <c r="P407" s="76"/>
      <c r="Q407" s="76"/>
      <c r="R407" s="76"/>
      <c r="S407" s="76"/>
      <c r="T407" s="76"/>
      <c r="U407" s="76"/>
      <c r="V407" s="76"/>
      <c r="W407" s="76"/>
      <c r="X407" s="76"/>
      <c r="Y407" s="76"/>
      <c r="Z407" s="76"/>
      <c r="AA407" s="79"/>
      <c r="AB407" s="79"/>
      <c r="AC407" s="79"/>
      <c r="AD407" s="79"/>
      <c r="AE407" s="79"/>
      <c r="AF407" s="79"/>
      <c r="AG407" s="79"/>
      <c r="AH407" s="79"/>
      <c r="AI407" s="79"/>
      <c r="AJ407" s="79"/>
      <c r="AK407" s="79"/>
    </row>
    <row r="408" spans="1:37" s="78" customFormat="1" ht="12" customHeight="1">
      <c r="A408" s="76"/>
      <c r="B408" s="76"/>
      <c r="C408" s="76"/>
      <c r="D408" s="76"/>
      <c r="E408" s="76"/>
      <c r="F408" s="77"/>
      <c r="G408" s="76"/>
      <c r="H408" s="76"/>
      <c r="I408" s="76"/>
      <c r="J408" s="76"/>
      <c r="K408" s="76"/>
      <c r="L408" s="76"/>
      <c r="M408" s="76"/>
      <c r="N408" s="76"/>
      <c r="O408" s="76"/>
      <c r="P408" s="76"/>
      <c r="Q408" s="76"/>
      <c r="R408" s="76"/>
      <c r="S408" s="76"/>
      <c r="T408" s="76"/>
      <c r="U408" s="76"/>
      <c r="V408" s="76"/>
      <c r="W408" s="76"/>
      <c r="X408" s="76"/>
      <c r="Y408" s="76"/>
      <c r="Z408" s="76"/>
      <c r="AA408" s="79"/>
      <c r="AB408" s="79"/>
      <c r="AC408" s="79"/>
      <c r="AD408" s="79"/>
      <c r="AE408" s="79"/>
      <c r="AF408" s="79"/>
      <c r="AG408" s="79"/>
      <c r="AH408" s="79"/>
      <c r="AI408" s="79"/>
      <c r="AJ408" s="79"/>
      <c r="AK408" s="79"/>
    </row>
    <row r="409" spans="1:37" s="78" customFormat="1" ht="12" customHeight="1">
      <c r="A409" s="76"/>
      <c r="B409" s="76"/>
      <c r="C409" s="76"/>
      <c r="D409" s="76"/>
      <c r="E409" s="76"/>
      <c r="F409" s="77"/>
      <c r="G409" s="76"/>
      <c r="H409" s="76"/>
      <c r="I409" s="76"/>
      <c r="J409" s="76"/>
      <c r="K409" s="76"/>
      <c r="L409" s="76"/>
      <c r="M409" s="76"/>
      <c r="N409" s="76"/>
      <c r="O409" s="76"/>
      <c r="P409" s="76"/>
      <c r="Q409" s="76"/>
      <c r="R409" s="76"/>
      <c r="S409" s="76"/>
      <c r="T409" s="76"/>
      <c r="U409" s="76"/>
      <c r="V409" s="76"/>
      <c r="W409" s="76"/>
      <c r="X409" s="76"/>
      <c r="Y409" s="76"/>
      <c r="Z409" s="76"/>
      <c r="AA409" s="79"/>
      <c r="AB409" s="79"/>
      <c r="AC409" s="79"/>
      <c r="AD409" s="79"/>
      <c r="AE409" s="79"/>
      <c r="AF409" s="79"/>
      <c r="AG409" s="79"/>
      <c r="AH409" s="79"/>
      <c r="AI409" s="79"/>
      <c r="AJ409" s="79"/>
      <c r="AK409" s="79"/>
    </row>
    <row r="410" spans="1:37" s="78" customFormat="1" ht="12" customHeight="1">
      <c r="A410" s="76"/>
      <c r="B410" s="76"/>
      <c r="C410" s="76"/>
      <c r="D410" s="76"/>
      <c r="E410" s="76"/>
      <c r="F410" s="77"/>
      <c r="G410" s="76"/>
      <c r="H410" s="76"/>
      <c r="I410" s="76"/>
      <c r="J410" s="76"/>
      <c r="K410" s="76"/>
      <c r="L410" s="76"/>
      <c r="M410" s="76"/>
      <c r="N410" s="76"/>
      <c r="O410" s="76"/>
      <c r="P410" s="76"/>
      <c r="Q410" s="76"/>
      <c r="R410" s="76"/>
      <c r="S410" s="76"/>
      <c r="T410" s="76"/>
      <c r="U410" s="76"/>
      <c r="V410" s="76"/>
      <c r="W410" s="76"/>
      <c r="X410" s="76"/>
      <c r="Y410" s="76"/>
      <c r="Z410" s="76"/>
      <c r="AA410" s="79"/>
      <c r="AB410" s="79"/>
      <c r="AC410" s="79"/>
      <c r="AD410" s="79"/>
      <c r="AE410" s="79"/>
      <c r="AF410" s="79"/>
      <c r="AG410" s="79"/>
      <c r="AH410" s="79"/>
      <c r="AI410" s="79"/>
      <c r="AJ410" s="79"/>
      <c r="AK410" s="79"/>
    </row>
    <row r="411" spans="1:37" s="78" customFormat="1" ht="12" customHeight="1">
      <c r="A411" s="76"/>
      <c r="B411" s="76"/>
      <c r="C411" s="76"/>
      <c r="D411" s="76"/>
      <c r="E411" s="76"/>
      <c r="F411" s="77"/>
      <c r="G411" s="76"/>
      <c r="H411" s="76"/>
      <c r="I411" s="76"/>
      <c r="J411" s="76"/>
      <c r="K411" s="76"/>
      <c r="L411" s="76"/>
      <c r="M411" s="76"/>
      <c r="N411" s="76"/>
      <c r="O411" s="76"/>
      <c r="P411" s="76"/>
      <c r="Q411" s="76"/>
      <c r="R411" s="76"/>
      <c r="S411" s="76"/>
      <c r="T411" s="76"/>
      <c r="U411" s="76"/>
      <c r="V411" s="76"/>
      <c r="W411" s="76"/>
      <c r="X411" s="76"/>
      <c r="Y411" s="76"/>
      <c r="Z411" s="76"/>
      <c r="AA411" s="79"/>
      <c r="AB411" s="79"/>
      <c r="AC411" s="79"/>
      <c r="AD411" s="79"/>
      <c r="AE411" s="79"/>
      <c r="AF411" s="79"/>
      <c r="AG411" s="79"/>
      <c r="AH411" s="79"/>
      <c r="AI411" s="79"/>
      <c r="AJ411" s="79"/>
      <c r="AK411" s="79"/>
    </row>
    <row r="412" spans="1:37" s="78" customFormat="1" ht="12" customHeight="1">
      <c r="A412" s="76"/>
      <c r="B412" s="76"/>
      <c r="C412" s="76"/>
      <c r="D412" s="76"/>
      <c r="E412" s="76"/>
      <c r="F412" s="77"/>
      <c r="G412" s="76"/>
      <c r="H412" s="76"/>
      <c r="I412" s="76"/>
      <c r="J412" s="76"/>
      <c r="K412" s="76"/>
      <c r="L412" s="76"/>
      <c r="M412" s="76"/>
      <c r="N412" s="76"/>
      <c r="O412" s="76"/>
      <c r="P412" s="76"/>
      <c r="Q412" s="76"/>
      <c r="R412" s="76"/>
      <c r="S412" s="76"/>
      <c r="T412" s="76"/>
      <c r="U412" s="76"/>
      <c r="V412" s="76"/>
      <c r="W412" s="76"/>
      <c r="X412" s="76"/>
      <c r="Y412" s="76"/>
      <c r="Z412" s="76"/>
      <c r="AA412" s="79"/>
      <c r="AB412" s="79"/>
      <c r="AC412" s="79"/>
      <c r="AD412" s="79"/>
      <c r="AE412" s="79"/>
      <c r="AF412" s="79"/>
      <c r="AG412" s="79"/>
      <c r="AH412" s="79"/>
      <c r="AI412" s="79"/>
      <c r="AJ412" s="79"/>
      <c r="AK412" s="79"/>
    </row>
    <row r="413" spans="1:37" s="78" customFormat="1" ht="12" customHeight="1">
      <c r="A413" s="76"/>
      <c r="B413" s="76"/>
      <c r="C413" s="76"/>
      <c r="D413" s="76"/>
      <c r="E413" s="76"/>
      <c r="F413" s="77"/>
      <c r="G413" s="76"/>
      <c r="H413" s="76"/>
      <c r="I413" s="76"/>
      <c r="J413" s="76"/>
      <c r="K413" s="76"/>
      <c r="L413" s="76"/>
      <c r="M413" s="76"/>
      <c r="N413" s="76"/>
      <c r="O413" s="76"/>
      <c r="P413" s="76"/>
      <c r="Q413" s="76"/>
      <c r="R413" s="76"/>
      <c r="S413" s="76"/>
      <c r="T413" s="76"/>
      <c r="U413" s="76"/>
      <c r="V413" s="76"/>
      <c r="W413" s="76"/>
      <c r="X413" s="76"/>
      <c r="Y413" s="76"/>
      <c r="Z413" s="76"/>
      <c r="AA413" s="79"/>
      <c r="AB413" s="79"/>
      <c r="AC413" s="79"/>
      <c r="AD413" s="79"/>
      <c r="AE413" s="79"/>
      <c r="AF413" s="79"/>
      <c r="AG413" s="79"/>
      <c r="AH413" s="79"/>
      <c r="AI413" s="79"/>
      <c r="AJ413" s="79"/>
      <c r="AK413" s="79"/>
    </row>
    <row r="414" spans="1:37" s="78" customFormat="1" ht="12" customHeight="1">
      <c r="A414" s="76"/>
      <c r="B414" s="76"/>
      <c r="C414" s="76"/>
      <c r="D414" s="76"/>
      <c r="E414" s="76"/>
      <c r="F414" s="77"/>
      <c r="G414" s="76"/>
      <c r="H414" s="76"/>
      <c r="I414" s="76"/>
      <c r="J414" s="76"/>
      <c r="K414" s="76"/>
      <c r="L414" s="76"/>
      <c r="M414" s="76"/>
      <c r="N414" s="76"/>
      <c r="O414" s="76"/>
      <c r="P414" s="76"/>
      <c r="Q414" s="76"/>
      <c r="R414" s="76"/>
      <c r="S414" s="76"/>
      <c r="T414" s="76"/>
      <c r="U414" s="76"/>
      <c r="V414" s="76"/>
      <c r="W414" s="76"/>
      <c r="X414" s="76"/>
      <c r="Y414" s="76"/>
      <c r="Z414" s="76"/>
      <c r="AA414" s="79"/>
      <c r="AB414" s="79"/>
      <c r="AC414" s="79"/>
      <c r="AD414" s="79"/>
      <c r="AE414" s="79"/>
      <c r="AF414" s="79"/>
      <c r="AG414" s="79"/>
      <c r="AH414" s="79"/>
      <c r="AI414" s="79"/>
      <c r="AJ414" s="79"/>
      <c r="AK414" s="79"/>
    </row>
    <row r="415" spans="1:37" s="78" customFormat="1" ht="12" customHeight="1">
      <c r="A415" s="76"/>
      <c r="B415" s="76"/>
      <c r="C415" s="76"/>
      <c r="D415" s="76"/>
      <c r="E415" s="76"/>
      <c r="F415" s="77"/>
      <c r="G415" s="76"/>
      <c r="H415" s="76"/>
      <c r="I415" s="76"/>
      <c r="J415" s="76"/>
      <c r="K415" s="76"/>
      <c r="L415" s="76"/>
      <c r="M415" s="76"/>
      <c r="N415" s="76"/>
      <c r="O415" s="76"/>
      <c r="P415" s="76"/>
      <c r="Q415" s="76"/>
      <c r="R415" s="76"/>
      <c r="S415" s="76"/>
      <c r="T415" s="76"/>
      <c r="U415" s="76"/>
      <c r="V415" s="76"/>
      <c r="W415" s="76"/>
      <c r="X415" s="76"/>
      <c r="Y415" s="76"/>
      <c r="Z415" s="76"/>
      <c r="AA415" s="79"/>
      <c r="AB415" s="79"/>
      <c r="AC415" s="79"/>
      <c r="AD415" s="79"/>
      <c r="AE415" s="79"/>
      <c r="AF415" s="79"/>
      <c r="AG415" s="79"/>
      <c r="AH415" s="79"/>
      <c r="AI415" s="79"/>
      <c r="AJ415" s="79"/>
      <c r="AK415" s="79"/>
    </row>
    <row r="416" spans="1:37" s="78" customFormat="1" ht="12" customHeight="1">
      <c r="A416" s="76"/>
      <c r="B416" s="76"/>
      <c r="C416" s="76"/>
      <c r="D416" s="76"/>
      <c r="E416" s="76"/>
      <c r="F416" s="77"/>
      <c r="G416" s="76"/>
      <c r="H416" s="76"/>
      <c r="I416" s="76"/>
      <c r="J416" s="76"/>
      <c r="K416" s="76"/>
      <c r="L416" s="76"/>
      <c r="M416" s="76"/>
      <c r="N416" s="76"/>
      <c r="O416" s="76"/>
      <c r="P416" s="76"/>
      <c r="Q416" s="76"/>
      <c r="R416" s="76"/>
      <c r="S416" s="76"/>
      <c r="T416" s="76"/>
      <c r="U416" s="76"/>
      <c r="V416" s="76"/>
      <c r="W416" s="76"/>
      <c r="X416" s="76"/>
      <c r="Y416" s="76"/>
      <c r="Z416" s="76"/>
      <c r="AA416" s="79"/>
      <c r="AB416" s="79"/>
      <c r="AC416" s="79"/>
      <c r="AD416" s="79"/>
      <c r="AE416" s="79"/>
      <c r="AF416" s="79"/>
      <c r="AG416" s="79"/>
      <c r="AH416" s="79"/>
      <c r="AI416" s="79"/>
      <c r="AJ416" s="79"/>
      <c r="AK416" s="79"/>
    </row>
    <row r="417" spans="1:37" s="78" customFormat="1" ht="12" customHeight="1">
      <c r="A417" s="76"/>
      <c r="B417" s="76"/>
      <c r="C417" s="76"/>
      <c r="D417" s="76"/>
      <c r="E417" s="76"/>
      <c r="F417" s="77"/>
      <c r="G417" s="76"/>
      <c r="H417" s="76"/>
      <c r="I417" s="76"/>
      <c r="J417" s="76"/>
      <c r="K417" s="76"/>
      <c r="L417" s="76"/>
      <c r="M417" s="76"/>
      <c r="N417" s="76"/>
      <c r="O417" s="76"/>
      <c r="P417" s="76"/>
      <c r="Q417" s="76"/>
      <c r="R417" s="76"/>
      <c r="S417" s="76"/>
      <c r="T417" s="76"/>
      <c r="U417" s="76"/>
      <c r="V417" s="76"/>
      <c r="W417" s="76"/>
      <c r="X417" s="76"/>
      <c r="Y417" s="76"/>
      <c r="Z417" s="76"/>
      <c r="AA417" s="79"/>
      <c r="AB417" s="79"/>
      <c r="AC417" s="79"/>
      <c r="AD417" s="79"/>
      <c r="AE417" s="79"/>
      <c r="AF417" s="79"/>
      <c r="AG417" s="79"/>
      <c r="AH417" s="79"/>
      <c r="AI417" s="79"/>
      <c r="AJ417" s="79"/>
      <c r="AK417" s="79"/>
    </row>
    <row r="418" spans="1:37" s="78" customFormat="1" ht="12" customHeight="1">
      <c r="A418" s="76"/>
      <c r="B418" s="76"/>
      <c r="C418" s="76"/>
      <c r="D418" s="76"/>
      <c r="E418" s="76"/>
      <c r="F418" s="77"/>
      <c r="G418" s="76"/>
      <c r="H418" s="76"/>
      <c r="I418" s="76"/>
      <c r="J418" s="76"/>
      <c r="K418" s="76"/>
      <c r="L418" s="76"/>
      <c r="M418" s="76"/>
      <c r="N418" s="76"/>
      <c r="O418" s="76"/>
      <c r="P418" s="76"/>
      <c r="Q418" s="76"/>
      <c r="R418" s="76"/>
      <c r="S418" s="76"/>
      <c r="T418" s="76"/>
      <c r="U418" s="76"/>
      <c r="V418" s="76"/>
      <c r="W418" s="76"/>
      <c r="X418" s="76"/>
      <c r="Y418" s="76"/>
      <c r="Z418" s="76"/>
      <c r="AA418" s="79"/>
      <c r="AB418" s="79"/>
      <c r="AC418" s="79"/>
      <c r="AD418" s="79"/>
      <c r="AE418" s="79"/>
      <c r="AF418" s="79"/>
      <c r="AG418" s="79"/>
      <c r="AH418" s="79"/>
      <c r="AI418" s="79"/>
      <c r="AJ418" s="79"/>
      <c r="AK418" s="79"/>
    </row>
    <row r="419" spans="1:37" s="78" customFormat="1" ht="12" customHeight="1">
      <c r="A419" s="76"/>
      <c r="B419" s="76"/>
      <c r="C419" s="76"/>
      <c r="D419" s="76"/>
      <c r="E419" s="76"/>
      <c r="F419" s="77"/>
      <c r="G419" s="76"/>
      <c r="H419" s="76"/>
      <c r="I419" s="76"/>
      <c r="J419" s="76"/>
      <c r="K419" s="76"/>
      <c r="L419" s="76"/>
      <c r="M419" s="76"/>
      <c r="N419" s="76"/>
      <c r="O419" s="76"/>
      <c r="P419" s="76"/>
      <c r="Q419" s="76"/>
      <c r="R419" s="76"/>
      <c r="S419" s="76"/>
      <c r="T419" s="76"/>
      <c r="U419" s="76"/>
      <c r="V419" s="76"/>
      <c r="W419" s="76"/>
      <c r="X419" s="76"/>
      <c r="Y419" s="76"/>
      <c r="Z419" s="76"/>
      <c r="AA419" s="79"/>
      <c r="AB419" s="79"/>
      <c r="AC419" s="79"/>
      <c r="AD419" s="79"/>
      <c r="AE419" s="79"/>
      <c r="AF419" s="79"/>
      <c r="AG419" s="79"/>
      <c r="AH419" s="79"/>
      <c r="AI419" s="79"/>
      <c r="AJ419" s="79"/>
      <c r="AK419" s="79"/>
    </row>
    <row r="420" spans="1:37" s="78" customFormat="1" ht="12" customHeight="1">
      <c r="A420" s="76"/>
      <c r="B420" s="76"/>
      <c r="C420" s="76"/>
      <c r="D420" s="76"/>
      <c r="E420" s="76"/>
      <c r="F420" s="77"/>
      <c r="G420" s="76"/>
      <c r="H420" s="76"/>
      <c r="I420" s="76"/>
      <c r="J420" s="76"/>
      <c r="K420" s="76"/>
      <c r="L420" s="76"/>
      <c r="M420" s="76"/>
      <c r="N420" s="76"/>
      <c r="O420" s="76"/>
      <c r="P420" s="76"/>
      <c r="Q420" s="76"/>
      <c r="R420" s="76"/>
      <c r="S420" s="76"/>
      <c r="T420" s="76"/>
      <c r="U420" s="76"/>
      <c r="V420" s="76"/>
      <c r="W420" s="76"/>
      <c r="X420" s="76"/>
      <c r="Y420" s="76"/>
      <c r="Z420" s="76"/>
      <c r="AA420" s="79"/>
      <c r="AB420" s="79"/>
      <c r="AC420" s="79"/>
      <c r="AD420" s="79"/>
      <c r="AE420" s="79"/>
      <c r="AF420" s="79"/>
      <c r="AG420" s="79"/>
      <c r="AH420" s="79"/>
      <c r="AI420" s="79"/>
      <c r="AJ420" s="79"/>
      <c r="AK420" s="79"/>
    </row>
    <row r="421" spans="1:37" s="78" customFormat="1" ht="12" customHeight="1">
      <c r="A421" s="76"/>
      <c r="B421" s="76"/>
      <c r="C421" s="76"/>
      <c r="D421" s="76"/>
      <c r="E421" s="76"/>
      <c r="F421" s="77"/>
      <c r="G421" s="76"/>
      <c r="H421" s="76"/>
      <c r="I421" s="76"/>
      <c r="J421" s="76"/>
      <c r="K421" s="76"/>
      <c r="L421" s="76"/>
      <c r="M421" s="76"/>
      <c r="N421" s="76"/>
      <c r="O421" s="76"/>
      <c r="P421" s="76"/>
      <c r="Q421" s="76"/>
      <c r="R421" s="76"/>
      <c r="S421" s="76"/>
      <c r="T421" s="76"/>
      <c r="U421" s="76"/>
      <c r="V421" s="76"/>
      <c r="W421" s="76"/>
      <c r="X421" s="76"/>
      <c r="Y421" s="76"/>
      <c r="Z421" s="76"/>
      <c r="AA421" s="79"/>
      <c r="AB421" s="79"/>
      <c r="AC421" s="79"/>
      <c r="AD421" s="79"/>
      <c r="AE421" s="79"/>
      <c r="AF421" s="79"/>
      <c r="AG421" s="79"/>
      <c r="AH421" s="79"/>
      <c r="AI421" s="79"/>
      <c r="AJ421" s="79"/>
      <c r="AK421" s="79"/>
    </row>
    <row r="422" spans="1:37" s="78" customFormat="1" ht="12" customHeight="1">
      <c r="A422" s="76"/>
      <c r="B422" s="76"/>
      <c r="C422" s="76"/>
      <c r="D422" s="76"/>
      <c r="E422" s="76"/>
      <c r="F422" s="77"/>
      <c r="G422" s="76"/>
      <c r="H422" s="76"/>
      <c r="I422" s="76"/>
      <c r="J422" s="76"/>
      <c r="K422" s="76"/>
      <c r="L422" s="76"/>
      <c r="M422" s="76"/>
      <c r="N422" s="76"/>
      <c r="O422" s="76"/>
      <c r="P422" s="76"/>
      <c r="Q422" s="76"/>
      <c r="R422" s="76"/>
      <c r="S422" s="76"/>
      <c r="T422" s="76"/>
      <c r="U422" s="76"/>
      <c r="V422" s="76"/>
      <c r="W422" s="76"/>
      <c r="X422" s="76"/>
      <c r="Y422" s="76"/>
      <c r="Z422" s="76"/>
      <c r="AA422" s="79"/>
      <c r="AB422" s="79"/>
      <c r="AC422" s="79"/>
      <c r="AD422" s="79"/>
      <c r="AE422" s="79"/>
      <c r="AF422" s="79"/>
      <c r="AG422" s="79"/>
      <c r="AH422" s="79"/>
      <c r="AI422" s="79"/>
      <c r="AJ422" s="79"/>
      <c r="AK422" s="79"/>
    </row>
    <row r="423" spans="1:37" s="78" customFormat="1" ht="12" customHeight="1">
      <c r="A423" s="76"/>
      <c r="B423" s="76"/>
      <c r="C423" s="76"/>
      <c r="D423" s="76"/>
      <c r="E423" s="76"/>
      <c r="F423" s="77"/>
      <c r="G423" s="76"/>
      <c r="H423" s="76"/>
      <c r="I423" s="76"/>
      <c r="J423" s="76"/>
      <c r="K423" s="76"/>
      <c r="L423" s="76"/>
      <c r="M423" s="76"/>
      <c r="N423" s="76"/>
      <c r="O423" s="76"/>
      <c r="P423" s="76"/>
      <c r="Q423" s="76"/>
      <c r="R423" s="76"/>
      <c r="S423" s="76"/>
      <c r="T423" s="76"/>
      <c r="U423" s="76"/>
      <c r="V423" s="76"/>
      <c r="W423" s="76"/>
      <c r="X423" s="76"/>
      <c r="Y423" s="76"/>
      <c r="Z423" s="76"/>
      <c r="AA423" s="79"/>
      <c r="AB423" s="79"/>
      <c r="AC423" s="79"/>
      <c r="AD423" s="79"/>
      <c r="AE423" s="79"/>
      <c r="AF423" s="79"/>
      <c r="AG423" s="79"/>
      <c r="AH423" s="79"/>
      <c r="AI423" s="79"/>
      <c r="AJ423" s="79"/>
      <c r="AK423" s="79"/>
    </row>
    <row r="424" spans="1:37" s="78" customFormat="1" ht="12" customHeight="1">
      <c r="A424" s="76"/>
      <c r="B424" s="76"/>
      <c r="C424" s="76"/>
      <c r="D424" s="76"/>
      <c r="E424" s="76"/>
      <c r="F424" s="77"/>
      <c r="G424" s="76"/>
      <c r="H424" s="76"/>
      <c r="I424" s="76"/>
      <c r="J424" s="76"/>
      <c r="K424" s="76"/>
      <c r="L424" s="76"/>
      <c r="M424" s="76"/>
      <c r="N424" s="76"/>
      <c r="O424" s="76"/>
      <c r="P424" s="76"/>
      <c r="Q424" s="76"/>
      <c r="R424" s="76"/>
      <c r="S424" s="76"/>
      <c r="T424" s="76"/>
      <c r="U424" s="76"/>
      <c r="V424" s="76"/>
      <c r="W424" s="76"/>
      <c r="X424" s="76"/>
      <c r="Y424" s="76"/>
      <c r="Z424" s="76"/>
      <c r="AA424" s="79"/>
      <c r="AB424" s="79"/>
      <c r="AC424" s="79"/>
      <c r="AD424" s="79"/>
      <c r="AE424" s="79"/>
      <c r="AF424" s="79"/>
      <c r="AG424" s="79"/>
      <c r="AH424" s="79"/>
      <c r="AI424" s="79"/>
      <c r="AJ424" s="79"/>
      <c r="AK424" s="79"/>
    </row>
    <row r="425" spans="1:37" s="78" customFormat="1" ht="12" customHeight="1">
      <c r="A425" s="76"/>
      <c r="B425" s="76"/>
      <c r="C425" s="76"/>
      <c r="D425" s="76"/>
      <c r="E425" s="76"/>
      <c r="F425" s="77"/>
      <c r="G425" s="76"/>
      <c r="H425" s="76"/>
      <c r="I425" s="76"/>
      <c r="J425" s="76"/>
      <c r="K425" s="76"/>
      <c r="L425" s="76"/>
      <c r="M425" s="76"/>
      <c r="N425" s="76"/>
      <c r="O425" s="76"/>
      <c r="P425" s="76"/>
      <c r="Q425" s="76"/>
      <c r="R425" s="76"/>
      <c r="S425" s="76"/>
      <c r="T425" s="76"/>
      <c r="U425" s="76"/>
      <c r="V425" s="76"/>
      <c r="W425" s="76"/>
      <c r="X425" s="76"/>
      <c r="Y425" s="76"/>
      <c r="Z425" s="76"/>
      <c r="AA425" s="79"/>
      <c r="AB425" s="79"/>
      <c r="AC425" s="79"/>
      <c r="AD425" s="79"/>
      <c r="AE425" s="79"/>
      <c r="AF425" s="79"/>
      <c r="AG425" s="79"/>
      <c r="AH425" s="79"/>
      <c r="AI425" s="79"/>
      <c r="AJ425" s="79"/>
      <c r="AK425" s="79"/>
    </row>
    <row r="426" spans="1:37" s="78" customFormat="1" ht="12" customHeight="1">
      <c r="A426" s="76"/>
      <c r="B426" s="76"/>
      <c r="C426" s="76"/>
      <c r="D426" s="76"/>
      <c r="E426" s="76"/>
      <c r="F426" s="77"/>
      <c r="G426" s="76"/>
      <c r="H426" s="76"/>
      <c r="I426" s="76"/>
      <c r="J426" s="76"/>
      <c r="K426" s="76"/>
      <c r="L426" s="76"/>
      <c r="M426" s="76"/>
      <c r="N426" s="76"/>
      <c r="O426" s="76"/>
      <c r="P426" s="76"/>
      <c r="Q426" s="76"/>
      <c r="R426" s="76"/>
      <c r="S426" s="76"/>
      <c r="T426" s="76"/>
      <c r="U426" s="76"/>
      <c r="V426" s="76"/>
      <c r="W426" s="76"/>
      <c r="X426" s="76"/>
      <c r="Y426" s="76"/>
      <c r="Z426" s="76"/>
      <c r="AA426" s="79"/>
      <c r="AB426" s="79"/>
      <c r="AC426" s="79"/>
      <c r="AD426" s="79"/>
      <c r="AE426" s="79"/>
      <c r="AF426" s="79"/>
      <c r="AG426" s="79"/>
      <c r="AH426" s="79"/>
      <c r="AI426" s="79"/>
      <c r="AJ426" s="79"/>
      <c r="AK426" s="79"/>
    </row>
    <row r="427" spans="1:37" s="78" customFormat="1" ht="12" customHeight="1">
      <c r="A427" s="76"/>
      <c r="B427" s="76"/>
      <c r="C427" s="76"/>
      <c r="D427" s="76"/>
      <c r="E427" s="76"/>
      <c r="F427" s="77"/>
      <c r="G427" s="76"/>
      <c r="H427" s="76"/>
      <c r="I427" s="76"/>
      <c r="J427" s="76"/>
      <c r="K427" s="76"/>
      <c r="L427" s="76"/>
      <c r="M427" s="76"/>
      <c r="N427" s="76"/>
      <c r="O427" s="76"/>
      <c r="P427" s="76"/>
      <c r="Q427" s="76"/>
      <c r="R427" s="76"/>
      <c r="S427" s="76"/>
      <c r="T427" s="76"/>
      <c r="U427" s="76"/>
      <c r="V427" s="76"/>
      <c r="W427" s="76"/>
      <c r="X427" s="76"/>
      <c r="Y427" s="76"/>
      <c r="Z427" s="76"/>
      <c r="AA427" s="79"/>
      <c r="AB427" s="79"/>
      <c r="AC427" s="79"/>
      <c r="AD427" s="79"/>
      <c r="AE427" s="79"/>
      <c r="AF427" s="79"/>
      <c r="AG427" s="79"/>
      <c r="AH427" s="79"/>
      <c r="AI427" s="79"/>
      <c r="AJ427" s="79"/>
      <c r="AK427" s="79"/>
    </row>
    <row r="428" spans="1:37" s="78" customFormat="1" ht="12" customHeight="1">
      <c r="A428" s="76"/>
      <c r="B428" s="76"/>
      <c r="C428" s="76"/>
      <c r="D428" s="76"/>
      <c r="E428" s="76"/>
      <c r="F428" s="77"/>
      <c r="G428" s="76"/>
      <c r="H428" s="76"/>
      <c r="I428" s="76"/>
      <c r="J428" s="76"/>
      <c r="K428" s="76"/>
      <c r="L428" s="76"/>
      <c r="M428" s="76"/>
      <c r="N428" s="76"/>
      <c r="O428" s="76"/>
      <c r="P428" s="76"/>
      <c r="Q428" s="76"/>
      <c r="R428" s="76"/>
      <c r="S428" s="76"/>
      <c r="T428" s="76"/>
      <c r="U428" s="76"/>
      <c r="V428" s="76"/>
      <c r="W428" s="76"/>
      <c r="X428" s="76"/>
      <c r="Y428" s="76"/>
      <c r="Z428" s="76"/>
      <c r="AA428" s="79"/>
      <c r="AB428" s="79"/>
      <c r="AC428" s="79"/>
      <c r="AD428" s="79"/>
      <c r="AE428" s="79"/>
      <c r="AF428" s="79"/>
      <c r="AG428" s="79"/>
      <c r="AH428" s="79"/>
      <c r="AI428" s="79"/>
      <c r="AJ428" s="79"/>
      <c r="AK428" s="79"/>
    </row>
    <row r="429" spans="1:37" s="78" customFormat="1" ht="12" customHeight="1">
      <c r="A429" s="76"/>
      <c r="B429" s="76"/>
      <c r="C429" s="76"/>
      <c r="D429" s="76"/>
      <c r="E429" s="76"/>
      <c r="F429" s="77"/>
      <c r="G429" s="76"/>
      <c r="H429" s="76"/>
      <c r="I429" s="76"/>
      <c r="J429" s="76"/>
      <c r="K429" s="76"/>
      <c r="L429" s="76"/>
      <c r="M429" s="76"/>
      <c r="N429" s="76"/>
      <c r="O429" s="76"/>
      <c r="P429" s="76"/>
      <c r="Q429" s="76"/>
      <c r="R429" s="76"/>
      <c r="S429" s="76"/>
      <c r="T429" s="76"/>
      <c r="U429" s="76"/>
      <c r="V429" s="76"/>
      <c r="W429" s="76"/>
      <c r="X429" s="76"/>
      <c r="Y429" s="76"/>
      <c r="Z429" s="76"/>
      <c r="AA429" s="79"/>
      <c r="AB429" s="79"/>
      <c r="AC429" s="79"/>
      <c r="AD429" s="79"/>
      <c r="AE429" s="79"/>
      <c r="AF429" s="79"/>
      <c r="AG429" s="79"/>
      <c r="AH429" s="79"/>
      <c r="AI429" s="79"/>
      <c r="AJ429" s="79"/>
      <c r="AK429" s="79"/>
    </row>
    <row r="430" spans="1:37" s="78" customFormat="1" ht="12" customHeight="1">
      <c r="A430" s="76"/>
      <c r="B430" s="76"/>
      <c r="C430" s="76"/>
      <c r="D430" s="76"/>
      <c r="E430" s="76"/>
      <c r="F430" s="77"/>
      <c r="G430" s="76"/>
      <c r="H430" s="76"/>
      <c r="I430" s="76"/>
      <c r="J430" s="76"/>
      <c r="K430" s="76"/>
      <c r="L430" s="76"/>
      <c r="M430" s="76"/>
      <c r="N430" s="76"/>
      <c r="O430" s="76"/>
      <c r="P430" s="76"/>
      <c r="Q430" s="76"/>
      <c r="R430" s="76"/>
      <c r="S430" s="76"/>
      <c r="T430" s="76"/>
      <c r="U430" s="76"/>
      <c r="V430" s="76"/>
      <c r="W430" s="76"/>
      <c r="X430" s="76"/>
      <c r="Y430" s="76"/>
      <c r="Z430" s="76"/>
      <c r="AA430" s="79"/>
      <c r="AB430" s="79"/>
      <c r="AC430" s="79"/>
      <c r="AD430" s="79"/>
      <c r="AE430" s="79"/>
      <c r="AF430" s="79"/>
      <c r="AG430" s="79"/>
      <c r="AH430" s="79"/>
      <c r="AI430" s="79"/>
      <c r="AJ430" s="79"/>
      <c r="AK430" s="79"/>
    </row>
    <row r="431" spans="1:37" s="78" customFormat="1" ht="12" customHeight="1">
      <c r="A431" s="76"/>
      <c r="B431" s="76"/>
      <c r="C431" s="76"/>
      <c r="D431" s="76"/>
      <c r="E431" s="76"/>
      <c r="F431" s="77"/>
      <c r="G431" s="76"/>
      <c r="H431" s="76"/>
      <c r="I431" s="76"/>
      <c r="J431" s="76"/>
      <c r="K431" s="76"/>
      <c r="L431" s="76"/>
      <c r="M431" s="76"/>
      <c r="N431" s="76"/>
      <c r="O431" s="76"/>
      <c r="P431" s="76"/>
      <c r="Q431" s="76"/>
      <c r="R431" s="76"/>
      <c r="S431" s="76"/>
      <c r="T431" s="76"/>
      <c r="U431" s="76"/>
      <c r="V431" s="76"/>
      <c r="W431" s="76"/>
      <c r="X431" s="76"/>
      <c r="Y431" s="76"/>
      <c r="Z431" s="76"/>
      <c r="AA431" s="79"/>
      <c r="AB431" s="79"/>
      <c r="AC431" s="79"/>
      <c r="AD431" s="79"/>
      <c r="AE431" s="79"/>
      <c r="AF431" s="79"/>
      <c r="AG431" s="79"/>
      <c r="AH431" s="79"/>
      <c r="AI431" s="79"/>
      <c r="AJ431" s="79"/>
      <c r="AK431" s="79"/>
    </row>
    <row r="432" spans="1:37" s="78" customFormat="1" ht="12" customHeight="1">
      <c r="A432" s="76"/>
      <c r="B432" s="76"/>
      <c r="C432" s="76"/>
      <c r="D432" s="76"/>
      <c r="E432" s="76"/>
      <c r="F432" s="77"/>
      <c r="G432" s="76"/>
      <c r="H432" s="76"/>
      <c r="I432" s="76"/>
      <c r="J432" s="76"/>
      <c r="K432" s="76"/>
      <c r="L432" s="76"/>
      <c r="M432" s="76"/>
      <c r="N432" s="76"/>
      <c r="O432" s="76"/>
      <c r="P432" s="76"/>
      <c r="Q432" s="76"/>
      <c r="R432" s="76"/>
      <c r="S432" s="76"/>
      <c r="T432" s="76"/>
      <c r="U432" s="76"/>
      <c r="V432" s="76"/>
      <c r="W432" s="76"/>
      <c r="X432" s="76"/>
      <c r="Y432" s="76"/>
      <c r="Z432" s="76"/>
      <c r="AA432" s="79"/>
      <c r="AB432" s="79"/>
      <c r="AC432" s="79"/>
      <c r="AD432" s="79"/>
      <c r="AE432" s="79"/>
      <c r="AF432" s="79"/>
      <c r="AG432" s="79"/>
      <c r="AH432" s="79"/>
      <c r="AI432" s="79"/>
      <c r="AJ432" s="79"/>
      <c r="AK432" s="79"/>
    </row>
    <row r="433" spans="1:37" s="78" customFormat="1" ht="12" customHeight="1">
      <c r="A433" s="76"/>
      <c r="B433" s="76"/>
      <c r="C433" s="76"/>
      <c r="D433" s="76"/>
      <c r="E433" s="76"/>
      <c r="F433" s="77"/>
      <c r="G433" s="76"/>
      <c r="H433" s="76"/>
      <c r="I433" s="76"/>
      <c r="J433" s="76"/>
      <c r="K433" s="76"/>
      <c r="L433" s="76"/>
      <c r="M433" s="76"/>
      <c r="N433" s="76"/>
      <c r="O433" s="76"/>
      <c r="P433" s="76"/>
      <c r="Q433" s="76"/>
      <c r="R433" s="76"/>
      <c r="S433" s="76"/>
      <c r="T433" s="76"/>
      <c r="U433" s="76"/>
      <c r="V433" s="76"/>
      <c r="W433" s="76"/>
      <c r="X433" s="76"/>
      <c r="Y433" s="76"/>
      <c r="Z433" s="76"/>
      <c r="AA433" s="79"/>
      <c r="AB433" s="79"/>
      <c r="AC433" s="79"/>
      <c r="AD433" s="79"/>
      <c r="AE433" s="79"/>
      <c r="AF433" s="79"/>
      <c r="AG433" s="79"/>
      <c r="AH433" s="79"/>
      <c r="AI433" s="79"/>
      <c r="AJ433" s="79"/>
      <c r="AK433" s="79"/>
    </row>
    <row r="434" spans="1:37" s="78" customFormat="1" ht="12" customHeight="1">
      <c r="A434" s="76"/>
      <c r="B434" s="76"/>
      <c r="C434" s="76"/>
      <c r="D434" s="76"/>
      <c r="E434" s="76"/>
      <c r="F434" s="77"/>
      <c r="G434" s="76"/>
      <c r="H434" s="76"/>
      <c r="I434" s="76"/>
      <c r="J434" s="76"/>
      <c r="K434" s="76"/>
      <c r="L434" s="76"/>
      <c r="M434" s="76"/>
      <c r="N434" s="76"/>
      <c r="O434" s="76"/>
      <c r="P434" s="76"/>
      <c r="Q434" s="76"/>
      <c r="R434" s="76"/>
      <c r="S434" s="76"/>
      <c r="T434" s="76"/>
      <c r="U434" s="76"/>
      <c r="V434" s="76"/>
      <c r="W434" s="76"/>
      <c r="X434" s="76"/>
      <c r="Y434" s="76"/>
      <c r="Z434" s="76"/>
      <c r="AA434" s="79"/>
      <c r="AB434" s="79"/>
      <c r="AC434" s="79"/>
      <c r="AD434" s="79"/>
      <c r="AE434" s="79"/>
      <c r="AF434" s="79"/>
      <c r="AG434" s="79"/>
      <c r="AH434" s="79"/>
      <c r="AI434" s="79"/>
      <c r="AJ434" s="79"/>
      <c r="AK434" s="79"/>
    </row>
    <row r="435" spans="1:37" s="78" customFormat="1" ht="12" customHeight="1">
      <c r="A435" s="76"/>
      <c r="B435" s="76"/>
      <c r="C435" s="76"/>
      <c r="D435" s="76"/>
      <c r="E435" s="76"/>
      <c r="F435" s="77"/>
      <c r="G435" s="76"/>
      <c r="H435" s="76"/>
      <c r="I435" s="76"/>
      <c r="J435" s="76"/>
      <c r="K435" s="76"/>
      <c r="L435" s="76"/>
      <c r="M435" s="76"/>
      <c r="N435" s="76"/>
      <c r="O435" s="76"/>
      <c r="P435" s="76"/>
      <c r="Q435" s="76"/>
      <c r="R435" s="76"/>
      <c r="S435" s="76"/>
      <c r="T435" s="76"/>
      <c r="U435" s="76"/>
      <c r="V435" s="76"/>
      <c r="W435" s="76"/>
      <c r="X435" s="76"/>
      <c r="Y435" s="76"/>
      <c r="Z435" s="76"/>
      <c r="AA435" s="79"/>
      <c r="AB435" s="79"/>
      <c r="AC435" s="79"/>
      <c r="AD435" s="79"/>
      <c r="AE435" s="79"/>
      <c r="AF435" s="79"/>
      <c r="AG435" s="79"/>
      <c r="AH435" s="79"/>
      <c r="AI435" s="79"/>
      <c r="AJ435" s="79"/>
      <c r="AK435" s="79"/>
    </row>
    <row r="436" spans="1:37" s="78" customFormat="1" ht="12" customHeight="1">
      <c r="A436" s="76"/>
      <c r="B436" s="76"/>
      <c r="C436" s="76"/>
      <c r="D436" s="76"/>
      <c r="E436" s="76"/>
      <c r="F436" s="77"/>
      <c r="G436" s="76"/>
      <c r="H436" s="76"/>
      <c r="I436" s="76"/>
      <c r="J436" s="76"/>
      <c r="K436" s="76"/>
      <c r="L436" s="76"/>
      <c r="M436" s="76"/>
      <c r="N436" s="76"/>
      <c r="O436" s="76"/>
      <c r="P436" s="76"/>
      <c r="Q436" s="76"/>
      <c r="R436" s="76"/>
      <c r="S436" s="76"/>
      <c r="T436" s="76"/>
      <c r="U436" s="76"/>
      <c r="V436" s="76"/>
      <c r="W436" s="76"/>
      <c r="X436" s="76"/>
      <c r="Y436" s="76"/>
      <c r="Z436" s="76"/>
      <c r="AA436" s="79"/>
      <c r="AB436" s="79"/>
      <c r="AC436" s="79"/>
      <c r="AD436" s="79"/>
      <c r="AE436" s="79"/>
      <c r="AF436" s="79"/>
      <c r="AG436" s="79"/>
      <c r="AH436" s="79"/>
      <c r="AI436" s="79"/>
      <c r="AJ436" s="79"/>
      <c r="AK436" s="79"/>
    </row>
    <row r="437" spans="1:37" s="78" customFormat="1" ht="12" customHeight="1">
      <c r="A437" s="76"/>
      <c r="B437" s="76"/>
      <c r="C437" s="76"/>
      <c r="D437" s="76"/>
      <c r="E437" s="76"/>
      <c r="F437" s="77"/>
      <c r="G437" s="76"/>
      <c r="H437" s="76"/>
      <c r="I437" s="76"/>
      <c r="J437" s="76"/>
      <c r="K437" s="76"/>
      <c r="L437" s="76"/>
      <c r="M437" s="76"/>
      <c r="N437" s="76"/>
      <c r="O437" s="76"/>
      <c r="P437" s="76"/>
      <c r="Q437" s="76"/>
      <c r="R437" s="76"/>
      <c r="S437" s="76"/>
      <c r="T437" s="76"/>
      <c r="U437" s="76"/>
      <c r="V437" s="76"/>
      <c r="W437" s="76"/>
      <c r="X437" s="76"/>
      <c r="Y437" s="76"/>
      <c r="Z437" s="76"/>
      <c r="AA437" s="79"/>
      <c r="AB437" s="79"/>
      <c r="AC437" s="79"/>
      <c r="AD437" s="79"/>
      <c r="AE437" s="79"/>
      <c r="AF437" s="79"/>
      <c r="AG437" s="79"/>
      <c r="AH437" s="79"/>
      <c r="AI437" s="79"/>
      <c r="AJ437" s="79"/>
      <c r="AK437" s="79"/>
    </row>
    <row r="438" spans="1:37" s="78" customFormat="1" ht="12" customHeight="1">
      <c r="A438" s="76"/>
      <c r="B438" s="76"/>
      <c r="C438" s="76"/>
      <c r="D438" s="76"/>
      <c r="E438" s="76"/>
      <c r="F438" s="77"/>
      <c r="G438" s="76"/>
      <c r="H438" s="76"/>
      <c r="I438" s="76"/>
      <c r="J438" s="76"/>
      <c r="K438" s="76"/>
      <c r="L438" s="76"/>
      <c r="M438" s="76"/>
      <c r="N438" s="76"/>
      <c r="O438" s="76"/>
      <c r="P438" s="76"/>
      <c r="Q438" s="76"/>
      <c r="R438" s="76"/>
      <c r="S438" s="76"/>
      <c r="T438" s="76"/>
      <c r="U438" s="76"/>
      <c r="V438" s="76"/>
      <c r="W438" s="76"/>
      <c r="X438" s="76"/>
      <c r="Y438" s="76"/>
      <c r="Z438" s="76"/>
      <c r="AA438" s="79"/>
      <c r="AB438" s="79"/>
      <c r="AC438" s="79"/>
      <c r="AD438" s="79"/>
      <c r="AE438" s="79"/>
      <c r="AF438" s="79"/>
      <c r="AG438" s="79"/>
      <c r="AH438" s="79"/>
      <c r="AI438" s="79"/>
      <c r="AJ438" s="79"/>
      <c r="AK438" s="79"/>
    </row>
    <row r="439" spans="1:37" s="78" customFormat="1" ht="12" customHeight="1">
      <c r="A439" s="76"/>
      <c r="B439" s="76"/>
      <c r="C439" s="76"/>
      <c r="D439" s="76"/>
      <c r="E439" s="76"/>
      <c r="F439" s="77"/>
      <c r="G439" s="76"/>
      <c r="H439" s="76"/>
      <c r="I439" s="76"/>
      <c r="J439" s="76"/>
      <c r="K439" s="76"/>
      <c r="L439" s="76"/>
      <c r="M439" s="76"/>
      <c r="N439" s="76"/>
      <c r="O439" s="76"/>
      <c r="P439" s="76"/>
      <c r="Q439" s="76"/>
      <c r="R439" s="76"/>
      <c r="S439" s="76"/>
      <c r="T439" s="76"/>
      <c r="U439" s="76"/>
      <c r="V439" s="76"/>
      <c r="W439" s="76"/>
      <c r="X439" s="76"/>
      <c r="Y439" s="76"/>
      <c r="Z439" s="76"/>
      <c r="AA439" s="79"/>
      <c r="AB439" s="79"/>
      <c r="AC439" s="79"/>
      <c r="AD439" s="79"/>
      <c r="AE439" s="79"/>
      <c r="AF439" s="79"/>
      <c r="AG439" s="79"/>
      <c r="AH439" s="79"/>
      <c r="AI439" s="79"/>
      <c r="AJ439" s="79"/>
      <c r="AK439" s="79"/>
    </row>
    <row r="440" spans="1:37" s="78" customFormat="1" ht="12" customHeight="1">
      <c r="A440" s="76"/>
      <c r="B440" s="76"/>
      <c r="C440" s="76"/>
      <c r="D440" s="76"/>
      <c r="E440" s="76"/>
      <c r="F440" s="77"/>
      <c r="G440" s="76"/>
      <c r="H440" s="76"/>
      <c r="I440" s="76"/>
      <c r="J440" s="76"/>
      <c r="K440" s="76"/>
      <c r="L440" s="76"/>
      <c r="M440" s="76"/>
      <c r="N440" s="76"/>
      <c r="O440" s="76"/>
      <c r="P440" s="76"/>
      <c r="Q440" s="76"/>
      <c r="R440" s="76"/>
      <c r="S440" s="76"/>
      <c r="T440" s="76"/>
      <c r="U440" s="76"/>
      <c r="V440" s="76"/>
      <c r="W440" s="76"/>
      <c r="X440" s="76"/>
      <c r="Y440" s="76"/>
      <c r="Z440" s="76"/>
      <c r="AA440" s="79"/>
      <c r="AB440" s="79"/>
      <c r="AC440" s="79"/>
      <c r="AD440" s="79"/>
      <c r="AE440" s="79"/>
      <c r="AF440" s="79"/>
      <c r="AG440" s="79"/>
      <c r="AH440" s="79"/>
      <c r="AI440" s="79"/>
      <c r="AJ440" s="79"/>
      <c r="AK440" s="79"/>
    </row>
    <row r="441" spans="1:37" s="78" customFormat="1" ht="12" customHeight="1">
      <c r="A441" s="76"/>
      <c r="B441" s="76"/>
      <c r="C441" s="76"/>
      <c r="D441" s="76"/>
      <c r="E441" s="76"/>
      <c r="F441" s="77"/>
      <c r="G441" s="76"/>
      <c r="H441" s="76"/>
      <c r="I441" s="76"/>
      <c r="J441" s="76"/>
      <c r="K441" s="76"/>
      <c r="L441" s="76"/>
      <c r="M441" s="76"/>
      <c r="N441" s="76"/>
      <c r="O441" s="76"/>
      <c r="P441" s="76"/>
      <c r="Q441" s="76"/>
      <c r="R441" s="76"/>
      <c r="S441" s="76"/>
      <c r="T441" s="76"/>
      <c r="U441" s="76"/>
      <c r="V441" s="76"/>
      <c r="W441" s="76"/>
      <c r="X441" s="76"/>
      <c r="Y441" s="76"/>
      <c r="Z441" s="76"/>
      <c r="AA441" s="79"/>
      <c r="AB441" s="79"/>
      <c r="AC441" s="79"/>
      <c r="AD441" s="79"/>
      <c r="AE441" s="79"/>
      <c r="AF441" s="79"/>
      <c r="AG441" s="79"/>
      <c r="AH441" s="79"/>
      <c r="AI441" s="79"/>
      <c r="AJ441" s="79"/>
      <c r="AK441" s="79"/>
    </row>
    <row r="442" spans="1:37" s="78" customFormat="1" ht="12" customHeight="1">
      <c r="A442" s="76"/>
      <c r="B442" s="76"/>
      <c r="C442" s="76"/>
      <c r="D442" s="76"/>
      <c r="E442" s="76"/>
      <c r="F442" s="77"/>
      <c r="G442" s="76"/>
      <c r="H442" s="76"/>
      <c r="I442" s="76"/>
      <c r="J442" s="76"/>
      <c r="K442" s="76"/>
      <c r="L442" s="76"/>
      <c r="M442" s="76"/>
      <c r="N442" s="76"/>
      <c r="O442" s="76"/>
      <c r="P442" s="76"/>
      <c r="Q442" s="76"/>
      <c r="R442" s="76"/>
      <c r="S442" s="76"/>
      <c r="T442" s="76"/>
      <c r="U442" s="76"/>
      <c r="V442" s="76"/>
      <c r="W442" s="76"/>
      <c r="X442" s="76"/>
      <c r="Y442" s="76"/>
      <c r="Z442" s="76"/>
      <c r="AA442" s="79"/>
      <c r="AB442" s="79"/>
      <c r="AC442" s="79"/>
      <c r="AD442" s="79"/>
      <c r="AE442" s="79"/>
      <c r="AF442" s="79"/>
      <c r="AG442" s="79"/>
      <c r="AH442" s="79"/>
      <c r="AI442" s="79"/>
      <c r="AJ442" s="79"/>
      <c r="AK442" s="79"/>
    </row>
    <row r="443" spans="1:37" s="78" customFormat="1" ht="12" customHeight="1">
      <c r="A443" s="76"/>
      <c r="B443" s="76"/>
      <c r="C443" s="76"/>
      <c r="D443" s="76"/>
      <c r="E443" s="76"/>
      <c r="F443" s="77"/>
      <c r="G443" s="76"/>
      <c r="H443" s="76"/>
      <c r="I443" s="76"/>
      <c r="J443" s="76"/>
      <c r="K443" s="76"/>
      <c r="L443" s="76"/>
      <c r="M443" s="76"/>
      <c r="N443" s="76"/>
      <c r="O443" s="76"/>
      <c r="P443" s="76"/>
      <c r="Q443" s="76"/>
      <c r="R443" s="76"/>
      <c r="S443" s="76"/>
      <c r="T443" s="76"/>
      <c r="U443" s="76"/>
      <c r="V443" s="76"/>
      <c r="W443" s="76"/>
      <c r="X443" s="76"/>
      <c r="Y443" s="76"/>
      <c r="Z443" s="76"/>
      <c r="AA443" s="79"/>
      <c r="AB443" s="79"/>
      <c r="AC443" s="79"/>
      <c r="AD443" s="79"/>
      <c r="AE443" s="79"/>
      <c r="AF443" s="79"/>
      <c r="AG443" s="79"/>
      <c r="AH443" s="79"/>
      <c r="AI443" s="79"/>
      <c r="AJ443" s="79"/>
      <c r="AK443" s="79"/>
    </row>
    <row r="444" spans="1:37" s="78" customFormat="1" ht="12" customHeight="1">
      <c r="A444" s="76"/>
      <c r="B444" s="76"/>
      <c r="C444" s="76"/>
      <c r="D444" s="76"/>
      <c r="E444" s="76"/>
      <c r="F444" s="77"/>
      <c r="G444" s="76"/>
      <c r="H444" s="76"/>
      <c r="I444" s="76"/>
      <c r="J444" s="76"/>
      <c r="K444" s="76"/>
      <c r="L444" s="76"/>
      <c r="M444" s="76"/>
      <c r="N444" s="76"/>
      <c r="O444" s="76"/>
      <c r="P444" s="76"/>
      <c r="Q444" s="76"/>
      <c r="R444" s="76"/>
      <c r="S444" s="76"/>
      <c r="T444" s="76"/>
      <c r="U444" s="76"/>
      <c r="V444" s="76"/>
      <c r="W444" s="76"/>
      <c r="X444" s="76"/>
      <c r="Y444" s="76"/>
      <c r="Z444" s="76"/>
      <c r="AA444" s="79"/>
      <c r="AB444" s="79"/>
      <c r="AC444" s="79"/>
      <c r="AD444" s="79"/>
      <c r="AE444" s="79"/>
      <c r="AF444" s="79"/>
      <c r="AG444" s="79"/>
      <c r="AH444" s="79"/>
      <c r="AI444" s="79"/>
      <c r="AJ444" s="79"/>
      <c r="AK444" s="79"/>
    </row>
    <row r="445" spans="1:37" s="78" customFormat="1" ht="12" customHeight="1">
      <c r="A445" s="76"/>
      <c r="B445" s="76"/>
      <c r="C445" s="76"/>
      <c r="D445" s="76"/>
      <c r="E445" s="76"/>
      <c r="F445" s="77"/>
      <c r="G445" s="76"/>
      <c r="H445" s="76"/>
      <c r="I445" s="76"/>
      <c r="J445" s="76"/>
      <c r="K445" s="76"/>
      <c r="L445" s="76"/>
      <c r="M445" s="76"/>
      <c r="N445" s="76"/>
      <c r="O445" s="76"/>
      <c r="P445" s="76"/>
      <c r="Q445" s="76"/>
      <c r="R445" s="76"/>
      <c r="S445" s="76"/>
      <c r="T445" s="76"/>
      <c r="U445" s="76"/>
      <c r="V445" s="76"/>
      <c r="W445" s="76"/>
      <c r="X445" s="76"/>
      <c r="Y445" s="76"/>
      <c r="Z445" s="76"/>
      <c r="AA445" s="79"/>
      <c r="AB445" s="79"/>
      <c r="AC445" s="79"/>
      <c r="AD445" s="79"/>
      <c r="AE445" s="79"/>
      <c r="AF445" s="79"/>
      <c r="AG445" s="79"/>
      <c r="AH445" s="79"/>
      <c r="AI445" s="79"/>
      <c r="AJ445" s="79"/>
      <c r="AK445" s="79"/>
    </row>
    <row r="446" spans="1:37" s="78" customFormat="1" ht="12" customHeight="1">
      <c r="A446" s="76"/>
      <c r="B446" s="76"/>
      <c r="C446" s="76"/>
      <c r="D446" s="76"/>
      <c r="E446" s="76"/>
      <c r="F446" s="77"/>
      <c r="G446" s="76"/>
      <c r="H446" s="76"/>
      <c r="I446" s="76"/>
      <c r="J446" s="76"/>
      <c r="K446" s="76"/>
      <c r="L446" s="76"/>
      <c r="M446" s="76"/>
      <c r="N446" s="76"/>
      <c r="O446" s="76"/>
      <c r="P446" s="76"/>
      <c r="Q446" s="76"/>
      <c r="R446" s="76"/>
      <c r="S446" s="76"/>
      <c r="T446" s="76"/>
      <c r="U446" s="76"/>
      <c r="V446" s="76"/>
      <c r="W446" s="76"/>
      <c r="X446" s="76"/>
      <c r="Y446" s="76"/>
      <c r="Z446" s="76"/>
      <c r="AA446" s="79"/>
      <c r="AB446" s="79"/>
      <c r="AC446" s="79"/>
      <c r="AD446" s="79"/>
      <c r="AE446" s="79"/>
      <c r="AF446" s="79"/>
      <c r="AG446" s="79"/>
      <c r="AH446" s="79"/>
      <c r="AI446" s="79"/>
      <c r="AJ446" s="79"/>
      <c r="AK446" s="79"/>
    </row>
    <row r="447" spans="1:37" s="78" customFormat="1" ht="12" customHeight="1">
      <c r="A447" s="76"/>
      <c r="B447" s="76"/>
      <c r="C447" s="76"/>
      <c r="D447" s="76"/>
      <c r="E447" s="76"/>
      <c r="F447" s="77"/>
      <c r="G447" s="76"/>
      <c r="H447" s="76"/>
      <c r="I447" s="76"/>
      <c r="J447" s="76"/>
      <c r="K447" s="76"/>
      <c r="L447" s="76"/>
      <c r="M447" s="76"/>
      <c r="N447" s="76"/>
      <c r="O447" s="76"/>
      <c r="P447" s="76"/>
      <c r="Q447" s="76"/>
      <c r="R447" s="76"/>
      <c r="S447" s="76"/>
      <c r="T447" s="76"/>
      <c r="U447" s="76"/>
      <c r="V447" s="76"/>
      <c r="W447" s="76"/>
      <c r="X447" s="76"/>
      <c r="Y447" s="76"/>
      <c r="Z447" s="76"/>
      <c r="AA447" s="79"/>
      <c r="AB447" s="79"/>
      <c r="AC447" s="79"/>
      <c r="AD447" s="79"/>
      <c r="AE447" s="79"/>
      <c r="AF447" s="79"/>
      <c r="AG447" s="79"/>
      <c r="AH447" s="79"/>
      <c r="AI447" s="79"/>
      <c r="AJ447" s="79"/>
      <c r="AK447" s="79"/>
    </row>
    <row r="448" spans="1:37" s="78" customFormat="1" ht="12" customHeight="1">
      <c r="A448" s="76"/>
      <c r="B448" s="76"/>
      <c r="C448" s="76"/>
      <c r="D448" s="76"/>
      <c r="E448" s="76"/>
      <c r="F448" s="77"/>
      <c r="G448" s="76"/>
      <c r="H448" s="76"/>
      <c r="I448" s="76"/>
      <c r="J448" s="76"/>
      <c r="K448" s="76"/>
      <c r="L448" s="76"/>
      <c r="M448" s="76"/>
      <c r="N448" s="76"/>
      <c r="O448" s="76"/>
      <c r="P448" s="76"/>
      <c r="Q448" s="76"/>
      <c r="R448" s="76"/>
      <c r="S448" s="76"/>
      <c r="T448" s="76"/>
      <c r="U448" s="76"/>
      <c r="V448" s="76"/>
      <c r="W448" s="76"/>
      <c r="X448" s="76"/>
      <c r="Y448" s="76"/>
      <c r="Z448" s="76"/>
      <c r="AA448" s="79"/>
      <c r="AB448" s="79"/>
      <c r="AC448" s="79"/>
      <c r="AD448" s="79"/>
      <c r="AE448" s="79"/>
      <c r="AF448" s="79"/>
      <c r="AG448" s="79"/>
      <c r="AH448" s="79"/>
      <c r="AI448" s="79"/>
      <c r="AJ448" s="79"/>
      <c r="AK448" s="79"/>
    </row>
    <row r="449" spans="1:37" s="78" customFormat="1" ht="12" customHeight="1">
      <c r="A449" s="76"/>
      <c r="B449" s="76"/>
      <c r="C449" s="76"/>
      <c r="D449" s="76"/>
      <c r="E449" s="76"/>
      <c r="F449" s="77"/>
      <c r="G449" s="76"/>
      <c r="H449" s="76"/>
      <c r="I449" s="76"/>
      <c r="J449" s="76"/>
      <c r="K449" s="76"/>
      <c r="L449" s="76"/>
      <c r="M449" s="76"/>
      <c r="N449" s="76"/>
      <c r="O449" s="76"/>
      <c r="P449" s="76"/>
      <c r="Q449" s="76"/>
      <c r="R449" s="76"/>
      <c r="S449" s="76"/>
      <c r="T449" s="76"/>
      <c r="U449" s="76"/>
      <c r="V449" s="76"/>
      <c r="W449" s="76"/>
      <c r="X449" s="76"/>
      <c r="Y449" s="76"/>
      <c r="Z449" s="76"/>
      <c r="AA449" s="79"/>
      <c r="AB449" s="79"/>
      <c r="AC449" s="79"/>
      <c r="AD449" s="79"/>
      <c r="AE449" s="79"/>
      <c r="AF449" s="79"/>
      <c r="AG449" s="79"/>
      <c r="AH449" s="79"/>
      <c r="AI449" s="79"/>
      <c r="AJ449" s="79"/>
      <c r="AK449" s="79"/>
    </row>
    <row r="450" spans="1:37" s="78" customFormat="1" ht="12" customHeight="1">
      <c r="A450" s="76"/>
      <c r="B450" s="76"/>
      <c r="C450" s="76"/>
      <c r="D450" s="76"/>
      <c r="E450" s="76"/>
      <c r="F450" s="77"/>
      <c r="G450" s="76"/>
      <c r="H450" s="76"/>
      <c r="I450" s="76"/>
      <c r="J450" s="76"/>
      <c r="K450" s="76"/>
      <c r="L450" s="76"/>
      <c r="M450" s="76"/>
      <c r="N450" s="76"/>
      <c r="O450" s="76"/>
      <c r="P450" s="76"/>
      <c r="Q450" s="76"/>
      <c r="R450" s="76"/>
      <c r="S450" s="76"/>
      <c r="T450" s="76"/>
      <c r="U450" s="76"/>
      <c r="V450" s="76"/>
      <c r="W450" s="76"/>
      <c r="X450" s="76"/>
      <c r="Y450" s="76"/>
      <c r="Z450" s="76"/>
      <c r="AA450" s="79"/>
      <c r="AB450" s="79"/>
      <c r="AC450" s="79"/>
      <c r="AD450" s="79"/>
      <c r="AE450" s="79"/>
      <c r="AF450" s="79"/>
      <c r="AG450" s="79"/>
      <c r="AH450" s="79"/>
      <c r="AI450" s="79"/>
      <c r="AJ450" s="79"/>
      <c r="AK450" s="79"/>
    </row>
    <row r="451" spans="1:37" s="78" customFormat="1" ht="12" customHeight="1">
      <c r="A451" s="76"/>
      <c r="B451" s="76"/>
      <c r="C451" s="76"/>
      <c r="D451" s="76"/>
      <c r="E451" s="76"/>
      <c r="F451" s="77"/>
      <c r="G451" s="76"/>
      <c r="H451" s="76"/>
      <c r="I451" s="76"/>
      <c r="J451" s="76"/>
      <c r="K451" s="76"/>
      <c r="L451" s="76"/>
      <c r="M451" s="76"/>
      <c r="N451" s="76"/>
      <c r="O451" s="76"/>
      <c r="P451" s="76"/>
      <c r="Q451" s="76"/>
      <c r="R451" s="76"/>
      <c r="S451" s="76"/>
      <c r="T451" s="76"/>
      <c r="U451" s="76"/>
      <c r="V451" s="76"/>
      <c r="W451" s="76"/>
      <c r="X451" s="76"/>
      <c r="Y451" s="76"/>
      <c r="Z451" s="76"/>
      <c r="AA451" s="79"/>
      <c r="AB451" s="79"/>
      <c r="AC451" s="79"/>
      <c r="AD451" s="79"/>
      <c r="AE451" s="79"/>
      <c r="AF451" s="79"/>
      <c r="AG451" s="79"/>
      <c r="AH451" s="79"/>
      <c r="AI451" s="79"/>
      <c r="AJ451" s="79"/>
      <c r="AK451" s="79"/>
    </row>
    <row r="452" spans="1:37" s="78" customFormat="1" ht="12" customHeight="1">
      <c r="A452" s="76"/>
      <c r="B452" s="76"/>
      <c r="C452" s="76"/>
      <c r="D452" s="76"/>
      <c r="E452" s="76"/>
      <c r="F452" s="77"/>
      <c r="G452" s="76"/>
      <c r="H452" s="76"/>
      <c r="I452" s="76"/>
      <c r="J452" s="76"/>
      <c r="K452" s="76"/>
      <c r="L452" s="76"/>
      <c r="M452" s="76"/>
      <c r="N452" s="76"/>
      <c r="O452" s="76"/>
      <c r="P452" s="76"/>
      <c r="Q452" s="76"/>
      <c r="R452" s="76"/>
      <c r="S452" s="76"/>
      <c r="T452" s="76"/>
      <c r="U452" s="76"/>
      <c r="V452" s="76"/>
      <c r="W452" s="76"/>
      <c r="X452" s="76"/>
      <c r="Y452" s="76"/>
      <c r="Z452" s="76"/>
      <c r="AA452" s="79"/>
      <c r="AB452" s="79"/>
      <c r="AC452" s="79"/>
      <c r="AD452" s="79"/>
      <c r="AE452" s="79"/>
      <c r="AF452" s="79"/>
      <c r="AG452" s="79"/>
      <c r="AH452" s="79"/>
      <c r="AI452" s="79"/>
      <c r="AJ452" s="79"/>
      <c r="AK452" s="79"/>
    </row>
    <row r="453" spans="1:37" s="78" customFormat="1" ht="12" customHeight="1">
      <c r="A453" s="76"/>
      <c r="B453" s="76"/>
      <c r="C453" s="76"/>
      <c r="D453" s="76"/>
      <c r="E453" s="76"/>
      <c r="F453" s="77"/>
      <c r="G453" s="76"/>
      <c r="H453" s="76"/>
      <c r="I453" s="76"/>
      <c r="J453" s="76"/>
      <c r="K453" s="76"/>
      <c r="L453" s="76"/>
      <c r="M453" s="76"/>
      <c r="N453" s="76"/>
      <c r="O453" s="76"/>
      <c r="P453" s="76"/>
      <c r="Q453" s="76"/>
      <c r="R453" s="76"/>
      <c r="S453" s="76"/>
      <c r="T453" s="76"/>
      <c r="U453" s="76"/>
      <c r="V453" s="76"/>
      <c r="W453" s="76"/>
      <c r="X453" s="76"/>
      <c r="Y453" s="76"/>
      <c r="Z453" s="76"/>
      <c r="AA453" s="79"/>
      <c r="AB453" s="79"/>
      <c r="AC453" s="79"/>
      <c r="AD453" s="79"/>
      <c r="AE453" s="79"/>
      <c r="AF453" s="79"/>
      <c r="AG453" s="79"/>
      <c r="AH453" s="79"/>
      <c r="AI453" s="79"/>
      <c r="AJ453" s="79"/>
      <c r="AK453" s="79"/>
    </row>
    <row r="454" spans="1:37" s="78" customFormat="1" ht="12" customHeight="1">
      <c r="A454" s="76"/>
      <c r="B454" s="76"/>
      <c r="C454" s="76"/>
      <c r="D454" s="76"/>
      <c r="E454" s="76"/>
      <c r="F454" s="77"/>
      <c r="G454" s="76"/>
      <c r="H454" s="76"/>
      <c r="I454" s="76"/>
      <c r="J454" s="76"/>
      <c r="K454" s="76"/>
      <c r="L454" s="76"/>
      <c r="M454" s="76"/>
      <c r="N454" s="76"/>
      <c r="O454" s="76"/>
      <c r="P454" s="76"/>
      <c r="Q454" s="76"/>
      <c r="R454" s="76"/>
      <c r="S454" s="76"/>
      <c r="T454" s="76"/>
      <c r="U454" s="76"/>
      <c r="V454" s="76"/>
      <c r="W454" s="76"/>
      <c r="X454" s="76"/>
      <c r="Y454" s="76"/>
      <c r="Z454" s="76"/>
      <c r="AA454" s="79"/>
      <c r="AB454" s="79"/>
      <c r="AC454" s="79"/>
      <c r="AD454" s="79"/>
      <c r="AE454" s="79"/>
      <c r="AF454" s="79"/>
      <c r="AG454" s="79"/>
      <c r="AH454" s="79"/>
      <c r="AI454" s="79"/>
      <c r="AJ454" s="79"/>
      <c r="AK454" s="79"/>
    </row>
    <row r="455" spans="1:37" s="78" customFormat="1" ht="12" customHeight="1">
      <c r="A455" s="76"/>
      <c r="B455" s="76"/>
      <c r="C455" s="76"/>
      <c r="D455" s="76"/>
      <c r="E455" s="76"/>
      <c r="F455" s="77"/>
      <c r="G455" s="76"/>
      <c r="H455" s="76"/>
      <c r="I455" s="76"/>
      <c r="J455" s="76"/>
      <c r="K455" s="76"/>
      <c r="L455" s="76"/>
      <c r="M455" s="76"/>
      <c r="N455" s="76"/>
      <c r="O455" s="76"/>
      <c r="P455" s="76"/>
      <c r="Q455" s="76"/>
      <c r="R455" s="76"/>
      <c r="S455" s="76"/>
      <c r="T455" s="76"/>
      <c r="U455" s="76"/>
      <c r="V455" s="76"/>
      <c r="W455" s="76"/>
      <c r="X455" s="76"/>
      <c r="Y455" s="76"/>
      <c r="Z455" s="76"/>
      <c r="AA455" s="79"/>
      <c r="AB455" s="79"/>
      <c r="AC455" s="79"/>
      <c r="AD455" s="79"/>
      <c r="AE455" s="79"/>
      <c r="AF455" s="79"/>
      <c r="AG455" s="79"/>
      <c r="AH455" s="79"/>
      <c r="AI455" s="79"/>
      <c r="AJ455" s="79"/>
      <c r="AK455" s="79"/>
    </row>
    <row r="456" spans="1:37" s="78" customFormat="1" ht="12" customHeight="1">
      <c r="A456" s="76"/>
      <c r="B456" s="76"/>
      <c r="C456" s="76"/>
      <c r="D456" s="76"/>
      <c r="E456" s="76"/>
      <c r="F456" s="77"/>
      <c r="G456" s="76"/>
      <c r="H456" s="76"/>
      <c r="I456" s="76"/>
      <c r="J456" s="76"/>
      <c r="K456" s="76"/>
      <c r="L456" s="76"/>
      <c r="M456" s="76"/>
      <c r="N456" s="76"/>
      <c r="O456" s="76"/>
      <c r="P456" s="76"/>
      <c r="Q456" s="76"/>
      <c r="R456" s="76"/>
      <c r="S456" s="76"/>
      <c r="T456" s="76"/>
      <c r="U456" s="76"/>
      <c r="V456" s="76"/>
      <c r="W456" s="76"/>
      <c r="X456" s="76"/>
      <c r="Y456" s="76"/>
      <c r="Z456" s="76"/>
      <c r="AA456" s="79"/>
      <c r="AB456" s="79"/>
      <c r="AC456" s="79"/>
      <c r="AD456" s="79"/>
      <c r="AE456" s="79"/>
      <c r="AF456" s="79"/>
      <c r="AG456" s="79"/>
      <c r="AH456" s="79"/>
      <c r="AI456" s="79"/>
      <c r="AJ456" s="79"/>
      <c r="AK456" s="79"/>
    </row>
    <row r="457" spans="1:37" s="78" customFormat="1" ht="12" customHeight="1">
      <c r="A457" s="76"/>
      <c r="B457" s="76"/>
      <c r="C457" s="76"/>
      <c r="D457" s="76"/>
      <c r="E457" s="76"/>
      <c r="F457" s="77"/>
      <c r="G457" s="76"/>
      <c r="H457" s="76"/>
      <c r="I457" s="76"/>
      <c r="J457" s="76"/>
      <c r="K457" s="76"/>
      <c r="L457" s="76"/>
      <c r="M457" s="76"/>
      <c r="N457" s="76"/>
      <c r="O457" s="76"/>
      <c r="P457" s="76"/>
      <c r="Q457" s="76"/>
      <c r="R457" s="76"/>
      <c r="S457" s="76"/>
      <c r="T457" s="76"/>
      <c r="U457" s="76"/>
      <c r="V457" s="76"/>
      <c r="W457" s="76"/>
      <c r="X457" s="76"/>
      <c r="Y457" s="76"/>
      <c r="Z457" s="76"/>
      <c r="AA457" s="79"/>
      <c r="AB457" s="79"/>
      <c r="AC457" s="79"/>
      <c r="AD457" s="79"/>
      <c r="AE457" s="79"/>
      <c r="AF457" s="79"/>
      <c r="AG457" s="79"/>
      <c r="AH457" s="79"/>
      <c r="AI457" s="79"/>
      <c r="AJ457" s="79"/>
      <c r="AK457" s="79"/>
    </row>
    <row r="458" spans="1:37" s="78" customFormat="1" ht="12" customHeight="1">
      <c r="A458" s="76"/>
      <c r="B458" s="76"/>
      <c r="C458" s="76"/>
      <c r="D458" s="76"/>
      <c r="E458" s="76"/>
      <c r="F458" s="77"/>
      <c r="G458" s="76"/>
      <c r="H458" s="76"/>
      <c r="I458" s="76"/>
      <c r="J458" s="76"/>
      <c r="K458" s="76"/>
      <c r="L458" s="76"/>
      <c r="M458" s="76"/>
      <c r="N458" s="76"/>
      <c r="O458" s="76"/>
      <c r="P458" s="76"/>
      <c r="Q458" s="76"/>
      <c r="R458" s="76"/>
      <c r="S458" s="76"/>
      <c r="T458" s="76"/>
      <c r="U458" s="76"/>
      <c r="V458" s="76"/>
      <c r="W458" s="76"/>
      <c r="X458" s="76"/>
      <c r="Y458" s="76"/>
      <c r="Z458" s="76"/>
      <c r="AA458" s="79"/>
      <c r="AB458" s="79"/>
      <c r="AC458" s="79"/>
      <c r="AD458" s="79"/>
      <c r="AE458" s="79"/>
      <c r="AF458" s="79"/>
      <c r="AG458" s="79"/>
      <c r="AH458" s="79"/>
      <c r="AI458" s="79"/>
      <c r="AJ458" s="79"/>
      <c r="AK458" s="79"/>
    </row>
    <row r="459" spans="1:37" s="78" customFormat="1" ht="12" customHeight="1">
      <c r="A459" s="76"/>
      <c r="B459" s="76"/>
      <c r="C459" s="76"/>
      <c r="D459" s="76"/>
      <c r="E459" s="76"/>
      <c r="F459" s="77"/>
      <c r="G459" s="76"/>
      <c r="H459" s="76"/>
      <c r="I459" s="76"/>
      <c r="J459" s="76"/>
      <c r="K459" s="76"/>
      <c r="L459" s="76"/>
      <c r="M459" s="76"/>
      <c r="N459" s="76"/>
      <c r="O459" s="76"/>
      <c r="P459" s="76"/>
      <c r="Q459" s="76"/>
      <c r="R459" s="76"/>
      <c r="S459" s="76"/>
      <c r="T459" s="76"/>
      <c r="U459" s="76"/>
      <c r="V459" s="76"/>
      <c r="W459" s="76"/>
      <c r="X459" s="76"/>
      <c r="Y459" s="76"/>
      <c r="Z459" s="76"/>
      <c r="AA459" s="79"/>
      <c r="AB459" s="79"/>
      <c r="AC459" s="79"/>
      <c r="AD459" s="79"/>
      <c r="AE459" s="79"/>
      <c r="AF459" s="79"/>
      <c r="AG459" s="79"/>
      <c r="AH459" s="79"/>
      <c r="AI459" s="79"/>
      <c r="AJ459" s="79"/>
      <c r="AK459" s="79"/>
    </row>
    <row r="460" spans="1:37" s="78" customFormat="1" ht="12" customHeight="1">
      <c r="A460" s="76"/>
      <c r="B460" s="76"/>
      <c r="C460" s="76"/>
      <c r="D460" s="76"/>
      <c r="E460" s="76"/>
      <c r="F460" s="77"/>
      <c r="G460" s="76"/>
      <c r="H460" s="76"/>
      <c r="I460" s="76"/>
      <c r="J460" s="76"/>
      <c r="K460" s="76"/>
      <c r="L460" s="76"/>
      <c r="M460" s="76"/>
      <c r="N460" s="76"/>
      <c r="O460" s="76"/>
      <c r="P460" s="76"/>
      <c r="Q460" s="76"/>
      <c r="R460" s="76"/>
      <c r="S460" s="76"/>
      <c r="T460" s="76"/>
      <c r="U460" s="76"/>
      <c r="V460" s="76"/>
      <c r="W460" s="76"/>
      <c r="X460" s="76"/>
      <c r="Y460" s="76"/>
      <c r="Z460" s="76"/>
      <c r="AA460" s="79"/>
      <c r="AB460" s="79"/>
      <c r="AC460" s="79"/>
      <c r="AD460" s="79"/>
      <c r="AE460" s="79"/>
      <c r="AF460" s="79"/>
      <c r="AG460" s="79"/>
      <c r="AH460" s="79"/>
      <c r="AI460" s="79"/>
      <c r="AJ460" s="79"/>
      <c r="AK460" s="79"/>
    </row>
    <row r="461" spans="1:37" s="78" customFormat="1" ht="12" customHeight="1">
      <c r="A461" s="76"/>
      <c r="B461" s="76"/>
      <c r="C461" s="76"/>
      <c r="D461" s="76"/>
      <c r="E461" s="76"/>
      <c r="F461" s="77"/>
      <c r="G461" s="76"/>
      <c r="H461" s="76"/>
      <c r="I461" s="76"/>
      <c r="J461" s="76"/>
      <c r="K461" s="76"/>
      <c r="L461" s="76"/>
      <c r="M461" s="76"/>
      <c r="N461" s="76"/>
      <c r="O461" s="76"/>
      <c r="P461" s="76"/>
      <c r="Q461" s="76"/>
      <c r="R461" s="76"/>
      <c r="S461" s="76"/>
      <c r="T461" s="76"/>
      <c r="U461" s="76"/>
      <c r="V461" s="76"/>
      <c r="W461" s="76"/>
      <c r="X461" s="76"/>
      <c r="Y461" s="76"/>
      <c r="Z461" s="76"/>
      <c r="AA461" s="79"/>
      <c r="AB461" s="79"/>
      <c r="AC461" s="79"/>
      <c r="AD461" s="79"/>
      <c r="AE461" s="79"/>
      <c r="AF461" s="79"/>
      <c r="AG461" s="79"/>
      <c r="AH461" s="79"/>
      <c r="AI461" s="79"/>
      <c r="AJ461" s="79"/>
      <c r="AK461" s="79"/>
    </row>
    <row r="462" spans="1:37" s="78" customFormat="1" ht="12" customHeight="1">
      <c r="A462" s="76"/>
      <c r="B462" s="76"/>
      <c r="C462" s="76"/>
      <c r="D462" s="76"/>
      <c r="E462" s="76"/>
      <c r="F462" s="77"/>
      <c r="G462" s="76"/>
      <c r="H462" s="76"/>
      <c r="I462" s="76"/>
      <c r="J462" s="76"/>
      <c r="K462" s="76"/>
      <c r="L462" s="76"/>
      <c r="M462" s="76"/>
      <c r="N462" s="76"/>
      <c r="O462" s="76"/>
      <c r="P462" s="76"/>
      <c r="Q462" s="76"/>
      <c r="R462" s="76"/>
      <c r="S462" s="76"/>
      <c r="T462" s="76"/>
      <c r="U462" s="76"/>
      <c r="V462" s="76"/>
      <c r="W462" s="76"/>
      <c r="X462" s="76"/>
      <c r="Y462" s="76"/>
      <c r="Z462" s="76"/>
      <c r="AA462" s="79"/>
      <c r="AB462" s="79"/>
      <c r="AC462" s="79"/>
      <c r="AD462" s="79"/>
      <c r="AE462" s="79"/>
      <c r="AF462" s="79"/>
      <c r="AG462" s="79"/>
      <c r="AH462" s="79"/>
      <c r="AI462" s="79"/>
      <c r="AJ462" s="79"/>
      <c r="AK462" s="79"/>
    </row>
    <row r="463" spans="1:37" s="78" customFormat="1" ht="12" customHeight="1">
      <c r="A463" s="76"/>
      <c r="B463" s="76"/>
      <c r="C463" s="76"/>
      <c r="D463" s="76"/>
      <c r="E463" s="76"/>
      <c r="F463" s="77"/>
      <c r="G463" s="76"/>
      <c r="H463" s="76"/>
      <c r="I463" s="76"/>
      <c r="J463" s="76"/>
      <c r="K463" s="76"/>
      <c r="L463" s="76"/>
      <c r="M463" s="76"/>
      <c r="N463" s="76"/>
      <c r="O463" s="76"/>
      <c r="P463" s="76"/>
      <c r="Q463" s="76"/>
      <c r="R463" s="76"/>
      <c r="S463" s="76"/>
      <c r="T463" s="76"/>
      <c r="U463" s="76"/>
      <c r="V463" s="76"/>
      <c r="W463" s="76"/>
      <c r="X463" s="76"/>
      <c r="Y463" s="76"/>
      <c r="Z463" s="76"/>
      <c r="AA463" s="79"/>
      <c r="AB463" s="79"/>
      <c r="AC463" s="79"/>
      <c r="AD463" s="79"/>
      <c r="AE463" s="79"/>
      <c r="AF463" s="79"/>
      <c r="AG463" s="79"/>
      <c r="AH463" s="79"/>
      <c r="AI463" s="79"/>
      <c r="AJ463" s="79"/>
      <c r="AK463" s="79"/>
    </row>
    <row r="464" spans="1:37" s="78" customFormat="1" ht="12" customHeight="1">
      <c r="A464" s="76"/>
      <c r="B464" s="76"/>
      <c r="C464" s="76"/>
      <c r="D464" s="76"/>
      <c r="E464" s="76"/>
      <c r="F464" s="77"/>
      <c r="G464" s="76"/>
      <c r="H464" s="76"/>
      <c r="I464" s="76"/>
      <c r="J464" s="76"/>
      <c r="K464" s="76"/>
      <c r="L464" s="76"/>
      <c r="M464" s="76"/>
      <c r="N464" s="76"/>
      <c r="O464" s="76"/>
      <c r="P464" s="76"/>
      <c r="Q464" s="76"/>
      <c r="R464" s="76"/>
      <c r="S464" s="76"/>
      <c r="T464" s="76"/>
      <c r="U464" s="76"/>
      <c r="V464" s="76"/>
      <c r="W464" s="76"/>
      <c r="X464" s="76"/>
      <c r="Y464" s="76"/>
      <c r="Z464" s="76"/>
      <c r="AA464" s="79"/>
      <c r="AB464" s="79"/>
      <c r="AC464" s="79"/>
      <c r="AD464" s="79"/>
      <c r="AE464" s="79"/>
      <c r="AF464" s="79"/>
      <c r="AG464" s="79"/>
      <c r="AH464" s="79"/>
      <c r="AI464" s="79"/>
      <c r="AJ464" s="79"/>
      <c r="AK464" s="79"/>
    </row>
    <row r="465" spans="1:37" s="78" customFormat="1" ht="12" customHeight="1">
      <c r="A465" s="76"/>
      <c r="B465" s="76"/>
      <c r="C465" s="76"/>
      <c r="D465" s="76"/>
      <c r="E465" s="76"/>
      <c r="F465" s="77"/>
      <c r="G465" s="76"/>
      <c r="H465" s="76"/>
      <c r="I465" s="76"/>
      <c r="J465" s="76"/>
      <c r="K465" s="76"/>
      <c r="L465" s="76"/>
      <c r="M465" s="76"/>
      <c r="N465" s="76"/>
      <c r="O465" s="76"/>
      <c r="P465" s="76"/>
      <c r="Q465" s="76"/>
      <c r="R465" s="76"/>
      <c r="S465" s="76"/>
      <c r="T465" s="76"/>
      <c r="U465" s="76"/>
      <c r="V465" s="76"/>
      <c r="W465" s="76"/>
      <c r="X465" s="76"/>
      <c r="Y465" s="76"/>
      <c r="Z465" s="76"/>
      <c r="AA465" s="79"/>
      <c r="AB465" s="79"/>
      <c r="AC465" s="79"/>
      <c r="AD465" s="79"/>
      <c r="AE465" s="79"/>
      <c r="AF465" s="79"/>
      <c r="AG465" s="79"/>
      <c r="AH465" s="79"/>
      <c r="AI465" s="79"/>
      <c r="AJ465" s="79"/>
      <c r="AK465" s="79"/>
    </row>
    <row r="466" spans="1:37" s="78" customFormat="1" ht="12" customHeight="1">
      <c r="A466" s="76"/>
      <c r="B466" s="76"/>
      <c r="C466" s="76"/>
      <c r="D466" s="76"/>
      <c r="E466" s="76"/>
      <c r="F466" s="77"/>
      <c r="G466" s="76"/>
      <c r="H466" s="76"/>
      <c r="I466" s="76"/>
      <c r="J466" s="76"/>
      <c r="K466" s="76"/>
      <c r="L466" s="76"/>
      <c r="M466" s="76"/>
      <c r="N466" s="76"/>
      <c r="O466" s="76"/>
      <c r="P466" s="76"/>
      <c r="Q466" s="76"/>
      <c r="R466" s="76"/>
      <c r="S466" s="76"/>
      <c r="T466" s="76"/>
      <c r="U466" s="76"/>
      <c r="V466" s="76"/>
      <c r="W466" s="76"/>
      <c r="X466" s="76"/>
      <c r="Y466" s="76"/>
      <c r="Z466" s="76"/>
      <c r="AA466" s="79"/>
      <c r="AB466" s="79"/>
      <c r="AC466" s="79"/>
      <c r="AD466" s="79"/>
      <c r="AE466" s="79"/>
      <c r="AF466" s="79"/>
      <c r="AG466" s="79"/>
      <c r="AH466" s="79"/>
      <c r="AI466" s="79"/>
      <c r="AJ466" s="79"/>
      <c r="AK466" s="79"/>
    </row>
    <row r="467" spans="1:37" s="78" customFormat="1" ht="12" customHeight="1">
      <c r="A467" s="76"/>
      <c r="B467" s="76"/>
      <c r="C467" s="76"/>
      <c r="D467" s="76"/>
      <c r="E467" s="76"/>
      <c r="F467" s="77"/>
      <c r="G467" s="76"/>
      <c r="H467" s="76"/>
      <c r="I467" s="76"/>
      <c r="J467" s="76"/>
      <c r="K467" s="76"/>
      <c r="L467" s="76"/>
      <c r="M467" s="76"/>
      <c r="N467" s="76"/>
      <c r="O467" s="76"/>
      <c r="P467" s="76"/>
      <c r="Q467" s="76"/>
      <c r="R467" s="76"/>
      <c r="S467" s="76"/>
      <c r="T467" s="76"/>
      <c r="U467" s="76"/>
      <c r="V467" s="76"/>
      <c r="W467" s="76"/>
      <c r="X467" s="76"/>
      <c r="Y467" s="76"/>
      <c r="Z467" s="76"/>
      <c r="AA467" s="79"/>
      <c r="AB467" s="79"/>
      <c r="AC467" s="79"/>
      <c r="AD467" s="79"/>
      <c r="AE467" s="79"/>
      <c r="AF467" s="79"/>
      <c r="AG467" s="79"/>
      <c r="AH467" s="79"/>
      <c r="AI467" s="79"/>
      <c r="AJ467" s="79"/>
      <c r="AK467" s="79"/>
    </row>
    <row r="468" spans="1:37" s="78" customFormat="1" ht="12" customHeight="1">
      <c r="A468" s="76"/>
      <c r="B468" s="76"/>
      <c r="C468" s="76"/>
      <c r="D468" s="76"/>
      <c r="E468" s="76"/>
      <c r="F468" s="77"/>
      <c r="G468" s="76"/>
      <c r="H468" s="76"/>
      <c r="I468" s="76"/>
      <c r="J468" s="76"/>
      <c r="K468" s="76"/>
      <c r="L468" s="76"/>
      <c r="M468" s="76"/>
      <c r="N468" s="76"/>
      <c r="O468" s="76"/>
      <c r="P468" s="76"/>
      <c r="Q468" s="76"/>
      <c r="R468" s="76"/>
      <c r="S468" s="76"/>
      <c r="T468" s="76"/>
      <c r="U468" s="76"/>
      <c r="V468" s="76"/>
      <c r="W468" s="76"/>
      <c r="X468" s="76"/>
      <c r="Y468" s="76"/>
      <c r="Z468" s="76"/>
      <c r="AA468" s="79"/>
      <c r="AB468" s="79"/>
      <c r="AC468" s="79"/>
      <c r="AD468" s="79"/>
      <c r="AE468" s="79"/>
      <c r="AF468" s="79"/>
      <c r="AG468" s="79"/>
      <c r="AH468" s="79"/>
      <c r="AI468" s="79"/>
      <c r="AJ468" s="79"/>
      <c r="AK468" s="79"/>
    </row>
    <row r="469" spans="1:37" s="78" customFormat="1" ht="12" customHeight="1">
      <c r="A469" s="76"/>
      <c r="B469" s="76"/>
      <c r="C469" s="76"/>
      <c r="D469" s="76"/>
      <c r="E469" s="76"/>
      <c r="F469" s="77"/>
      <c r="G469" s="76"/>
      <c r="H469" s="76"/>
      <c r="I469" s="76"/>
      <c r="J469" s="76"/>
      <c r="K469" s="76"/>
      <c r="L469" s="76"/>
      <c r="M469" s="76"/>
      <c r="N469" s="76"/>
      <c r="O469" s="76"/>
      <c r="P469" s="76"/>
      <c r="Q469" s="76"/>
      <c r="R469" s="76"/>
      <c r="S469" s="76"/>
      <c r="T469" s="76"/>
      <c r="U469" s="76"/>
      <c r="V469" s="76"/>
      <c r="W469" s="76"/>
      <c r="X469" s="76"/>
      <c r="Y469" s="76"/>
      <c r="Z469" s="76"/>
      <c r="AA469" s="79"/>
      <c r="AB469" s="79"/>
      <c r="AC469" s="79"/>
      <c r="AD469" s="79"/>
      <c r="AE469" s="79"/>
      <c r="AF469" s="79"/>
      <c r="AG469" s="79"/>
      <c r="AH469" s="79"/>
      <c r="AI469" s="79"/>
      <c r="AJ469" s="79"/>
      <c r="AK469" s="79"/>
    </row>
    <row r="470" spans="1:37" s="78" customFormat="1" ht="12" customHeight="1">
      <c r="A470" s="76"/>
      <c r="B470" s="76"/>
      <c r="C470" s="76"/>
      <c r="D470" s="76"/>
      <c r="E470" s="76"/>
      <c r="F470" s="77"/>
      <c r="G470" s="76"/>
      <c r="H470" s="76"/>
      <c r="I470" s="76"/>
      <c r="J470" s="76"/>
      <c r="K470" s="76"/>
      <c r="L470" s="76"/>
      <c r="M470" s="76"/>
      <c r="N470" s="76"/>
      <c r="O470" s="76"/>
      <c r="P470" s="76"/>
      <c r="Q470" s="76"/>
      <c r="R470" s="76"/>
      <c r="S470" s="76"/>
      <c r="T470" s="76"/>
      <c r="U470" s="76"/>
      <c r="V470" s="76"/>
      <c r="W470" s="76"/>
      <c r="X470" s="76"/>
      <c r="Y470" s="76"/>
      <c r="Z470" s="76"/>
      <c r="AA470" s="79"/>
      <c r="AB470" s="79"/>
      <c r="AC470" s="79"/>
      <c r="AD470" s="79"/>
      <c r="AE470" s="79"/>
      <c r="AF470" s="79"/>
      <c r="AG470" s="79"/>
      <c r="AH470" s="79"/>
      <c r="AI470" s="79"/>
      <c r="AJ470" s="79"/>
      <c r="AK470" s="79"/>
    </row>
    <row r="471" spans="1:37" s="78" customFormat="1" ht="12" customHeight="1">
      <c r="A471" s="76"/>
      <c r="B471" s="76"/>
      <c r="C471" s="76"/>
      <c r="D471" s="76"/>
      <c r="E471" s="76"/>
      <c r="F471" s="77"/>
      <c r="G471" s="76"/>
      <c r="H471" s="76"/>
      <c r="I471" s="76"/>
      <c r="J471" s="76"/>
      <c r="K471" s="76"/>
      <c r="L471" s="76"/>
      <c r="M471" s="76"/>
      <c r="N471" s="76"/>
      <c r="O471" s="76"/>
      <c r="P471" s="76"/>
      <c r="Q471" s="76"/>
      <c r="R471" s="76"/>
      <c r="S471" s="76"/>
      <c r="T471" s="76"/>
      <c r="U471" s="76"/>
      <c r="V471" s="76"/>
      <c r="W471" s="76"/>
      <c r="X471" s="76"/>
      <c r="Y471" s="76"/>
      <c r="Z471" s="76"/>
      <c r="AA471" s="79"/>
      <c r="AB471" s="79"/>
      <c r="AC471" s="79"/>
      <c r="AD471" s="79"/>
      <c r="AE471" s="79"/>
      <c r="AF471" s="79"/>
      <c r="AG471" s="79"/>
      <c r="AH471" s="79"/>
      <c r="AI471" s="79"/>
      <c r="AJ471" s="79"/>
      <c r="AK471" s="79"/>
    </row>
    <row r="472" spans="1:37" s="78" customFormat="1" ht="12" customHeight="1">
      <c r="A472" s="76"/>
      <c r="B472" s="76"/>
      <c r="C472" s="76"/>
      <c r="D472" s="76"/>
      <c r="E472" s="76"/>
      <c r="F472" s="77"/>
      <c r="G472" s="76"/>
      <c r="H472" s="76"/>
      <c r="I472" s="76"/>
      <c r="J472" s="76"/>
      <c r="K472" s="76"/>
      <c r="L472" s="76"/>
      <c r="M472" s="76"/>
      <c r="N472" s="76"/>
      <c r="O472" s="76"/>
      <c r="P472" s="76"/>
      <c r="Q472" s="76"/>
      <c r="R472" s="76"/>
      <c r="S472" s="76"/>
      <c r="T472" s="76"/>
      <c r="U472" s="76"/>
      <c r="V472" s="76"/>
      <c r="W472" s="76"/>
      <c r="X472" s="76"/>
      <c r="Y472" s="76"/>
      <c r="Z472" s="76"/>
      <c r="AA472" s="79"/>
      <c r="AB472" s="79"/>
      <c r="AC472" s="79"/>
      <c r="AD472" s="79"/>
      <c r="AE472" s="79"/>
      <c r="AF472" s="79"/>
      <c r="AG472" s="79"/>
      <c r="AH472" s="79"/>
      <c r="AI472" s="79"/>
      <c r="AJ472" s="79"/>
      <c r="AK472" s="79"/>
    </row>
    <row r="473" spans="1:37" s="78" customFormat="1" ht="12" customHeight="1">
      <c r="A473" s="76"/>
      <c r="B473" s="76"/>
      <c r="C473" s="76"/>
      <c r="D473" s="76"/>
      <c r="E473" s="76"/>
      <c r="F473" s="77"/>
      <c r="G473" s="76"/>
      <c r="H473" s="76"/>
      <c r="I473" s="76"/>
      <c r="J473" s="76"/>
      <c r="K473" s="76"/>
      <c r="L473" s="76"/>
      <c r="M473" s="76"/>
      <c r="N473" s="76"/>
      <c r="O473" s="76"/>
      <c r="P473" s="76"/>
      <c r="Q473" s="76"/>
      <c r="R473" s="76"/>
      <c r="S473" s="76"/>
      <c r="T473" s="76"/>
      <c r="U473" s="76"/>
      <c r="V473" s="76"/>
      <c r="W473" s="76"/>
      <c r="X473" s="76"/>
      <c r="Y473" s="76"/>
      <c r="Z473" s="76"/>
      <c r="AA473" s="79"/>
      <c r="AB473" s="79"/>
      <c r="AC473" s="79"/>
      <c r="AD473" s="79"/>
      <c r="AE473" s="79"/>
      <c r="AF473" s="79"/>
      <c r="AG473" s="79"/>
      <c r="AH473" s="79"/>
      <c r="AI473" s="79"/>
      <c r="AJ473" s="79"/>
      <c r="AK473" s="79"/>
    </row>
    <row r="474" spans="1:37" s="78" customFormat="1" ht="12" customHeight="1">
      <c r="A474" s="76"/>
      <c r="B474" s="76"/>
      <c r="C474" s="76"/>
      <c r="D474" s="76"/>
      <c r="E474" s="76"/>
      <c r="F474" s="77"/>
      <c r="G474" s="76"/>
      <c r="H474" s="76"/>
      <c r="I474" s="76"/>
      <c r="J474" s="76"/>
      <c r="K474" s="76"/>
      <c r="L474" s="76"/>
      <c r="M474" s="76"/>
      <c r="N474" s="76"/>
      <c r="O474" s="76"/>
      <c r="P474" s="76"/>
      <c r="Q474" s="76"/>
      <c r="R474" s="76"/>
      <c r="S474" s="76"/>
      <c r="T474" s="76"/>
      <c r="U474" s="76"/>
      <c r="V474" s="76"/>
      <c r="W474" s="76"/>
      <c r="X474" s="76"/>
      <c r="Y474" s="76"/>
      <c r="Z474" s="76"/>
      <c r="AA474" s="79"/>
      <c r="AB474" s="79"/>
      <c r="AC474" s="79"/>
      <c r="AD474" s="79"/>
      <c r="AE474" s="79"/>
      <c r="AF474" s="79"/>
      <c r="AG474" s="79"/>
      <c r="AH474" s="79"/>
      <c r="AI474" s="79"/>
      <c r="AJ474" s="79"/>
      <c r="AK474" s="79"/>
    </row>
    <row r="475" spans="1:37" s="78" customFormat="1" ht="12" customHeight="1">
      <c r="A475" s="76"/>
      <c r="B475" s="76"/>
      <c r="C475" s="76"/>
      <c r="D475" s="76"/>
      <c r="E475" s="76"/>
      <c r="F475" s="77"/>
      <c r="G475" s="76"/>
      <c r="H475" s="76"/>
      <c r="I475" s="76"/>
      <c r="J475" s="76"/>
      <c r="K475" s="76"/>
      <c r="L475" s="76"/>
      <c r="M475" s="76"/>
      <c r="N475" s="76"/>
      <c r="O475" s="76"/>
      <c r="P475" s="76"/>
      <c r="Q475" s="76"/>
      <c r="R475" s="76"/>
      <c r="S475" s="76"/>
      <c r="T475" s="76"/>
      <c r="U475" s="76"/>
      <c r="V475" s="76"/>
      <c r="W475" s="76"/>
      <c r="X475" s="76"/>
      <c r="Y475" s="76"/>
      <c r="Z475" s="76"/>
      <c r="AA475" s="79"/>
      <c r="AB475" s="79"/>
      <c r="AC475" s="79"/>
      <c r="AD475" s="79"/>
      <c r="AE475" s="79"/>
      <c r="AF475" s="79"/>
      <c r="AG475" s="79"/>
      <c r="AH475" s="79"/>
      <c r="AI475" s="79"/>
      <c r="AJ475" s="79"/>
      <c r="AK475" s="79"/>
    </row>
    <row r="476" spans="1:37" s="78" customFormat="1" ht="12" customHeight="1">
      <c r="A476" s="76"/>
      <c r="B476" s="76"/>
      <c r="C476" s="76"/>
      <c r="D476" s="76"/>
      <c r="E476" s="76"/>
      <c r="F476" s="77"/>
      <c r="G476" s="76"/>
      <c r="H476" s="76"/>
      <c r="I476" s="76"/>
      <c r="J476" s="76"/>
      <c r="K476" s="76"/>
      <c r="L476" s="76"/>
      <c r="M476" s="76"/>
      <c r="N476" s="76"/>
      <c r="O476" s="76"/>
      <c r="P476" s="76"/>
      <c r="Q476" s="76"/>
      <c r="R476" s="76"/>
      <c r="S476" s="76"/>
      <c r="T476" s="76"/>
      <c r="U476" s="76"/>
      <c r="V476" s="76"/>
      <c r="W476" s="76"/>
      <c r="X476" s="76"/>
      <c r="Y476" s="76"/>
      <c r="Z476" s="76"/>
      <c r="AA476" s="79"/>
      <c r="AB476" s="79"/>
      <c r="AC476" s="79"/>
      <c r="AD476" s="79"/>
      <c r="AE476" s="79"/>
      <c r="AF476" s="79"/>
      <c r="AG476" s="79"/>
      <c r="AH476" s="79"/>
      <c r="AI476" s="79"/>
      <c r="AJ476" s="79"/>
      <c r="AK476" s="79"/>
    </row>
    <row r="477" spans="1:37" s="78" customFormat="1" ht="12" customHeight="1">
      <c r="A477" s="76"/>
      <c r="B477" s="76"/>
      <c r="C477" s="76"/>
      <c r="D477" s="76"/>
      <c r="E477" s="76"/>
      <c r="F477" s="77"/>
      <c r="G477" s="76"/>
      <c r="H477" s="76"/>
      <c r="I477" s="76"/>
      <c r="J477" s="76"/>
      <c r="K477" s="76"/>
      <c r="L477" s="76"/>
      <c r="M477" s="76"/>
      <c r="N477" s="76"/>
      <c r="O477" s="76"/>
      <c r="P477" s="76"/>
      <c r="Q477" s="76"/>
      <c r="R477" s="76"/>
      <c r="S477" s="76"/>
      <c r="T477" s="76"/>
      <c r="U477" s="76"/>
      <c r="V477" s="76"/>
      <c r="W477" s="76"/>
      <c r="X477" s="76"/>
      <c r="Y477" s="76"/>
      <c r="Z477" s="76"/>
      <c r="AA477" s="79"/>
      <c r="AB477" s="79"/>
      <c r="AC477" s="79"/>
      <c r="AD477" s="79"/>
      <c r="AE477" s="79"/>
      <c r="AF477" s="79"/>
      <c r="AG477" s="79"/>
      <c r="AH477" s="79"/>
      <c r="AI477" s="79"/>
      <c r="AJ477" s="79"/>
      <c r="AK477" s="79"/>
    </row>
    <row r="478" spans="1:37" s="78" customFormat="1" ht="12" customHeight="1">
      <c r="A478" s="76"/>
      <c r="B478" s="76"/>
      <c r="C478" s="76"/>
      <c r="D478" s="76"/>
      <c r="E478" s="76"/>
      <c r="F478" s="77"/>
      <c r="G478" s="76"/>
      <c r="H478" s="76"/>
      <c r="I478" s="76"/>
      <c r="J478" s="76"/>
      <c r="K478" s="76"/>
      <c r="L478" s="76"/>
      <c r="M478" s="76"/>
      <c r="N478" s="76"/>
      <c r="O478" s="76"/>
      <c r="P478" s="76"/>
      <c r="Q478" s="76"/>
      <c r="R478" s="76"/>
      <c r="S478" s="76"/>
      <c r="T478" s="76"/>
      <c r="U478" s="76"/>
      <c r="V478" s="76"/>
      <c r="W478" s="76"/>
      <c r="X478" s="76"/>
      <c r="Y478" s="76"/>
      <c r="Z478" s="76"/>
      <c r="AA478" s="79"/>
      <c r="AB478" s="79"/>
      <c r="AC478" s="79"/>
      <c r="AD478" s="79"/>
      <c r="AE478" s="79"/>
      <c r="AF478" s="79"/>
      <c r="AG478" s="79"/>
      <c r="AH478" s="79"/>
      <c r="AI478" s="79"/>
      <c r="AJ478" s="79"/>
      <c r="AK478" s="79"/>
    </row>
    <row r="479" spans="1:37" s="78" customFormat="1" ht="12" customHeight="1">
      <c r="A479" s="76"/>
      <c r="B479" s="76"/>
      <c r="C479" s="76"/>
      <c r="D479" s="76"/>
      <c r="E479" s="76"/>
      <c r="F479" s="77"/>
      <c r="G479" s="76"/>
      <c r="H479" s="76"/>
      <c r="I479" s="76"/>
      <c r="J479" s="76"/>
      <c r="K479" s="76"/>
      <c r="L479" s="76"/>
      <c r="M479" s="76"/>
      <c r="N479" s="76"/>
      <c r="O479" s="76"/>
      <c r="P479" s="76"/>
      <c r="Q479" s="76"/>
      <c r="R479" s="76"/>
      <c r="S479" s="76"/>
      <c r="T479" s="76"/>
      <c r="U479" s="76"/>
      <c r="V479" s="76"/>
      <c r="W479" s="76"/>
      <c r="X479" s="76"/>
      <c r="Y479" s="76"/>
      <c r="Z479" s="76"/>
      <c r="AA479" s="79"/>
      <c r="AB479" s="79"/>
      <c r="AC479" s="79"/>
      <c r="AD479" s="79"/>
      <c r="AE479" s="79"/>
      <c r="AF479" s="79"/>
      <c r="AG479" s="79"/>
      <c r="AH479" s="79"/>
      <c r="AI479" s="79"/>
      <c r="AJ479" s="79"/>
      <c r="AK479" s="79"/>
    </row>
    <row r="480" spans="1:37" s="78" customFormat="1" ht="12" customHeight="1">
      <c r="A480" s="76"/>
      <c r="B480" s="76"/>
      <c r="C480" s="76"/>
      <c r="D480" s="76"/>
      <c r="E480" s="76"/>
      <c r="F480" s="77"/>
      <c r="G480" s="76"/>
      <c r="H480" s="76"/>
      <c r="I480" s="76"/>
      <c r="J480" s="76"/>
      <c r="K480" s="76"/>
      <c r="L480" s="76"/>
      <c r="M480" s="76"/>
      <c r="N480" s="76"/>
      <c r="O480" s="76"/>
      <c r="P480" s="76"/>
      <c r="Q480" s="76"/>
      <c r="R480" s="76"/>
      <c r="S480" s="76"/>
      <c r="T480" s="76"/>
      <c r="U480" s="76"/>
      <c r="V480" s="76"/>
      <c r="W480" s="76"/>
      <c r="X480" s="76"/>
      <c r="Y480" s="76"/>
      <c r="Z480" s="76"/>
      <c r="AA480" s="79"/>
      <c r="AB480" s="79"/>
      <c r="AC480" s="79"/>
      <c r="AD480" s="79"/>
      <c r="AE480" s="79"/>
      <c r="AF480" s="79"/>
      <c r="AG480" s="79"/>
      <c r="AH480" s="79"/>
      <c r="AI480" s="79"/>
      <c r="AJ480" s="79"/>
      <c r="AK480" s="79"/>
    </row>
    <row r="481" spans="1:37" s="78" customFormat="1" ht="12" customHeight="1">
      <c r="A481" s="76"/>
      <c r="B481" s="76"/>
      <c r="C481" s="76"/>
      <c r="D481" s="76"/>
      <c r="E481" s="76"/>
      <c r="F481" s="77"/>
      <c r="G481" s="76"/>
      <c r="H481" s="76"/>
      <c r="I481" s="76"/>
      <c r="J481" s="76"/>
      <c r="K481" s="76"/>
      <c r="L481" s="76"/>
      <c r="M481" s="76"/>
      <c r="N481" s="76"/>
      <c r="O481" s="76"/>
      <c r="P481" s="76"/>
      <c r="Q481" s="76"/>
      <c r="R481" s="76"/>
      <c r="S481" s="76"/>
      <c r="T481" s="76"/>
      <c r="U481" s="76"/>
      <c r="V481" s="76"/>
      <c r="W481" s="76"/>
      <c r="X481" s="76"/>
      <c r="Y481" s="76"/>
      <c r="Z481" s="76"/>
      <c r="AA481" s="79"/>
      <c r="AB481" s="79"/>
      <c r="AC481" s="79"/>
      <c r="AD481" s="79"/>
      <c r="AE481" s="79"/>
      <c r="AF481" s="79"/>
      <c r="AG481" s="79"/>
      <c r="AH481" s="79"/>
      <c r="AI481" s="79"/>
      <c r="AJ481" s="79"/>
      <c r="AK481" s="79"/>
    </row>
    <row r="482" spans="1:37" s="78" customFormat="1" ht="12" customHeight="1">
      <c r="A482" s="76"/>
      <c r="B482" s="76"/>
      <c r="C482" s="76"/>
      <c r="D482" s="76"/>
      <c r="E482" s="76"/>
      <c r="F482" s="77"/>
      <c r="G482" s="76"/>
      <c r="H482" s="76"/>
      <c r="I482" s="76"/>
      <c r="J482" s="76"/>
      <c r="K482" s="76"/>
      <c r="L482" s="76"/>
      <c r="M482" s="76"/>
      <c r="N482" s="76"/>
      <c r="O482" s="76"/>
      <c r="P482" s="76"/>
      <c r="Q482" s="76"/>
      <c r="R482" s="76"/>
      <c r="S482" s="76"/>
      <c r="T482" s="76"/>
      <c r="U482" s="76"/>
      <c r="V482" s="76"/>
      <c r="W482" s="76"/>
      <c r="X482" s="76"/>
      <c r="Y482" s="76"/>
      <c r="Z482" s="76"/>
      <c r="AA482" s="79"/>
      <c r="AB482" s="79"/>
      <c r="AC482" s="79"/>
      <c r="AD482" s="79"/>
      <c r="AE482" s="79"/>
      <c r="AF482" s="79"/>
      <c r="AG482" s="79"/>
      <c r="AH482" s="79"/>
      <c r="AI482" s="79"/>
      <c r="AJ482" s="79"/>
      <c r="AK482" s="79"/>
    </row>
    <row r="483" spans="1:37" s="78" customFormat="1" ht="12" customHeight="1">
      <c r="A483" s="76"/>
      <c r="B483" s="76"/>
      <c r="C483" s="76"/>
      <c r="D483" s="76"/>
      <c r="E483" s="76"/>
      <c r="F483" s="77"/>
      <c r="G483" s="76"/>
      <c r="H483" s="76"/>
      <c r="I483" s="76"/>
      <c r="J483" s="76"/>
      <c r="K483" s="76"/>
      <c r="L483" s="76"/>
      <c r="M483" s="76"/>
      <c r="N483" s="76"/>
      <c r="O483" s="76"/>
      <c r="P483" s="76"/>
      <c r="Q483" s="76"/>
      <c r="R483" s="76"/>
      <c r="S483" s="76"/>
      <c r="T483" s="76"/>
      <c r="U483" s="76"/>
      <c r="V483" s="76"/>
      <c r="W483" s="76"/>
      <c r="X483" s="76"/>
      <c r="Y483" s="76"/>
      <c r="Z483" s="76"/>
      <c r="AA483" s="79"/>
      <c r="AB483" s="79"/>
      <c r="AC483" s="79"/>
      <c r="AD483" s="79"/>
      <c r="AE483" s="79"/>
      <c r="AF483" s="79"/>
      <c r="AG483" s="79"/>
      <c r="AH483" s="79"/>
      <c r="AI483" s="79"/>
      <c r="AJ483" s="79"/>
      <c r="AK483" s="79"/>
    </row>
    <row r="484" spans="1:37" s="78" customFormat="1" ht="12" customHeight="1">
      <c r="A484" s="76"/>
      <c r="B484" s="76"/>
      <c r="C484" s="76"/>
      <c r="D484" s="76"/>
      <c r="E484" s="76"/>
      <c r="F484" s="77"/>
      <c r="G484" s="76"/>
      <c r="H484" s="76"/>
      <c r="I484" s="76"/>
      <c r="J484" s="76"/>
      <c r="K484" s="76"/>
      <c r="L484" s="76"/>
      <c r="M484" s="76"/>
      <c r="N484" s="76"/>
      <c r="O484" s="76"/>
      <c r="P484" s="76"/>
      <c r="Q484" s="76"/>
      <c r="R484" s="76"/>
      <c r="S484" s="76"/>
      <c r="T484" s="76"/>
      <c r="U484" s="76"/>
      <c r="V484" s="76"/>
      <c r="W484" s="76"/>
      <c r="X484" s="76"/>
      <c r="Y484" s="76"/>
      <c r="Z484" s="76"/>
      <c r="AA484" s="79"/>
      <c r="AB484" s="79"/>
      <c r="AC484" s="79"/>
      <c r="AD484" s="79"/>
      <c r="AE484" s="79"/>
      <c r="AF484" s="79"/>
      <c r="AG484" s="79"/>
      <c r="AH484" s="79"/>
      <c r="AI484" s="79"/>
      <c r="AJ484" s="79"/>
      <c r="AK484" s="79"/>
    </row>
    <row r="485" spans="1:37" s="78" customFormat="1" ht="12" customHeight="1">
      <c r="A485" s="76"/>
      <c r="B485" s="76"/>
      <c r="C485" s="76"/>
      <c r="D485" s="76"/>
      <c r="E485" s="76"/>
      <c r="F485" s="77"/>
      <c r="G485" s="76"/>
      <c r="H485" s="76"/>
      <c r="I485" s="76"/>
      <c r="J485" s="76"/>
      <c r="K485" s="76"/>
      <c r="L485" s="76"/>
      <c r="M485" s="76"/>
      <c r="N485" s="76"/>
      <c r="O485" s="76"/>
      <c r="P485" s="76"/>
      <c r="Q485" s="76"/>
      <c r="R485" s="76"/>
      <c r="S485" s="76"/>
      <c r="T485" s="76"/>
      <c r="U485" s="76"/>
      <c r="V485" s="76"/>
      <c r="W485" s="76"/>
      <c r="X485" s="76"/>
      <c r="Y485" s="76"/>
      <c r="Z485" s="76"/>
      <c r="AA485" s="79"/>
      <c r="AB485" s="79"/>
      <c r="AC485" s="79"/>
      <c r="AD485" s="79"/>
      <c r="AE485" s="79"/>
      <c r="AF485" s="79"/>
      <c r="AG485" s="79"/>
      <c r="AH485" s="79"/>
      <c r="AI485" s="79"/>
      <c r="AJ485" s="79"/>
      <c r="AK485" s="79"/>
    </row>
    <row r="486" spans="1:37" s="78" customFormat="1" ht="12" customHeight="1">
      <c r="A486" s="76"/>
      <c r="B486" s="76"/>
      <c r="C486" s="76"/>
      <c r="D486" s="76"/>
      <c r="E486" s="76"/>
      <c r="F486" s="77"/>
      <c r="G486" s="76"/>
      <c r="H486" s="76"/>
      <c r="I486" s="76"/>
      <c r="J486" s="76"/>
      <c r="K486" s="76"/>
      <c r="L486" s="76"/>
      <c r="M486" s="76"/>
      <c r="N486" s="76"/>
      <c r="O486" s="76"/>
      <c r="P486" s="76"/>
      <c r="Q486" s="76"/>
      <c r="R486" s="76"/>
      <c r="S486" s="76"/>
      <c r="T486" s="76"/>
      <c r="U486" s="76"/>
      <c r="V486" s="76"/>
      <c r="W486" s="76"/>
      <c r="X486" s="76"/>
      <c r="Y486" s="76"/>
      <c r="Z486" s="76"/>
      <c r="AA486" s="79"/>
      <c r="AB486" s="79"/>
      <c r="AC486" s="79"/>
      <c r="AD486" s="79"/>
      <c r="AE486" s="79"/>
      <c r="AF486" s="79"/>
      <c r="AG486" s="79"/>
      <c r="AH486" s="79"/>
      <c r="AI486" s="79"/>
      <c r="AJ486" s="79"/>
      <c r="AK486" s="79"/>
    </row>
    <row r="487" spans="1:37" s="78" customFormat="1" ht="12" customHeight="1">
      <c r="A487" s="76"/>
      <c r="B487" s="76"/>
      <c r="C487" s="76"/>
      <c r="D487" s="76"/>
      <c r="E487" s="76"/>
      <c r="F487" s="77"/>
      <c r="G487" s="76"/>
      <c r="H487" s="76"/>
      <c r="I487" s="76"/>
      <c r="J487" s="76"/>
      <c r="K487" s="76"/>
      <c r="L487" s="76"/>
      <c r="M487" s="76"/>
      <c r="N487" s="76"/>
      <c r="O487" s="76"/>
      <c r="P487" s="76"/>
      <c r="Q487" s="76"/>
      <c r="R487" s="76"/>
      <c r="S487" s="76"/>
      <c r="T487" s="76"/>
      <c r="U487" s="76"/>
      <c r="V487" s="76"/>
      <c r="W487" s="76"/>
      <c r="X487" s="76"/>
      <c r="Y487" s="76"/>
      <c r="Z487" s="76"/>
      <c r="AA487" s="79"/>
      <c r="AB487" s="79"/>
      <c r="AC487" s="79"/>
      <c r="AD487" s="79"/>
      <c r="AE487" s="79"/>
      <c r="AF487" s="79"/>
      <c r="AG487" s="79"/>
      <c r="AH487" s="79"/>
      <c r="AI487" s="79"/>
      <c r="AJ487" s="79"/>
      <c r="AK487" s="79"/>
    </row>
    <row r="488" spans="1:37" s="78" customFormat="1" ht="12" customHeight="1">
      <c r="A488" s="76"/>
      <c r="B488" s="76"/>
      <c r="C488" s="76"/>
      <c r="D488" s="76"/>
      <c r="E488" s="76"/>
      <c r="F488" s="77"/>
      <c r="G488" s="76"/>
      <c r="H488" s="76"/>
      <c r="I488" s="76"/>
      <c r="J488" s="76"/>
      <c r="K488" s="76"/>
      <c r="L488" s="76"/>
      <c r="M488" s="76"/>
      <c r="N488" s="76"/>
      <c r="O488" s="76"/>
      <c r="P488" s="76"/>
      <c r="Q488" s="76"/>
      <c r="R488" s="76"/>
      <c r="S488" s="76"/>
      <c r="T488" s="76"/>
      <c r="U488" s="76"/>
      <c r="V488" s="76"/>
      <c r="W488" s="76"/>
      <c r="X488" s="76"/>
      <c r="Y488" s="76"/>
      <c r="Z488" s="76"/>
      <c r="AA488" s="79"/>
      <c r="AB488" s="79"/>
      <c r="AC488" s="79"/>
      <c r="AD488" s="79"/>
      <c r="AE488" s="79"/>
      <c r="AF488" s="79"/>
      <c r="AG488" s="79"/>
      <c r="AH488" s="79"/>
      <c r="AI488" s="79"/>
      <c r="AJ488" s="79"/>
      <c r="AK488" s="79"/>
    </row>
    <row r="489" spans="1:37" s="78" customFormat="1" ht="12" customHeight="1">
      <c r="A489" s="76"/>
      <c r="B489" s="76"/>
      <c r="C489" s="76"/>
      <c r="D489" s="76"/>
      <c r="E489" s="76"/>
      <c r="F489" s="77"/>
      <c r="G489" s="76"/>
      <c r="H489" s="76"/>
      <c r="I489" s="76"/>
      <c r="J489" s="76"/>
      <c r="K489" s="76"/>
      <c r="L489" s="76"/>
      <c r="M489" s="76"/>
      <c r="N489" s="76"/>
      <c r="O489" s="76"/>
      <c r="P489" s="76"/>
      <c r="Q489" s="76"/>
      <c r="R489" s="76"/>
      <c r="S489" s="76"/>
      <c r="T489" s="76"/>
      <c r="U489" s="76"/>
      <c r="V489" s="76"/>
      <c r="W489" s="76"/>
      <c r="X489" s="76"/>
      <c r="Y489" s="76"/>
      <c r="Z489" s="76"/>
      <c r="AA489" s="79"/>
      <c r="AB489" s="79"/>
      <c r="AC489" s="79"/>
      <c r="AD489" s="79"/>
      <c r="AE489" s="79"/>
      <c r="AF489" s="79"/>
      <c r="AG489" s="79"/>
      <c r="AH489" s="79"/>
      <c r="AI489" s="79"/>
      <c r="AJ489" s="79"/>
      <c r="AK489" s="79"/>
    </row>
    <row r="490" spans="1:37" s="78" customFormat="1" ht="12" customHeight="1">
      <c r="A490" s="76"/>
      <c r="B490" s="76"/>
      <c r="C490" s="76"/>
      <c r="D490" s="76"/>
      <c r="E490" s="76"/>
      <c r="F490" s="77"/>
      <c r="G490" s="76"/>
      <c r="H490" s="76"/>
      <c r="I490" s="76"/>
      <c r="J490" s="76"/>
      <c r="K490" s="76"/>
      <c r="L490" s="76"/>
      <c r="M490" s="76"/>
      <c r="N490" s="76"/>
      <c r="O490" s="76"/>
      <c r="P490" s="76"/>
      <c r="Q490" s="76"/>
      <c r="R490" s="76"/>
      <c r="S490" s="76"/>
      <c r="T490" s="76"/>
      <c r="U490" s="76"/>
      <c r="V490" s="76"/>
      <c r="W490" s="76"/>
      <c r="X490" s="76"/>
      <c r="Y490" s="76"/>
      <c r="Z490" s="76"/>
      <c r="AA490" s="79"/>
      <c r="AB490" s="79"/>
      <c r="AC490" s="79"/>
      <c r="AD490" s="79"/>
      <c r="AE490" s="79"/>
      <c r="AF490" s="79"/>
      <c r="AG490" s="79"/>
      <c r="AH490" s="79"/>
      <c r="AI490" s="79"/>
      <c r="AJ490" s="79"/>
      <c r="AK490" s="79"/>
    </row>
    <row r="491" spans="1:37" s="78" customFormat="1" ht="12" customHeight="1">
      <c r="A491" s="76"/>
      <c r="B491" s="76"/>
      <c r="C491" s="76"/>
      <c r="D491" s="76"/>
      <c r="E491" s="76"/>
      <c r="F491" s="77"/>
      <c r="G491" s="76"/>
      <c r="H491" s="76"/>
      <c r="I491" s="76"/>
      <c r="J491" s="76"/>
      <c r="K491" s="76"/>
      <c r="L491" s="76"/>
      <c r="M491" s="76"/>
      <c r="N491" s="76"/>
      <c r="O491" s="76"/>
      <c r="P491" s="76"/>
      <c r="Q491" s="76"/>
      <c r="R491" s="76"/>
      <c r="S491" s="76"/>
      <c r="T491" s="76"/>
      <c r="U491" s="76"/>
      <c r="V491" s="76"/>
      <c r="W491" s="76"/>
      <c r="X491" s="76"/>
      <c r="Y491" s="76"/>
      <c r="Z491" s="76"/>
      <c r="AA491" s="79"/>
      <c r="AB491" s="79"/>
      <c r="AC491" s="79"/>
      <c r="AD491" s="79"/>
      <c r="AE491" s="79"/>
      <c r="AF491" s="79"/>
      <c r="AG491" s="79"/>
      <c r="AH491" s="79"/>
      <c r="AI491" s="79"/>
      <c r="AJ491" s="79"/>
      <c r="AK491" s="79"/>
    </row>
    <row r="492" spans="1:37" s="78" customFormat="1" ht="12" customHeight="1">
      <c r="A492" s="76"/>
      <c r="B492" s="76"/>
      <c r="C492" s="76"/>
      <c r="D492" s="76"/>
      <c r="E492" s="76"/>
      <c r="F492" s="77"/>
      <c r="G492" s="76"/>
      <c r="H492" s="76"/>
      <c r="I492" s="76"/>
      <c r="J492" s="76"/>
      <c r="K492" s="76"/>
      <c r="L492" s="76"/>
      <c r="M492" s="76"/>
      <c r="N492" s="76"/>
      <c r="O492" s="76"/>
      <c r="P492" s="76"/>
      <c r="Q492" s="76"/>
      <c r="R492" s="76"/>
      <c r="S492" s="76"/>
      <c r="T492" s="76"/>
      <c r="U492" s="76"/>
      <c r="V492" s="76"/>
      <c r="W492" s="76"/>
      <c r="X492" s="76"/>
      <c r="Y492" s="76"/>
      <c r="Z492" s="76"/>
      <c r="AA492" s="79"/>
      <c r="AB492" s="79"/>
      <c r="AC492" s="79"/>
      <c r="AD492" s="79"/>
      <c r="AE492" s="79"/>
      <c r="AF492" s="79"/>
      <c r="AG492" s="79"/>
      <c r="AH492" s="79"/>
      <c r="AI492" s="79"/>
      <c r="AJ492" s="79"/>
      <c r="AK492" s="79"/>
    </row>
    <row r="493" spans="1:37" s="78" customFormat="1" ht="12" customHeight="1">
      <c r="A493" s="76"/>
      <c r="B493" s="76"/>
      <c r="C493" s="76"/>
      <c r="D493" s="76"/>
      <c r="E493" s="76"/>
      <c r="F493" s="77"/>
      <c r="G493" s="76"/>
      <c r="H493" s="76"/>
      <c r="I493" s="76"/>
      <c r="J493" s="76"/>
      <c r="K493" s="76"/>
      <c r="L493" s="76"/>
      <c r="M493" s="76"/>
      <c r="N493" s="76"/>
      <c r="O493" s="76"/>
      <c r="P493" s="76"/>
      <c r="Q493" s="76"/>
      <c r="R493" s="76"/>
      <c r="S493" s="76"/>
      <c r="T493" s="76"/>
      <c r="U493" s="76"/>
      <c r="V493" s="76"/>
      <c r="W493" s="76"/>
      <c r="X493" s="76"/>
      <c r="Y493" s="76"/>
      <c r="Z493" s="76"/>
      <c r="AA493" s="79"/>
      <c r="AB493" s="79"/>
      <c r="AC493" s="79"/>
      <c r="AD493" s="79"/>
      <c r="AE493" s="79"/>
      <c r="AF493" s="79"/>
      <c r="AG493" s="79"/>
      <c r="AH493" s="79"/>
      <c r="AI493" s="79"/>
      <c r="AJ493" s="79"/>
      <c r="AK493" s="79"/>
    </row>
    <row r="494" spans="1:37" s="78" customFormat="1" ht="12" customHeight="1">
      <c r="A494" s="76"/>
      <c r="B494" s="76"/>
      <c r="C494" s="76"/>
      <c r="D494" s="76"/>
      <c r="E494" s="76"/>
      <c r="F494" s="77"/>
      <c r="G494" s="76"/>
      <c r="H494" s="76"/>
      <c r="I494" s="76"/>
      <c r="J494" s="76"/>
      <c r="K494" s="76"/>
      <c r="L494" s="76"/>
      <c r="M494" s="76"/>
      <c r="N494" s="76"/>
      <c r="O494" s="76"/>
      <c r="P494" s="76"/>
      <c r="Q494" s="76"/>
      <c r="R494" s="76"/>
      <c r="S494" s="76"/>
      <c r="T494" s="76"/>
      <c r="U494" s="76"/>
      <c r="V494" s="76"/>
      <c r="W494" s="76"/>
      <c r="X494" s="76"/>
      <c r="Y494" s="76"/>
      <c r="Z494" s="76"/>
      <c r="AA494" s="79"/>
      <c r="AB494" s="79"/>
      <c r="AC494" s="79"/>
      <c r="AD494" s="79"/>
      <c r="AE494" s="79"/>
      <c r="AF494" s="79"/>
      <c r="AG494" s="79"/>
      <c r="AH494" s="79"/>
      <c r="AI494" s="79"/>
      <c r="AJ494" s="79"/>
      <c r="AK494" s="79"/>
    </row>
    <row r="495" spans="1:37" s="78" customFormat="1" ht="12" customHeight="1">
      <c r="A495" s="76"/>
      <c r="B495" s="76"/>
      <c r="C495" s="76"/>
      <c r="D495" s="76"/>
      <c r="E495" s="76"/>
      <c r="F495" s="77"/>
      <c r="G495" s="76"/>
      <c r="H495" s="76"/>
      <c r="I495" s="76"/>
      <c r="J495" s="76"/>
      <c r="K495" s="76"/>
      <c r="L495" s="76"/>
      <c r="M495" s="76"/>
      <c r="N495" s="76"/>
      <c r="O495" s="76"/>
      <c r="P495" s="76"/>
      <c r="Q495" s="76"/>
      <c r="R495" s="76"/>
      <c r="S495" s="76"/>
      <c r="T495" s="76"/>
      <c r="U495" s="76"/>
      <c r="V495" s="76"/>
      <c r="W495" s="76"/>
      <c r="X495" s="76"/>
      <c r="Y495" s="76"/>
      <c r="Z495" s="76"/>
      <c r="AA495" s="79"/>
      <c r="AB495" s="79"/>
      <c r="AC495" s="79"/>
      <c r="AD495" s="79"/>
      <c r="AE495" s="79"/>
      <c r="AF495" s="79"/>
      <c r="AG495" s="79"/>
      <c r="AH495" s="79"/>
      <c r="AI495" s="79"/>
      <c r="AJ495" s="79"/>
      <c r="AK495" s="79"/>
    </row>
    <row r="496" spans="1:37" s="78" customFormat="1" ht="12" customHeight="1">
      <c r="A496" s="76"/>
      <c r="B496" s="76"/>
      <c r="C496" s="76"/>
      <c r="D496" s="76"/>
      <c r="E496" s="76"/>
      <c r="F496" s="77"/>
      <c r="G496" s="76"/>
      <c r="H496" s="76"/>
      <c r="I496" s="76"/>
      <c r="J496" s="76"/>
      <c r="K496" s="76"/>
      <c r="L496" s="76"/>
      <c r="M496" s="76"/>
      <c r="N496" s="76"/>
      <c r="O496" s="76"/>
      <c r="P496" s="76"/>
      <c r="Q496" s="76"/>
      <c r="R496" s="76"/>
      <c r="S496" s="76"/>
      <c r="T496" s="76"/>
      <c r="U496" s="76"/>
      <c r="V496" s="76"/>
      <c r="W496" s="76"/>
      <c r="X496" s="76"/>
      <c r="Y496" s="76"/>
      <c r="Z496" s="76"/>
      <c r="AA496" s="79"/>
      <c r="AB496" s="79"/>
      <c r="AC496" s="79"/>
      <c r="AD496" s="79"/>
      <c r="AE496" s="79"/>
      <c r="AF496" s="79"/>
      <c r="AG496" s="79"/>
      <c r="AH496" s="79"/>
      <c r="AI496" s="79"/>
      <c r="AJ496" s="79"/>
      <c r="AK496" s="79"/>
    </row>
    <row r="497" spans="1:37" s="78" customFormat="1" ht="12" customHeight="1">
      <c r="A497" s="76"/>
      <c r="B497" s="76"/>
      <c r="C497" s="76"/>
      <c r="D497" s="76"/>
      <c r="E497" s="76"/>
      <c r="F497" s="77"/>
      <c r="G497" s="76"/>
      <c r="H497" s="76"/>
      <c r="I497" s="76"/>
      <c r="J497" s="76"/>
      <c r="K497" s="76"/>
      <c r="L497" s="76"/>
      <c r="M497" s="76"/>
      <c r="N497" s="76"/>
      <c r="O497" s="76"/>
      <c r="P497" s="76"/>
      <c r="Q497" s="76"/>
      <c r="R497" s="76"/>
      <c r="S497" s="76"/>
      <c r="T497" s="76"/>
      <c r="U497" s="76"/>
      <c r="V497" s="76"/>
      <c r="W497" s="76"/>
      <c r="X497" s="76"/>
      <c r="Y497" s="76"/>
      <c r="Z497" s="76"/>
      <c r="AA497" s="79"/>
      <c r="AB497" s="79"/>
      <c r="AC497" s="79"/>
      <c r="AD497" s="79"/>
      <c r="AE497" s="79"/>
      <c r="AF497" s="79"/>
      <c r="AG497" s="79"/>
      <c r="AH497" s="79"/>
      <c r="AI497" s="79"/>
      <c r="AJ497" s="79"/>
      <c r="AK497" s="79"/>
    </row>
    <row r="498" spans="1:37" s="78" customFormat="1" ht="12" customHeight="1">
      <c r="A498" s="76"/>
      <c r="B498" s="76"/>
      <c r="C498" s="76"/>
      <c r="D498" s="76"/>
      <c r="E498" s="76"/>
      <c r="F498" s="77"/>
      <c r="G498" s="76"/>
      <c r="H498" s="76"/>
      <c r="I498" s="76"/>
      <c r="J498" s="76"/>
      <c r="K498" s="76"/>
      <c r="L498" s="76"/>
      <c r="M498" s="76"/>
      <c r="N498" s="76"/>
      <c r="O498" s="76"/>
      <c r="P498" s="76"/>
      <c r="Q498" s="76"/>
      <c r="R498" s="76"/>
      <c r="S498" s="76"/>
      <c r="T498" s="76"/>
      <c r="U498" s="76"/>
      <c r="V498" s="76"/>
      <c r="W498" s="76"/>
      <c r="X498" s="76"/>
      <c r="Y498" s="76"/>
      <c r="Z498" s="76"/>
      <c r="AA498" s="79"/>
      <c r="AB498" s="79"/>
      <c r="AC498" s="79"/>
      <c r="AD498" s="79"/>
      <c r="AE498" s="79"/>
      <c r="AF498" s="79"/>
      <c r="AG498" s="79"/>
      <c r="AH498" s="79"/>
      <c r="AI498" s="79"/>
      <c r="AJ498" s="79"/>
      <c r="AK498" s="79"/>
    </row>
    <row r="499" spans="1:37" s="78" customFormat="1" ht="12" customHeight="1">
      <c r="A499" s="76"/>
      <c r="B499" s="76"/>
      <c r="C499" s="76"/>
      <c r="D499" s="76"/>
      <c r="E499" s="76"/>
      <c r="F499" s="77"/>
      <c r="G499" s="76"/>
      <c r="H499" s="76"/>
      <c r="I499" s="76"/>
      <c r="J499" s="76"/>
      <c r="K499" s="76"/>
      <c r="L499" s="76"/>
      <c r="M499" s="76"/>
      <c r="N499" s="76"/>
      <c r="O499" s="76"/>
      <c r="P499" s="76"/>
      <c r="Q499" s="76"/>
      <c r="R499" s="76"/>
      <c r="S499" s="76"/>
      <c r="T499" s="76"/>
      <c r="U499" s="76"/>
      <c r="V499" s="76"/>
      <c r="W499" s="76"/>
      <c r="X499" s="76"/>
      <c r="Y499" s="76"/>
      <c r="Z499" s="76"/>
      <c r="AA499" s="79"/>
      <c r="AB499" s="79"/>
      <c r="AC499" s="79"/>
      <c r="AD499" s="79"/>
      <c r="AE499" s="79"/>
      <c r="AF499" s="79"/>
      <c r="AG499" s="79"/>
      <c r="AH499" s="79"/>
      <c r="AI499" s="79"/>
      <c r="AJ499" s="79"/>
      <c r="AK499" s="79"/>
    </row>
    <row r="500" spans="1:37" s="78" customFormat="1" ht="12" customHeight="1">
      <c r="A500" s="76"/>
      <c r="B500" s="76"/>
      <c r="C500" s="76"/>
      <c r="D500" s="76"/>
      <c r="E500" s="76"/>
      <c r="F500" s="77"/>
      <c r="G500" s="76"/>
      <c r="H500" s="76"/>
      <c r="I500" s="76"/>
      <c r="J500" s="76"/>
      <c r="K500" s="76"/>
      <c r="L500" s="76"/>
      <c r="M500" s="76"/>
      <c r="N500" s="76"/>
      <c r="O500" s="76"/>
      <c r="P500" s="76"/>
      <c r="Q500" s="76"/>
      <c r="R500" s="76"/>
      <c r="S500" s="76"/>
      <c r="T500" s="76"/>
      <c r="U500" s="76"/>
      <c r="V500" s="76"/>
      <c r="W500" s="76"/>
      <c r="X500" s="76"/>
      <c r="Y500" s="76"/>
      <c r="Z500" s="76"/>
      <c r="AA500" s="79"/>
      <c r="AB500" s="79"/>
      <c r="AC500" s="79"/>
      <c r="AD500" s="79"/>
      <c r="AE500" s="79"/>
      <c r="AF500" s="79"/>
      <c r="AG500" s="79"/>
      <c r="AH500" s="79"/>
      <c r="AI500" s="79"/>
      <c r="AJ500" s="79"/>
      <c r="AK500" s="79"/>
    </row>
    <row r="501" spans="1:37" s="78" customFormat="1" ht="12" customHeight="1">
      <c r="A501" s="76"/>
      <c r="B501" s="76"/>
      <c r="C501" s="76"/>
      <c r="D501" s="76"/>
      <c r="E501" s="76"/>
      <c r="F501" s="77"/>
      <c r="G501" s="76"/>
      <c r="H501" s="76"/>
      <c r="I501" s="76"/>
      <c r="J501" s="76"/>
      <c r="K501" s="76"/>
      <c r="L501" s="76"/>
      <c r="M501" s="76"/>
      <c r="N501" s="76"/>
      <c r="O501" s="76"/>
      <c r="P501" s="76"/>
      <c r="Q501" s="76"/>
      <c r="R501" s="76"/>
      <c r="S501" s="76"/>
      <c r="T501" s="76"/>
      <c r="U501" s="76"/>
      <c r="V501" s="76"/>
      <c r="W501" s="76"/>
      <c r="X501" s="76"/>
      <c r="Y501" s="76"/>
      <c r="Z501" s="76"/>
      <c r="AA501" s="79"/>
      <c r="AB501" s="79"/>
      <c r="AC501" s="79"/>
      <c r="AD501" s="79"/>
      <c r="AE501" s="79"/>
      <c r="AF501" s="79"/>
      <c r="AG501" s="79"/>
      <c r="AH501" s="79"/>
      <c r="AI501" s="79"/>
      <c r="AJ501" s="79"/>
      <c r="AK501" s="79"/>
    </row>
    <row r="502" spans="1:37" s="78" customFormat="1" ht="12" customHeight="1">
      <c r="A502" s="76"/>
      <c r="B502" s="76"/>
      <c r="C502" s="76"/>
      <c r="D502" s="76"/>
      <c r="E502" s="76"/>
      <c r="F502" s="77"/>
      <c r="G502" s="76"/>
      <c r="H502" s="76"/>
      <c r="I502" s="76"/>
      <c r="J502" s="76"/>
      <c r="K502" s="76"/>
      <c r="L502" s="76"/>
      <c r="M502" s="76"/>
      <c r="N502" s="76"/>
      <c r="O502" s="76"/>
      <c r="P502" s="76"/>
      <c r="Q502" s="76"/>
      <c r="R502" s="76"/>
      <c r="S502" s="76"/>
      <c r="T502" s="76"/>
      <c r="U502" s="76"/>
      <c r="V502" s="76"/>
      <c r="W502" s="76"/>
      <c r="X502" s="76"/>
      <c r="Y502" s="76"/>
      <c r="Z502" s="76"/>
      <c r="AA502" s="79"/>
      <c r="AB502" s="79"/>
      <c r="AC502" s="79"/>
      <c r="AD502" s="79"/>
      <c r="AE502" s="79"/>
      <c r="AF502" s="79"/>
      <c r="AG502" s="79"/>
      <c r="AH502" s="79"/>
      <c r="AI502" s="79"/>
      <c r="AJ502" s="79"/>
      <c r="AK502" s="79"/>
    </row>
    <row r="503" spans="1:37" s="78" customFormat="1" ht="12" customHeight="1">
      <c r="A503" s="76"/>
      <c r="B503" s="76"/>
      <c r="C503" s="76"/>
      <c r="D503" s="76"/>
      <c r="E503" s="76"/>
      <c r="F503" s="77"/>
      <c r="G503" s="76"/>
      <c r="H503" s="76"/>
      <c r="I503" s="76"/>
      <c r="J503" s="76"/>
      <c r="K503" s="76"/>
      <c r="L503" s="76"/>
      <c r="M503" s="76"/>
      <c r="N503" s="76"/>
      <c r="O503" s="76"/>
      <c r="P503" s="76"/>
      <c r="Q503" s="76"/>
      <c r="R503" s="76"/>
      <c r="S503" s="76"/>
      <c r="T503" s="76"/>
      <c r="U503" s="76"/>
      <c r="V503" s="76"/>
      <c r="W503" s="76"/>
      <c r="X503" s="76"/>
      <c r="Y503" s="76"/>
      <c r="Z503" s="76"/>
      <c r="AA503" s="79"/>
      <c r="AB503" s="79"/>
      <c r="AC503" s="79"/>
      <c r="AD503" s="79"/>
      <c r="AE503" s="79"/>
      <c r="AF503" s="79"/>
      <c r="AG503" s="79"/>
      <c r="AH503" s="79"/>
      <c r="AI503" s="79"/>
      <c r="AJ503" s="79"/>
      <c r="AK503" s="79"/>
    </row>
    <row r="504" spans="1:37" s="78" customFormat="1" ht="12" customHeight="1">
      <c r="A504" s="76"/>
      <c r="B504" s="76"/>
      <c r="C504" s="76"/>
      <c r="D504" s="76"/>
      <c r="E504" s="76"/>
      <c r="F504" s="77"/>
      <c r="G504" s="76"/>
      <c r="H504" s="76"/>
      <c r="I504" s="76"/>
      <c r="J504" s="76"/>
      <c r="K504" s="76"/>
      <c r="L504" s="76"/>
      <c r="M504" s="76"/>
      <c r="N504" s="76"/>
      <c r="O504" s="76"/>
      <c r="P504" s="76"/>
      <c r="Q504" s="76"/>
      <c r="R504" s="76"/>
      <c r="S504" s="76"/>
      <c r="T504" s="76"/>
      <c r="U504" s="76"/>
      <c r="V504" s="76"/>
      <c r="W504" s="76"/>
      <c r="X504" s="76"/>
      <c r="Y504" s="76"/>
      <c r="Z504" s="76"/>
      <c r="AA504" s="79"/>
      <c r="AB504" s="79"/>
      <c r="AC504" s="79"/>
      <c r="AD504" s="79"/>
      <c r="AE504" s="79"/>
      <c r="AF504" s="79"/>
      <c r="AG504" s="79"/>
      <c r="AH504" s="79"/>
      <c r="AI504" s="79"/>
      <c r="AJ504" s="79"/>
      <c r="AK504" s="79"/>
    </row>
    <row r="505" spans="1:37" s="78" customFormat="1" ht="12" customHeight="1">
      <c r="A505" s="76"/>
      <c r="B505" s="76"/>
      <c r="C505" s="76"/>
      <c r="D505" s="76"/>
      <c r="E505" s="76"/>
      <c r="F505" s="77"/>
      <c r="G505" s="76"/>
      <c r="H505" s="76"/>
      <c r="I505" s="76"/>
      <c r="J505" s="76"/>
      <c r="K505" s="76"/>
      <c r="L505" s="76"/>
      <c r="M505" s="76"/>
      <c r="N505" s="76"/>
      <c r="O505" s="76"/>
      <c r="P505" s="76"/>
      <c r="Q505" s="76"/>
      <c r="R505" s="76"/>
      <c r="S505" s="76"/>
      <c r="T505" s="76"/>
      <c r="U505" s="76"/>
      <c r="V505" s="76"/>
      <c r="W505" s="76"/>
      <c r="X505" s="76"/>
      <c r="Y505" s="76"/>
      <c r="Z505" s="76"/>
      <c r="AA505" s="79"/>
      <c r="AB505" s="79"/>
      <c r="AC505" s="79"/>
      <c r="AD505" s="79"/>
      <c r="AE505" s="79"/>
      <c r="AF505" s="79"/>
      <c r="AG505" s="79"/>
      <c r="AH505" s="79"/>
      <c r="AI505" s="79"/>
      <c r="AJ505" s="79"/>
      <c r="AK505" s="79"/>
    </row>
    <row r="506" spans="1:37" s="78" customFormat="1" ht="12" customHeight="1">
      <c r="A506" s="76"/>
      <c r="B506" s="76"/>
      <c r="C506" s="76"/>
      <c r="D506" s="76"/>
      <c r="E506" s="76"/>
      <c r="F506" s="77"/>
      <c r="G506" s="76"/>
      <c r="H506" s="76"/>
      <c r="I506" s="76"/>
      <c r="J506" s="76"/>
      <c r="K506" s="76"/>
      <c r="L506" s="76"/>
      <c r="M506" s="76"/>
      <c r="N506" s="76"/>
      <c r="O506" s="76"/>
      <c r="P506" s="76"/>
      <c r="Q506" s="76"/>
      <c r="R506" s="76"/>
      <c r="S506" s="76"/>
      <c r="T506" s="76"/>
      <c r="U506" s="76"/>
      <c r="V506" s="76"/>
      <c r="W506" s="76"/>
      <c r="X506" s="76"/>
      <c r="Y506" s="76"/>
      <c r="Z506" s="76"/>
      <c r="AA506" s="79"/>
      <c r="AB506" s="79"/>
      <c r="AC506" s="79"/>
      <c r="AD506" s="79"/>
      <c r="AE506" s="79"/>
      <c r="AF506" s="79"/>
      <c r="AG506" s="79"/>
      <c r="AH506" s="79"/>
      <c r="AI506" s="79"/>
      <c r="AJ506" s="79"/>
      <c r="AK506" s="79"/>
    </row>
    <row r="507" spans="1:37" s="78" customFormat="1" ht="12" customHeight="1">
      <c r="A507" s="76"/>
      <c r="B507" s="76"/>
      <c r="C507" s="76"/>
      <c r="D507" s="76"/>
      <c r="E507" s="76"/>
      <c r="F507" s="77"/>
      <c r="G507" s="76"/>
      <c r="H507" s="76"/>
      <c r="I507" s="76"/>
      <c r="J507" s="76"/>
      <c r="K507" s="76"/>
      <c r="L507" s="76"/>
      <c r="M507" s="76"/>
      <c r="N507" s="76"/>
      <c r="O507" s="76"/>
      <c r="P507" s="76"/>
      <c r="Q507" s="76"/>
      <c r="R507" s="76"/>
      <c r="S507" s="76"/>
      <c r="T507" s="76"/>
      <c r="U507" s="76"/>
      <c r="V507" s="76"/>
      <c r="W507" s="76"/>
      <c r="X507" s="76"/>
      <c r="Y507" s="76"/>
      <c r="Z507" s="76"/>
      <c r="AA507" s="79"/>
      <c r="AB507" s="79"/>
      <c r="AC507" s="79"/>
      <c r="AD507" s="79"/>
      <c r="AE507" s="79"/>
      <c r="AF507" s="79"/>
      <c r="AG507" s="79"/>
      <c r="AH507" s="79"/>
      <c r="AI507" s="79"/>
      <c r="AJ507" s="79"/>
      <c r="AK507" s="79"/>
    </row>
    <row r="508" spans="1:37" s="78" customFormat="1" ht="12" customHeight="1">
      <c r="A508" s="76"/>
      <c r="B508" s="76"/>
      <c r="C508" s="76"/>
      <c r="D508" s="76"/>
      <c r="E508" s="76"/>
      <c r="F508" s="77"/>
      <c r="G508" s="76"/>
      <c r="H508" s="76"/>
      <c r="I508" s="76"/>
      <c r="J508" s="76"/>
      <c r="K508" s="76"/>
      <c r="L508" s="76"/>
      <c r="M508" s="76"/>
      <c r="N508" s="76"/>
      <c r="O508" s="76"/>
      <c r="P508" s="76"/>
      <c r="Q508" s="76"/>
      <c r="R508" s="76"/>
      <c r="S508" s="76"/>
      <c r="T508" s="76"/>
      <c r="U508" s="76"/>
      <c r="V508" s="76"/>
      <c r="W508" s="76"/>
      <c r="X508" s="76"/>
      <c r="Y508" s="76"/>
      <c r="Z508" s="76"/>
      <c r="AA508" s="79"/>
      <c r="AB508" s="79"/>
      <c r="AC508" s="79"/>
      <c r="AD508" s="79"/>
      <c r="AE508" s="79"/>
      <c r="AF508" s="79"/>
      <c r="AG508" s="79"/>
      <c r="AH508" s="79"/>
      <c r="AI508" s="79"/>
      <c r="AJ508" s="79"/>
      <c r="AK508" s="79"/>
    </row>
    <row r="509" spans="1:37" s="78" customFormat="1" ht="12" customHeight="1">
      <c r="A509" s="76"/>
      <c r="B509" s="76"/>
      <c r="C509" s="76"/>
      <c r="D509" s="76"/>
      <c r="E509" s="76"/>
      <c r="F509" s="77"/>
      <c r="G509" s="76"/>
      <c r="H509" s="76"/>
      <c r="I509" s="76"/>
      <c r="J509" s="76"/>
      <c r="K509" s="76"/>
      <c r="L509" s="76"/>
      <c r="M509" s="76"/>
      <c r="N509" s="76"/>
      <c r="O509" s="76"/>
      <c r="P509" s="76"/>
      <c r="Q509" s="76"/>
      <c r="R509" s="76"/>
      <c r="S509" s="76"/>
      <c r="T509" s="76"/>
      <c r="U509" s="76"/>
      <c r="V509" s="76"/>
      <c r="W509" s="76"/>
      <c r="X509" s="76"/>
      <c r="Y509" s="76"/>
      <c r="Z509" s="76"/>
      <c r="AA509" s="79"/>
      <c r="AB509" s="79"/>
      <c r="AC509" s="79"/>
      <c r="AD509" s="79"/>
      <c r="AE509" s="79"/>
      <c r="AF509" s="79"/>
      <c r="AG509" s="79"/>
      <c r="AH509" s="79"/>
      <c r="AI509" s="79"/>
      <c r="AJ509" s="79"/>
      <c r="AK509" s="79"/>
    </row>
    <row r="510" spans="1:37" s="78" customFormat="1" ht="12" customHeight="1">
      <c r="A510" s="76"/>
      <c r="B510" s="76"/>
      <c r="C510" s="76"/>
      <c r="D510" s="76"/>
      <c r="E510" s="76"/>
      <c r="F510" s="77"/>
      <c r="G510" s="76"/>
      <c r="H510" s="76"/>
      <c r="I510" s="76"/>
      <c r="J510" s="76"/>
      <c r="K510" s="76"/>
      <c r="L510" s="76"/>
      <c r="M510" s="76"/>
      <c r="N510" s="76"/>
      <c r="O510" s="76"/>
      <c r="P510" s="76"/>
      <c r="Q510" s="76"/>
      <c r="R510" s="76"/>
      <c r="S510" s="76"/>
      <c r="T510" s="76"/>
      <c r="U510" s="76"/>
      <c r="V510" s="76"/>
      <c r="W510" s="76"/>
      <c r="X510" s="76"/>
      <c r="Y510" s="76"/>
      <c r="Z510" s="76"/>
      <c r="AA510" s="79"/>
      <c r="AB510" s="79"/>
      <c r="AC510" s="79"/>
      <c r="AD510" s="79"/>
      <c r="AE510" s="79"/>
      <c r="AF510" s="79"/>
      <c r="AG510" s="79"/>
      <c r="AH510" s="79"/>
      <c r="AI510" s="79"/>
      <c r="AJ510" s="79"/>
      <c r="AK510" s="79"/>
    </row>
    <row r="511" spans="1:37" s="78" customFormat="1" ht="12" customHeight="1">
      <c r="A511" s="76"/>
      <c r="B511" s="76"/>
      <c r="C511" s="76"/>
      <c r="D511" s="76"/>
      <c r="E511" s="76"/>
      <c r="F511" s="77"/>
      <c r="G511" s="76"/>
      <c r="H511" s="76"/>
      <c r="I511" s="76"/>
      <c r="J511" s="76"/>
      <c r="K511" s="76"/>
      <c r="L511" s="76"/>
      <c r="M511" s="76"/>
      <c r="N511" s="76"/>
      <c r="O511" s="76"/>
      <c r="P511" s="76"/>
      <c r="Q511" s="76"/>
      <c r="R511" s="76"/>
      <c r="S511" s="76"/>
      <c r="T511" s="76"/>
      <c r="U511" s="76"/>
      <c r="V511" s="76"/>
      <c r="W511" s="76"/>
      <c r="X511" s="76"/>
      <c r="Y511" s="76"/>
      <c r="Z511" s="76"/>
      <c r="AA511" s="79"/>
      <c r="AB511" s="79"/>
      <c r="AC511" s="79"/>
      <c r="AD511" s="79"/>
      <c r="AE511" s="79"/>
      <c r="AF511" s="79"/>
      <c r="AG511" s="79"/>
      <c r="AH511" s="79"/>
      <c r="AI511" s="79"/>
      <c r="AJ511" s="79"/>
      <c r="AK511" s="79"/>
    </row>
    <row r="512" spans="1:37" s="78" customFormat="1" ht="12" customHeight="1">
      <c r="A512" s="76"/>
      <c r="B512" s="76"/>
      <c r="C512" s="76"/>
      <c r="D512" s="76"/>
      <c r="E512" s="76"/>
      <c r="F512" s="77"/>
      <c r="G512" s="76"/>
      <c r="H512" s="76"/>
      <c r="I512" s="76"/>
      <c r="J512" s="76"/>
      <c r="K512" s="76"/>
      <c r="L512" s="76"/>
      <c r="M512" s="76"/>
      <c r="N512" s="76"/>
      <c r="O512" s="76"/>
      <c r="P512" s="76"/>
      <c r="Q512" s="76"/>
      <c r="R512" s="76"/>
      <c r="S512" s="76"/>
      <c r="T512" s="76"/>
      <c r="U512" s="76"/>
      <c r="V512" s="76"/>
      <c r="W512" s="76"/>
      <c r="X512" s="76"/>
      <c r="Y512" s="76"/>
      <c r="Z512" s="76"/>
      <c r="AA512" s="79"/>
      <c r="AB512" s="79"/>
      <c r="AC512" s="79"/>
      <c r="AD512" s="79"/>
      <c r="AE512" s="79"/>
      <c r="AF512" s="79"/>
      <c r="AG512" s="79"/>
      <c r="AH512" s="79"/>
      <c r="AI512" s="79"/>
      <c r="AJ512" s="79"/>
      <c r="AK512" s="79"/>
    </row>
    <row r="513" spans="1:37" s="78" customFormat="1" ht="12" customHeight="1">
      <c r="A513" s="76"/>
      <c r="B513" s="76"/>
      <c r="C513" s="76"/>
      <c r="D513" s="76"/>
      <c r="E513" s="76"/>
      <c r="F513" s="77"/>
      <c r="G513" s="76"/>
      <c r="H513" s="76"/>
      <c r="I513" s="76"/>
      <c r="J513" s="76"/>
      <c r="K513" s="76"/>
      <c r="L513" s="76"/>
      <c r="M513" s="76"/>
      <c r="N513" s="76"/>
      <c r="O513" s="76"/>
      <c r="P513" s="76"/>
      <c r="Q513" s="76"/>
      <c r="R513" s="76"/>
      <c r="S513" s="76"/>
      <c r="T513" s="76"/>
      <c r="U513" s="76"/>
      <c r="V513" s="76"/>
      <c r="W513" s="76"/>
      <c r="X513" s="76"/>
      <c r="Y513" s="76"/>
      <c r="Z513" s="76"/>
      <c r="AA513" s="79"/>
      <c r="AB513" s="79"/>
      <c r="AC513" s="79"/>
      <c r="AD513" s="79"/>
      <c r="AE513" s="79"/>
      <c r="AF513" s="79"/>
      <c r="AG513" s="79"/>
      <c r="AH513" s="79"/>
      <c r="AI513" s="79"/>
      <c r="AJ513" s="79"/>
      <c r="AK513" s="79"/>
    </row>
    <row r="514" spans="1:37" s="78" customFormat="1" ht="12" customHeight="1">
      <c r="A514" s="76"/>
      <c r="B514" s="76"/>
      <c r="C514" s="76"/>
      <c r="D514" s="76"/>
      <c r="E514" s="76"/>
      <c r="F514" s="77"/>
      <c r="G514" s="76"/>
      <c r="H514" s="76"/>
      <c r="I514" s="76"/>
      <c r="J514" s="76"/>
      <c r="K514" s="76"/>
      <c r="L514" s="76"/>
      <c r="M514" s="76"/>
      <c r="N514" s="76"/>
      <c r="O514" s="76"/>
      <c r="P514" s="76"/>
      <c r="Q514" s="76"/>
      <c r="R514" s="76"/>
      <c r="S514" s="76"/>
      <c r="T514" s="76"/>
      <c r="U514" s="76"/>
      <c r="V514" s="76"/>
      <c r="W514" s="76"/>
      <c r="X514" s="76"/>
      <c r="Y514" s="76"/>
      <c r="Z514" s="76"/>
      <c r="AA514" s="79"/>
      <c r="AB514" s="79"/>
      <c r="AC514" s="79"/>
      <c r="AD514" s="79"/>
      <c r="AE514" s="79"/>
      <c r="AF514" s="79"/>
      <c r="AG514" s="79"/>
      <c r="AH514" s="79"/>
      <c r="AI514" s="79"/>
      <c r="AJ514" s="79"/>
      <c r="AK514" s="79"/>
    </row>
    <row r="515" spans="1:37" s="78" customFormat="1" ht="12" customHeight="1">
      <c r="A515" s="76"/>
      <c r="B515" s="76"/>
      <c r="C515" s="76"/>
      <c r="D515" s="76"/>
      <c r="E515" s="76"/>
      <c r="F515" s="77"/>
      <c r="G515" s="76"/>
      <c r="H515" s="76"/>
      <c r="I515" s="76"/>
      <c r="J515" s="76"/>
      <c r="K515" s="76"/>
      <c r="L515" s="76"/>
      <c r="M515" s="76"/>
      <c r="N515" s="76"/>
      <c r="O515" s="76"/>
      <c r="P515" s="76"/>
      <c r="Q515" s="76"/>
      <c r="R515" s="76"/>
      <c r="S515" s="76"/>
      <c r="T515" s="76"/>
      <c r="U515" s="76"/>
      <c r="V515" s="76"/>
      <c r="W515" s="76"/>
      <c r="X515" s="76"/>
      <c r="Y515" s="76"/>
      <c r="Z515" s="76"/>
      <c r="AA515" s="79"/>
      <c r="AB515" s="79"/>
      <c r="AC515" s="79"/>
      <c r="AD515" s="79"/>
      <c r="AE515" s="79"/>
      <c r="AF515" s="79"/>
      <c r="AG515" s="79"/>
      <c r="AH515" s="79"/>
      <c r="AI515" s="79"/>
      <c r="AJ515" s="79"/>
      <c r="AK515" s="79"/>
    </row>
    <row r="516" spans="1:37" s="78" customFormat="1" ht="12" customHeight="1">
      <c r="A516" s="76"/>
      <c r="B516" s="76"/>
      <c r="C516" s="76"/>
      <c r="D516" s="76"/>
      <c r="E516" s="76"/>
      <c r="F516" s="77"/>
      <c r="G516" s="76"/>
      <c r="H516" s="76"/>
      <c r="I516" s="76"/>
      <c r="J516" s="76"/>
      <c r="K516" s="76"/>
      <c r="L516" s="76"/>
      <c r="M516" s="76"/>
      <c r="N516" s="76"/>
      <c r="O516" s="76"/>
      <c r="P516" s="76"/>
      <c r="Q516" s="76"/>
      <c r="R516" s="76"/>
      <c r="S516" s="76"/>
      <c r="T516" s="76"/>
      <c r="U516" s="76"/>
      <c r="V516" s="76"/>
      <c r="W516" s="76"/>
      <c r="X516" s="76"/>
      <c r="Y516" s="76"/>
      <c r="Z516" s="76"/>
      <c r="AA516" s="79"/>
      <c r="AB516" s="79"/>
      <c r="AC516" s="79"/>
      <c r="AD516" s="79"/>
      <c r="AE516" s="79"/>
      <c r="AF516" s="79"/>
      <c r="AG516" s="79"/>
      <c r="AH516" s="79"/>
      <c r="AI516" s="79"/>
      <c r="AJ516" s="79"/>
      <c r="AK516" s="79"/>
    </row>
    <row r="517" spans="1:37" s="78" customFormat="1" ht="12" customHeight="1">
      <c r="A517" s="76"/>
      <c r="B517" s="76"/>
      <c r="C517" s="76"/>
      <c r="D517" s="76"/>
      <c r="E517" s="76"/>
      <c r="F517" s="77"/>
      <c r="G517" s="76"/>
      <c r="H517" s="76"/>
      <c r="I517" s="76"/>
      <c r="J517" s="76"/>
      <c r="K517" s="76"/>
      <c r="L517" s="76"/>
      <c r="M517" s="76"/>
      <c r="N517" s="76"/>
      <c r="O517" s="76"/>
      <c r="P517" s="76"/>
      <c r="Q517" s="76"/>
      <c r="R517" s="76"/>
      <c r="S517" s="76"/>
      <c r="T517" s="76"/>
      <c r="U517" s="76"/>
      <c r="V517" s="76"/>
      <c r="W517" s="76"/>
      <c r="X517" s="76"/>
      <c r="Y517" s="76"/>
      <c r="Z517" s="76"/>
      <c r="AA517" s="79"/>
      <c r="AB517" s="79"/>
      <c r="AC517" s="79"/>
      <c r="AD517" s="79"/>
      <c r="AE517" s="79"/>
      <c r="AF517" s="79"/>
      <c r="AG517" s="79"/>
      <c r="AH517" s="79"/>
      <c r="AI517" s="79"/>
      <c r="AJ517" s="79"/>
      <c r="AK517" s="79"/>
    </row>
    <row r="518" spans="1:37" s="78" customFormat="1" ht="12" customHeight="1">
      <c r="A518" s="76"/>
      <c r="B518" s="76"/>
      <c r="C518" s="76"/>
      <c r="D518" s="76"/>
      <c r="E518" s="76"/>
      <c r="F518" s="77"/>
      <c r="G518" s="76"/>
      <c r="H518" s="76"/>
      <c r="I518" s="76"/>
      <c r="J518" s="76"/>
      <c r="K518" s="76"/>
      <c r="L518" s="76"/>
      <c r="M518" s="76"/>
      <c r="N518" s="76"/>
      <c r="O518" s="76"/>
      <c r="P518" s="76"/>
      <c r="Q518" s="76"/>
      <c r="R518" s="76"/>
      <c r="S518" s="76"/>
      <c r="T518" s="76"/>
      <c r="U518" s="76"/>
      <c r="V518" s="76"/>
      <c r="W518" s="76"/>
      <c r="X518" s="76"/>
      <c r="Y518" s="76"/>
      <c r="Z518" s="76"/>
      <c r="AA518" s="79"/>
      <c r="AB518" s="79"/>
      <c r="AC518" s="79"/>
      <c r="AD518" s="79"/>
      <c r="AE518" s="79"/>
      <c r="AF518" s="79"/>
      <c r="AG518" s="79"/>
      <c r="AH518" s="79"/>
      <c r="AI518" s="79"/>
      <c r="AJ518" s="79"/>
      <c r="AK518" s="79"/>
    </row>
    <row r="519" spans="1:37" s="78" customFormat="1" ht="12" customHeight="1">
      <c r="A519" s="76"/>
      <c r="B519" s="76"/>
      <c r="C519" s="76"/>
      <c r="D519" s="76"/>
      <c r="E519" s="76"/>
      <c r="F519" s="77"/>
      <c r="G519" s="76"/>
      <c r="H519" s="76"/>
      <c r="I519" s="76"/>
      <c r="J519" s="76"/>
      <c r="K519" s="76"/>
      <c r="L519" s="76"/>
      <c r="M519" s="76"/>
      <c r="N519" s="76"/>
      <c r="O519" s="76"/>
      <c r="P519" s="76"/>
      <c r="Q519" s="76"/>
      <c r="R519" s="76"/>
      <c r="S519" s="76"/>
      <c r="T519" s="76"/>
      <c r="U519" s="76"/>
      <c r="V519" s="76"/>
      <c r="W519" s="76"/>
      <c r="X519" s="76"/>
      <c r="Y519" s="76"/>
      <c r="Z519" s="76"/>
      <c r="AA519" s="79"/>
      <c r="AB519" s="79"/>
      <c r="AC519" s="79"/>
      <c r="AD519" s="79"/>
      <c r="AE519" s="79"/>
      <c r="AF519" s="79"/>
      <c r="AG519" s="79"/>
      <c r="AH519" s="79"/>
      <c r="AI519" s="79"/>
      <c r="AJ519" s="79"/>
      <c r="AK519" s="79"/>
    </row>
    <row r="520" spans="1:37" s="78" customFormat="1" ht="12" customHeight="1">
      <c r="A520" s="76"/>
      <c r="B520" s="76"/>
      <c r="C520" s="76"/>
      <c r="D520" s="76"/>
      <c r="E520" s="76"/>
      <c r="F520" s="77"/>
      <c r="G520" s="76"/>
      <c r="H520" s="76"/>
      <c r="I520" s="76"/>
      <c r="J520" s="76"/>
      <c r="K520" s="76"/>
      <c r="L520" s="76"/>
      <c r="M520" s="76"/>
      <c r="N520" s="76"/>
      <c r="O520" s="76"/>
      <c r="P520" s="76"/>
      <c r="Q520" s="76"/>
      <c r="R520" s="76"/>
      <c r="S520" s="76"/>
      <c r="T520" s="76"/>
      <c r="U520" s="76"/>
      <c r="V520" s="76"/>
      <c r="W520" s="76"/>
      <c r="X520" s="76"/>
      <c r="Y520" s="76"/>
      <c r="Z520" s="76"/>
      <c r="AA520" s="79"/>
      <c r="AB520" s="79"/>
      <c r="AC520" s="79"/>
      <c r="AD520" s="79"/>
      <c r="AE520" s="79"/>
      <c r="AF520" s="79"/>
      <c r="AG520" s="79"/>
      <c r="AH520" s="79"/>
      <c r="AI520" s="79"/>
      <c r="AJ520" s="79"/>
      <c r="AK520" s="79"/>
    </row>
    <row r="521" spans="1:37" s="78" customFormat="1" ht="12" customHeight="1">
      <c r="A521" s="76"/>
      <c r="B521" s="76"/>
      <c r="C521" s="76"/>
      <c r="D521" s="76"/>
      <c r="E521" s="76"/>
      <c r="F521" s="77"/>
      <c r="G521" s="76"/>
      <c r="H521" s="76"/>
      <c r="I521" s="76"/>
      <c r="J521" s="76"/>
      <c r="K521" s="76"/>
      <c r="L521" s="76"/>
      <c r="M521" s="76"/>
      <c r="N521" s="76"/>
      <c r="O521" s="76"/>
      <c r="P521" s="76"/>
      <c r="Q521" s="76"/>
      <c r="R521" s="76"/>
      <c r="S521" s="76"/>
      <c r="T521" s="76"/>
      <c r="U521" s="76"/>
      <c r="V521" s="76"/>
      <c r="W521" s="76"/>
      <c r="X521" s="76"/>
      <c r="Y521" s="76"/>
      <c r="Z521" s="76"/>
      <c r="AA521" s="79"/>
      <c r="AB521" s="79"/>
      <c r="AC521" s="79"/>
      <c r="AD521" s="79"/>
      <c r="AE521" s="79"/>
      <c r="AF521" s="79"/>
      <c r="AG521" s="79"/>
      <c r="AH521" s="79"/>
      <c r="AI521" s="79"/>
      <c r="AJ521" s="79"/>
      <c r="AK521" s="79"/>
    </row>
    <row r="522" spans="1:37" s="78" customFormat="1" ht="12" customHeight="1">
      <c r="A522" s="76"/>
      <c r="B522" s="76"/>
      <c r="C522" s="76"/>
      <c r="D522" s="76"/>
      <c r="E522" s="76"/>
      <c r="F522" s="77"/>
      <c r="G522" s="76"/>
      <c r="H522" s="76"/>
      <c r="I522" s="76"/>
      <c r="J522" s="76"/>
      <c r="K522" s="76"/>
      <c r="L522" s="76"/>
      <c r="M522" s="76"/>
      <c r="N522" s="76"/>
      <c r="O522" s="76"/>
      <c r="P522" s="76"/>
      <c r="Q522" s="76"/>
      <c r="R522" s="76"/>
      <c r="S522" s="76"/>
      <c r="T522" s="76"/>
      <c r="U522" s="76"/>
      <c r="V522" s="76"/>
      <c r="W522" s="76"/>
      <c r="X522" s="76"/>
      <c r="Y522" s="76"/>
      <c r="Z522" s="76"/>
      <c r="AA522" s="79"/>
      <c r="AB522" s="79"/>
      <c r="AC522" s="79"/>
      <c r="AD522" s="79"/>
      <c r="AE522" s="79"/>
      <c r="AF522" s="79"/>
      <c r="AG522" s="79"/>
      <c r="AH522" s="79"/>
      <c r="AI522" s="79"/>
      <c r="AJ522" s="79"/>
      <c r="AK522" s="79"/>
    </row>
    <row r="523" spans="1:37" s="78" customFormat="1" ht="12" customHeight="1">
      <c r="A523" s="76"/>
      <c r="B523" s="76"/>
      <c r="C523" s="76"/>
      <c r="D523" s="76"/>
      <c r="E523" s="76"/>
      <c r="F523" s="77"/>
      <c r="G523" s="76"/>
      <c r="H523" s="76"/>
      <c r="I523" s="76"/>
      <c r="J523" s="76"/>
      <c r="K523" s="76"/>
      <c r="L523" s="76"/>
      <c r="M523" s="76"/>
      <c r="N523" s="76"/>
      <c r="O523" s="76"/>
      <c r="P523" s="76"/>
      <c r="Q523" s="76"/>
      <c r="R523" s="76"/>
      <c r="S523" s="76"/>
      <c r="T523" s="76"/>
      <c r="U523" s="76"/>
      <c r="V523" s="76"/>
      <c r="W523" s="76"/>
      <c r="X523" s="76"/>
      <c r="Y523" s="76"/>
      <c r="Z523" s="76"/>
      <c r="AA523" s="79"/>
      <c r="AB523" s="79"/>
      <c r="AC523" s="79"/>
      <c r="AD523" s="79"/>
      <c r="AE523" s="79"/>
      <c r="AF523" s="79"/>
      <c r="AG523" s="79"/>
      <c r="AH523" s="79"/>
      <c r="AI523" s="79"/>
      <c r="AJ523" s="79"/>
      <c r="AK523" s="79"/>
    </row>
    <row r="524" spans="1:37" s="78" customFormat="1" ht="12" customHeight="1">
      <c r="A524" s="76"/>
      <c r="B524" s="76"/>
      <c r="C524" s="76"/>
      <c r="D524" s="76"/>
      <c r="E524" s="76"/>
      <c r="F524" s="77"/>
      <c r="G524" s="76"/>
      <c r="H524" s="76"/>
      <c r="I524" s="76"/>
      <c r="J524" s="76"/>
      <c r="K524" s="76"/>
      <c r="L524" s="76"/>
      <c r="M524" s="76"/>
      <c r="N524" s="76"/>
      <c r="O524" s="76"/>
      <c r="P524" s="76"/>
      <c r="Q524" s="76"/>
      <c r="R524" s="76"/>
      <c r="S524" s="76"/>
      <c r="T524" s="76"/>
      <c r="U524" s="76"/>
      <c r="V524" s="76"/>
      <c r="W524" s="76"/>
      <c r="X524" s="76"/>
      <c r="Y524" s="76"/>
      <c r="Z524" s="76"/>
      <c r="AA524" s="79"/>
      <c r="AB524" s="79"/>
      <c r="AC524" s="79"/>
      <c r="AD524" s="79"/>
      <c r="AE524" s="79"/>
      <c r="AF524" s="79"/>
      <c r="AG524" s="79"/>
      <c r="AH524" s="79"/>
      <c r="AI524" s="79"/>
      <c r="AJ524" s="79"/>
      <c r="AK524" s="79"/>
    </row>
    <row r="525" spans="1:37" s="78" customFormat="1" ht="12" customHeight="1">
      <c r="A525" s="76"/>
      <c r="B525" s="76"/>
      <c r="C525" s="76"/>
      <c r="D525" s="76"/>
      <c r="E525" s="76"/>
      <c r="F525" s="77"/>
      <c r="G525" s="76"/>
      <c r="H525" s="76"/>
      <c r="I525" s="76"/>
      <c r="J525" s="76"/>
      <c r="K525" s="76"/>
      <c r="L525" s="76"/>
      <c r="M525" s="76"/>
      <c r="N525" s="76"/>
      <c r="O525" s="76"/>
      <c r="P525" s="76"/>
      <c r="Q525" s="76"/>
      <c r="R525" s="76"/>
      <c r="S525" s="76"/>
      <c r="T525" s="76"/>
      <c r="U525" s="76"/>
      <c r="V525" s="76"/>
      <c r="W525" s="76"/>
      <c r="X525" s="76"/>
      <c r="Y525" s="76"/>
      <c r="Z525" s="76"/>
      <c r="AA525" s="79"/>
      <c r="AB525" s="79"/>
      <c r="AC525" s="79"/>
      <c r="AD525" s="79"/>
      <c r="AE525" s="79"/>
      <c r="AF525" s="79"/>
      <c r="AG525" s="79"/>
      <c r="AH525" s="79"/>
      <c r="AI525" s="79"/>
      <c r="AJ525" s="79"/>
      <c r="AK525" s="79"/>
    </row>
    <row r="526" spans="1:37" s="78" customFormat="1" ht="12" customHeight="1">
      <c r="A526" s="76"/>
      <c r="B526" s="76"/>
      <c r="C526" s="76"/>
      <c r="D526" s="76"/>
      <c r="E526" s="76"/>
      <c r="F526" s="77"/>
      <c r="G526" s="76"/>
      <c r="H526" s="76"/>
      <c r="I526" s="76"/>
      <c r="J526" s="76"/>
      <c r="K526" s="76"/>
      <c r="L526" s="76"/>
      <c r="M526" s="76"/>
      <c r="N526" s="76"/>
      <c r="O526" s="76"/>
      <c r="P526" s="76"/>
      <c r="Q526" s="76"/>
      <c r="R526" s="76"/>
      <c r="S526" s="76"/>
      <c r="T526" s="76"/>
      <c r="U526" s="76"/>
      <c r="V526" s="76"/>
      <c r="W526" s="76"/>
      <c r="X526" s="76"/>
      <c r="Y526" s="76"/>
      <c r="Z526" s="76"/>
      <c r="AA526" s="79"/>
      <c r="AB526" s="79"/>
      <c r="AC526" s="79"/>
      <c r="AD526" s="79"/>
      <c r="AE526" s="79"/>
      <c r="AF526" s="79"/>
      <c r="AG526" s="79"/>
      <c r="AH526" s="79"/>
      <c r="AI526" s="79"/>
      <c r="AJ526" s="79"/>
      <c r="AK526" s="79"/>
    </row>
    <row r="527" spans="1:37" s="78" customFormat="1" ht="12" customHeight="1">
      <c r="A527" s="76"/>
      <c r="B527" s="76"/>
      <c r="C527" s="76"/>
      <c r="D527" s="76"/>
      <c r="E527" s="76"/>
      <c r="F527" s="77"/>
      <c r="G527" s="76"/>
      <c r="H527" s="76"/>
      <c r="I527" s="76"/>
      <c r="J527" s="76"/>
      <c r="K527" s="76"/>
      <c r="L527" s="76"/>
      <c r="M527" s="76"/>
      <c r="N527" s="76"/>
      <c r="O527" s="76"/>
      <c r="P527" s="76"/>
      <c r="Q527" s="76"/>
      <c r="R527" s="76"/>
      <c r="S527" s="76"/>
      <c r="T527" s="76"/>
      <c r="U527" s="76"/>
      <c r="V527" s="76"/>
      <c r="W527" s="76"/>
      <c r="X527" s="76"/>
      <c r="Y527" s="76"/>
      <c r="Z527" s="76"/>
      <c r="AA527" s="79"/>
      <c r="AB527" s="79"/>
      <c r="AC527" s="79"/>
      <c r="AD527" s="79"/>
      <c r="AE527" s="79"/>
      <c r="AF527" s="79"/>
      <c r="AG527" s="79"/>
      <c r="AH527" s="79"/>
      <c r="AI527" s="79"/>
      <c r="AJ527" s="79"/>
      <c r="AK527" s="79"/>
    </row>
    <row r="528" spans="1:37" s="78" customFormat="1" ht="12" customHeight="1">
      <c r="A528" s="76"/>
      <c r="B528" s="76"/>
      <c r="C528" s="76"/>
      <c r="D528" s="76"/>
      <c r="E528" s="76"/>
      <c r="F528" s="77"/>
      <c r="G528" s="76"/>
      <c r="H528" s="76"/>
      <c r="I528" s="76"/>
      <c r="J528" s="76"/>
      <c r="K528" s="76"/>
      <c r="L528" s="76"/>
      <c r="M528" s="76"/>
      <c r="N528" s="76"/>
      <c r="O528" s="76"/>
      <c r="P528" s="76"/>
      <c r="Q528" s="76"/>
      <c r="R528" s="76"/>
      <c r="S528" s="76"/>
      <c r="T528" s="76"/>
      <c r="U528" s="76"/>
      <c r="V528" s="76"/>
      <c r="W528" s="76"/>
      <c r="X528" s="76"/>
      <c r="Y528" s="76"/>
      <c r="Z528" s="76"/>
      <c r="AA528" s="79"/>
      <c r="AB528" s="79"/>
      <c r="AC528" s="79"/>
      <c r="AD528" s="79"/>
      <c r="AE528" s="79"/>
      <c r="AF528" s="79"/>
      <c r="AG528" s="79"/>
      <c r="AH528" s="79"/>
      <c r="AI528" s="79"/>
      <c r="AJ528" s="79"/>
      <c r="AK528" s="79"/>
    </row>
    <row r="529" spans="1:37" s="78" customFormat="1" ht="12" customHeight="1">
      <c r="A529" s="76"/>
      <c r="B529" s="76"/>
      <c r="C529" s="76"/>
      <c r="D529" s="76"/>
      <c r="E529" s="76"/>
      <c r="F529" s="77"/>
      <c r="G529" s="76"/>
      <c r="H529" s="76"/>
      <c r="I529" s="76"/>
      <c r="J529" s="76"/>
      <c r="K529" s="76"/>
      <c r="L529" s="76"/>
      <c r="M529" s="76"/>
      <c r="N529" s="76"/>
      <c r="O529" s="76"/>
      <c r="P529" s="76"/>
      <c r="Q529" s="76"/>
      <c r="R529" s="76"/>
      <c r="S529" s="76"/>
      <c r="T529" s="76"/>
      <c r="U529" s="76"/>
      <c r="V529" s="76"/>
      <c r="W529" s="76"/>
      <c r="X529" s="76"/>
      <c r="Y529" s="76"/>
      <c r="Z529" s="76"/>
      <c r="AA529" s="79"/>
      <c r="AB529" s="79"/>
      <c r="AC529" s="79"/>
      <c r="AD529" s="79"/>
      <c r="AE529" s="79"/>
      <c r="AF529" s="79"/>
      <c r="AG529" s="79"/>
      <c r="AH529" s="79"/>
      <c r="AI529" s="79"/>
      <c r="AJ529" s="79"/>
      <c r="AK529" s="79"/>
    </row>
    <row r="530" spans="1:37" s="78" customFormat="1" ht="12" customHeight="1">
      <c r="A530" s="76"/>
      <c r="B530" s="76"/>
      <c r="C530" s="76"/>
      <c r="D530" s="76"/>
      <c r="E530" s="76"/>
      <c r="F530" s="77"/>
      <c r="G530" s="76"/>
      <c r="H530" s="76"/>
      <c r="I530" s="76"/>
      <c r="J530" s="76"/>
      <c r="K530" s="76"/>
      <c r="L530" s="76"/>
      <c r="M530" s="76"/>
      <c r="N530" s="76"/>
      <c r="O530" s="76"/>
      <c r="P530" s="76"/>
      <c r="Q530" s="76"/>
      <c r="R530" s="76"/>
      <c r="S530" s="76"/>
      <c r="T530" s="76"/>
      <c r="U530" s="76"/>
      <c r="V530" s="76"/>
      <c r="W530" s="76"/>
      <c r="X530" s="76"/>
      <c r="Y530" s="76"/>
      <c r="Z530" s="76"/>
      <c r="AA530" s="79"/>
      <c r="AB530" s="79"/>
      <c r="AC530" s="79"/>
      <c r="AD530" s="79"/>
      <c r="AE530" s="79"/>
      <c r="AF530" s="79"/>
      <c r="AG530" s="79"/>
      <c r="AH530" s="79"/>
      <c r="AI530" s="79"/>
      <c r="AJ530" s="79"/>
      <c r="AK530" s="79"/>
    </row>
    <row r="531" spans="1:37" s="78" customFormat="1" ht="12" customHeight="1">
      <c r="A531" s="76"/>
      <c r="B531" s="76"/>
      <c r="C531" s="76"/>
      <c r="D531" s="76"/>
      <c r="E531" s="76"/>
      <c r="F531" s="77"/>
      <c r="G531" s="76"/>
      <c r="H531" s="76"/>
      <c r="I531" s="76"/>
      <c r="J531" s="76"/>
      <c r="K531" s="76"/>
      <c r="L531" s="76"/>
      <c r="M531" s="76"/>
      <c r="N531" s="76"/>
      <c r="O531" s="76"/>
      <c r="P531" s="76"/>
      <c r="Q531" s="76"/>
      <c r="R531" s="76"/>
      <c r="S531" s="76"/>
      <c r="T531" s="76"/>
      <c r="U531" s="76"/>
      <c r="V531" s="76"/>
      <c r="W531" s="76"/>
      <c r="X531" s="76"/>
      <c r="Y531" s="76"/>
      <c r="Z531" s="76"/>
      <c r="AA531" s="79"/>
      <c r="AB531" s="79"/>
      <c r="AC531" s="79"/>
      <c r="AD531" s="79"/>
      <c r="AE531" s="79"/>
      <c r="AF531" s="79"/>
      <c r="AG531" s="79"/>
      <c r="AH531" s="79"/>
      <c r="AI531" s="79"/>
      <c r="AJ531" s="79"/>
      <c r="AK531" s="79"/>
    </row>
    <row r="532" spans="1:37" s="78" customFormat="1" ht="12" customHeight="1">
      <c r="A532" s="76"/>
      <c r="B532" s="76"/>
      <c r="C532" s="76"/>
      <c r="D532" s="76"/>
      <c r="E532" s="76"/>
      <c r="F532" s="77"/>
      <c r="G532" s="76"/>
      <c r="H532" s="76"/>
      <c r="I532" s="76"/>
      <c r="J532" s="76"/>
      <c r="K532" s="76"/>
      <c r="L532" s="76"/>
      <c r="M532" s="76"/>
      <c r="N532" s="76"/>
      <c r="O532" s="76"/>
      <c r="P532" s="76"/>
      <c r="Q532" s="76"/>
      <c r="R532" s="76"/>
      <c r="S532" s="76"/>
      <c r="T532" s="76"/>
      <c r="U532" s="76"/>
      <c r="V532" s="76"/>
      <c r="W532" s="76"/>
      <c r="X532" s="76"/>
      <c r="Y532" s="76"/>
      <c r="Z532" s="76"/>
      <c r="AA532" s="79"/>
      <c r="AB532" s="79"/>
      <c r="AC532" s="79"/>
      <c r="AD532" s="79"/>
      <c r="AE532" s="79"/>
      <c r="AF532" s="79"/>
      <c r="AG532" s="79"/>
      <c r="AH532" s="79"/>
      <c r="AI532" s="79"/>
      <c r="AJ532" s="79"/>
      <c r="AK532" s="79"/>
    </row>
    <row r="533" spans="1:37" s="78" customFormat="1" ht="12" customHeight="1">
      <c r="A533" s="76"/>
      <c r="B533" s="76"/>
      <c r="C533" s="76"/>
      <c r="D533" s="76"/>
      <c r="E533" s="76"/>
      <c r="F533" s="77"/>
      <c r="G533" s="76"/>
      <c r="H533" s="76"/>
      <c r="I533" s="76"/>
      <c r="J533" s="76"/>
      <c r="K533" s="76"/>
      <c r="L533" s="76"/>
      <c r="M533" s="76"/>
      <c r="N533" s="76"/>
      <c r="O533" s="76"/>
      <c r="P533" s="76"/>
      <c r="Q533" s="76"/>
      <c r="R533" s="76"/>
      <c r="S533" s="76"/>
      <c r="T533" s="76"/>
      <c r="U533" s="76"/>
      <c r="V533" s="76"/>
      <c r="W533" s="76"/>
      <c r="X533" s="76"/>
      <c r="Y533" s="76"/>
      <c r="Z533" s="76"/>
      <c r="AA533" s="79"/>
      <c r="AB533" s="79"/>
      <c r="AC533" s="79"/>
      <c r="AD533" s="79"/>
      <c r="AE533" s="79"/>
      <c r="AF533" s="79"/>
      <c r="AG533" s="79"/>
      <c r="AH533" s="79"/>
      <c r="AI533" s="79"/>
      <c r="AJ533" s="79"/>
      <c r="AK533" s="79"/>
    </row>
    <row r="534" spans="1:37" s="78" customFormat="1" ht="12" customHeight="1">
      <c r="A534" s="76"/>
      <c r="B534" s="76"/>
      <c r="C534" s="76"/>
      <c r="D534" s="76"/>
      <c r="E534" s="76"/>
      <c r="F534" s="77"/>
      <c r="G534" s="76"/>
      <c r="H534" s="76"/>
      <c r="I534" s="76"/>
      <c r="J534" s="76"/>
      <c r="K534" s="76"/>
      <c r="L534" s="76"/>
      <c r="M534" s="76"/>
      <c r="N534" s="76"/>
      <c r="O534" s="76"/>
      <c r="P534" s="76"/>
      <c r="Q534" s="76"/>
      <c r="R534" s="76"/>
      <c r="S534" s="76"/>
      <c r="T534" s="76"/>
      <c r="U534" s="76"/>
      <c r="V534" s="76"/>
      <c r="W534" s="76"/>
      <c r="X534" s="76"/>
      <c r="Y534" s="76"/>
      <c r="Z534" s="76"/>
      <c r="AA534" s="79"/>
      <c r="AB534" s="79"/>
      <c r="AC534" s="79"/>
      <c r="AD534" s="79"/>
      <c r="AE534" s="79"/>
      <c r="AF534" s="79"/>
      <c r="AG534" s="79"/>
      <c r="AH534" s="79"/>
      <c r="AI534" s="79"/>
      <c r="AJ534" s="79"/>
      <c r="AK534" s="79"/>
    </row>
    <row r="535" spans="1:37" s="78" customFormat="1" ht="12" customHeight="1">
      <c r="A535" s="76"/>
      <c r="B535" s="76"/>
      <c r="C535" s="76"/>
      <c r="D535" s="76"/>
      <c r="E535" s="76"/>
      <c r="F535" s="77"/>
      <c r="G535" s="76"/>
      <c r="H535" s="76"/>
      <c r="I535" s="76"/>
      <c r="J535" s="76"/>
      <c r="K535" s="76"/>
      <c r="L535" s="76"/>
      <c r="M535" s="76"/>
      <c r="N535" s="76"/>
      <c r="O535" s="76"/>
      <c r="P535" s="76"/>
      <c r="Q535" s="76"/>
      <c r="R535" s="76"/>
      <c r="S535" s="76"/>
      <c r="T535" s="76"/>
      <c r="U535" s="76"/>
      <c r="V535" s="76"/>
      <c r="W535" s="76"/>
      <c r="X535" s="76"/>
      <c r="Y535" s="76"/>
      <c r="Z535" s="76"/>
      <c r="AA535" s="79"/>
      <c r="AB535" s="79"/>
      <c r="AC535" s="79"/>
      <c r="AD535" s="79"/>
      <c r="AE535" s="79"/>
      <c r="AF535" s="79"/>
      <c r="AG535" s="79"/>
      <c r="AH535" s="79"/>
      <c r="AI535" s="79"/>
      <c r="AJ535" s="79"/>
      <c r="AK535" s="79"/>
    </row>
    <row r="536" spans="1:37" s="78" customFormat="1" ht="12" customHeight="1">
      <c r="A536" s="76"/>
      <c r="B536" s="76"/>
      <c r="C536" s="76"/>
      <c r="D536" s="76"/>
      <c r="E536" s="76"/>
      <c r="F536" s="77"/>
      <c r="G536" s="76"/>
      <c r="H536" s="76"/>
      <c r="I536" s="76"/>
      <c r="J536" s="76"/>
      <c r="K536" s="76"/>
      <c r="L536" s="76"/>
      <c r="M536" s="76"/>
      <c r="N536" s="76"/>
      <c r="O536" s="76"/>
      <c r="P536" s="76"/>
      <c r="Q536" s="76"/>
      <c r="R536" s="76"/>
      <c r="S536" s="76"/>
      <c r="T536" s="76"/>
      <c r="U536" s="76"/>
      <c r="V536" s="76"/>
      <c r="W536" s="76"/>
      <c r="X536" s="76"/>
      <c r="Y536" s="76"/>
      <c r="Z536" s="76"/>
      <c r="AA536" s="79"/>
      <c r="AB536" s="79"/>
      <c r="AC536" s="79"/>
      <c r="AD536" s="79"/>
      <c r="AE536" s="79"/>
      <c r="AF536" s="79"/>
      <c r="AG536" s="79"/>
      <c r="AH536" s="79"/>
      <c r="AI536" s="79"/>
      <c r="AJ536" s="79"/>
      <c r="AK536" s="79"/>
    </row>
    <row r="537" spans="1:37" s="78" customFormat="1" ht="12" customHeight="1">
      <c r="A537" s="76"/>
      <c r="B537" s="76"/>
      <c r="C537" s="76"/>
      <c r="D537" s="76"/>
      <c r="E537" s="76"/>
      <c r="F537" s="77"/>
      <c r="G537" s="76"/>
      <c r="H537" s="76"/>
      <c r="I537" s="76"/>
      <c r="J537" s="76"/>
      <c r="K537" s="76"/>
      <c r="L537" s="76"/>
      <c r="M537" s="76"/>
      <c r="N537" s="76"/>
      <c r="O537" s="76"/>
      <c r="P537" s="76"/>
      <c r="Q537" s="76"/>
      <c r="R537" s="76"/>
      <c r="S537" s="76"/>
      <c r="T537" s="76"/>
      <c r="U537" s="76"/>
      <c r="V537" s="76"/>
      <c r="W537" s="76"/>
      <c r="X537" s="76"/>
      <c r="Y537" s="76"/>
      <c r="Z537" s="76"/>
      <c r="AA537" s="79"/>
      <c r="AB537" s="79"/>
      <c r="AC537" s="79"/>
      <c r="AD537" s="79"/>
      <c r="AE537" s="79"/>
      <c r="AF537" s="79"/>
      <c r="AG537" s="79"/>
      <c r="AH537" s="79"/>
      <c r="AI537" s="79"/>
      <c r="AJ537" s="79"/>
      <c r="AK537" s="79"/>
    </row>
    <row r="538" spans="1:37" s="78" customFormat="1" ht="12" customHeight="1">
      <c r="A538" s="76"/>
      <c r="B538" s="76"/>
      <c r="C538" s="76"/>
      <c r="D538" s="76"/>
      <c r="E538" s="76"/>
      <c r="F538" s="77"/>
      <c r="G538" s="76"/>
      <c r="H538" s="76"/>
      <c r="I538" s="76"/>
      <c r="J538" s="76"/>
      <c r="K538" s="76"/>
      <c r="L538" s="76"/>
      <c r="M538" s="76"/>
      <c r="N538" s="76"/>
      <c r="O538" s="76"/>
      <c r="P538" s="76"/>
      <c r="Q538" s="76"/>
      <c r="R538" s="76"/>
      <c r="S538" s="76"/>
      <c r="T538" s="76"/>
      <c r="U538" s="76"/>
      <c r="V538" s="76"/>
      <c r="W538" s="76"/>
      <c r="X538" s="76"/>
      <c r="Y538" s="76"/>
      <c r="Z538" s="76"/>
      <c r="AA538" s="79"/>
      <c r="AB538" s="79"/>
      <c r="AC538" s="79"/>
      <c r="AD538" s="79"/>
      <c r="AE538" s="79"/>
      <c r="AF538" s="79"/>
      <c r="AG538" s="79"/>
      <c r="AH538" s="79"/>
      <c r="AI538" s="79"/>
      <c r="AJ538" s="79"/>
      <c r="AK538" s="79"/>
    </row>
    <row r="539" spans="1:37" s="78" customFormat="1" ht="12" customHeight="1">
      <c r="A539" s="76"/>
      <c r="B539" s="76"/>
      <c r="C539" s="76"/>
      <c r="D539" s="76"/>
      <c r="E539" s="76"/>
      <c r="F539" s="77"/>
      <c r="G539" s="76"/>
      <c r="H539" s="76"/>
      <c r="I539" s="76"/>
      <c r="J539" s="76"/>
      <c r="K539" s="76"/>
      <c r="L539" s="76"/>
      <c r="M539" s="76"/>
      <c r="N539" s="76"/>
      <c r="O539" s="76"/>
      <c r="P539" s="76"/>
      <c r="Q539" s="76"/>
      <c r="R539" s="76"/>
      <c r="S539" s="76"/>
      <c r="T539" s="76"/>
      <c r="U539" s="76"/>
      <c r="V539" s="76"/>
      <c r="W539" s="76"/>
      <c r="X539" s="76"/>
      <c r="Y539" s="76"/>
      <c r="Z539" s="76"/>
      <c r="AA539" s="79"/>
      <c r="AB539" s="79"/>
      <c r="AC539" s="79"/>
      <c r="AD539" s="79"/>
      <c r="AE539" s="79"/>
      <c r="AF539" s="79"/>
      <c r="AG539" s="79"/>
      <c r="AH539" s="79"/>
      <c r="AI539" s="79"/>
      <c r="AJ539" s="79"/>
      <c r="AK539" s="79"/>
    </row>
    <row r="540" spans="1:37" s="78" customFormat="1" ht="12" customHeight="1">
      <c r="A540" s="76"/>
      <c r="B540" s="76"/>
      <c r="C540" s="76"/>
      <c r="D540" s="76"/>
      <c r="E540" s="76"/>
      <c r="F540" s="77"/>
      <c r="G540" s="76"/>
      <c r="H540" s="76"/>
      <c r="I540" s="76"/>
      <c r="J540" s="76"/>
      <c r="K540" s="76"/>
      <c r="L540" s="76"/>
      <c r="M540" s="76"/>
      <c r="N540" s="76"/>
      <c r="O540" s="76"/>
      <c r="P540" s="76"/>
      <c r="Q540" s="76"/>
      <c r="R540" s="76"/>
      <c r="S540" s="76"/>
      <c r="T540" s="76"/>
      <c r="U540" s="76"/>
      <c r="V540" s="76"/>
      <c r="W540" s="76"/>
      <c r="X540" s="76"/>
      <c r="Y540" s="76"/>
      <c r="Z540" s="76"/>
      <c r="AA540" s="79"/>
      <c r="AB540" s="79"/>
      <c r="AC540" s="79"/>
      <c r="AD540" s="79"/>
      <c r="AE540" s="79"/>
      <c r="AF540" s="79"/>
      <c r="AG540" s="79"/>
      <c r="AH540" s="79"/>
      <c r="AI540" s="79"/>
      <c r="AJ540" s="79"/>
      <c r="AK540" s="79"/>
    </row>
    <row r="541" spans="1:37" s="78" customFormat="1" ht="12" customHeight="1">
      <c r="A541" s="76"/>
      <c r="B541" s="76"/>
      <c r="C541" s="76"/>
      <c r="D541" s="76"/>
      <c r="E541" s="76"/>
      <c r="F541" s="77"/>
      <c r="G541" s="76"/>
      <c r="H541" s="76"/>
      <c r="I541" s="76"/>
      <c r="J541" s="76"/>
      <c r="K541" s="76"/>
      <c r="L541" s="76"/>
      <c r="M541" s="76"/>
      <c r="N541" s="76"/>
      <c r="O541" s="76"/>
      <c r="P541" s="76"/>
      <c r="Q541" s="76"/>
      <c r="R541" s="76"/>
      <c r="S541" s="76"/>
      <c r="T541" s="76"/>
      <c r="U541" s="76"/>
      <c r="V541" s="76"/>
      <c r="W541" s="76"/>
      <c r="X541" s="76"/>
      <c r="Y541" s="76"/>
      <c r="Z541" s="76"/>
      <c r="AA541" s="79"/>
      <c r="AB541" s="79"/>
      <c r="AC541" s="79"/>
      <c r="AD541" s="79"/>
      <c r="AE541" s="79"/>
      <c r="AF541" s="79"/>
      <c r="AG541" s="79"/>
      <c r="AH541" s="79"/>
      <c r="AI541" s="79"/>
      <c r="AJ541" s="79"/>
      <c r="AK541" s="79"/>
    </row>
    <row r="542" spans="1:37" s="78" customFormat="1" ht="12" customHeight="1">
      <c r="A542" s="76"/>
      <c r="B542" s="76"/>
      <c r="C542" s="76"/>
      <c r="D542" s="76"/>
      <c r="E542" s="76"/>
      <c r="F542" s="77"/>
      <c r="G542" s="76"/>
      <c r="H542" s="76"/>
      <c r="I542" s="76"/>
      <c r="J542" s="76"/>
      <c r="K542" s="76"/>
      <c r="L542" s="76"/>
      <c r="M542" s="76"/>
      <c r="N542" s="76"/>
      <c r="O542" s="76"/>
      <c r="P542" s="76"/>
      <c r="Q542" s="76"/>
      <c r="R542" s="76"/>
      <c r="S542" s="76"/>
      <c r="T542" s="76"/>
      <c r="U542" s="76"/>
      <c r="V542" s="76"/>
      <c r="W542" s="76"/>
      <c r="X542" s="76"/>
      <c r="Y542" s="76"/>
      <c r="Z542" s="76"/>
      <c r="AA542" s="79"/>
      <c r="AB542" s="79"/>
      <c r="AC542" s="79"/>
      <c r="AD542" s="79"/>
      <c r="AE542" s="79"/>
      <c r="AF542" s="79"/>
      <c r="AG542" s="79"/>
      <c r="AH542" s="79"/>
      <c r="AI542" s="79"/>
      <c r="AJ542" s="79"/>
      <c r="AK542" s="79"/>
    </row>
    <row r="543" spans="1:37" s="78" customFormat="1" ht="12" customHeight="1">
      <c r="A543" s="76"/>
      <c r="B543" s="76"/>
      <c r="C543" s="76"/>
      <c r="D543" s="76"/>
      <c r="E543" s="76"/>
      <c r="F543" s="77"/>
      <c r="G543" s="76"/>
      <c r="H543" s="76"/>
      <c r="I543" s="76"/>
      <c r="J543" s="76"/>
      <c r="K543" s="76"/>
      <c r="L543" s="76"/>
      <c r="M543" s="76"/>
      <c r="N543" s="76"/>
      <c r="O543" s="76"/>
      <c r="P543" s="76"/>
      <c r="Q543" s="76"/>
      <c r="R543" s="76"/>
      <c r="S543" s="76"/>
      <c r="T543" s="76"/>
      <c r="U543" s="76"/>
      <c r="V543" s="76"/>
      <c r="W543" s="76"/>
      <c r="X543" s="76"/>
      <c r="Y543" s="76"/>
      <c r="Z543" s="76"/>
      <c r="AA543" s="79"/>
      <c r="AB543" s="79"/>
      <c r="AC543" s="79"/>
      <c r="AD543" s="79"/>
      <c r="AE543" s="79"/>
      <c r="AF543" s="79"/>
      <c r="AG543" s="79"/>
      <c r="AH543" s="79"/>
      <c r="AI543" s="79"/>
      <c r="AJ543" s="79"/>
      <c r="AK543" s="79"/>
    </row>
    <row r="544" spans="1:37" s="78" customFormat="1" ht="12" customHeight="1">
      <c r="A544" s="76"/>
      <c r="B544" s="76"/>
      <c r="C544" s="76"/>
      <c r="D544" s="76"/>
      <c r="E544" s="76"/>
      <c r="F544" s="77"/>
      <c r="G544" s="76"/>
      <c r="H544" s="76"/>
      <c r="I544" s="76"/>
      <c r="J544" s="76"/>
      <c r="K544" s="76"/>
      <c r="L544" s="76"/>
      <c r="M544" s="76"/>
      <c r="N544" s="76"/>
      <c r="O544" s="76"/>
      <c r="P544" s="76"/>
      <c r="Q544" s="76"/>
      <c r="R544" s="76"/>
      <c r="S544" s="76"/>
      <c r="T544" s="76"/>
      <c r="U544" s="76"/>
      <c r="V544" s="76"/>
      <c r="W544" s="76"/>
      <c r="X544" s="76"/>
      <c r="Y544" s="76"/>
      <c r="Z544" s="76"/>
      <c r="AA544" s="79"/>
      <c r="AB544" s="79"/>
      <c r="AC544" s="79"/>
      <c r="AD544" s="79"/>
      <c r="AE544" s="79"/>
      <c r="AF544" s="79"/>
      <c r="AG544" s="79"/>
      <c r="AH544" s="79"/>
      <c r="AI544" s="79"/>
      <c r="AJ544" s="79"/>
      <c r="AK544" s="79"/>
    </row>
    <row r="545" spans="1:37" s="78" customFormat="1" ht="12" customHeight="1">
      <c r="A545" s="76"/>
      <c r="B545" s="76"/>
      <c r="C545" s="76"/>
      <c r="D545" s="76"/>
      <c r="E545" s="76"/>
      <c r="F545" s="77"/>
      <c r="G545" s="76"/>
      <c r="H545" s="76"/>
      <c r="I545" s="76"/>
      <c r="J545" s="76"/>
      <c r="K545" s="76"/>
      <c r="L545" s="76"/>
      <c r="M545" s="76"/>
      <c r="N545" s="76"/>
      <c r="O545" s="76"/>
      <c r="P545" s="76"/>
      <c r="Q545" s="76"/>
      <c r="R545" s="76"/>
      <c r="S545" s="76"/>
      <c r="T545" s="76"/>
      <c r="U545" s="76"/>
      <c r="V545" s="76"/>
      <c r="W545" s="76"/>
      <c r="X545" s="76"/>
      <c r="Y545" s="76"/>
      <c r="Z545" s="76"/>
      <c r="AA545" s="79"/>
      <c r="AB545" s="79"/>
      <c r="AC545" s="79"/>
      <c r="AD545" s="79"/>
      <c r="AE545" s="79"/>
      <c r="AF545" s="79"/>
      <c r="AG545" s="79"/>
      <c r="AH545" s="79"/>
      <c r="AI545" s="79"/>
      <c r="AJ545" s="79"/>
      <c r="AK545" s="79"/>
    </row>
    <row r="546" spans="1:37" s="78" customFormat="1" ht="12" customHeight="1">
      <c r="A546" s="76"/>
      <c r="B546" s="76"/>
      <c r="C546" s="76"/>
      <c r="D546" s="76"/>
      <c r="E546" s="76"/>
      <c r="F546" s="77"/>
      <c r="G546" s="76"/>
      <c r="H546" s="76"/>
      <c r="I546" s="76"/>
      <c r="J546" s="76"/>
      <c r="K546" s="76"/>
      <c r="L546" s="76"/>
      <c r="M546" s="76"/>
      <c r="N546" s="76"/>
      <c r="O546" s="76"/>
      <c r="P546" s="76"/>
      <c r="Q546" s="76"/>
      <c r="R546" s="76"/>
      <c r="S546" s="76"/>
      <c r="T546" s="76"/>
      <c r="U546" s="76"/>
      <c r="V546" s="76"/>
      <c r="W546" s="76"/>
      <c r="X546" s="76"/>
      <c r="Y546" s="76"/>
      <c r="Z546" s="76"/>
      <c r="AA546" s="79"/>
      <c r="AB546" s="79"/>
      <c r="AC546" s="79"/>
      <c r="AD546" s="79"/>
      <c r="AE546" s="79"/>
      <c r="AF546" s="79"/>
      <c r="AG546" s="79"/>
      <c r="AH546" s="79"/>
      <c r="AI546" s="79"/>
      <c r="AJ546" s="79"/>
      <c r="AK546" s="79"/>
    </row>
    <row r="547" spans="1:37" s="78" customFormat="1" ht="12" customHeight="1">
      <c r="A547" s="76"/>
      <c r="B547" s="76"/>
      <c r="C547" s="76"/>
      <c r="D547" s="76"/>
      <c r="E547" s="76"/>
      <c r="F547" s="77"/>
      <c r="G547" s="76"/>
      <c r="H547" s="76"/>
      <c r="I547" s="76"/>
      <c r="J547" s="76"/>
      <c r="K547" s="76"/>
      <c r="L547" s="76"/>
      <c r="M547" s="76"/>
      <c r="N547" s="76"/>
      <c r="O547" s="76"/>
      <c r="P547" s="76"/>
      <c r="Q547" s="76"/>
      <c r="R547" s="76"/>
      <c r="S547" s="76"/>
      <c r="T547" s="76"/>
      <c r="U547" s="76"/>
      <c r="V547" s="76"/>
      <c r="W547" s="76"/>
      <c r="X547" s="76"/>
      <c r="Y547" s="76"/>
      <c r="Z547" s="76"/>
      <c r="AA547" s="79"/>
      <c r="AB547" s="79"/>
      <c r="AC547" s="79"/>
      <c r="AD547" s="79"/>
      <c r="AE547" s="79"/>
      <c r="AF547" s="79"/>
      <c r="AG547" s="79"/>
      <c r="AH547" s="79"/>
      <c r="AI547" s="79"/>
      <c r="AJ547" s="79"/>
      <c r="AK547" s="79"/>
    </row>
    <row r="548" spans="1:37" s="78" customFormat="1" ht="12" customHeight="1">
      <c r="A548" s="76"/>
      <c r="B548" s="76"/>
      <c r="C548" s="76"/>
      <c r="D548" s="76"/>
      <c r="E548" s="76"/>
      <c r="F548" s="77"/>
      <c r="G548" s="76"/>
      <c r="H548" s="76"/>
      <c r="I548" s="76"/>
      <c r="J548" s="76"/>
      <c r="K548" s="76"/>
      <c r="L548" s="76"/>
      <c r="M548" s="76"/>
      <c r="N548" s="76"/>
      <c r="O548" s="76"/>
      <c r="P548" s="76"/>
      <c r="Q548" s="76"/>
      <c r="R548" s="76"/>
      <c r="S548" s="76"/>
      <c r="T548" s="76"/>
      <c r="U548" s="76"/>
      <c r="V548" s="76"/>
      <c r="W548" s="76"/>
      <c r="X548" s="76"/>
      <c r="Y548" s="76"/>
      <c r="Z548" s="76"/>
      <c r="AA548" s="79"/>
      <c r="AB548" s="79"/>
      <c r="AC548" s="79"/>
      <c r="AD548" s="79"/>
      <c r="AE548" s="79"/>
      <c r="AF548" s="79"/>
      <c r="AG548" s="79"/>
      <c r="AH548" s="79"/>
      <c r="AI548" s="79"/>
      <c r="AJ548" s="79"/>
      <c r="AK548" s="79"/>
    </row>
    <row r="549" spans="1:37" s="78" customFormat="1" ht="12" customHeight="1">
      <c r="A549" s="76"/>
      <c r="B549" s="76"/>
      <c r="C549" s="76"/>
      <c r="D549" s="76"/>
      <c r="E549" s="76"/>
      <c r="F549" s="77"/>
      <c r="G549" s="76"/>
      <c r="H549" s="76"/>
      <c r="I549" s="76"/>
      <c r="J549" s="76"/>
      <c r="K549" s="76"/>
      <c r="L549" s="76"/>
      <c r="M549" s="76"/>
      <c r="N549" s="76"/>
      <c r="O549" s="76"/>
      <c r="P549" s="76"/>
      <c r="Q549" s="76"/>
      <c r="R549" s="76"/>
      <c r="S549" s="76"/>
      <c r="T549" s="76"/>
      <c r="U549" s="76"/>
      <c r="V549" s="76"/>
      <c r="W549" s="76"/>
      <c r="X549" s="76"/>
      <c r="Y549" s="76"/>
      <c r="Z549" s="76"/>
      <c r="AA549" s="79"/>
      <c r="AB549" s="79"/>
      <c r="AC549" s="79"/>
      <c r="AD549" s="79"/>
      <c r="AE549" s="79"/>
      <c r="AF549" s="79"/>
      <c r="AG549" s="79"/>
      <c r="AH549" s="79"/>
      <c r="AI549" s="79"/>
      <c r="AJ549" s="79"/>
      <c r="AK549" s="79"/>
    </row>
    <row r="550" spans="1:37" s="78" customFormat="1" ht="12" customHeight="1">
      <c r="A550" s="76"/>
      <c r="B550" s="76"/>
      <c r="C550" s="76"/>
      <c r="D550" s="76"/>
      <c r="E550" s="76"/>
      <c r="F550" s="77"/>
      <c r="G550" s="76"/>
      <c r="H550" s="76"/>
      <c r="I550" s="76"/>
      <c r="J550" s="76"/>
      <c r="K550" s="76"/>
      <c r="L550" s="76"/>
      <c r="M550" s="76"/>
      <c r="N550" s="76"/>
      <c r="O550" s="76"/>
      <c r="P550" s="76"/>
      <c r="Q550" s="76"/>
      <c r="R550" s="76"/>
      <c r="S550" s="76"/>
      <c r="T550" s="76"/>
      <c r="U550" s="76"/>
      <c r="V550" s="76"/>
      <c r="W550" s="76"/>
      <c r="X550" s="76"/>
      <c r="Y550" s="76"/>
      <c r="Z550" s="76"/>
      <c r="AA550" s="79"/>
      <c r="AB550" s="79"/>
      <c r="AC550" s="79"/>
      <c r="AD550" s="79"/>
      <c r="AE550" s="79"/>
      <c r="AF550" s="79"/>
      <c r="AG550" s="79"/>
      <c r="AH550" s="79"/>
      <c r="AI550" s="79"/>
      <c r="AJ550" s="79"/>
      <c r="AK550" s="79"/>
    </row>
    <row r="551" spans="1:37" s="78" customFormat="1" ht="12" customHeight="1">
      <c r="A551" s="76"/>
      <c r="B551" s="76"/>
      <c r="C551" s="76"/>
      <c r="D551" s="76"/>
      <c r="E551" s="76"/>
      <c r="F551" s="77"/>
      <c r="G551" s="76"/>
      <c r="H551" s="76"/>
      <c r="I551" s="76"/>
      <c r="J551" s="76"/>
      <c r="K551" s="76"/>
      <c r="L551" s="76"/>
      <c r="M551" s="76"/>
      <c r="N551" s="76"/>
      <c r="O551" s="76"/>
      <c r="P551" s="76"/>
      <c r="Q551" s="76"/>
      <c r="R551" s="76"/>
      <c r="S551" s="76"/>
      <c r="T551" s="76"/>
      <c r="U551" s="76"/>
      <c r="V551" s="76"/>
      <c r="W551" s="76"/>
      <c r="X551" s="76"/>
      <c r="Y551" s="76"/>
      <c r="Z551" s="76"/>
      <c r="AA551" s="79"/>
      <c r="AB551" s="79"/>
      <c r="AC551" s="79"/>
      <c r="AD551" s="79"/>
      <c r="AE551" s="79"/>
      <c r="AF551" s="79"/>
      <c r="AG551" s="79"/>
      <c r="AH551" s="79"/>
      <c r="AI551" s="79"/>
      <c r="AJ551" s="79"/>
      <c r="AK551" s="79"/>
    </row>
    <row r="552" spans="1:37" s="78" customFormat="1" ht="12" customHeight="1">
      <c r="A552" s="76"/>
      <c r="B552" s="76"/>
      <c r="C552" s="76"/>
      <c r="D552" s="76"/>
      <c r="E552" s="76"/>
      <c r="F552" s="77"/>
      <c r="G552" s="76"/>
      <c r="H552" s="76"/>
      <c r="I552" s="76"/>
      <c r="J552" s="76"/>
      <c r="K552" s="76"/>
      <c r="L552" s="76"/>
      <c r="M552" s="76"/>
      <c r="N552" s="76"/>
      <c r="O552" s="76"/>
      <c r="P552" s="76"/>
      <c r="Q552" s="76"/>
      <c r="R552" s="76"/>
      <c r="S552" s="76"/>
      <c r="T552" s="76"/>
      <c r="U552" s="76"/>
      <c r="V552" s="76"/>
      <c r="W552" s="76"/>
      <c r="X552" s="76"/>
      <c r="Y552" s="76"/>
      <c r="Z552" s="76"/>
      <c r="AA552" s="79"/>
      <c r="AB552" s="79"/>
      <c r="AC552" s="79"/>
      <c r="AD552" s="79"/>
      <c r="AE552" s="79"/>
      <c r="AF552" s="79"/>
      <c r="AG552" s="79"/>
      <c r="AH552" s="79"/>
      <c r="AI552" s="79"/>
      <c r="AJ552" s="79"/>
      <c r="AK552" s="79"/>
    </row>
    <row r="553" spans="1:37" s="78" customFormat="1" ht="12" customHeight="1">
      <c r="A553" s="76"/>
      <c r="B553" s="76"/>
      <c r="C553" s="76"/>
      <c r="D553" s="76"/>
      <c r="E553" s="76"/>
      <c r="F553" s="77"/>
      <c r="G553" s="76"/>
      <c r="H553" s="76"/>
      <c r="I553" s="76"/>
      <c r="J553" s="76"/>
      <c r="K553" s="76"/>
      <c r="L553" s="76"/>
      <c r="M553" s="76"/>
      <c r="N553" s="76"/>
      <c r="O553" s="76"/>
      <c r="P553" s="76"/>
      <c r="Q553" s="76"/>
      <c r="R553" s="76"/>
      <c r="S553" s="76"/>
      <c r="T553" s="76"/>
      <c r="U553" s="76"/>
      <c r="V553" s="76"/>
      <c r="W553" s="76"/>
      <c r="X553" s="76"/>
      <c r="Y553" s="76"/>
      <c r="Z553" s="76"/>
      <c r="AA553" s="79"/>
      <c r="AB553" s="79"/>
      <c r="AC553" s="79"/>
      <c r="AD553" s="79"/>
      <c r="AE553" s="79"/>
      <c r="AF553" s="79"/>
      <c r="AG553" s="79"/>
      <c r="AH553" s="79"/>
      <c r="AI553" s="79"/>
      <c r="AJ553" s="79"/>
      <c r="AK553" s="79"/>
    </row>
    <row r="554" spans="1:37" s="78" customFormat="1" ht="12" customHeight="1">
      <c r="A554" s="76"/>
      <c r="B554" s="76"/>
      <c r="C554" s="76"/>
      <c r="D554" s="76"/>
      <c r="E554" s="76"/>
      <c r="F554" s="77"/>
      <c r="G554" s="76"/>
      <c r="H554" s="76"/>
      <c r="I554" s="76"/>
      <c r="J554" s="76"/>
      <c r="K554" s="76"/>
      <c r="L554" s="76"/>
      <c r="M554" s="76"/>
      <c r="N554" s="76"/>
      <c r="O554" s="76"/>
      <c r="P554" s="76"/>
      <c r="Q554" s="76"/>
      <c r="R554" s="76"/>
      <c r="S554" s="76"/>
      <c r="T554" s="76"/>
      <c r="U554" s="76"/>
      <c r="V554" s="76"/>
      <c r="W554" s="76"/>
      <c r="X554" s="76"/>
      <c r="Y554" s="76"/>
      <c r="Z554" s="76"/>
      <c r="AA554" s="79"/>
      <c r="AB554" s="79"/>
      <c r="AC554" s="79"/>
      <c r="AD554" s="79"/>
      <c r="AE554" s="79"/>
      <c r="AF554" s="79"/>
      <c r="AG554" s="79"/>
      <c r="AH554" s="79"/>
      <c r="AI554" s="79"/>
      <c r="AJ554" s="79"/>
      <c r="AK554" s="79"/>
    </row>
    <row r="555" spans="1:37" s="78" customFormat="1" ht="12" customHeight="1">
      <c r="A555" s="76"/>
      <c r="B555" s="76"/>
      <c r="C555" s="76"/>
      <c r="D555" s="76"/>
      <c r="E555" s="76"/>
      <c r="F555" s="77"/>
      <c r="G555" s="76"/>
      <c r="H555" s="76"/>
      <c r="I555" s="76"/>
      <c r="J555" s="76"/>
      <c r="K555" s="76"/>
      <c r="L555" s="76"/>
      <c r="M555" s="76"/>
      <c r="N555" s="76"/>
      <c r="O555" s="76"/>
      <c r="P555" s="76"/>
      <c r="Q555" s="76"/>
      <c r="R555" s="76"/>
      <c r="S555" s="76"/>
      <c r="T555" s="76"/>
      <c r="U555" s="76"/>
      <c r="V555" s="76"/>
      <c r="W555" s="76"/>
      <c r="X555" s="76"/>
      <c r="Y555" s="76"/>
      <c r="Z555" s="76"/>
      <c r="AA555" s="79"/>
      <c r="AB555" s="79"/>
      <c r="AC555" s="79"/>
      <c r="AD555" s="79"/>
      <c r="AE555" s="79"/>
      <c r="AF555" s="79"/>
      <c r="AG555" s="79"/>
      <c r="AH555" s="79"/>
      <c r="AI555" s="79"/>
      <c r="AJ555" s="79"/>
      <c r="AK555" s="79"/>
    </row>
    <row r="556" spans="1:37" s="78" customFormat="1" ht="12" customHeight="1">
      <c r="A556" s="76"/>
      <c r="B556" s="76"/>
      <c r="C556" s="76"/>
      <c r="D556" s="76"/>
      <c r="E556" s="76"/>
      <c r="F556" s="77"/>
      <c r="G556" s="76"/>
      <c r="H556" s="76"/>
      <c r="I556" s="76"/>
      <c r="J556" s="76"/>
      <c r="K556" s="76"/>
      <c r="L556" s="76"/>
      <c r="M556" s="76"/>
      <c r="N556" s="76"/>
      <c r="O556" s="76"/>
      <c r="P556" s="76"/>
      <c r="Q556" s="76"/>
      <c r="R556" s="76"/>
      <c r="S556" s="76"/>
      <c r="T556" s="76"/>
      <c r="U556" s="76"/>
      <c r="V556" s="76"/>
      <c r="W556" s="76"/>
      <c r="X556" s="76"/>
      <c r="Y556" s="76"/>
      <c r="Z556" s="76"/>
      <c r="AA556" s="79"/>
      <c r="AB556" s="79"/>
      <c r="AC556" s="79"/>
      <c r="AD556" s="79"/>
      <c r="AE556" s="79"/>
      <c r="AF556" s="79"/>
      <c r="AG556" s="79"/>
      <c r="AH556" s="79"/>
      <c r="AI556" s="79"/>
      <c r="AJ556" s="79"/>
      <c r="AK556" s="79"/>
    </row>
    <row r="557" spans="1:37" s="78" customFormat="1" ht="12" customHeight="1">
      <c r="A557" s="76"/>
      <c r="B557" s="76"/>
      <c r="C557" s="76"/>
      <c r="D557" s="76"/>
      <c r="E557" s="76"/>
      <c r="F557" s="77"/>
      <c r="G557" s="76"/>
      <c r="H557" s="76"/>
      <c r="I557" s="76"/>
      <c r="J557" s="76"/>
      <c r="K557" s="76"/>
      <c r="L557" s="76"/>
      <c r="M557" s="76"/>
      <c r="N557" s="76"/>
      <c r="O557" s="76"/>
      <c r="P557" s="76"/>
      <c r="Q557" s="76"/>
      <c r="R557" s="76"/>
      <c r="S557" s="76"/>
      <c r="T557" s="76"/>
      <c r="U557" s="76"/>
      <c r="V557" s="76"/>
      <c r="W557" s="76"/>
      <c r="X557" s="76"/>
      <c r="Y557" s="76"/>
      <c r="Z557" s="76"/>
      <c r="AA557" s="79"/>
      <c r="AB557" s="79"/>
      <c r="AC557" s="79"/>
      <c r="AD557" s="79"/>
      <c r="AE557" s="79"/>
      <c r="AF557" s="79"/>
      <c r="AG557" s="79"/>
      <c r="AH557" s="79"/>
      <c r="AI557" s="79"/>
      <c r="AJ557" s="79"/>
      <c r="AK557" s="79"/>
    </row>
    <row r="558" spans="1:37" s="78" customFormat="1" ht="12" customHeight="1">
      <c r="A558" s="76"/>
      <c r="B558" s="76"/>
      <c r="C558" s="76"/>
      <c r="D558" s="76"/>
      <c r="E558" s="76"/>
      <c r="F558" s="77"/>
      <c r="G558" s="76"/>
      <c r="H558" s="76"/>
      <c r="I558" s="76"/>
      <c r="J558" s="76"/>
      <c r="K558" s="76"/>
      <c r="L558" s="76"/>
      <c r="M558" s="76"/>
      <c r="N558" s="76"/>
      <c r="O558" s="76"/>
      <c r="P558" s="76"/>
      <c r="Q558" s="76"/>
      <c r="R558" s="76"/>
      <c r="S558" s="76"/>
      <c r="T558" s="76"/>
      <c r="U558" s="76"/>
      <c r="V558" s="76"/>
      <c r="W558" s="76"/>
      <c r="X558" s="76"/>
      <c r="Y558" s="76"/>
      <c r="Z558" s="76"/>
      <c r="AA558" s="79"/>
      <c r="AB558" s="79"/>
      <c r="AC558" s="79"/>
      <c r="AD558" s="79"/>
      <c r="AE558" s="79"/>
      <c r="AF558" s="79"/>
      <c r="AG558" s="79"/>
      <c r="AH558" s="79"/>
      <c r="AI558" s="79"/>
      <c r="AJ558" s="79"/>
      <c r="AK558" s="79"/>
    </row>
    <row r="559" spans="1:37" s="78" customFormat="1" ht="12" customHeight="1">
      <c r="A559" s="76"/>
      <c r="B559" s="76"/>
      <c r="C559" s="76"/>
      <c r="D559" s="76"/>
      <c r="E559" s="76"/>
      <c r="F559" s="77"/>
      <c r="G559" s="76"/>
      <c r="H559" s="76"/>
      <c r="I559" s="76"/>
      <c r="J559" s="76"/>
      <c r="K559" s="76"/>
      <c r="L559" s="76"/>
      <c r="M559" s="76"/>
      <c r="N559" s="76"/>
      <c r="O559" s="76"/>
      <c r="P559" s="76"/>
      <c r="Q559" s="76"/>
      <c r="R559" s="76"/>
      <c r="S559" s="76"/>
      <c r="T559" s="76"/>
      <c r="U559" s="76"/>
      <c r="V559" s="76"/>
      <c r="W559" s="76"/>
      <c r="X559" s="76"/>
      <c r="Y559" s="76"/>
      <c r="Z559" s="76"/>
      <c r="AA559" s="79"/>
      <c r="AB559" s="79"/>
      <c r="AC559" s="79"/>
      <c r="AD559" s="79"/>
      <c r="AE559" s="79"/>
      <c r="AF559" s="79"/>
      <c r="AG559" s="79"/>
      <c r="AH559" s="79"/>
      <c r="AI559" s="79"/>
      <c r="AJ559" s="79"/>
      <c r="AK559" s="79"/>
    </row>
    <row r="560" spans="1:37" s="78" customFormat="1" ht="12" customHeight="1">
      <c r="A560" s="76"/>
      <c r="B560" s="76"/>
      <c r="C560" s="76"/>
      <c r="D560" s="76"/>
      <c r="E560" s="76"/>
      <c r="F560" s="77"/>
      <c r="G560" s="76"/>
      <c r="H560" s="76"/>
      <c r="I560" s="76"/>
      <c r="J560" s="76"/>
      <c r="K560" s="76"/>
      <c r="L560" s="76"/>
      <c r="M560" s="76"/>
      <c r="N560" s="76"/>
      <c r="O560" s="76"/>
      <c r="P560" s="76"/>
      <c r="Q560" s="76"/>
      <c r="R560" s="76"/>
      <c r="S560" s="76"/>
      <c r="T560" s="76"/>
      <c r="U560" s="76"/>
      <c r="V560" s="76"/>
      <c r="W560" s="76"/>
      <c r="X560" s="76"/>
      <c r="Y560" s="76"/>
      <c r="Z560" s="76"/>
      <c r="AA560" s="79"/>
      <c r="AB560" s="79"/>
      <c r="AC560" s="79"/>
      <c r="AD560" s="79"/>
      <c r="AE560" s="79"/>
      <c r="AF560" s="79"/>
      <c r="AG560" s="79"/>
      <c r="AH560" s="79"/>
      <c r="AI560" s="79"/>
      <c r="AJ560" s="79"/>
      <c r="AK560" s="79"/>
    </row>
    <row r="561" spans="1:37" s="78" customFormat="1" ht="12" customHeight="1">
      <c r="A561" s="76"/>
      <c r="B561" s="76"/>
      <c r="C561" s="76"/>
      <c r="D561" s="76"/>
      <c r="E561" s="76"/>
      <c r="F561" s="77"/>
      <c r="G561" s="76"/>
      <c r="H561" s="76"/>
      <c r="I561" s="76"/>
      <c r="J561" s="76"/>
      <c r="K561" s="76"/>
      <c r="L561" s="76"/>
      <c r="M561" s="76"/>
      <c r="N561" s="76"/>
      <c r="O561" s="76"/>
      <c r="P561" s="76"/>
      <c r="Q561" s="76"/>
      <c r="R561" s="76"/>
      <c r="S561" s="76"/>
      <c r="T561" s="76"/>
      <c r="U561" s="76"/>
      <c r="V561" s="76"/>
      <c r="W561" s="76"/>
      <c r="X561" s="76"/>
      <c r="Y561" s="76"/>
      <c r="Z561" s="76"/>
      <c r="AA561" s="79"/>
      <c r="AB561" s="79"/>
      <c r="AC561" s="79"/>
      <c r="AD561" s="79"/>
      <c r="AE561" s="79"/>
      <c r="AF561" s="79"/>
      <c r="AG561" s="79"/>
      <c r="AH561" s="79"/>
      <c r="AI561" s="79"/>
      <c r="AJ561" s="79"/>
      <c r="AK561" s="79"/>
    </row>
    <row r="562" spans="1:37" s="78" customFormat="1" ht="12" customHeight="1">
      <c r="A562" s="76"/>
      <c r="B562" s="76"/>
      <c r="C562" s="76"/>
      <c r="D562" s="76"/>
      <c r="E562" s="76"/>
      <c r="F562" s="77"/>
      <c r="G562" s="76"/>
      <c r="H562" s="76"/>
      <c r="I562" s="76"/>
      <c r="J562" s="76"/>
      <c r="K562" s="76"/>
      <c r="L562" s="76"/>
      <c r="M562" s="76"/>
      <c r="N562" s="76"/>
      <c r="O562" s="76"/>
      <c r="P562" s="76"/>
      <c r="Q562" s="76"/>
      <c r="R562" s="76"/>
      <c r="S562" s="76"/>
      <c r="T562" s="76"/>
      <c r="U562" s="76"/>
      <c r="V562" s="76"/>
      <c r="W562" s="76"/>
      <c r="X562" s="76"/>
      <c r="Y562" s="76"/>
      <c r="Z562" s="76"/>
      <c r="AA562" s="79"/>
      <c r="AB562" s="79"/>
      <c r="AC562" s="79"/>
      <c r="AD562" s="79"/>
      <c r="AE562" s="79"/>
      <c r="AF562" s="79"/>
      <c r="AG562" s="79"/>
      <c r="AH562" s="79"/>
      <c r="AI562" s="79"/>
      <c r="AJ562" s="79"/>
      <c r="AK562" s="79"/>
    </row>
    <row r="563" spans="1:37" s="78" customFormat="1" ht="12" customHeight="1">
      <c r="A563" s="76"/>
      <c r="B563" s="76"/>
      <c r="C563" s="76"/>
      <c r="D563" s="76"/>
      <c r="E563" s="76"/>
      <c r="F563" s="77"/>
      <c r="G563" s="76"/>
      <c r="H563" s="76"/>
      <c r="I563" s="76"/>
      <c r="J563" s="76"/>
      <c r="K563" s="76"/>
      <c r="L563" s="76"/>
      <c r="M563" s="76"/>
      <c r="N563" s="76"/>
      <c r="O563" s="76"/>
      <c r="P563" s="76"/>
      <c r="Q563" s="76"/>
      <c r="R563" s="76"/>
      <c r="S563" s="76"/>
      <c r="T563" s="76"/>
      <c r="U563" s="76"/>
      <c r="V563" s="76"/>
      <c r="W563" s="76"/>
      <c r="X563" s="76"/>
      <c r="Y563" s="76"/>
      <c r="Z563" s="76"/>
      <c r="AA563" s="79"/>
      <c r="AB563" s="79"/>
      <c r="AC563" s="79"/>
      <c r="AD563" s="79"/>
      <c r="AE563" s="79"/>
      <c r="AF563" s="79"/>
      <c r="AG563" s="79"/>
      <c r="AH563" s="79"/>
      <c r="AI563" s="79"/>
      <c r="AJ563" s="79"/>
      <c r="AK563" s="79"/>
    </row>
    <row r="564" spans="1:37" s="78" customFormat="1" ht="12" customHeight="1">
      <c r="A564" s="76"/>
      <c r="B564" s="76"/>
      <c r="C564" s="76"/>
      <c r="D564" s="76"/>
      <c r="E564" s="76"/>
      <c r="F564" s="77"/>
      <c r="G564" s="76"/>
      <c r="H564" s="76"/>
      <c r="I564" s="76"/>
      <c r="J564" s="76"/>
      <c r="K564" s="76"/>
      <c r="L564" s="76"/>
      <c r="M564" s="76"/>
      <c r="N564" s="76"/>
      <c r="O564" s="76"/>
      <c r="P564" s="76"/>
      <c r="Q564" s="76"/>
      <c r="R564" s="76"/>
      <c r="S564" s="76"/>
      <c r="T564" s="76"/>
      <c r="U564" s="76"/>
      <c r="V564" s="76"/>
      <c r="W564" s="76"/>
      <c r="X564" s="76"/>
      <c r="Y564" s="76"/>
      <c r="Z564" s="76"/>
      <c r="AA564" s="79"/>
      <c r="AB564" s="79"/>
      <c r="AC564" s="79"/>
      <c r="AD564" s="79"/>
      <c r="AE564" s="79"/>
      <c r="AF564" s="79"/>
      <c r="AG564" s="79"/>
      <c r="AH564" s="79"/>
      <c r="AI564" s="79"/>
      <c r="AJ564" s="79"/>
      <c r="AK564" s="79"/>
    </row>
    <row r="565" spans="1:37" s="78" customFormat="1" ht="12" customHeight="1">
      <c r="A565" s="76"/>
      <c r="B565" s="76"/>
      <c r="C565" s="76"/>
      <c r="D565" s="76"/>
      <c r="E565" s="76"/>
      <c r="F565" s="77"/>
      <c r="G565" s="76"/>
      <c r="H565" s="76"/>
      <c r="I565" s="76"/>
      <c r="J565" s="76"/>
      <c r="K565" s="76"/>
      <c r="L565" s="76"/>
      <c r="M565" s="76"/>
      <c r="N565" s="76"/>
      <c r="O565" s="76"/>
      <c r="P565" s="76"/>
      <c r="Q565" s="76"/>
      <c r="R565" s="76"/>
      <c r="S565" s="76"/>
      <c r="T565" s="76"/>
      <c r="U565" s="76"/>
      <c r="V565" s="76"/>
      <c r="W565" s="76"/>
      <c r="X565" s="76"/>
      <c r="Y565" s="76"/>
      <c r="Z565" s="76"/>
      <c r="AA565" s="79"/>
      <c r="AB565" s="79"/>
      <c r="AC565" s="79"/>
      <c r="AD565" s="79"/>
      <c r="AE565" s="79"/>
      <c r="AF565" s="79"/>
      <c r="AG565" s="79"/>
      <c r="AH565" s="79"/>
      <c r="AI565" s="79"/>
      <c r="AJ565" s="79"/>
      <c r="AK565" s="79"/>
    </row>
    <row r="566" spans="1:37" s="78" customFormat="1" ht="12" customHeight="1">
      <c r="A566" s="76"/>
      <c r="B566" s="76"/>
      <c r="C566" s="76"/>
      <c r="D566" s="76"/>
      <c r="E566" s="76"/>
      <c r="F566" s="77"/>
      <c r="G566" s="76"/>
      <c r="H566" s="76"/>
      <c r="I566" s="76"/>
      <c r="J566" s="76"/>
      <c r="K566" s="76"/>
      <c r="L566" s="76"/>
      <c r="M566" s="76"/>
      <c r="N566" s="76"/>
      <c r="O566" s="76"/>
      <c r="P566" s="76"/>
      <c r="Q566" s="76"/>
      <c r="R566" s="76"/>
      <c r="S566" s="76"/>
      <c r="T566" s="76"/>
      <c r="U566" s="76"/>
      <c r="V566" s="76"/>
      <c r="W566" s="76"/>
      <c r="X566" s="76"/>
      <c r="Y566" s="76"/>
      <c r="Z566" s="76"/>
      <c r="AA566" s="79"/>
      <c r="AB566" s="79"/>
      <c r="AC566" s="79"/>
      <c r="AD566" s="79"/>
      <c r="AE566" s="79"/>
      <c r="AF566" s="79"/>
      <c r="AG566" s="79"/>
      <c r="AH566" s="79"/>
      <c r="AI566" s="79"/>
      <c r="AJ566" s="79"/>
      <c r="AK566" s="79"/>
    </row>
    <row r="567" spans="1:37" s="78" customFormat="1" ht="12" customHeight="1">
      <c r="A567" s="76"/>
      <c r="B567" s="76"/>
      <c r="C567" s="76"/>
      <c r="D567" s="76"/>
      <c r="E567" s="76"/>
      <c r="F567" s="77"/>
      <c r="G567" s="76"/>
      <c r="H567" s="76"/>
      <c r="I567" s="76"/>
      <c r="J567" s="76"/>
      <c r="K567" s="76"/>
      <c r="L567" s="76"/>
      <c r="M567" s="76"/>
      <c r="N567" s="76"/>
      <c r="O567" s="76"/>
      <c r="P567" s="76"/>
      <c r="Q567" s="76"/>
      <c r="R567" s="76"/>
      <c r="S567" s="76"/>
      <c r="T567" s="76"/>
      <c r="U567" s="76"/>
      <c r="V567" s="76"/>
      <c r="W567" s="76"/>
      <c r="X567" s="76"/>
      <c r="Y567" s="76"/>
      <c r="Z567" s="76"/>
      <c r="AA567" s="79"/>
      <c r="AB567" s="79"/>
      <c r="AC567" s="79"/>
      <c r="AD567" s="79"/>
      <c r="AE567" s="79"/>
      <c r="AF567" s="79"/>
      <c r="AG567" s="79"/>
      <c r="AH567" s="79"/>
      <c r="AI567" s="79"/>
      <c r="AJ567" s="79"/>
      <c r="AK567" s="79"/>
    </row>
    <row r="568" spans="1:37" s="78" customFormat="1" ht="12" customHeight="1">
      <c r="A568" s="76"/>
      <c r="B568" s="76"/>
      <c r="C568" s="76"/>
      <c r="D568" s="76"/>
      <c r="E568" s="76"/>
      <c r="F568" s="77"/>
      <c r="G568" s="76"/>
      <c r="H568" s="76"/>
      <c r="I568" s="76"/>
      <c r="J568" s="76"/>
      <c r="K568" s="76"/>
      <c r="L568" s="76"/>
      <c r="M568" s="76"/>
      <c r="N568" s="76"/>
      <c r="O568" s="76"/>
      <c r="P568" s="76"/>
      <c r="Q568" s="76"/>
      <c r="R568" s="76"/>
      <c r="S568" s="76"/>
      <c r="T568" s="76"/>
      <c r="U568" s="76"/>
      <c r="V568" s="76"/>
      <c r="W568" s="76"/>
      <c r="X568" s="76"/>
      <c r="Y568" s="76"/>
      <c r="Z568" s="76"/>
      <c r="AA568" s="79"/>
      <c r="AB568" s="79"/>
      <c r="AC568" s="79"/>
      <c r="AD568" s="79"/>
      <c r="AE568" s="79"/>
      <c r="AF568" s="79"/>
      <c r="AG568" s="79"/>
      <c r="AH568" s="79"/>
      <c r="AI568" s="79"/>
      <c r="AJ568" s="79"/>
      <c r="AK568" s="79"/>
    </row>
    <row r="569" spans="1:37" s="78" customFormat="1" ht="12" customHeight="1">
      <c r="A569" s="76"/>
      <c r="B569" s="76"/>
      <c r="C569" s="76"/>
      <c r="D569" s="76"/>
      <c r="E569" s="76"/>
      <c r="F569" s="77"/>
      <c r="G569" s="76"/>
      <c r="H569" s="76"/>
      <c r="I569" s="76"/>
      <c r="J569" s="76"/>
      <c r="K569" s="76"/>
      <c r="L569" s="76"/>
      <c r="M569" s="76"/>
      <c r="N569" s="76"/>
      <c r="O569" s="76"/>
      <c r="P569" s="76"/>
      <c r="Q569" s="76"/>
      <c r="R569" s="76"/>
      <c r="S569" s="76"/>
      <c r="T569" s="76"/>
      <c r="U569" s="76"/>
      <c r="V569" s="76"/>
      <c r="W569" s="76"/>
      <c r="X569" s="76"/>
      <c r="Y569" s="76"/>
      <c r="Z569" s="76"/>
      <c r="AA569" s="79"/>
      <c r="AB569" s="79"/>
      <c r="AC569" s="79"/>
      <c r="AD569" s="79"/>
      <c r="AE569" s="79"/>
      <c r="AF569" s="79"/>
      <c r="AG569" s="79"/>
      <c r="AH569" s="79"/>
      <c r="AI569" s="79"/>
      <c r="AJ569" s="79"/>
      <c r="AK569" s="79"/>
    </row>
    <row r="570" spans="1:37" s="78" customFormat="1" ht="12" customHeight="1">
      <c r="A570" s="76"/>
      <c r="B570" s="76"/>
      <c r="C570" s="76"/>
      <c r="D570" s="76"/>
      <c r="E570" s="76"/>
      <c r="F570" s="77"/>
      <c r="G570" s="76"/>
      <c r="H570" s="76"/>
      <c r="I570" s="76"/>
      <c r="J570" s="76"/>
      <c r="K570" s="76"/>
      <c r="L570" s="76"/>
      <c r="M570" s="76"/>
      <c r="N570" s="76"/>
      <c r="O570" s="76"/>
      <c r="P570" s="76"/>
      <c r="Q570" s="76"/>
      <c r="R570" s="76"/>
      <c r="S570" s="76"/>
      <c r="T570" s="76"/>
      <c r="U570" s="76"/>
      <c r="V570" s="76"/>
      <c r="W570" s="76"/>
      <c r="X570" s="76"/>
      <c r="Y570" s="76"/>
      <c r="Z570" s="76"/>
      <c r="AA570" s="79"/>
      <c r="AB570" s="79"/>
      <c r="AC570" s="79"/>
      <c r="AD570" s="79"/>
      <c r="AE570" s="79"/>
      <c r="AF570" s="79"/>
      <c r="AG570" s="79"/>
      <c r="AH570" s="79"/>
      <c r="AI570" s="79"/>
      <c r="AJ570" s="79"/>
      <c r="AK570" s="79"/>
    </row>
    <row r="571" spans="1:37" s="78" customFormat="1" ht="12" customHeight="1">
      <c r="A571" s="76"/>
      <c r="B571" s="76"/>
      <c r="C571" s="76"/>
      <c r="D571" s="76"/>
      <c r="E571" s="76"/>
      <c r="F571" s="77"/>
      <c r="G571" s="76"/>
      <c r="H571" s="76"/>
      <c r="I571" s="76"/>
      <c r="J571" s="76"/>
      <c r="K571" s="76"/>
      <c r="L571" s="76"/>
      <c r="M571" s="76"/>
      <c r="N571" s="76"/>
      <c r="O571" s="76"/>
      <c r="P571" s="76"/>
      <c r="Q571" s="76"/>
      <c r="R571" s="76"/>
      <c r="S571" s="76"/>
      <c r="T571" s="76"/>
      <c r="U571" s="76"/>
      <c r="V571" s="76"/>
      <c r="W571" s="76"/>
      <c r="X571" s="76"/>
      <c r="Y571" s="76"/>
      <c r="Z571" s="76"/>
      <c r="AA571" s="79"/>
      <c r="AB571" s="79"/>
      <c r="AC571" s="79"/>
      <c r="AD571" s="79"/>
      <c r="AE571" s="79"/>
      <c r="AF571" s="79"/>
      <c r="AG571" s="79"/>
      <c r="AH571" s="79"/>
      <c r="AI571" s="79"/>
      <c r="AJ571" s="79"/>
      <c r="AK571" s="79"/>
    </row>
    <row r="572" spans="1:37" s="78" customFormat="1" ht="12" customHeight="1">
      <c r="A572" s="76"/>
      <c r="B572" s="76"/>
      <c r="C572" s="76"/>
      <c r="D572" s="76"/>
      <c r="E572" s="76"/>
      <c r="F572" s="77"/>
      <c r="G572" s="76"/>
      <c r="H572" s="76"/>
      <c r="I572" s="76"/>
      <c r="J572" s="76"/>
      <c r="K572" s="76"/>
      <c r="L572" s="76"/>
      <c r="M572" s="76"/>
      <c r="N572" s="76"/>
      <c r="O572" s="76"/>
      <c r="P572" s="76"/>
      <c r="Q572" s="76"/>
      <c r="R572" s="76"/>
      <c r="S572" s="76"/>
      <c r="T572" s="76"/>
      <c r="U572" s="76"/>
      <c r="V572" s="76"/>
      <c r="W572" s="76"/>
      <c r="X572" s="76"/>
      <c r="Y572" s="76"/>
      <c r="Z572" s="76"/>
      <c r="AA572" s="79"/>
      <c r="AB572" s="79"/>
      <c r="AC572" s="79"/>
      <c r="AD572" s="79"/>
      <c r="AE572" s="79"/>
      <c r="AF572" s="79"/>
      <c r="AG572" s="79"/>
      <c r="AH572" s="79"/>
      <c r="AI572" s="79"/>
      <c r="AJ572" s="79"/>
      <c r="AK572" s="79"/>
    </row>
    <row r="573" spans="1:37" s="78" customFormat="1" ht="12" customHeight="1">
      <c r="A573" s="76"/>
      <c r="B573" s="76"/>
      <c r="C573" s="76"/>
      <c r="D573" s="76"/>
      <c r="E573" s="76"/>
      <c r="F573" s="77"/>
      <c r="G573" s="76"/>
      <c r="H573" s="76"/>
      <c r="I573" s="76"/>
      <c r="J573" s="76"/>
      <c r="K573" s="76"/>
      <c r="L573" s="76"/>
      <c r="M573" s="76"/>
      <c r="N573" s="76"/>
      <c r="O573" s="76"/>
      <c r="P573" s="76"/>
      <c r="Q573" s="76"/>
      <c r="R573" s="76"/>
      <c r="S573" s="76"/>
      <c r="T573" s="76"/>
      <c r="U573" s="76"/>
      <c r="V573" s="76"/>
      <c r="W573" s="76"/>
      <c r="X573" s="76"/>
      <c r="Y573" s="76"/>
      <c r="Z573" s="76"/>
      <c r="AA573" s="79"/>
      <c r="AB573" s="79"/>
      <c r="AC573" s="79"/>
      <c r="AD573" s="79"/>
      <c r="AE573" s="79"/>
      <c r="AF573" s="79"/>
      <c r="AG573" s="79"/>
      <c r="AH573" s="79"/>
      <c r="AI573" s="79"/>
      <c r="AJ573" s="79"/>
      <c r="AK573" s="79"/>
    </row>
    <row r="574" spans="1:37" s="78" customFormat="1" ht="12" customHeight="1">
      <c r="A574" s="76"/>
      <c r="B574" s="76"/>
      <c r="C574" s="76"/>
      <c r="D574" s="76"/>
      <c r="E574" s="76"/>
      <c r="F574" s="77"/>
      <c r="G574" s="76"/>
      <c r="H574" s="76"/>
      <c r="I574" s="76"/>
      <c r="J574" s="76"/>
      <c r="K574" s="76"/>
      <c r="L574" s="76"/>
      <c r="M574" s="76"/>
      <c r="N574" s="76"/>
      <c r="O574" s="76"/>
      <c r="P574" s="76"/>
      <c r="Q574" s="76"/>
      <c r="R574" s="76"/>
      <c r="S574" s="76"/>
      <c r="T574" s="76"/>
      <c r="U574" s="76"/>
      <c r="V574" s="76"/>
      <c r="W574" s="76"/>
      <c r="X574" s="76"/>
      <c r="Y574" s="76"/>
      <c r="Z574" s="76"/>
      <c r="AA574" s="79"/>
      <c r="AB574" s="79"/>
      <c r="AC574" s="79"/>
      <c r="AD574" s="79"/>
      <c r="AE574" s="79"/>
      <c r="AF574" s="79"/>
      <c r="AG574" s="79"/>
      <c r="AH574" s="79"/>
      <c r="AI574" s="79"/>
      <c r="AJ574" s="79"/>
      <c r="AK574" s="79"/>
    </row>
    <row r="575" spans="1:37" s="78" customFormat="1" ht="12" customHeight="1">
      <c r="A575" s="76"/>
      <c r="B575" s="76"/>
      <c r="C575" s="76"/>
      <c r="D575" s="76"/>
      <c r="E575" s="76"/>
      <c r="F575" s="77"/>
      <c r="G575" s="76"/>
      <c r="H575" s="76"/>
      <c r="I575" s="76"/>
      <c r="J575" s="76"/>
      <c r="K575" s="76"/>
      <c r="L575" s="76"/>
      <c r="M575" s="76"/>
      <c r="N575" s="76"/>
      <c r="O575" s="76"/>
      <c r="P575" s="76"/>
      <c r="Q575" s="76"/>
      <c r="R575" s="76"/>
      <c r="S575" s="76"/>
      <c r="T575" s="76"/>
      <c r="U575" s="76"/>
      <c r="V575" s="76"/>
      <c r="W575" s="76"/>
      <c r="X575" s="76"/>
      <c r="Y575" s="76"/>
      <c r="Z575" s="76"/>
      <c r="AA575" s="79"/>
      <c r="AB575" s="79"/>
      <c r="AC575" s="79"/>
      <c r="AD575" s="79"/>
      <c r="AE575" s="79"/>
      <c r="AF575" s="79"/>
      <c r="AG575" s="79"/>
      <c r="AH575" s="79"/>
      <c r="AI575" s="79"/>
      <c r="AJ575" s="79"/>
      <c r="AK575" s="79"/>
    </row>
    <row r="576" spans="1:37" s="78" customFormat="1" ht="12" customHeight="1">
      <c r="A576" s="76"/>
      <c r="B576" s="76"/>
      <c r="C576" s="76"/>
      <c r="D576" s="76"/>
      <c r="E576" s="76"/>
      <c r="F576" s="77"/>
      <c r="G576" s="76"/>
      <c r="H576" s="76"/>
      <c r="I576" s="76"/>
      <c r="J576" s="76"/>
      <c r="K576" s="76"/>
      <c r="L576" s="76"/>
      <c r="M576" s="76"/>
      <c r="N576" s="76"/>
      <c r="O576" s="76"/>
      <c r="P576" s="76"/>
      <c r="Q576" s="76"/>
      <c r="R576" s="76"/>
      <c r="S576" s="76"/>
      <c r="T576" s="76"/>
      <c r="U576" s="76"/>
      <c r="V576" s="76"/>
      <c r="W576" s="76"/>
      <c r="X576" s="76"/>
      <c r="Y576" s="76"/>
      <c r="Z576" s="76"/>
      <c r="AA576" s="79"/>
      <c r="AB576" s="79"/>
      <c r="AC576" s="79"/>
      <c r="AD576" s="79"/>
      <c r="AE576" s="79"/>
      <c r="AF576" s="79"/>
      <c r="AG576" s="79"/>
      <c r="AH576" s="79"/>
      <c r="AI576" s="79"/>
      <c r="AJ576" s="79"/>
      <c r="AK576" s="79"/>
    </row>
    <row r="577" spans="1:37" s="78" customFormat="1" ht="12" customHeight="1">
      <c r="A577" s="76"/>
      <c r="B577" s="76"/>
      <c r="C577" s="76"/>
      <c r="D577" s="76"/>
      <c r="E577" s="76"/>
      <c r="F577" s="77"/>
      <c r="G577" s="76"/>
      <c r="H577" s="76"/>
      <c r="I577" s="76"/>
      <c r="J577" s="76"/>
      <c r="K577" s="76"/>
      <c r="L577" s="76"/>
      <c r="M577" s="76"/>
      <c r="N577" s="76"/>
      <c r="O577" s="76"/>
      <c r="P577" s="76"/>
      <c r="Q577" s="76"/>
      <c r="R577" s="76"/>
      <c r="S577" s="76"/>
      <c r="T577" s="76"/>
      <c r="U577" s="76"/>
      <c r="V577" s="76"/>
      <c r="W577" s="76"/>
      <c r="X577" s="76"/>
      <c r="Y577" s="76"/>
      <c r="Z577" s="76"/>
      <c r="AA577" s="79"/>
      <c r="AB577" s="79"/>
      <c r="AC577" s="79"/>
      <c r="AD577" s="79"/>
      <c r="AE577" s="79"/>
      <c r="AF577" s="79"/>
      <c r="AG577" s="79"/>
      <c r="AH577" s="79"/>
      <c r="AI577" s="79"/>
      <c r="AJ577" s="79"/>
      <c r="AK577" s="79"/>
    </row>
    <row r="578" spans="1:37" s="78" customFormat="1" ht="12" customHeight="1">
      <c r="A578" s="76"/>
      <c r="B578" s="76"/>
      <c r="C578" s="76"/>
      <c r="D578" s="76"/>
      <c r="E578" s="76"/>
      <c r="F578" s="77"/>
      <c r="G578" s="76"/>
      <c r="H578" s="76"/>
      <c r="I578" s="76"/>
      <c r="J578" s="76"/>
      <c r="K578" s="76"/>
      <c r="L578" s="76"/>
      <c r="M578" s="76"/>
      <c r="N578" s="76"/>
      <c r="O578" s="76"/>
      <c r="P578" s="76"/>
      <c r="Q578" s="76"/>
      <c r="R578" s="76"/>
      <c r="S578" s="76"/>
      <c r="T578" s="76"/>
      <c r="U578" s="76"/>
      <c r="V578" s="76"/>
      <c r="W578" s="76"/>
      <c r="X578" s="76"/>
      <c r="Y578" s="76"/>
      <c r="Z578" s="76"/>
      <c r="AA578" s="79"/>
      <c r="AB578" s="79"/>
      <c r="AC578" s="79"/>
      <c r="AD578" s="79"/>
      <c r="AE578" s="79"/>
      <c r="AF578" s="79"/>
      <c r="AG578" s="79"/>
      <c r="AH578" s="79"/>
      <c r="AI578" s="79"/>
      <c r="AJ578" s="79"/>
      <c r="AK578" s="79"/>
    </row>
    <row r="579" spans="1:37" s="78" customFormat="1" ht="12" customHeight="1">
      <c r="A579" s="76"/>
      <c r="B579" s="76"/>
      <c r="C579" s="76"/>
      <c r="D579" s="76"/>
      <c r="E579" s="76"/>
      <c r="F579" s="77"/>
      <c r="G579" s="76"/>
      <c r="H579" s="76"/>
      <c r="I579" s="76"/>
      <c r="J579" s="76"/>
      <c r="K579" s="76"/>
      <c r="L579" s="76"/>
      <c r="M579" s="76"/>
      <c r="N579" s="76"/>
      <c r="O579" s="76"/>
      <c r="P579" s="76"/>
      <c r="Q579" s="76"/>
      <c r="R579" s="76"/>
      <c r="S579" s="76"/>
      <c r="T579" s="76"/>
      <c r="U579" s="76"/>
      <c r="V579" s="76"/>
      <c r="W579" s="76"/>
      <c r="X579" s="76"/>
      <c r="Y579" s="76"/>
      <c r="Z579" s="76"/>
      <c r="AA579" s="79"/>
      <c r="AB579" s="79"/>
      <c r="AC579" s="79"/>
      <c r="AD579" s="79"/>
      <c r="AE579" s="79"/>
      <c r="AF579" s="79"/>
      <c r="AG579" s="79"/>
      <c r="AH579" s="79"/>
      <c r="AI579" s="79"/>
      <c r="AJ579" s="79"/>
      <c r="AK579" s="79"/>
    </row>
    <row r="580" spans="1:37" s="78" customFormat="1" ht="12" customHeight="1">
      <c r="A580" s="76"/>
      <c r="B580" s="76"/>
      <c r="C580" s="76"/>
      <c r="D580" s="76"/>
      <c r="E580" s="76"/>
      <c r="F580" s="77"/>
      <c r="G580" s="76"/>
      <c r="H580" s="76"/>
      <c r="I580" s="76"/>
      <c r="J580" s="76"/>
      <c r="K580" s="76"/>
      <c r="L580" s="76"/>
      <c r="M580" s="76"/>
      <c r="N580" s="76"/>
      <c r="O580" s="76"/>
      <c r="P580" s="76"/>
      <c r="Q580" s="76"/>
      <c r="R580" s="76"/>
      <c r="S580" s="76"/>
      <c r="T580" s="76"/>
      <c r="U580" s="76"/>
      <c r="V580" s="76"/>
      <c r="W580" s="76"/>
      <c r="X580" s="76"/>
      <c r="Y580" s="76"/>
      <c r="Z580" s="76"/>
      <c r="AA580" s="79"/>
      <c r="AB580" s="79"/>
      <c r="AC580" s="79"/>
      <c r="AD580" s="79"/>
      <c r="AE580" s="79"/>
      <c r="AF580" s="79"/>
      <c r="AG580" s="79"/>
      <c r="AH580" s="79"/>
      <c r="AI580" s="79"/>
      <c r="AJ580" s="79"/>
      <c r="AK580" s="79"/>
    </row>
    <row r="581" spans="1:37" s="78" customFormat="1" ht="12" customHeight="1">
      <c r="A581" s="76"/>
      <c r="B581" s="76"/>
      <c r="C581" s="76"/>
      <c r="D581" s="76"/>
      <c r="E581" s="76"/>
      <c r="F581" s="77"/>
      <c r="G581" s="76"/>
      <c r="H581" s="76"/>
      <c r="I581" s="76"/>
      <c r="J581" s="76"/>
      <c r="K581" s="76"/>
      <c r="L581" s="76"/>
      <c r="M581" s="76"/>
      <c r="N581" s="76"/>
      <c r="O581" s="76"/>
      <c r="P581" s="76"/>
      <c r="Q581" s="76"/>
      <c r="R581" s="76"/>
      <c r="S581" s="76"/>
      <c r="T581" s="76"/>
      <c r="U581" s="76"/>
      <c r="V581" s="76"/>
      <c r="W581" s="76"/>
      <c r="X581" s="76"/>
      <c r="Y581" s="76"/>
      <c r="Z581" s="76"/>
      <c r="AA581" s="79"/>
      <c r="AB581" s="79"/>
      <c r="AC581" s="79"/>
      <c r="AD581" s="79"/>
      <c r="AE581" s="79"/>
      <c r="AF581" s="79"/>
      <c r="AG581" s="79"/>
      <c r="AH581" s="79"/>
      <c r="AI581" s="79"/>
      <c r="AJ581" s="79"/>
      <c r="AK581" s="79"/>
    </row>
    <row r="582" spans="1:37" s="78" customFormat="1" ht="12" customHeight="1">
      <c r="A582" s="76"/>
      <c r="B582" s="76"/>
      <c r="C582" s="76"/>
      <c r="D582" s="76"/>
      <c r="E582" s="76"/>
      <c r="F582" s="77"/>
      <c r="G582" s="76"/>
      <c r="H582" s="76"/>
      <c r="I582" s="76"/>
      <c r="J582" s="76"/>
      <c r="K582" s="76"/>
      <c r="L582" s="76"/>
      <c r="M582" s="76"/>
      <c r="N582" s="76"/>
      <c r="O582" s="76"/>
      <c r="P582" s="76"/>
      <c r="Q582" s="76"/>
      <c r="R582" s="76"/>
      <c r="S582" s="76"/>
      <c r="T582" s="76"/>
      <c r="U582" s="76"/>
      <c r="V582" s="76"/>
      <c r="W582" s="76"/>
      <c r="X582" s="76"/>
      <c r="Y582" s="76"/>
      <c r="Z582" s="76"/>
      <c r="AA582" s="79"/>
      <c r="AB582" s="79"/>
      <c r="AC582" s="79"/>
      <c r="AD582" s="79"/>
      <c r="AE582" s="79"/>
      <c r="AF582" s="79"/>
      <c r="AG582" s="79"/>
      <c r="AH582" s="79"/>
      <c r="AI582" s="79"/>
      <c r="AJ582" s="79"/>
      <c r="AK582" s="79"/>
    </row>
    <row r="583" spans="1:37" s="78" customFormat="1" ht="12" customHeight="1">
      <c r="A583" s="76"/>
      <c r="B583" s="76"/>
      <c r="C583" s="76"/>
      <c r="D583" s="76"/>
      <c r="E583" s="76"/>
      <c r="F583" s="77"/>
      <c r="G583" s="76"/>
      <c r="H583" s="76"/>
      <c r="I583" s="76"/>
      <c r="J583" s="76"/>
      <c r="K583" s="76"/>
      <c r="L583" s="76"/>
      <c r="M583" s="76"/>
      <c r="N583" s="76"/>
      <c r="O583" s="76"/>
      <c r="P583" s="76"/>
      <c r="Q583" s="76"/>
      <c r="R583" s="76"/>
      <c r="S583" s="76"/>
      <c r="T583" s="76"/>
      <c r="U583" s="76"/>
      <c r="V583" s="76"/>
      <c r="W583" s="76"/>
      <c r="X583" s="76"/>
      <c r="Y583" s="76"/>
      <c r="Z583" s="76"/>
      <c r="AA583" s="79"/>
      <c r="AB583" s="79"/>
      <c r="AC583" s="79"/>
      <c r="AD583" s="79"/>
      <c r="AE583" s="79"/>
      <c r="AF583" s="79"/>
      <c r="AG583" s="79"/>
      <c r="AH583" s="79"/>
      <c r="AI583" s="79"/>
      <c r="AJ583" s="79"/>
      <c r="AK583" s="79"/>
    </row>
    <row r="584" spans="1:37" s="78" customFormat="1" ht="12" customHeight="1">
      <c r="A584" s="76"/>
      <c r="B584" s="76"/>
      <c r="C584" s="76"/>
      <c r="D584" s="76"/>
      <c r="E584" s="76"/>
      <c r="F584" s="77"/>
      <c r="G584" s="76"/>
      <c r="H584" s="76"/>
      <c r="I584" s="76"/>
      <c r="J584" s="76"/>
      <c r="K584" s="76"/>
      <c r="L584" s="76"/>
      <c r="M584" s="76"/>
      <c r="N584" s="76"/>
      <c r="O584" s="76"/>
      <c r="P584" s="76"/>
      <c r="Q584" s="76"/>
      <c r="R584" s="76"/>
      <c r="S584" s="76"/>
      <c r="T584" s="76"/>
      <c r="U584" s="76"/>
      <c r="V584" s="76"/>
      <c r="W584" s="76"/>
      <c r="X584" s="76"/>
      <c r="Y584" s="76"/>
      <c r="Z584" s="76"/>
      <c r="AA584" s="79"/>
      <c r="AB584" s="79"/>
      <c r="AC584" s="79"/>
      <c r="AD584" s="79"/>
      <c r="AE584" s="79"/>
      <c r="AF584" s="79"/>
      <c r="AG584" s="79"/>
      <c r="AH584" s="79"/>
      <c r="AI584" s="79"/>
      <c r="AJ584" s="79"/>
      <c r="AK584" s="79"/>
    </row>
    <row r="585" spans="1:37" s="78" customFormat="1" ht="12" customHeight="1">
      <c r="A585" s="76"/>
      <c r="B585" s="76"/>
      <c r="C585" s="76"/>
      <c r="D585" s="76"/>
      <c r="E585" s="76"/>
      <c r="F585" s="77"/>
      <c r="G585" s="76"/>
      <c r="H585" s="76"/>
      <c r="I585" s="76"/>
      <c r="J585" s="76"/>
      <c r="K585" s="76"/>
      <c r="L585" s="76"/>
      <c r="M585" s="76"/>
      <c r="N585" s="76"/>
      <c r="O585" s="76"/>
      <c r="P585" s="76"/>
      <c r="Q585" s="76"/>
      <c r="R585" s="76"/>
      <c r="S585" s="76"/>
      <c r="T585" s="76"/>
      <c r="U585" s="76"/>
      <c r="V585" s="76"/>
      <c r="W585" s="76"/>
      <c r="X585" s="76"/>
      <c r="Y585" s="76"/>
      <c r="Z585" s="76"/>
      <c r="AA585" s="79"/>
      <c r="AB585" s="79"/>
      <c r="AC585" s="79"/>
      <c r="AD585" s="79"/>
      <c r="AE585" s="79"/>
      <c r="AF585" s="79"/>
      <c r="AG585" s="79"/>
      <c r="AH585" s="79"/>
      <c r="AI585" s="79"/>
      <c r="AJ585" s="79"/>
      <c r="AK585" s="79"/>
    </row>
    <row r="586" spans="1:37" s="78" customFormat="1" ht="12" customHeight="1">
      <c r="A586" s="76"/>
      <c r="B586" s="76"/>
      <c r="C586" s="76"/>
      <c r="D586" s="76"/>
      <c r="E586" s="76"/>
      <c r="F586" s="77"/>
      <c r="G586" s="76"/>
      <c r="H586" s="76"/>
      <c r="I586" s="76"/>
      <c r="J586" s="76"/>
      <c r="K586" s="76"/>
      <c r="L586" s="76"/>
      <c r="M586" s="76"/>
      <c r="N586" s="76"/>
      <c r="O586" s="76"/>
      <c r="P586" s="76"/>
      <c r="Q586" s="76"/>
      <c r="R586" s="76"/>
      <c r="S586" s="76"/>
      <c r="T586" s="76"/>
      <c r="U586" s="76"/>
      <c r="V586" s="76"/>
      <c r="W586" s="76"/>
      <c r="X586" s="76"/>
      <c r="Y586" s="76"/>
      <c r="Z586" s="76"/>
      <c r="AA586" s="79"/>
      <c r="AB586" s="79"/>
      <c r="AC586" s="79"/>
      <c r="AD586" s="79"/>
      <c r="AE586" s="79"/>
      <c r="AF586" s="79"/>
      <c r="AG586" s="79"/>
      <c r="AH586" s="79"/>
      <c r="AI586" s="79"/>
      <c r="AJ586" s="79"/>
      <c r="AK586" s="79"/>
    </row>
    <row r="587" spans="1:37" s="78" customFormat="1" ht="12" customHeight="1">
      <c r="A587" s="76"/>
      <c r="B587" s="76"/>
      <c r="C587" s="76"/>
      <c r="D587" s="76"/>
      <c r="E587" s="76"/>
      <c r="F587" s="77"/>
      <c r="G587" s="76"/>
      <c r="H587" s="76"/>
      <c r="I587" s="76"/>
      <c r="J587" s="76"/>
      <c r="K587" s="76"/>
      <c r="L587" s="76"/>
      <c r="M587" s="76"/>
      <c r="N587" s="76"/>
      <c r="O587" s="76"/>
      <c r="P587" s="76"/>
      <c r="Q587" s="76"/>
      <c r="R587" s="76"/>
      <c r="S587" s="76"/>
      <c r="T587" s="76"/>
      <c r="U587" s="76"/>
      <c r="V587" s="76"/>
      <c r="W587" s="76"/>
      <c r="X587" s="76"/>
      <c r="Y587" s="76"/>
      <c r="Z587" s="76"/>
      <c r="AA587" s="79"/>
      <c r="AB587" s="79"/>
      <c r="AC587" s="79"/>
      <c r="AD587" s="79"/>
      <c r="AE587" s="79"/>
      <c r="AF587" s="79"/>
      <c r="AG587" s="79"/>
      <c r="AH587" s="79"/>
      <c r="AI587" s="79"/>
      <c r="AJ587" s="79"/>
      <c r="AK587" s="79"/>
    </row>
    <row r="588" spans="1:37" s="78" customFormat="1" ht="12" customHeight="1">
      <c r="A588" s="76"/>
      <c r="B588" s="76"/>
      <c r="C588" s="76"/>
      <c r="D588" s="76"/>
      <c r="E588" s="76"/>
      <c r="F588" s="77"/>
      <c r="G588" s="76"/>
      <c r="H588" s="76"/>
      <c r="I588" s="76"/>
      <c r="J588" s="76"/>
      <c r="K588" s="76"/>
      <c r="L588" s="76"/>
      <c r="M588" s="76"/>
      <c r="N588" s="76"/>
      <c r="O588" s="76"/>
      <c r="P588" s="76"/>
      <c r="Q588" s="76"/>
      <c r="R588" s="76"/>
      <c r="S588" s="76"/>
      <c r="T588" s="76"/>
      <c r="U588" s="76"/>
      <c r="V588" s="76"/>
      <c r="W588" s="76"/>
      <c r="X588" s="76"/>
      <c r="Y588" s="76"/>
      <c r="Z588" s="76"/>
      <c r="AA588" s="79"/>
      <c r="AB588" s="79"/>
      <c r="AC588" s="79"/>
      <c r="AD588" s="79"/>
      <c r="AE588" s="79"/>
      <c r="AF588" s="79"/>
      <c r="AG588" s="79"/>
      <c r="AH588" s="79"/>
      <c r="AI588" s="79"/>
      <c r="AJ588" s="79"/>
      <c r="AK588" s="79"/>
    </row>
    <row r="589" spans="1:37" s="78" customFormat="1" ht="12" customHeight="1">
      <c r="A589" s="76"/>
      <c r="B589" s="76"/>
      <c r="C589" s="76"/>
      <c r="D589" s="76"/>
      <c r="E589" s="76"/>
      <c r="F589" s="77"/>
      <c r="G589" s="76"/>
      <c r="H589" s="76"/>
      <c r="I589" s="76"/>
      <c r="J589" s="76"/>
      <c r="K589" s="76"/>
      <c r="L589" s="76"/>
      <c r="M589" s="76"/>
      <c r="N589" s="76"/>
      <c r="O589" s="76"/>
      <c r="P589" s="76"/>
      <c r="Q589" s="76"/>
      <c r="R589" s="76"/>
      <c r="S589" s="76"/>
      <c r="T589" s="76"/>
      <c r="U589" s="76"/>
      <c r="V589" s="76"/>
      <c r="W589" s="76"/>
      <c r="X589" s="76"/>
      <c r="Y589" s="76"/>
      <c r="Z589" s="76"/>
      <c r="AA589" s="79"/>
      <c r="AB589" s="79"/>
      <c r="AC589" s="79"/>
      <c r="AD589" s="79"/>
      <c r="AE589" s="79"/>
      <c r="AF589" s="79"/>
      <c r="AG589" s="79"/>
      <c r="AH589" s="79"/>
      <c r="AI589" s="79"/>
      <c r="AJ589" s="79"/>
      <c r="AK589" s="79"/>
    </row>
    <row r="590" spans="1:37" s="78" customFormat="1" ht="12" customHeight="1">
      <c r="A590" s="76"/>
      <c r="B590" s="76"/>
      <c r="C590" s="76"/>
      <c r="D590" s="76"/>
      <c r="E590" s="76"/>
      <c r="F590" s="77"/>
      <c r="G590" s="76"/>
      <c r="H590" s="76"/>
      <c r="I590" s="76"/>
      <c r="J590" s="76"/>
      <c r="K590" s="76"/>
      <c r="L590" s="76"/>
      <c r="M590" s="76"/>
      <c r="N590" s="76"/>
      <c r="O590" s="76"/>
      <c r="P590" s="76"/>
      <c r="Q590" s="76"/>
      <c r="R590" s="76"/>
      <c r="S590" s="76"/>
      <c r="T590" s="76"/>
      <c r="U590" s="76"/>
      <c r="V590" s="76"/>
      <c r="W590" s="76"/>
      <c r="X590" s="76"/>
      <c r="Y590" s="76"/>
      <c r="Z590" s="76"/>
      <c r="AA590" s="79"/>
      <c r="AB590" s="79"/>
      <c r="AC590" s="79"/>
      <c r="AD590" s="79"/>
      <c r="AE590" s="79"/>
      <c r="AF590" s="79"/>
      <c r="AG590" s="79"/>
      <c r="AH590" s="79"/>
      <c r="AI590" s="79"/>
      <c r="AJ590" s="79"/>
      <c r="AK590" s="79"/>
    </row>
    <row r="591" spans="1:37" s="78" customFormat="1" ht="12" customHeight="1">
      <c r="A591" s="76"/>
      <c r="B591" s="76"/>
      <c r="C591" s="76"/>
      <c r="D591" s="76"/>
      <c r="E591" s="76"/>
      <c r="F591" s="77"/>
      <c r="G591" s="76"/>
      <c r="H591" s="76"/>
      <c r="I591" s="76"/>
      <c r="J591" s="76"/>
      <c r="K591" s="76"/>
      <c r="L591" s="76"/>
      <c r="M591" s="76"/>
      <c r="N591" s="76"/>
      <c r="O591" s="76"/>
      <c r="P591" s="76"/>
      <c r="Q591" s="76"/>
      <c r="R591" s="76"/>
      <c r="S591" s="76"/>
      <c r="T591" s="76"/>
      <c r="U591" s="76"/>
      <c r="V591" s="76"/>
      <c r="W591" s="76"/>
      <c r="X591" s="76"/>
      <c r="Y591" s="76"/>
      <c r="Z591" s="76"/>
      <c r="AA591" s="79"/>
      <c r="AB591" s="79"/>
      <c r="AC591" s="79"/>
      <c r="AD591" s="79"/>
      <c r="AE591" s="79"/>
      <c r="AF591" s="79"/>
      <c r="AG591" s="79"/>
      <c r="AH591" s="79"/>
      <c r="AI591" s="79"/>
      <c r="AJ591" s="79"/>
      <c r="AK591" s="79"/>
    </row>
    <row r="592" spans="1:37" s="78" customFormat="1" ht="12" customHeight="1">
      <c r="A592" s="76"/>
      <c r="B592" s="76"/>
      <c r="C592" s="76"/>
      <c r="D592" s="76"/>
      <c r="E592" s="76"/>
      <c r="F592" s="77"/>
      <c r="G592" s="76"/>
      <c r="H592" s="76"/>
      <c r="I592" s="76"/>
      <c r="J592" s="76"/>
      <c r="K592" s="76"/>
      <c r="L592" s="76"/>
      <c r="M592" s="76"/>
      <c r="N592" s="76"/>
      <c r="O592" s="76"/>
      <c r="P592" s="76"/>
      <c r="Q592" s="76"/>
      <c r="R592" s="76"/>
      <c r="S592" s="76"/>
      <c r="T592" s="76"/>
      <c r="U592" s="76"/>
      <c r="V592" s="76"/>
      <c r="W592" s="76"/>
      <c r="X592" s="76"/>
      <c r="Y592" s="76"/>
      <c r="Z592" s="76"/>
      <c r="AA592" s="79"/>
      <c r="AB592" s="79"/>
      <c r="AC592" s="79"/>
      <c r="AD592" s="79"/>
      <c r="AE592" s="79"/>
      <c r="AF592" s="79"/>
      <c r="AG592" s="79"/>
      <c r="AH592" s="79"/>
      <c r="AI592" s="79"/>
      <c r="AJ592" s="79"/>
      <c r="AK592" s="79"/>
    </row>
    <row r="593" spans="1:37" s="78" customFormat="1" ht="12" customHeight="1">
      <c r="A593" s="76"/>
      <c r="B593" s="76"/>
      <c r="C593" s="76"/>
      <c r="D593" s="76"/>
      <c r="E593" s="76"/>
      <c r="F593" s="77"/>
      <c r="G593" s="76"/>
      <c r="H593" s="76"/>
      <c r="I593" s="76"/>
      <c r="J593" s="76"/>
      <c r="K593" s="76"/>
      <c r="L593" s="76"/>
      <c r="M593" s="76"/>
      <c r="N593" s="76"/>
      <c r="O593" s="76"/>
      <c r="P593" s="76"/>
      <c r="Q593" s="76"/>
      <c r="R593" s="76"/>
      <c r="S593" s="76"/>
      <c r="T593" s="76"/>
      <c r="U593" s="76"/>
      <c r="V593" s="76"/>
      <c r="W593" s="76"/>
      <c r="X593" s="76"/>
      <c r="Y593" s="76"/>
      <c r="Z593" s="76"/>
      <c r="AA593" s="79"/>
      <c r="AB593" s="79"/>
      <c r="AC593" s="79"/>
      <c r="AD593" s="79"/>
      <c r="AE593" s="79"/>
      <c r="AF593" s="79"/>
      <c r="AG593" s="79"/>
      <c r="AH593" s="79"/>
      <c r="AI593" s="79"/>
      <c r="AJ593" s="79"/>
      <c r="AK593" s="79"/>
    </row>
    <row r="594" spans="1:37" s="78" customFormat="1" ht="12" customHeight="1">
      <c r="A594" s="76"/>
      <c r="B594" s="76"/>
      <c r="C594" s="76"/>
      <c r="D594" s="76"/>
      <c r="E594" s="76"/>
      <c r="F594" s="77"/>
      <c r="G594" s="76"/>
      <c r="H594" s="76"/>
      <c r="I594" s="76"/>
      <c r="J594" s="76"/>
      <c r="K594" s="76"/>
      <c r="L594" s="76"/>
      <c r="M594" s="76"/>
      <c r="N594" s="76"/>
      <c r="O594" s="76"/>
      <c r="P594" s="76"/>
      <c r="Q594" s="76"/>
      <c r="R594" s="76"/>
      <c r="S594" s="76"/>
      <c r="T594" s="76"/>
      <c r="U594" s="76"/>
      <c r="V594" s="76"/>
      <c r="W594" s="76"/>
      <c r="X594" s="76"/>
      <c r="Y594" s="76"/>
      <c r="Z594" s="76"/>
      <c r="AA594" s="79"/>
      <c r="AB594" s="79"/>
      <c r="AC594" s="79"/>
      <c r="AD594" s="79"/>
      <c r="AE594" s="79"/>
      <c r="AF594" s="79"/>
      <c r="AG594" s="79"/>
      <c r="AH594" s="79"/>
      <c r="AI594" s="79"/>
      <c r="AJ594" s="79"/>
      <c r="AK594" s="79"/>
    </row>
    <row r="595" spans="1:37" s="78" customFormat="1" ht="12" customHeight="1">
      <c r="A595" s="76"/>
      <c r="B595" s="76"/>
      <c r="C595" s="76"/>
      <c r="D595" s="76"/>
      <c r="E595" s="76"/>
      <c r="F595" s="77"/>
      <c r="G595" s="76"/>
      <c r="H595" s="76"/>
      <c r="I595" s="76"/>
      <c r="J595" s="76"/>
      <c r="K595" s="76"/>
      <c r="L595" s="76"/>
      <c r="M595" s="76"/>
      <c r="N595" s="76"/>
      <c r="O595" s="76"/>
      <c r="P595" s="76"/>
      <c r="Q595" s="76"/>
      <c r="R595" s="76"/>
      <c r="S595" s="76"/>
      <c r="T595" s="76"/>
      <c r="U595" s="76"/>
      <c r="V595" s="76"/>
      <c r="W595" s="76"/>
      <c r="X595" s="76"/>
      <c r="Y595" s="76"/>
      <c r="Z595" s="76"/>
      <c r="AA595" s="79"/>
      <c r="AB595" s="79"/>
      <c r="AC595" s="79"/>
      <c r="AD595" s="79"/>
      <c r="AE595" s="79"/>
      <c r="AF595" s="79"/>
      <c r="AG595" s="79"/>
      <c r="AH595" s="79"/>
      <c r="AI595" s="79"/>
      <c r="AJ595" s="79"/>
      <c r="AK595" s="79"/>
    </row>
    <row r="596" spans="1:37" s="78" customFormat="1" ht="12" customHeight="1">
      <c r="A596" s="76"/>
      <c r="B596" s="76"/>
      <c r="C596" s="76"/>
      <c r="D596" s="76"/>
      <c r="E596" s="76"/>
      <c r="F596" s="77"/>
      <c r="G596" s="76"/>
      <c r="H596" s="76"/>
      <c r="I596" s="76"/>
      <c r="J596" s="76"/>
      <c r="K596" s="76"/>
      <c r="L596" s="76"/>
      <c r="M596" s="76"/>
      <c r="N596" s="76"/>
      <c r="O596" s="76"/>
      <c r="P596" s="76"/>
      <c r="Q596" s="76"/>
      <c r="R596" s="76"/>
      <c r="S596" s="76"/>
      <c r="T596" s="76"/>
      <c r="U596" s="76"/>
      <c r="V596" s="76"/>
      <c r="W596" s="76"/>
      <c r="X596" s="76"/>
      <c r="Y596" s="76"/>
      <c r="Z596" s="76"/>
      <c r="AA596" s="79"/>
      <c r="AB596" s="79"/>
      <c r="AC596" s="79"/>
      <c r="AD596" s="79"/>
      <c r="AE596" s="79"/>
      <c r="AF596" s="79"/>
      <c r="AG596" s="79"/>
      <c r="AH596" s="79"/>
      <c r="AI596" s="79"/>
      <c r="AJ596" s="79"/>
      <c r="AK596" s="79"/>
    </row>
    <row r="597" spans="1:37" s="78" customFormat="1" ht="12" customHeight="1">
      <c r="A597" s="76"/>
      <c r="B597" s="76"/>
      <c r="C597" s="76"/>
      <c r="D597" s="76"/>
      <c r="E597" s="76"/>
      <c r="F597" s="77"/>
      <c r="G597" s="76"/>
      <c r="H597" s="76"/>
      <c r="I597" s="76"/>
      <c r="J597" s="76"/>
      <c r="K597" s="76"/>
      <c r="L597" s="76"/>
      <c r="M597" s="76"/>
      <c r="N597" s="76"/>
      <c r="O597" s="76"/>
      <c r="P597" s="76"/>
      <c r="Q597" s="76"/>
      <c r="R597" s="76"/>
      <c r="S597" s="76"/>
      <c r="T597" s="76"/>
      <c r="U597" s="76"/>
      <c r="V597" s="76"/>
      <c r="W597" s="76"/>
      <c r="X597" s="76"/>
      <c r="Y597" s="76"/>
      <c r="Z597" s="76"/>
      <c r="AA597" s="79"/>
      <c r="AB597" s="79"/>
      <c r="AC597" s="79"/>
      <c r="AD597" s="79"/>
      <c r="AE597" s="79"/>
      <c r="AF597" s="79"/>
      <c r="AG597" s="79"/>
      <c r="AH597" s="79"/>
      <c r="AI597" s="79"/>
      <c r="AJ597" s="79"/>
      <c r="AK597" s="79"/>
    </row>
    <row r="598" spans="1:37" s="78" customFormat="1" ht="12" customHeight="1">
      <c r="A598" s="76"/>
      <c r="B598" s="76"/>
      <c r="C598" s="76"/>
      <c r="D598" s="76"/>
      <c r="E598" s="76"/>
      <c r="F598" s="77"/>
      <c r="G598" s="76"/>
      <c r="H598" s="76"/>
      <c r="I598" s="76"/>
      <c r="J598" s="76"/>
      <c r="K598" s="76"/>
      <c r="L598" s="76"/>
      <c r="M598" s="76"/>
      <c r="N598" s="76"/>
      <c r="O598" s="76"/>
      <c r="P598" s="76"/>
      <c r="Q598" s="76"/>
      <c r="R598" s="76"/>
      <c r="S598" s="76"/>
      <c r="T598" s="76"/>
      <c r="U598" s="76"/>
      <c r="V598" s="76"/>
      <c r="W598" s="76"/>
      <c r="X598" s="76"/>
      <c r="Y598" s="76"/>
      <c r="Z598" s="76"/>
      <c r="AA598" s="79"/>
      <c r="AB598" s="79"/>
      <c r="AC598" s="79"/>
      <c r="AD598" s="79"/>
      <c r="AE598" s="79"/>
      <c r="AF598" s="79"/>
      <c r="AG598" s="79"/>
      <c r="AH598" s="79"/>
      <c r="AI598" s="79"/>
      <c r="AJ598" s="79"/>
      <c r="AK598" s="79"/>
    </row>
    <row r="599" spans="1:37" s="78" customFormat="1" ht="12" customHeight="1">
      <c r="A599" s="76"/>
      <c r="B599" s="76"/>
      <c r="C599" s="76"/>
      <c r="D599" s="76"/>
      <c r="E599" s="76"/>
      <c r="F599" s="77"/>
      <c r="G599" s="76"/>
      <c r="H599" s="76"/>
      <c r="I599" s="76"/>
      <c r="J599" s="76"/>
      <c r="K599" s="76"/>
      <c r="L599" s="76"/>
      <c r="M599" s="76"/>
      <c r="N599" s="76"/>
      <c r="O599" s="76"/>
      <c r="P599" s="76"/>
      <c r="Q599" s="76"/>
      <c r="R599" s="76"/>
      <c r="S599" s="76"/>
      <c r="T599" s="76"/>
      <c r="U599" s="76"/>
      <c r="V599" s="76"/>
      <c r="W599" s="76"/>
      <c r="X599" s="76"/>
      <c r="Y599" s="76"/>
      <c r="Z599" s="76"/>
      <c r="AA599" s="79"/>
      <c r="AB599" s="79"/>
      <c r="AC599" s="79"/>
      <c r="AD599" s="79"/>
      <c r="AE599" s="79"/>
      <c r="AF599" s="79"/>
      <c r="AG599" s="79"/>
      <c r="AH599" s="79"/>
      <c r="AI599" s="79"/>
      <c r="AJ599" s="79"/>
      <c r="AK599" s="79"/>
    </row>
    <row r="600" spans="1:37" s="78" customFormat="1" ht="12" customHeight="1">
      <c r="A600" s="76"/>
      <c r="B600" s="76"/>
      <c r="C600" s="76"/>
      <c r="D600" s="76"/>
      <c r="E600" s="76"/>
      <c r="F600" s="77"/>
      <c r="G600" s="76"/>
      <c r="H600" s="76"/>
      <c r="I600" s="76"/>
      <c r="J600" s="76"/>
      <c r="K600" s="76"/>
      <c r="L600" s="76"/>
      <c r="M600" s="76"/>
      <c r="N600" s="76"/>
      <c r="O600" s="76"/>
      <c r="P600" s="76"/>
      <c r="Q600" s="76"/>
      <c r="R600" s="76"/>
      <c r="S600" s="76"/>
      <c r="T600" s="76"/>
      <c r="U600" s="76"/>
      <c r="V600" s="76"/>
      <c r="W600" s="76"/>
      <c r="X600" s="76"/>
      <c r="Y600" s="76"/>
      <c r="Z600" s="76"/>
      <c r="AA600" s="79"/>
      <c r="AB600" s="79"/>
      <c r="AC600" s="79"/>
      <c r="AD600" s="79"/>
      <c r="AE600" s="79"/>
      <c r="AF600" s="79"/>
      <c r="AG600" s="79"/>
      <c r="AH600" s="79"/>
      <c r="AI600" s="79"/>
      <c r="AJ600" s="79"/>
      <c r="AK600" s="79"/>
    </row>
    <row r="601" spans="1:37" s="78" customFormat="1" ht="12" customHeight="1">
      <c r="A601" s="76"/>
      <c r="B601" s="76"/>
      <c r="C601" s="76"/>
      <c r="D601" s="76"/>
      <c r="E601" s="76"/>
      <c r="F601" s="77"/>
      <c r="G601" s="76"/>
      <c r="H601" s="76"/>
      <c r="I601" s="76"/>
      <c r="J601" s="76"/>
      <c r="K601" s="76"/>
      <c r="L601" s="76"/>
      <c r="M601" s="76"/>
      <c r="N601" s="76"/>
      <c r="O601" s="76"/>
      <c r="P601" s="76"/>
      <c r="Q601" s="76"/>
      <c r="R601" s="76"/>
      <c r="S601" s="76"/>
      <c r="T601" s="76"/>
      <c r="U601" s="76"/>
      <c r="V601" s="76"/>
      <c r="W601" s="76"/>
      <c r="X601" s="76"/>
      <c r="Y601" s="76"/>
      <c r="Z601" s="76"/>
      <c r="AA601" s="79"/>
      <c r="AB601" s="79"/>
      <c r="AC601" s="79"/>
      <c r="AD601" s="79"/>
      <c r="AE601" s="79"/>
      <c r="AF601" s="79"/>
      <c r="AG601" s="79"/>
      <c r="AH601" s="79"/>
      <c r="AI601" s="79"/>
      <c r="AJ601" s="79"/>
      <c r="AK601" s="79"/>
    </row>
    <row r="602" spans="1:37" s="78" customFormat="1" ht="12" customHeight="1">
      <c r="A602" s="76"/>
      <c r="B602" s="76"/>
      <c r="C602" s="76"/>
      <c r="D602" s="76"/>
      <c r="E602" s="76"/>
      <c r="F602" s="77"/>
      <c r="G602" s="76"/>
      <c r="H602" s="76"/>
      <c r="I602" s="76"/>
      <c r="J602" s="76"/>
      <c r="K602" s="76"/>
      <c r="L602" s="76"/>
      <c r="M602" s="76"/>
      <c r="N602" s="76"/>
      <c r="O602" s="76"/>
      <c r="P602" s="76"/>
      <c r="Q602" s="76"/>
      <c r="R602" s="76"/>
      <c r="S602" s="76"/>
      <c r="T602" s="76"/>
      <c r="U602" s="76"/>
      <c r="V602" s="76"/>
      <c r="W602" s="76"/>
      <c r="X602" s="76"/>
      <c r="Y602" s="76"/>
      <c r="Z602" s="76"/>
      <c r="AA602" s="79"/>
      <c r="AB602" s="79"/>
      <c r="AC602" s="79"/>
      <c r="AD602" s="79"/>
      <c r="AE602" s="79"/>
      <c r="AF602" s="79"/>
      <c r="AG602" s="79"/>
      <c r="AH602" s="79"/>
      <c r="AI602" s="79"/>
      <c r="AJ602" s="79"/>
      <c r="AK602" s="79"/>
    </row>
    <row r="603" spans="1:37" s="78" customFormat="1" ht="12" customHeight="1">
      <c r="A603" s="76"/>
      <c r="B603" s="76"/>
      <c r="C603" s="76"/>
      <c r="D603" s="76"/>
      <c r="E603" s="76"/>
      <c r="F603" s="77"/>
      <c r="G603" s="76"/>
      <c r="H603" s="76"/>
      <c r="I603" s="76"/>
      <c r="J603" s="76"/>
      <c r="K603" s="76"/>
      <c r="L603" s="76"/>
      <c r="M603" s="76"/>
      <c r="N603" s="76"/>
      <c r="O603" s="76"/>
      <c r="P603" s="76"/>
      <c r="Q603" s="76"/>
      <c r="R603" s="76"/>
      <c r="S603" s="76"/>
      <c r="T603" s="76"/>
      <c r="U603" s="76"/>
      <c r="V603" s="76"/>
      <c r="W603" s="76"/>
      <c r="X603" s="76"/>
      <c r="Y603" s="76"/>
      <c r="Z603" s="76"/>
      <c r="AA603" s="79"/>
      <c r="AB603" s="79"/>
      <c r="AC603" s="79"/>
      <c r="AD603" s="79"/>
      <c r="AE603" s="79"/>
      <c r="AF603" s="79"/>
      <c r="AG603" s="79"/>
      <c r="AH603" s="79"/>
      <c r="AI603" s="79"/>
      <c r="AJ603" s="79"/>
      <c r="AK603" s="79"/>
    </row>
    <row r="604" spans="1:37" s="78" customFormat="1" ht="12" customHeight="1">
      <c r="A604" s="76"/>
      <c r="B604" s="76"/>
      <c r="C604" s="76"/>
      <c r="D604" s="76"/>
      <c r="E604" s="76"/>
      <c r="F604" s="77"/>
      <c r="G604" s="76"/>
      <c r="H604" s="76"/>
      <c r="I604" s="76"/>
      <c r="J604" s="76"/>
      <c r="K604" s="76"/>
      <c r="L604" s="76"/>
      <c r="M604" s="76"/>
      <c r="N604" s="76"/>
      <c r="O604" s="76"/>
      <c r="P604" s="76"/>
      <c r="Q604" s="76"/>
      <c r="R604" s="76"/>
      <c r="S604" s="76"/>
      <c r="T604" s="76"/>
      <c r="U604" s="76"/>
      <c r="V604" s="76"/>
      <c r="W604" s="76"/>
      <c r="X604" s="76"/>
      <c r="Y604" s="76"/>
      <c r="Z604" s="76"/>
      <c r="AA604" s="79"/>
      <c r="AB604" s="79"/>
      <c r="AC604" s="79"/>
      <c r="AD604" s="79"/>
      <c r="AE604" s="79"/>
      <c r="AF604" s="79"/>
      <c r="AG604" s="79"/>
      <c r="AH604" s="79"/>
      <c r="AI604" s="79"/>
      <c r="AJ604" s="79"/>
      <c r="AK604" s="79"/>
    </row>
    <row r="605" spans="1:37" s="78" customFormat="1" ht="12" customHeight="1">
      <c r="A605" s="76"/>
      <c r="B605" s="76"/>
      <c r="C605" s="76"/>
      <c r="D605" s="76"/>
      <c r="E605" s="76"/>
      <c r="F605" s="77"/>
      <c r="G605" s="76"/>
      <c r="H605" s="76"/>
      <c r="I605" s="76"/>
      <c r="J605" s="76"/>
      <c r="K605" s="76"/>
      <c r="L605" s="76"/>
      <c r="M605" s="76"/>
      <c r="N605" s="76"/>
      <c r="O605" s="76"/>
      <c r="P605" s="76"/>
      <c r="Q605" s="76"/>
      <c r="R605" s="76"/>
      <c r="S605" s="76"/>
      <c r="T605" s="76"/>
      <c r="U605" s="76"/>
      <c r="V605" s="76"/>
      <c r="W605" s="76"/>
      <c r="X605" s="76"/>
      <c r="Y605" s="76"/>
      <c r="Z605" s="76"/>
      <c r="AA605" s="79"/>
      <c r="AB605" s="79"/>
      <c r="AC605" s="79"/>
      <c r="AD605" s="79"/>
      <c r="AE605" s="79"/>
      <c r="AF605" s="79"/>
      <c r="AG605" s="79"/>
      <c r="AH605" s="79"/>
      <c r="AI605" s="79"/>
      <c r="AJ605" s="79"/>
      <c r="AK605" s="79"/>
    </row>
    <row r="606" spans="1:37" s="78" customFormat="1" ht="12" customHeight="1">
      <c r="A606" s="76"/>
      <c r="B606" s="76"/>
      <c r="C606" s="76"/>
      <c r="D606" s="76"/>
      <c r="E606" s="76"/>
      <c r="F606" s="77"/>
      <c r="G606" s="76"/>
      <c r="H606" s="76"/>
      <c r="I606" s="76"/>
      <c r="J606" s="76"/>
      <c r="K606" s="76"/>
      <c r="L606" s="76"/>
      <c r="M606" s="76"/>
      <c r="N606" s="76"/>
      <c r="O606" s="76"/>
      <c r="P606" s="76"/>
      <c r="Q606" s="76"/>
      <c r="R606" s="76"/>
      <c r="S606" s="76"/>
      <c r="T606" s="76"/>
      <c r="U606" s="76"/>
      <c r="V606" s="76"/>
      <c r="W606" s="76"/>
      <c r="X606" s="76"/>
      <c r="Y606" s="76"/>
      <c r="Z606" s="76"/>
      <c r="AA606" s="79"/>
      <c r="AB606" s="79"/>
      <c r="AC606" s="79"/>
      <c r="AD606" s="79"/>
      <c r="AE606" s="79"/>
      <c r="AF606" s="79"/>
      <c r="AG606" s="79"/>
      <c r="AH606" s="79"/>
      <c r="AI606" s="79"/>
      <c r="AJ606" s="79"/>
      <c r="AK606" s="79"/>
    </row>
    <row r="607" spans="1:37" s="78" customFormat="1" ht="12" customHeight="1">
      <c r="A607" s="76"/>
      <c r="B607" s="76"/>
      <c r="C607" s="76"/>
      <c r="D607" s="76"/>
      <c r="E607" s="76"/>
      <c r="F607" s="77"/>
      <c r="G607" s="76"/>
      <c r="H607" s="76"/>
      <c r="I607" s="76"/>
      <c r="J607" s="76"/>
      <c r="K607" s="76"/>
      <c r="L607" s="76"/>
      <c r="M607" s="76"/>
      <c r="N607" s="76"/>
      <c r="O607" s="76"/>
      <c r="P607" s="76"/>
      <c r="Q607" s="76"/>
      <c r="R607" s="76"/>
      <c r="S607" s="76"/>
      <c r="T607" s="76"/>
      <c r="U607" s="76"/>
      <c r="V607" s="76"/>
      <c r="W607" s="76"/>
      <c r="X607" s="76"/>
      <c r="Y607" s="76"/>
      <c r="Z607" s="76"/>
      <c r="AA607" s="79"/>
      <c r="AB607" s="79"/>
      <c r="AC607" s="79"/>
      <c r="AD607" s="79"/>
      <c r="AE607" s="79"/>
      <c r="AF607" s="79"/>
      <c r="AG607" s="79"/>
      <c r="AH607" s="79"/>
      <c r="AI607" s="79"/>
      <c r="AJ607" s="79"/>
      <c r="AK607" s="79"/>
    </row>
    <row r="608" spans="1:37" s="78" customFormat="1" ht="12" customHeight="1">
      <c r="A608" s="76"/>
      <c r="B608" s="76"/>
      <c r="C608" s="76"/>
      <c r="D608" s="76"/>
      <c r="E608" s="76"/>
      <c r="F608" s="77"/>
      <c r="G608" s="76"/>
      <c r="H608" s="76"/>
      <c r="I608" s="76"/>
      <c r="J608" s="76"/>
      <c r="K608" s="76"/>
      <c r="L608" s="76"/>
      <c r="M608" s="76"/>
      <c r="N608" s="76"/>
      <c r="O608" s="76"/>
      <c r="P608" s="76"/>
      <c r="Q608" s="76"/>
      <c r="R608" s="76"/>
      <c r="S608" s="76"/>
      <c r="T608" s="76"/>
      <c r="U608" s="76"/>
      <c r="V608" s="76"/>
      <c r="W608" s="76"/>
      <c r="X608" s="76"/>
      <c r="Y608" s="76"/>
      <c r="Z608" s="76"/>
      <c r="AA608" s="79"/>
      <c r="AB608" s="79"/>
      <c r="AC608" s="79"/>
      <c r="AD608" s="79"/>
      <c r="AE608" s="79"/>
      <c r="AF608" s="79"/>
      <c r="AG608" s="79"/>
      <c r="AH608" s="79"/>
      <c r="AI608" s="79"/>
      <c r="AJ608" s="79"/>
      <c r="AK608" s="79"/>
    </row>
    <row r="609" spans="1:37" s="78" customFormat="1" ht="12" customHeight="1">
      <c r="A609" s="76"/>
      <c r="B609" s="76"/>
      <c r="C609" s="76"/>
      <c r="D609" s="76"/>
      <c r="E609" s="76"/>
      <c r="F609" s="77"/>
      <c r="G609" s="76"/>
      <c r="H609" s="76"/>
      <c r="I609" s="76"/>
      <c r="J609" s="76"/>
      <c r="K609" s="76"/>
      <c r="L609" s="76"/>
      <c r="M609" s="76"/>
      <c r="N609" s="76"/>
      <c r="O609" s="76"/>
      <c r="P609" s="76"/>
      <c r="Q609" s="76"/>
      <c r="R609" s="76"/>
      <c r="S609" s="76"/>
      <c r="T609" s="76"/>
      <c r="U609" s="76"/>
      <c r="V609" s="76"/>
      <c r="W609" s="76"/>
      <c r="X609" s="76"/>
      <c r="Y609" s="76"/>
      <c r="Z609" s="76"/>
      <c r="AA609" s="79"/>
      <c r="AB609" s="79"/>
      <c r="AC609" s="79"/>
      <c r="AD609" s="79"/>
      <c r="AE609" s="79"/>
      <c r="AF609" s="79"/>
      <c r="AG609" s="79"/>
      <c r="AH609" s="79"/>
      <c r="AI609" s="79"/>
      <c r="AJ609" s="79"/>
      <c r="AK609" s="79"/>
    </row>
    <row r="610" spans="1:37" s="78" customFormat="1" ht="12" customHeight="1">
      <c r="A610" s="76"/>
      <c r="B610" s="76"/>
      <c r="C610" s="76"/>
      <c r="D610" s="76"/>
      <c r="E610" s="76"/>
      <c r="F610" s="77"/>
      <c r="G610" s="76"/>
      <c r="H610" s="76"/>
      <c r="I610" s="76"/>
      <c r="J610" s="76"/>
      <c r="K610" s="76"/>
      <c r="L610" s="76"/>
      <c r="M610" s="76"/>
      <c r="N610" s="76"/>
      <c r="O610" s="76"/>
      <c r="P610" s="76"/>
      <c r="Q610" s="76"/>
      <c r="R610" s="76"/>
      <c r="S610" s="76"/>
      <c r="T610" s="76"/>
      <c r="U610" s="76"/>
      <c r="V610" s="76"/>
      <c r="W610" s="76"/>
      <c r="X610" s="76"/>
      <c r="Y610" s="76"/>
      <c r="Z610" s="76"/>
      <c r="AA610" s="79"/>
      <c r="AB610" s="79"/>
      <c r="AC610" s="79"/>
      <c r="AD610" s="79"/>
      <c r="AE610" s="79"/>
      <c r="AF610" s="79"/>
      <c r="AG610" s="79"/>
      <c r="AH610" s="79"/>
      <c r="AI610" s="79"/>
      <c r="AJ610" s="79"/>
      <c r="AK610" s="79"/>
    </row>
    <row r="611" spans="1:37" s="78" customFormat="1" ht="12" customHeight="1">
      <c r="A611" s="76"/>
      <c r="B611" s="76"/>
      <c r="C611" s="76"/>
      <c r="D611" s="76"/>
      <c r="E611" s="76"/>
      <c r="F611" s="77"/>
      <c r="G611" s="76"/>
      <c r="H611" s="76"/>
      <c r="I611" s="76"/>
      <c r="J611" s="76"/>
      <c r="K611" s="76"/>
      <c r="L611" s="76"/>
      <c r="M611" s="76"/>
      <c r="N611" s="76"/>
      <c r="O611" s="76"/>
      <c r="P611" s="76"/>
      <c r="Q611" s="76"/>
      <c r="R611" s="76"/>
      <c r="S611" s="76"/>
      <c r="T611" s="76"/>
      <c r="U611" s="76"/>
      <c r="V611" s="76"/>
      <c r="W611" s="76"/>
      <c r="X611" s="76"/>
      <c r="Y611" s="76"/>
      <c r="Z611" s="76"/>
      <c r="AA611" s="79"/>
      <c r="AB611" s="79"/>
      <c r="AC611" s="79"/>
      <c r="AD611" s="79"/>
      <c r="AE611" s="79"/>
      <c r="AF611" s="79"/>
      <c r="AG611" s="79"/>
      <c r="AH611" s="79"/>
      <c r="AI611" s="79"/>
      <c r="AJ611" s="79"/>
      <c r="AK611" s="79"/>
    </row>
    <row r="612" spans="1:37" s="78" customFormat="1" ht="12" customHeight="1">
      <c r="A612" s="76"/>
      <c r="B612" s="76"/>
      <c r="C612" s="76"/>
      <c r="D612" s="76"/>
      <c r="E612" s="76"/>
      <c r="F612" s="77"/>
      <c r="G612" s="76"/>
      <c r="H612" s="76"/>
      <c r="I612" s="76"/>
      <c r="J612" s="76"/>
      <c r="K612" s="76"/>
      <c r="L612" s="76"/>
      <c r="M612" s="76"/>
      <c r="N612" s="76"/>
      <c r="O612" s="76"/>
      <c r="P612" s="76"/>
      <c r="Q612" s="76"/>
      <c r="R612" s="76"/>
      <c r="S612" s="76"/>
      <c r="T612" s="76"/>
      <c r="U612" s="76"/>
      <c r="V612" s="76"/>
      <c r="W612" s="76"/>
      <c r="X612" s="76"/>
      <c r="Y612" s="76"/>
      <c r="Z612" s="76"/>
      <c r="AA612" s="79"/>
      <c r="AB612" s="79"/>
      <c r="AC612" s="79"/>
      <c r="AD612" s="79"/>
      <c r="AE612" s="79"/>
      <c r="AF612" s="79"/>
      <c r="AG612" s="79"/>
      <c r="AH612" s="79"/>
      <c r="AI612" s="79"/>
      <c r="AJ612" s="79"/>
      <c r="AK612" s="79"/>
    </row>
    <row r="613" spans="1:37" s="78" customFormat="1" ht="12" customHeight="1">
      <c r="A613" s="76"/>
      <c r="B613" s="76"/>
      <c r="C613" s="76"/>
      <c r="D613" s="76"/>
      <c r="E613" s="76"/>
      <c r="F613" s="77"/>
      <c r="G613" s="76"/>
      <c r="H613" s="76"/>
      <c r="I613" s="76"/>
      <c r="J613" s="76"/>
      <c r="K613" s="76"/>
      <c r="L613" s="76"/>
      <c r="M613" s="76"/>
      <c r="N613" s="76"/>
      <c r="O613" s="76"/>
      <c r="P613" s="76"/>
      <c r="Q613" s="76"/>
      <c r="R613" s="76"/>
      <c r="S613" s="76"/>
      <c r="T613" s="76"/>
      <c r="U613" s="76"/>
      <c r="V613" s="76"/>
      <c r="W613" s="76"/>
      <c r="X613" s="76"/>
      <c r="Y613" s="76"/>
      <c r="Z613" s="76"/>
      <c r="AA613" s="79"/>
      <c r="AB613" s="79"/>
      <c r="AC613" s="79"/>
      <c r="AD613" s="79"/>
      <c r="AE613" s="79"/>
      <c r="AF613" s="79"/>
      <c r="AG613" s="79"/>
      <c r="AH613" s="79"/>
      <c r="AI613" s="79"/>
      <c r="AJ613" s="79"/>
      <c r="AK613" s="79"/>
    </row>
    <row r="614" spans="1:37" s="78" customFormat="1" ht="12" customHeight="1">
      <c r="A614" s="76"/>
      <c r="B614" s="76"/>
      <c r="C614" s="76"/>
      <c r="D614" s="76"/>
      <c r="E614" s="76"/>
      <c r="F614" s="77"/>
      <c r="G614" s="76"/>
      <c r="H614" s="76"/>
      <c r="I614" s="76"/>
      <c r="J614" s="76"/>
      <c r="K614" s="76"/>
      <c r="L614" s="76"/>
      <c r="M614" s="76"/>
      <c r="N614" s="76"/>
      <c r="O614" s="76"/>
      <c r="P614" s="76"/>
      <c r="Q614" s="76"/>
      <c r="R614" s="76"/>
      <c r="S614" s="76"/>
      <c r="T614" s="76"/>
      <c r="U614" s="76"/>
      <c r="V614" s="76"/>
      <c r="W614" s="76"/>
      <c r="X614" s="76"/>
      <c r="Y614" s="76"/>
      <c r="Z614" s="76"/>
      <c r="AA614" s="79"/>
      <c r="AB614" s="79"/>
      <c r="AC614" s="79"/>
      <c r="AD614" s="79"/>
      <c r="AE614" s="79"/>
      <c r="AF614" s="79"/>
      <c r="AG614" s="79"/>
      <c r="AH614" s="79"/>
      <c r="AI614" s="79"/>
      <c r="AJ614" s="79"/>
      <c r="AK614" s="79"/>
    </row>
    <row r="615" spans="1:37" s="78" customFormat="1" ht="12" customHeight="1">
      <c r="A615" s="76"/>
      <c r="B615" s="76"/>
      <c r="C615" s="76"/>
      <c r="D615" s="76"/>
      <c r="E615" s="76"/>
      <c r="F615" s="77"/>
      <c r="G615" s="76"/>
      <c r="H615" s="76"/>
      <c r="I615" s="76"/>
      <c r="J615" s="76"/>
      <c r="K615" s="76"/>
      <c r="L615" s="76"/>
      <c r="M615" s="76"/>
      <c r="N615" s="76"/>
      <c r="O615" s="76"/>
      <c r="P615" s="76"/>
      <c r="Q615" s="76"/>
      <c r="R615" s="76"/>
      <c r="S615" s="76"/>
      <c r="T615" s="76"/>
      <c r="U615" s="76"/>
      <c r="V615" s="76"/>
      <c r="W615" s="76"/>
      <c r="X615" s="76"/>
      <c r="Y615" s="76"/>
      <c r="Z615" s="76"/>
      <c r="AA615" s="79"/>
      <c r="AB615" s="79"/>
      <c r="AC615" s="79"/>
      <c r="AD615" s="79"/>
      <c r="AE615" s="79"/>
      <c r="AF615" s="79"/>
      <c r="AG615" s="79"/>
      <c r="AH615" s="79"/>
      <c r="AI615" s="79"/>
      <c r="AJ615" s="79"/>
      <c r="AK615" s="79"/>
    </row>
    <row r="616" spans="1:37" s="78" customFormat="1" ht="12" customHeight="1">
      <c r="A616" s="76"/>
      <c r="B616" s="76"/>
      <c r="C616" s="76"/>
      <c r="D616" s="76"/>
      <c r="E616" s="76"/>
      <c r="F616" s="77"/>
      <c r="G616" s="76"/>
      <c r="H616" s="76"/>
      <c r="I616" s="76"/>
      <c r="J616" s="76"/>
      <c r="K616" s="76"/>
      <c r="L616" s="76"/>
      <c r="M616" s="76"/>
      <c r="N616" s="76"/>
      <c r="O616" s="76"/>
      <c r="P616" s="76"/>
      <c r="Q616" s="76"/>
      <c r="R616" s="76"/>
      <c r="S616" s="76"/>
      <c r="T616" s="76"/>
      <c r="U616" s="76"/>
      <c r="V616" s="76"/>
      <c r="W616" s="76"/>
      <c r="X616" s="76"/>
      <c r="Y616" s="76"/>
      <c r="Z616" s="76"/>
      <c r="AA616" s="79"/>
      <c r="AB616" s="79"/>
      <c r="AC616" s="79"/>
      <c r="AD616" s="79"/>
      <c r="AE616" s="79"/>
      <c r="AF616" s="79"/>
      <c r="AG616" s="79"/>
      <c r="AH616" s="79"/>
      <c r="AI616" s="79"/>
      <c r="AJ616" s="79"/>
      <c r="AK616" s="79"/>
    </row>
    <row r="617" spans="1:37" s="78" customFormat="1" ht="12" customHeight="1">
      <c r="A617" s="76"/>
      <c r="B617" s="76"/>
      <c r="C617" s="76"/>
      <c r="D617" s="76"/>
      <c r="E617" s="76"/>
      <c r="F617" s="77"/>
      <c r="G617" s="76"/>
      <c r="H617" s="76"/>
      <c r="I617" s="76"/>
      <c r="J617" s="76"/>
      <c r="K617" s="76"/>
      <c r="L617" s="76"/>
      <c r="M617" s="76"/>
      <c r="N617" s="76"/>
      <c r="O617" s="76"/>
      <c r="P617" s="76"/>
      <c r="Q617" s="76"/>
      <c r="R617" s="76"/>
      <c r="S617" s="76"/>
      <c r="T617" s="76"/>
      <c r="U617" s="76"/>
      <c r="V617" s="76"/>
      <c r="W617" s="76"/>
      <c r="X617" s="76"/>
      <c r="Y617" s="76"/>
      <c r="Z617" s="76"/>
      <c r="AA617" s="79"/>
      <c r="AB617" s="79"/>
      <c r="AC617" s="79"/>
      <c r="AD617" s="79"/>
      <c r="AE617" s="79"/>
      <c r="AF617" s="79"/>
      <c r="AG617" s="79"/>
      <c r="AH617" s="79"/>
      <c r="AI617" s="79"/>
      <c r="AJ617" s="79"/>
      <c r="AK617" s="79"/>
    </row>
    <row r="618" spans="1:37" s="78" customFormat="1" ht="12" customHeight="1">
      <c r="A618" s="76"/>
      <c r="B618" s="76"/>
      <c r="C618" s="76"/>
      <c r="D618" s="76"/>
      <c r="E618" s="76"/>
      <c r="F618" s="77"/>
      <c r="G618" s="76"/>
      <c r="H618" s="76"/>
      <c r="I618" s="76"/>
      <c r="J618" s="76"/>
      <c r="K618" s="76"/>
      <c r="L618" s="76"/>
      <c r="M618" s="76"/>
      <c r="N618" s="76"/>
      <c r="O618" s="76"/>
      <c r="P618" s="76"/>
      <c r="Q618" s="76"/>
      <c r="R618" s="76"/>
      <c r="S618" s="76"/>
      <c r="T618" s="76"/>
      <c r="U618" s="76"/>
      <c r="V618" s="76"/>
      <c r="W618" s="76"/>
      <c r="X618" s="76"/>
      <c r="Y618" s="76"/>
      <c r="Z618" s="76"/>
      <c r="AA618" s="79"/>
      <c r="AB618" s="79"/>
      <c r="AC618" s="79"/>
      <c r="AD618" s="79"/>
      <c r="AE618" s="79"/>
      <c r="AF618" s="79"/>
      <c r="AG618" s="79"/>
      <c r="AH618" s="79"/>
      <c r="AI618" s="79"/>
      <c r="AJ618" s="79"/>
      <c r="AK618" s="79"/>
    </row>
    <row r="619" spans="1:37" s="78" customFormat="1" ht="12" customHeight="1">
      <c r="A619" s="76"/>
      <c r="B619" s="76"/>
      <c r="C619" s="76"/>
      <c r="D619" s="76"/>
      <c r="E619" s="76"/>
      <c r="F619" s="77"/>
      <c r="G619" s="76"/>
      <c r="H619" s="76"/>
      <c r="I619" s="76"/>
      <c r="J619" s="76"/>
      <c r="K619" s="76"/>
      <c r="L619" s="76"/>
      <c r="M619" s="76"/>
      <c r="N619" s="76"/>
      <c r="O619" s="76"/>
      <c r="P619" s="76"/>
      <c r="Q619" s="76"/>
      <c r="R619" s="76"/>
      <c r="S619" s="76"/>
      <c r="T619" s="76"/>
      <c r="U619" s="76"/>
      <c r="V619" s="76"/>
      <c r="W619" s="76"/>
      <c r="X619" s="76"/>
      <c r="Y619" s="76"/>
      <c r="Z619" s="76"/>
      <c r="AA619" s="79"/>
      <c r="AB619" s="79"/>
      <c r="AC619" s="79"/>
      <c r="AD619" s="79"/>
      <c r="AE619" s="79"/>
      <c r="AF619" s="79"/>
      <c r="AG619" s="79"/>
      <c r="AH619" s="79"/>
      <c r="AI619" s="79"/>
      <c r="AJ619" s="79"/>
      <c r="AK619" s="79"/>
    </row>
    <row r="620" spans="1:37" s="78" customFormat="1" ht="12" customHeight="1">
      <c r="A620" s="76"/>
      <c r="B620" s="76"/>
      <c r="C620" s="76"/>
      <c r="D620" s="76"/>
      <c r="E620" s="76"/>
      <c r="F620" s="77"/>
      <c r="G620" s="76"/>
      <c r="H620" s="76"/>
      <c r="I620" s="76"/>
      <c r="J620" s="76"/>
      <c r="K620" s="76"/>
      <c r="L620" s="76"/>
      <c r="M620" s="76"/>
      <c r="N620" s="76"/>
      <c r="O620" s="76"/>
      <c r="P620" s="76"/>
      <c r="Q620" s="76"/>
      <c r="R620" s="76"/>
      <c r="S620" s="76"/>
      <c r="T620" s="76"/>
      <c r="U620" s="76"/>
      <c r="V620" s="76"/>
      <c r="W620" s="76"/>
      <c r="X620" s="76"/>
      <c r="Y620" s="76"/>
      <c r="Z620" s="76"/>
      <c r="AA620" s="79"/>
      <c r="AB620" s="79"/>
      <c r="AC620" s="79"/>
      <c r="AD620" s="79"/>
      <c r="AE620" s="79"/>
      <c r="AF620" s="79"/>
      <c r="AG620" s="79"/>
      <c r="AH620" s="79"/>
      <c r="AI620" s="79"/>
      <c r="AJ620" s="79"/>
      <c r="AK620" s="79"/>
    </row>
    <row r="621" spans="1:37" s="78" customFormat="1" ht="12" customHeight="1">
      <c r="A621" s="76"/>
      <c r="B621" s="76"/>
      <c r="C621" s="76"/>
      <c r="D621" s="76"/>
      <c r="E621" s="76"/>
      <c r="F621" s="77"/>
      <c r="G621" s="76"/>
      <c r="H621" s="76"/>
      <c r="I621" s="76"/>
      <c r="J621" s="76"/>
      <c r="K621" s="76"/>
      <c r="L621" s="76"/>
      <c r="M621" s="76"/>
      <c r="N621" s="76"/>
      <c r="O621" s="76"/>
      <c r="P621" s="76"/>
      <c r="Q621" s="76"/>
      <c r="R621" s="76"/>
      <c r="S621" s="76"/>
      <c r="T621" s="76"/>
      <c r="U621" s="76"/>
      <c r="V621" s="76"/>
      <c r="W621" s="76"/>
      <c r="X621" s="76"/>
      <c r="Y621" s="76"/>
      <c r="Z621" s="76"/>
      <c r="AA621" s="79"/>
      <c r="AB621" s="79"/>
      <c r="AC621" s="79"/>
      <c r="AD621" s="79"/>
      <c r="AE621" s="79"/>
      <c r="AF621" s="79"/>
      <c r="AG621" s="79"/>
      <c r="AH621" s="79"/>
      <c r="AI621" s="79"/>
      <c r="AJ621" s="79"/>
      <c r="AK621" s="79"/>
    </row>
    <row r="622" spans="1:37" s="78" customFormat="1" ht="12" customHeight="1">
      <c r="A622" s="76"/>
      <c r="B622" s="76"/>
      <c r="C622" s="76"/>
      <c r="D622" s="76"/>
      <c r="E622" s="76"/>
      <c r="F622" s="77"/>
      <c r="G622" s="76"/>
      <c r="H622" s="76"/>
      <c r="I622" s="76"/>
      <c r="J622" s="76"/>
      <c r="K622" s="76"/>
      <c r="L622" s="76"/>
      <c r="M622" s="76"/>
      <c r="N622" s="76"/>
      <c r="O622" s="76"/>
      <c r="P622" s="76"/>
      <c r="Q622" s="76"/>
      <c r="R622" s="76"/>
      <c r="S622" s="76"/>
      <c r="T622" s="76"/>
      <c r="U622" s="76"/>
      <c r="V622" s="76"/>
      <c r="W622" s="76"/>
      <c r="X622" s="76"/>
      <c r="Y622" s="76"/>
      <c r="Z622" s="76"/>
      <c r="AA622" s="79"/>
      <c r="AB622" s="79"/>
      <c r="AC622" s="79"/>
      <c r="AD622" s="79"/>
      <c r="AE622" s="79"/>
      <c r="AF622" s="79"/>
      <c r="AG622" s="79"/>
      <c r="AH622" s="79"/>
      <c r="AI622" s="79"/>
      <c r="AJ622" s="79"/>
      <c r="AK622" s="79"/>
    </row>
    <row r="623" spans="1:37" s="78" customFormat="1" ht="12" customHeight="1">
      <c r="A623" s="76"/>
      <c r="B623" s="76"/>
      <c r="C623" s="76"/>
      <c r="D623" s="76"/>
      <c r="E623" s="76"/>
      <c r="F623" s="77"/>
      <c r="G623" s="76"/>
      <c r="H623" s="76"/>
      <c r="I623" s="76"/>
      <c r="J623" s="76"/>
      <c r="K623" s="76"/>
      <c r="L623" s="76"/>
      <c r="M623" s="76"/>
      <c r="N623" s="76"/>
      <c r="O623" s="76"/>
      <c r="P623" s="76"/>
      <c r="Q623" s="76"/>
      <c r="R623" s="76"/>
      <c r="S623" s="76"/>
      <c r="T623" s="76"/>
      <c r="U623" s="76"/>
      <c r="V623" s="76"/>
      <c r="W623" s="76"/>
      <c r="X623" s="76"/>
      <c r="Y623" s="76"/>
      <c r="Z623" s="76"/>
      <c r="AA623" s="79"/>
      <c r="AB623" s="79"/>
      <c r="AC623" s="79"/>
      <c r="AD623" s="79"/>
      <c r="AE623" s="79"/>
      <c r="AF623" s="79"/>
      <c r="AG623" s="79"/>
      <c r="AH623" s="79"/>
      <c r="AI623" s="79"/>
      <c r="AJ623" s="79"/>
      <c r="AK623" s="79"/>
    </row>
    <row r="624" spans="1:37" s="78" customFormat="1" ht="12" customHeight="1">
      <c r="A624" s="76"/>
      <c r="B624" s="76"/>
      <c r="C624" s="76"/>
      <c r="D624" s="76"/>
      <c r="E624" s="76"/>
      <c r="F624" s="77"/>
      <c r="G624" s="76"/>
      <c r="H624" s="76"/>
      <c r="I624" s="76"/>
      <c r="J624" s="76"/>
      <c r="K624" s="76"/>
      <c r="L624" s="76"/>
      <c r="M624" s="76"/>
      <c r="N624" s="76"/>
      <c r="O624" s="76"/>
      <c r="P624" s="76"/>
      <c r="Q624" s="76"/>
      <c r="R624" s="76"/>
      <c r="S624" s="76"/>
      <c r="T624" s="76"/>
      <c r="U624" s="76"/>
      <c r="V624" s="76"/>
      <c r="W624" s="76"/>
      <c r="X624" s="76"/>
      <c r="Y624" s="76"/>
      <c r="Z624" s="76"/>
      <c r="AA624" s="79"/>
      <c r="AB624" s="79"/>
      <c r="AC624" s="79"/>
      <c r="AD624" s="79"/>
      <c r="AE624" s="79"/>
      <c r="AF624" s="79"/>
      <c r="AG624" s="79"/>
      <c r="AH624" s="79"/>
      <c r="AI624" s="79"/>
      <c r="AJ624" s="79"/>
      <c r="AK624" s="79"/>
    </row>
    <row r="625" spans="1:37" s="78" customFormat="1" ht="12" customHeight="1">
      <c r="A625" s="76"/>
      <c r="B625" s="76"/>
      <c r="C625" s="76"/>
      <c r="D625" s="76"/>
      <c r="E625" s="76"/>
      <c r="F625" s="77"/>
      <c r="G625" s="76"/>
      <c r="H625" s="76"/>
      <c r="I625" s="76"/>
      <c r="J625" s="76"/>
      <c r="K625" s="76"/>
      <c r="L625" s="76"/>
      <c r="M625" s="76"/>
      <c r="N625" s="76"/>
      <c r="O625" s="76"/>
      <c r="P625" s="76"/>
      <c r="Q625" s="76"/>
      <c r="R625" s="76"/>
      <c r="S625" s="76"/>
      <c r="T625" s="76"/>
      <c r="U625" s="76"/>
      <c r="V625" s="76"/>
      <c r="W625" s="76"/>
      <c r="X625" s="76"/>
      <c r="Y625" s="76"/>
      <c r="Z625" s="76"/>
      <c r="AA625" s="79"/>
      <c r="AB625" s="79"/>
      <c r="AC625" s="79"/>
      <c r="AD625" s="79"/>
      <c r="AE625" s="79"/>
      <c r="AF625" s="79"/>
      <c r="AG625" s="79"/>
      <c r="AH625" s="79"/>
      <c r="AI625" s="79"/>
      <c r="AJ625" s="79"/>
      <c r="AK625" s="79"/>
    </row>
    <row r="626" spans="1:37" s="78" customFormat="1" ht="12" customHeight="1">
      <c r="A626" s="76"/>
      <c r="B626" s="76"/>
      <c r="C626" s="76"/>
      <c r="D626" s="76"/>
      <c r="E626" s="76"/>
      <c r="F626" s="77"/>
      <c r="G626" s="76"/>
      <c r="H626" s="76"/>
      <c r="I626" s="76"/>
      <c r="J626" s="76"/>
      <c r="K626" s="76"/>
      <c r="L626" s="76"/>
      <c r="M626" s="76"/>
      <c r="N626" s="76"/>
      <c r="O626" s="76"/>
      <c r="P626" s="76"/>
      <c r="Q626" s="76"/>
      <c r="R626" s="76"/>
      <c r="S626" s="76"/>
      <c r="T626" s="76"/>
      <c r="U626" s="76"/>
      <c r="V626" s="76"/>
      <c r="W626" s="76"/>
      <c r="X626" s="76"/>
      <c r="Y626" s="76"/>
      <c r="Z626" s="76"/>
      <c r="AA626" s="79"/>
      <c r="AB626" s="79"/>
      <c r="AC626" s="79"/>
      <c r="AD626" s="79"/>
      <c r="AE626" s="79"/>
      <c r="AF626" s="79"/>
      <c r="AG626" s="79"/>
      <c r="AH626" s="79"/>
      <c r="AI626" s="79"/>
      <c r="AJ626" s="79"/>
      <c r="AK626" s="79"/>
    </row>
    <row r="627" spans="1:37" s="78" customFormat="1" ht="12" customHeight="1">
      <c r="A627" s="76"/>
      <c r="B627" s="76"/>
      <c r="C627" s="76"/>
      <c r="D627" s="76"/>
      <c r="E627" s="76"/>
      <c r="F627" s="77"/>
      <c r="G627" s="76"/>
      <c r="H627" s="76"/>
      <c r="I627" s="76"/>
      <c r="J627" s="76"/>
      <c r="K627" s="76"/>
      <c r="L627" s="76"/>
      <c r="M627" s="76"/>
      <c r="N627" s="76"/>
      <c r="O627" s="76"/>
      <c r="P627" s="76"/>
      <c r="Q627" s="76"/>
      <c r="R627" s="76"/>
      <c r="S627" s="76"/>
      <c r="T627" s="76"/>
      <c r="U627" s="76"/>
      <c r="V627" s="76"/>
      <c r="W627" s="76"/>
      <c r="X627" s="76"/>
      <c r="Y627" s="76"/>
      <c r="Z627" s="76"/>
      <c r="AA627" s="79"/>
      <c r="AB627" s="79"/>
      <c r="AC627" s="79"/>
      <c r="AD627" s="79"/>
      <c r="AE627" s="79"/>
      <c r="AF627" s="79"/>
      <c r="AG627" s="79"/>
      <c r="AH627" s="79"/>
      <c r="AI627" s="79"/>
      <c r="AJ627" s="79"/>
      <c r="AK627" s="79"/>
    </row>
    <row r="628" spans="1:37" s="78" customFormat="1" ht="12" customHeight="1">
      <c r="A628" s="76"/>
      <c r="B628" s="76"/>
      <c r="C628" s="76"/>
      <c r="D628" s="76"/>
      <c r="E628" s="76"/>
      <c r="F628" s="77"/>
      <c r="G628" s="76"/>
      <c r="H628" s="76"/>
      <c r="I628" s="76"/>
      <c r="J628" s="76"/>
      <c r="K628" s="76"/>
      <c r="L628" s="76"/>
      <c r="M628" s="76"/>
      <c r="N628" s="76"/>
      <c r="O628" s="76"/>
      <c r="P628" s="76"/>
      <c r="Q628" s="76"/>
      <c r="R628" s="76"/>
      <c r="S628" s="76"/>
      <c r="T628" s="76"/>
      <c r="U628" s="76"/>
      <c r="V628" s="76"/>
      <c r="W628" s="76"/>
      <c r="X628" s="76"/>
      <c r="Y628" s="76"/>
      <c r="Z628" s="76"/>
      <c r="AA628" s="79"/>
      <c r="AB628" s="79"/>
      <c r="AC628" s="79"/>
      <c r="AD628" s="79"/>
      <c r="AE628" s="79"/>
      <c r="AF628" s="79"/>
      <c r="AG628" s="79"/>
      <c r="AH628" s="79"/>
      <c r="AI628" s="79"/>
      <c r="AJ628" s="79"/>
      <c r="AK628" s="79"/>
    </row>
    <row r="629" spans="1:37" s="78" customFormat="1" ht="12" customHeight="1">
      <c r="A629" s="76"/>
      <c r="B629" s="76"/>
      <c r="C629" s="76"/>
      <c r="D629" s="76"/>
      <c r="E629" s="76"/>
      <c r="F629" s="77"/>
      <c r="G629" s="76"/>
      <c r="H629" s="76"/>
      <c r="I629" s="76"/>
      <c r="J629" s="76"/>
      <c r="K629" s="76"/>
      <c r="L629" s="76"/>
      <c r="M629" s="76"/>
      <c r="N629" s="76"/>
      <c r="O629" s="76"/>
      <c r="P629" s="76"/>
      <c r="Q629" s="76"/>
      <c r="R629" s="76"/>
      <c r="S629" s="76"/>
      <c r="T629" s="76"/>
      <c r="U629" s="76"/>
      <c r="V629" s="76"/>
      <c r="W629" s="76"/>
      <c r="X629" s="76"/>
      <c r="Y629" s="76"/>
      <c r="Z629" s="76"/>
      <c r="AA629" s="79"/>
      <c r="AB629" s="79"/>
      <c r="AC629" s="79"/>
      <c r="AD629" s="79"/>
      <c r="AE629" s="79"/>
      <c r="AF629" s="79"/>
      <c r="AG629" s="79"/>
      <c r="AH629" s="79"/>
      <c r="AI629" s="79"/>
      <c r="AJ629" s="79"/>
      <c r="AK629" s="79"/>
    </row>
    <row r="630" spans="1:37" s="78" customFormat="1" ht="12" customHeight="1">
      <c r="A630" s="76"/>
      <c r="B630" s="76"/>
      <c r="C630" s="76"/>
      <c r="D630" s="76"/>
      <c r="E630" s="76"/>
      <c r="F630" s="77"/>
      <c r="G630" s="76"/>
      <c r="H630" s="76"/>
      <c r="I630" s="76"/>
      <c r="J630" s="76"/>
      <c r="K630" s="76"/>
      <c r="L630" s="76"/>
      <c r="M630" s="76"/>
      <c r="N630" s="76"/>
      <c r="O630" s="76"/>
      <c r="P630" s="76"/>
      <c r="Q630" s="76"/>
      <c r="R630" s="76"/>
      <c r="S630" s="76"/>
      <c r="T630" s="76"/>
      <c r="U630" s="76"/>
      <c r="V630" s="76"/>
      <c r="W630" s="76"/>
      <c r="X630" s="76"/>
      <c r="Y630" s="76"/>
      <c r="Z630" s="76"/>
      <c r="AA630" s="79"/>
      <c r="AB630" s="79"/>
      <c r="AC630" s="79"/>
      <c r="AD630" s="79"/>
      <c r="AE630" s="79"/>
      <c r="AF630" s="79"/>
      <c r="AG630" s="79"/>
      <c r="AH630" s="79"/>
      <c r="AI630" s="79"/>
      <c r="AJ630" s="79"/>
      <c r="AK630" s="79"/>
    </row>
    <row r="631" spans="1:37" s="78" customFormat="1" ht="12" customHeight="1">
      <c r="A631" s="76"/>
      <c r="B631" s="76"/>
      <c r="C631" s="76"/>
      <c r="D631" s="76"/>
      <c r="E631" s="76"/>
      <c r="F631" s="77"/>
      <c r="G631" s="76"/>
      <c r="H631" s="76"/>
      <c r="I631" s="76"/>
      <c r="J631" s="76"/>
      <c r="K631" s="76"/>
      <c r="L631" s="76"/>
      <c r="M631" s="76"/>
      <c r="N631" s="76"/>
      <c r="O631" s="76"/>
      <c r="P631" s="76"/>
      <c r="Q631" s="76"/>
      <c r="R631" s="76"/>
      <c r="S631" s="76"/>
      <c r="T631" s="76"/>
      <c r="U631" s="76"/>
      <c r="V631" s="76"/>
      <c r="W631" s="76"/>
      <c r="X631" s="76"/>
      <c r="Y631" s="76"/>
      <c r="Z631" s="76"/>
      <c r="AA631" s="79"/>
      <c r="AB631" s="79"/>
      <c r="AC631" s="79"/>
      <c r="AD631" s="79"/>
      <c r="AE631" s="79"/>
      <c r="AF631" s="79"/>
      <c r="AG631" s="79"/>
      <c r="AH631" s="79"/>
      <c r="AI631" s="79"/>
      <c r="AJ631" s="79"/>
      <c r="AK631" s="79"/>
    </row>
    <row r="632" spans="1:37" s="78" customFormat="1" ht="12" customHeight="1">
      <c r="A632" s="76"/>
      <c r="B632" s="76"/>
      <c r="C632" s="76"/>
      <c r="D632" s="76"/>
      <c r="E632" s="76"/>
      <c r="F632" s="77"/>
      <c r="G632" s="76"/>
      <c r="H632" s="76"/>
      <c r="I632" s="76"/>
      <c r="J632" s="76"/>
      <c r="K632" s="76"/>
      <c r="L632" s="76"/>
      <c r="M632" s="76"/>
      <c r="N632" s="76"/>
      <c r="O632" s="76"/>
      <c r="P632" s="76"/>
      <c r="Q632" s="76"/>
      <c r="R632" s="76"/>
      <c r="S632" s="76"/>
      <c r="T632" s="76"/>
      <c r="U632" s="76"/>
      <c r="V632" s="76"/>
      <c r="W632" s="76"/>
      <c r="X632" s="76"/>
      <c r="Y632" s="76"/>
      <c r="Z632" s="76"/>
      <c r="AA632" s="79"/>
      <c r="AB632" s="79"/>
      <c r="AC632" s="79"/>
      <c r="AD632" s="79"/>
      <c r="AE632" s="79"/>
      <c r="AF632" s="79"/>
      <c r="AG632" s="79"/>
      <c r="AH632" s="79"/>
      <c r="AI632" s="79"/>
      <c r="AJ632" s="79"/>
      <c r="AK632" s="79"/>
    </row>
    <row r="633" spans="1:37" s="78" customFormat="1" ht="12" customHeight="1">
      <c r="A633" s="76"/>
      <c r="B633" s="76"/>
      <c r="C633" s="76"/>
      <c r="D633" s="76"/>
      <c r="E633" s="76"/>
      <c r="F633" s="77"/>
      <c r="G633" s="76"/>
      <c r="H633" s="76"/>
      <c r="I633" s="76"/>
      <c r="J633" s="76"/>
      <c r="K633" s="76"/>
      <c r="L633" s="76"/>
      <c r="M633" s="76"/>
      <c r="N633" s="76"/>
      <c r="O633" s="76"/>
      <c r="P633" s="76"/>
      <c r="Q633" s="76"/>
      <c r="R633" s="76"/>
      <c r="S633" s="76"/>
      <c r="T633" s="76"/>
      <c r="U633" s="76"/>
      <c r="V633" s="76"/>
      <c r="W633" s="76"/>
      <c r="X633" s="76"/>
      <c r="Y633" s="76"/>
      <c r="Z633" s="76"/>
      <c r="AA633" s="79"/>
      <c r="AB633" s="79"/>
      <c r="AC633" s="79"/>
      <c r="AD633" s="79"/>
      <c r="AE633" s="79"/>
      <c r="AF633" s="79"/>
      <c r="AG633" s="79"/>
      <c r="AH633" s="79"/>
      <c r="AI633" s="79"/>
      <c r="AJ633" s="79"/>
      <c r="AK633" s="79"/>
    </row>
    <row r="634" spans="1:37" s="78" customFormat="1" ht="12" customHeight="1">
      <c r="A634" s="76"/>
      <c r="B634" s="76"/>
      <c r="C634" s="76"/>
      <c r="D634" s="76"/>
      <c r="E634" s="76"/>
      <c r="F634" s="77"/>
      <c r="G634" s="76"/>
      <c r="H634" s="76"/>
      <c r="I634" s="76"/>
      <c r="J634" s="76"/>
      <c r="K634" s="76"/>
      <c r="L634" s="76"/>
      <c r="M634" s="76"/>
      <c r="N634" s="76"/>
      <c r="O634" s="76"/>
      <c r="P634" s="76"/>
      <c r="Q634" s="76"/>
      <c r="R634" s="76"/>
      <c r="S634" s="76"/>
      <c r="T634" s="76"/>
      <c r="U634" s="76"/>
      <c r="V634" s="76"/>
      <c r="W634" s="76"/>
      <c r="X634" s="76"/>
      <c r="Y634" s="76"/>
      <c r="Z634" s="76"/>
      <c r="AA634" s="79"/>
      <c r="AB634" s="79"/>
      <c r="AC634" s="79"/>
      <c r="AD634" s="79"/>
      <c r="AE634" s="79"/>
      <c r="AF634" s="79"/>
      <c r="AG634" s="79"/>
      <c r="AH634" s="79"/>
      <c r="AI634" s="79"/>
      <c r="AJ634" s="79"/>
      <c r="AK634" s="79"/>
    </row>
    <row r="635" spans="1:37" s="78" customFormat="1" ht="12" customHeight="1">
      <c r="A635" s="76"/>
      <c r="B635" s="76"/>
      <c r="C635" s="76"/>
      <c r="D635" s="76"/>
      <c r="E635" s="76"/>
      <c r="F635" s="77"/>
      <c r="G635" s="76"/>
      <c r="H635" s="76"/>
      <c r="I635" s="76"/>
      <c r="J635" s="76"/>
      <c r="K635" s="76"/>
      <c r="L635" s="76"/>
      <c r="M635" s="76"/>
      <c r="N635" s="76"/>
      <c r="O635" s="76"/>
      <c r="P635" s="76"/>
      <c r="Q635" s="76"/>
      <c r="R635" s="76"/>
      <c r="S635" s="76"/>
      <c r="T635" s="76"/>
      <c r="U635" s="76"/>
      <c r="V635" s="76"/>
      <c r="W635" s="76"/>
      <c r="X635" s="76"/>
      <c r="Y635" s="76"/>
      <c r="Z635" s="76"/>
      <c r="AA635" s="79"/>
      <c r="AB635" s="79"/>
      <c r="AC635" s="79"/>
      <c r="AD635" s="79"/>
      <c r="AE635" s="79"/>
      <c r="AF635" s="79"/>
      <c r="AG635" s="79"/>
      <c r="AH635" s="79"/>
      <c r="AI635" s="79"/>
      <c r="AJ635" s="79"/>
      <c r="AK635" s="79"/>
    </row>
    <row r="636" spans="1:37" s="78" customFormat="1" ht="12" customHeight="1">
      <c r="A636" s="76"/>
      <c r="B636" s="76"/>
      <c r="C636" s="76"/>
      <c r="D636" s="76"/>
      <c r="E636" s="76"/>
      <c r="F636" s="77"/>
      <c r="G636" s="76"/>
      <c r="H636" s="76"/>
      <c r="I636" s="76"/>
      <c r="J636" s="76"/>
      <c r="K636" s="76"/>
      <c r="L636" s="76"/>
      <c r="M636" s="76"/>
      <c r="N636" s="76"/>
      <c r="O636" s="76"/>
      <c r="P636" s="76"/>
      <c r="Q636" s="76"/>
      <c r="R636" s="76"/>
      <c r="S636" s="76"/>
      <c r="T636" s="76"/>
      <c r="U636" s="76"/>
      <c r="V636" s="76"/>
      <c r="W636" s="76"/>
      <c r="X636" s="76"/>
      <c r="Y636" s="76"/>
      <c r="Z636" s="76"/>
      <c r="AA636" s="79"/>
      <c r="AB636" s="79"/>
      <c r="AC636" s="79"/>
      <c r="AD636" s="79"/>
      <c r="AE636" s="79"/>
      <c r="AF636" s="79"/>
      <c r="AG636" s="79"/>
      <c r="AH636" s="79"/>
      <c r="AI636" s="79"/>
      <c r="AJ636" s="79"/>
      <c r="AK636" s="79"/>
    </row>
    <row r="637" spans="1:37" s="78" customFormat="1" ht="12" customHeight="1">
      <c r="A637" s="76"/>
      <c r="B637" s="76"/>
      <c r="C637" s="76"/>
      <c r="D637" s="76"/>
      <c r="E637" s="76"/>
      <c r="F637" s="77"/>
      <c r="G637" s="76"/>
      <c r="H637" s="76"/>
      <c r="I637" s="76"/>
      <c r="J637" s="76"/>
      <c r="K637" s="76"/>
      <c r="L637" s="76"/>
      <c r="M637" s="76"/>
      <c r="N637" s="76"/>
      <c r="O637" s="76"/>
      <c r="P637" s="76"/>
      <c r="Q637" s="76"/>
      <c r="R637" s="76"/>
      <c r="S637" s="76"/>
      <c r="T637" s="76"/>
      <c r="U637" s="76"/>
      <c r="V637" s="76"/>
      <c r="W637" s="76"/>
      <c r="X637" s="76"/>
      <c r="Y637" s="76"/>
      <c r="Z637" s="76"/>
      <c r="AA637" s="79"/>
      <c r="AB637" s="79"/>
      <c r="AC637" s="79"/>
      <c r="AD637" s="79"/>
      <c r="AE637" s="79"/>
      <c r="AF637" s="79"/>
      <c r="AG637" s="79"/>
      <c r="AH637" s="79"/>
      <c r="AI637" s="79"/>
      <c r="AJ637" s="79"/>
      <c r="AK637" s="79"/>
    </row>
    <row r="638" spans="1:37" s="78" customFormat="1" ht="12" customHeight="1">
      <c r="A638" s="76"/>
      <c r="B638" s="76"/>
      <c r="C638" s="76"/>
      <c r="D638" s="76"/>
      <c r="E638" s="76"/>
      <c r="F638" s="77"/>
      <c r="G638" s="76"/>
      <c r="H638" s="76"/>
      <c r="I638" s="76"/>
      <c r="J638" s="76"/>
      <c r="K638" s="76"/>
      <c r="L638" s="76"/>
      <c r="M638" s="76"/>
      <c r="N638" s="76"/>
      <c r="O638" s="76"/>
      <c r="P638" s="76"/>
      <c r="Q638" s="76"/>
      <c r="R638" s="76"/>
      <c r="S638" s="76"/>
      <c r="T638" s="76"/>
      <c r="U638" s="76"/>
      <c r="V638" s="76"/>
      <c r="W638" s="76"/>
      <c r="X638" s="76"/>
      <c r="Y638" s="76"/>
      <c r="Z638" s="76"/>
      <c r="AA638" s="79"/>
      <c r="AB638" s="79"/>
      <c r="AC638" s="79"/>
      <c r="AD638" s="79"/>
      <c r="AE638" s="79"/>
      <c r="AF638" s="79"/>
      <c r="AG638" s="79"/>
      <c r="AH638" s="79"/>
      <c r="AI638" s="79"/>
      <c r="AJ638" s="79"/>
      <c r="AK638" s="79"/>
    </row>
    <row r="639" spans="1:37" s="78" customFormat="1" ht="12" customHeight="1">
      <c r="A639" s="76"/>
      <c r="B639" s="76"/>
      <c r="C639" s="76"/>
      <c r="D639" s="76"/>
      <c r="E639" s="76"/>
      <c r="F639" s="77"/>
      <c r="G639" s="76"/>
      <c r="H639" s="76"/>
      <c r="I639" s="76"/>
      <c r="J639" s="76"/>
      <c r="K639" s="76"/>
      <c r="L639" s="76"/>
      <c r="M639" s="76"/>
      <c r="N639" s="76"/>
      <c r="O639" s="76"/>
      <c r="P639" s="76"/>
      <c r="Q639" s="76"/>
      <c r="R639" s="76"/>
      <c r="S639" s="76"/>
      <c r="T639" s="76"/>
      <c r="U639" s="76"/>
      <c r="V639" s="76"/>
      <c r="W639" s="76"/>
      <c r="X639" s="76"/>
      <c r="Y639" s="76"/>
      <c r="Z639" s="76"/>
      <c r="AA639" s="79"/>
      <c r="AB639" s="79"/>
      <c r="AC639" s="79"/>
      <c r="AD639" s="79"/>
      <c r="AE639" s="79"/>
      <c r="AF639" s="79"/>
      <c r="AG639" s="79"/>
      <c r="AH639" s="79"/>
      <c r="AI639" s="79"/>
      <c r="AJ639" s="79"/>
      <c r="AK639" s="79"/>
    </row>
    <row r="640" spans="1:37" s="78" customFormat="1" ht="12" customHeight="1">
      <c r="A640" s="76"/>
      <c r="B640" s="76"/>
      <c r="C640" s="76"/>
      <c r="D640" s="76"/>
      <c r="E640" s="76"/>
      <c r="F640" s="77"/>
      <c r="G640" s="76"/>
      <c r="H640" s="76"/>
      <c r="I640" s="76"/>
      <c r="J640" s="76"/>
      <c r="K640" s="76"/>
      <c r="L640" s="76"/>
      <c r="M640" s="76"/>
      <c r="N640" s="76"/>
      <c r="O640" s="76"/>
      <c r="P640" s="76"/>
      <c r="Q640" s="76"/>
      <c r="R640" s="76"/>
      <c r="S640" s="76"/>
      <c r="T640" s="76"/>
      <c r="U640" s="76"/>
      <c r="V640" s="76"/>
      <c r="W640" s="76"/>
      <c r="X640" s="76"/>
      <c r="Y640" s="76"/>
      <c r="Z640" s="76"/>
      <c r="AA640" s="79"/>
      <c r="AB640" s="79"/>
      <c r="AC640" s="79"/>
      <c r="AD640" s="79"/>
      <c r="AE640" s="79"/>
      <c r="AF640" s="79"/>
      <c r="AG640" s="79"/>
      <c r="AH640" s="79"/>
      <c r="AI640" s="79"/>
      <c r="AJ640" s="79"/>
      <c r="AK640" s="79"/>
    </row>
    <row r="641" spans="1:37" s="78" customFormat="1" ht="12" customHeight="1">
      <c r="A641" s="76"/>
      <c r="B641" s="76"/>
      <c r="C641" s="76"/>
      <c r="D641" s="76"/>
      <c r="E641" s="76"/>
      <c r="F641" s="77"/>
      <c r="G641" s="76"/>
      <c r="H641" s="76"/>
      <c r="I641" s="76"/>
      <c r="J641" s="76"/>
      <c r="K641" s="76"/>
      <c r="L641" s="76"/>
      <c r="M641" s="76"/>
      <c r="N641" s="76"/>
      <c r="O641" s="76"/>
      <c r="P641" s="76"/>
      <c r="Q641" s="76"/>
      <c r="R641" s="76"/>
      <c r="S641" s="76"/>
      <c r="T641" s="76"/>
      <c r="U641" s="76"/>
      <c r="V641" s="76"/>
      <c r="W641" s="76"/>
      <c r="X641" s="76"/>
      <c r="Y641" s="76"/>
      <c r="Z641" s="76"/>
      <c r="AA641" s="79"/>
      <c r="AB641" s="79"/>
      <c r="AC641" s="79"/>
      <c r="AD641" s="79"/>
      <c r="AE641" s="79"/>
      <c r="AF641" s="79"/>
      <c r="AG641" s="79"/>
      <c r="AH641" s="79"/>
      <c r="AI641" s="79"/>
      <c r="AJ641" s="79"/>
      <c r="AK641" s="79"/>
    </row>
    <row r="642" spans="1:37" s="78" customFormat="1" ht="12" customHeight="1">
      <c r="A642" s="76"/>
      <c r="B642" s="76"/>
      <c r="C642" s="76"/>
      <c r="D642" s="76"/>
      <c r="E642" s="76"/>
      <c r="F642" s="77"/>
      <c r="G642" s="76"/>
      <c r="H642" s="76"/>
      <c r="I642" s="76"/>
      <c r="J642" s="76"/>
      <c r="K642" s="76"/>
      <c r="L642" s="76"/>
      <c r="M642" s="76"/>
      <c r="N642" s="76"/>
      <c r="O642" s="76"/>
      <c r="P642" s="76"/>
      <c r="Q642" s="76"/>
      <c r="R642" s="76"/>
      <c r="S642" s="76"/>
      <c r="T642" s="76"/>
      <c r="U642" s="76"/>
      <c r="V642" s="76"/>
      <c r="W642" s="76"/>
      <c r="X642" s="76"/>
      <c r="Y642" s="76"/>
      <c r="Z642" s="76"/>
      <c r="AA642" s="79"/>
      <c r="AB642" s="79"/>
      <c r="AC642" s="79"/>
      <c r="AD642" s="79"/>
      <c r="AE642" s="79"/>
      <c r="AF642" s="79"/>
      <c r="AG642" s="79"/>
      <c r="AH642" s="79"/>
      <c r="AI642" s="79"/>
      <c r="AJ642" s="79"/>
      <c r="AK642" s="79"/>
    </row>
    <row r="643" spans="1:37" s="78" customFormat="1" ht="12" customHeight="1">
      <c r="A643" s="76"/>
      <c r="B643" s="76"/>
      <c r="C643" s="76"/>
      <c r="D643" s="76"/>
      <c r="E643" s="76"/>
      <c r="F643" s="77"/>
      <c r="G643" s="76"/>
      <c r="H643" s="76"/>
      <c r="I643" s="76"/>
      <c r="J643" s="76"/>
      <c r="K643" s="76"/>
      <c r="L643" s="76"/>
      <c r="M643" s="76"/>
      <c r="N643" s="76"/>
      <c r="O643" s="76"/>
      <c r="P643" s="76"/>
      <c r="Q643" s="76"/>
      <c r="R643" s="76"/>
      <c r="S643" s="76"/>
      <c r="T643" s="76"/>
      <c r="U643" s="76"/>
      <c r="V643" s="76"/>
      <c r="W643" s="76"/>
      <c r="X643" s="76"/>
      <c r="Y643" s="76"/>
      <c r="Z643" s="76"/>
      <c r="AA643" s="79"/>
      <c r="AB643" s="79"/>
      <c r="AC643" s="79"/>
      <c r="AD643" s="79"/>
      <c r="AE643" s="79"/>
      <c r="AF643" s="79"/>
      <c r="AG643" s="79"/>
      <c r="AH643" s="79"/>
      <c r="AI643" s="79"/>
      <c r="AJ643" s="79"/>
      <c r="AK643" s="79"/>
    </row>
    <row r="644" spans="1:37" s="78" customFormat="1" ht="12" customHeight="1">
      <c r="A644" s="76"/>
      <c r="B644" s="76"/>
      <c r="C644" s="76"/>
      <c r="D644" s="76"/>
      <c r="E644" s="76"/>
      <c r="F644" s="77"/>
      <c r="G644" s="76"/>
      <c r="H644" s="76"/>
      <c r="I644" s="76"/>
      <c r="J644" s="76"/>
      <c r="K644" s="76"/>
      <c r="L644" s="76"/>
      <c r="M644" s="76"/>
      <c r="N644" s="76"/>
      <c r="O644" s="76"/>
      <c r="P644" s="76"/>
      <c r="Q644" s="76"/>
      <c r="R644" s="76"/>
      <c r="S644" s="76"/>
      <c r="T644" s="76"/>
      <c r="U644" s="76"/>
      <c r="V644" s="76"/>
      <c r="W644" s="76"/>
      <c r="X644" s="76"/>
      <c r="Y644" s="76"/>
      <c r="Z644" s="76"/>
      <c r="AA644" s="79"/>
      <c r="AB644" s="79"/>
      <c r="AC644" s="79"/>
      <c r="AD644" s="79"/>
      <c r="AE644" s="79"/>
      <c r="AF644" s="79"/>
      <c r="AG644" s="79"/>
      <c r="AH644" s="79"/>
      <c r="AI644" s="79"/>
      <c r="AJ644" s="79"/>
      <c r="AK644" s="79"/>
    </row>
    <row r="645" spans="1:37" s="78" customFormat="1" ht="12" customHeight="1">
      <c r="A645" s="76"/>
      <c r="B645" s="76"/>
      <c r="C645" s="76"/>
      <c r="D645" s="76"/>
      <c r="E645" s="76"/>
      <c r="F645" s="77"/>
      <c r="G645" s="76"/>
      <c r="H645" s="76"/>
      <c r="I645" s="76"/>
      <c r="J645" s="76"/>
      <c r="K645" s="76"/>
      <c r="L645" s="76"/>
      <c r="M645" s="76"/>
      <c r="N645" s="76"/>
      <c r="O645" s="76"/>
      <c r="P645" s="76"/>
      <c r="Q645" s="76"/>
      <c r="R645" s="76"/>
      <c r="S645" s="76"/>
      <c r="T645" s="76"/>
      <c r="U645" s="76"/>
      <c r="V645" s="76"/>
      <c r="W645" s="76"/>
      <c r="X645" s="76"/>
      <c r="Y645" s="76"/>
      <c r="Z645" s="76"/>
      <c r="AA645" s="79"/>
      <c r="AB645" s="79"/>
      <c r="AC645" s="79"/>
      <c r="AD645" s="79"/>
      <c r="AE645" s="79"/>
      <c r="AF645" s="79"/>
      <c r="AG645" s="79"/>
      <c r="AH645" s="79"/>
      <c r="AI645" s="79"/>
      <c r="AJ645" s="79"/>
      <c r="AK645" s="79"/>
    </row>
    <row r="646" spans="1:37" s="78" customFormat="1" ht="12" customHeight="1">
      <c r="A646" s="76"/>
      <c r="B646" s="76"/>
      <c r="C646" s="76"/>
      <c r="D646" s="76"/>
      <c r="E646" s="76"/>
      <c r="F646" s="77"/>
      <c r="G646" s="76"/>
      <c r="H646" s="76"/>
      <c r="I646" s="76"/>
      <c r="J646" s="76"/>
      <c r="K646" s="76"/>
      <c r="L646" s="76"/>
      <c r="M646" s="76"/>
      <c r="N646" s="76"/>
      <c r="O646" s="76"/>
      <c r="P646" s="76"/>
      <c r="Q646" s="76"/>
      <c r="R646" s="76"/>
      <c r="S646" s="76"/>
      <c r="T646" s="76"/>
      <c r="U646" s="76"/>
      <c r="V646" s="76"/>
      <c r="W646" s="76"/>
      <c r="X646" s="76"/>
      <c r="Y646" s="76"/>
      <c r="Z646" s="76"/>
      <c r="AA646" s="79"/>
      <c r="AB646" s="79"/>
      <c r="AC646" s="79"/>
      <c r="AD646" s="79"/>
      <c r="AE646" s="79"/>
      <c r="AF646" s="79"/>
      <c r="AG646" s="79"/>
      <c r="AH646" s="79"/>
      <c r="AI646" s="79"/>
      <c r="AJ646" s="79"/>
      <c r="AK646" s="79"/>
    </row>
    <row r="647" spans="1:37" s="78" customFormat="1" ht="12" customHeight="1">
      <c r="A647" s="76"/>
      <c r="B647" s="76"/>
      <c r="C647" s="76"/>
      <c r="D647" s="76"/>
      <c r="E647" s="76"/>
      <c r="F647" s="77"/>
      <c r="G647" s="76"/>
      <c r="H647" s="76"/>
      <c r="I647" s="76"/>
      <c r="J647" s="76"/>
      <c r="K647" s="76"/>
      <c r="L647" s="76"/>
      <c r="M647" s="76"/>
      <c r="N647" s="76"/>
      <c r="O647" s="76"/>
      <c r="P647" s="76"/>
      <c r="Q647" s="76"/>
      <c r="R647" s="76"/>
      <c r="S647" s="76"/>
      <c r="T647" s="76"/>
      <c r="U647" s="76"/>
      <c r="V647" s="76"/>
      <c r="W647" s="76"/>
      <c r="X647" s="76"/>
      <c r="Y647" s="76"/>
      <c r="Z647" s="76"/>
      <c r="AA647" s="79"/>
      <c r="AB647" s="79"/>
      <c r="AC647" s="79"/>
      <c r="AD647" s="79"/>
      <c r="AE647" s="79"/>
      <c r="AF647" s="79"/>
      <c r="AG647" s="79"/>
      <c r="AH647" s="79"/>
      <c r="AI647" s="79"/>
      <c r="AJ647" s="79"/>
      <c r="AK647" s="79"/>
    </row>
    <row r="648" spans="1:37" s="78" customFormat="1" ht="12" customHeight="1">
      <c r="A648" s="76"/>
      <c r="B648" s="76"/>
      <c r="C648" s="76"/>
      <c r="D648" s="76"/>
      <c r="E648" s="76"/>
      <c r="F648" s="77"/>
      <c r="G648" s="76"/>
      <c r="H648" s="76"/>
      <c r="I648" s="76"/>
      <c r="J648" s="76"/>
      <c r="K648" s="76"/>
      <c r="L648" s="76"/>
      <c r="M648" s="76"/>
      <c r="N648" s="76"/>
      <c r="O648" s="76"/>
      <c r="P648" s="76"/>
      <c r="Q648" s="76"/>
      <c r="R648" s="76"/>
      <c r="S648" s="76"/>
      <c r="T648" s="76"/>
      <c r="U648" s="76"/>
      <c r="V648" s="76"/>
      <c r="W648" s="76"/>
      <c r="X648" s="76"/>
      <c r="Y648" s="76"/>
      <c r="Z648" s="76"/>
      <c r="AA648" s="79"/>
      <c r="AB648" s="79"/>
      <c r="AC648" s="79"/>
      <c r="AD648" s="79"/>
      <c r="AE648" s="79"/>
      <c r="AF648" s="79"/>
      <c r="AG648" s="79"/>
      <c r="AH648" s="79"/>
      <c r="AI648" s="79"/>
      <c r="AJ648" s="79"/>
      <c r="AK648" s="79"/>
    </row>
    <row r="649" spans="1:37" s="78" customFormat="1" ht="12" customHeight="1">
      <c r="A649" s="76"/>
      <c r="B649" s="76"/>
      <c r="C649" s="76"/>
      <c r="D649" s="76"/>
      <c r="E649" s="76"/>
      <c r="F649" s="77"/>
      <c r="G649" s="76"/>
      <c r="H649" s="76"/>
      <c r="I649" s="76"/>
      <c r="J649" s="76"/>
      <c r="K649" s="76"/>
      <c r="L649" s="76"/>
      <c r="M649" s="76"/>
      <c r="N649" s="76"/>
      <c r="O649" s="76"/>
      <c r="P649" s="76"/>
      <c r="Q649" s="76"/>
      <c r="R649" s="76"/>
      <c r="S649" s="76"/>
      <c r="T649" s="76"/>
      <c r="U649" s="76"/>
      <c r="V649" s="76"/>
      <c r="W649" s="76"/>
      <c r="X649" s="76"/>
      <c r="Y649" s="76"/>
      <c r="Z649" s="76"/>
      <c r="AA649" s="79"/>
      <c r="AB649" s="79"/>
      <c r="AC649" s="79"/>
      <c r="AD649" s="79"/>
      <c r="AE649" s="79"/>
      <c r="AF649" s="79"/>
      <c r="AG649" s="79"/>
      <c r="AH649" s="79"/>
      <c r="AI649" s="79"/>
      <c r="AJ649" s="79"/>
      <c r="AK649" s="79"/>
    </row>
    <row r="650" spans="1:37" s="78" customFormat="1" ht="12" customHeight="1">
      <c r="A650" s="76"/>
      <c r="B650" s="76"/>
      <c r="C650" s="76"/>
      <c r="D650" s="76"/>
      <c r="E650" s="76"/>
      <c r="F650" s="77"/>
      <c r="G650" s="76"/>
      <c r="H650" s="76"/>
      <c r="I650" s="76"/>
      <c r="J650" s="76"/>
      <c r="K650" s="76"/>
      <c r="L650" s="76"/>
      <c r="M650" s="76"/>
      <c r="N650" s="76"/>
      <c r="O650" s="76"/>
      <c r="P650" s="76"/>
      <c r="Q650" s="76"/>
      <c r="R650" s="76"/>
      <c r="S650" s="76"/>
      <c r="T650" s="76"/>
      <c r="U650" s="76"/>
      <c r="V650" s="76"/>
      <c r="W650" s="76"/>
      <c r="X650" s="76"/>
      <c r="Y650" s="76"/>
      <c r="Z650" s="76"/>
      <c r="AA650" s="79"/>
      <c r="AB650" s="79"/>
      <c r="AC650" s="79"/>
      <c r="AD650" s="79"/>
      <c r="AE650" s="79"/>
      <c r="AF650" s="79"/>
      <c r="AG650" s="79"/>
      <c r="AH650" s="79"/>
      <c r="AI650" s="79"/>
      <c r="AJ650" s="79"/>
      <c r="AK650" s="79"/>
    </row>
    <row r="651" spans="1:37" s="78" customFormat="1" ht="12" customHeight="1">
      <c r="A651" s="76"/>
      <c r="B651" s="76"/>
      <c r="C651" s="76"/>
      <c r="D651" s="76"/>
      <c r="E651" s="76"/>
      <c r="F651" s="77"/>
      <c r="G651" s="76"/>
      <c r="H651" s="76"/>
      <c r="I651" s="76"/>
      <c r="J651" s="76"/>
      <c r="K651" s="76"/>
      <c r="L651" s="76"/>
      <c r="M651" s="76"/>
      <c r="N651" s="76"/>
      <c r="O651" s="76"/>
      <c r="P651" s="76"/>
      <c r="Q651" s="76"/>
      <c r="R651" s="76"/>
      <c r="S651" s="76"/>
      <c r="T651" s="76"/>
      <c r="U651" s="76"/>
      <c r="V651" s="76"/>
      <c r="W651" s="76"/>
      <c r="X651" s="76"/>
      <c r="Y651" s="76"/>
      <c r="Z651" s="76"/>
      <c r="AA651" s="79"/>
      <c r="AB651" s="79"/>
      <c r="AC651" s="79"/>
      <c r="AD651" s="79"/>
      <c r="AE651" s="79"/>
      <c r="AF651" s="79"/>
      <c r="AG651" s="79"/>
      <c r="AH651" s="79"/>
      <c r="AI651" s="79"/>
      <c r="AJ651" s="79"/>
      <c r="AK651" s="79"/>
    </row>
    <row r="652" spans="1:37" s="78" customFormat="1" ht="12" customHeight="1">
      <c r="A652" s="76"/>
      <c r="B652" s="76"/>
      <c r="C652" s="76"/>
      <c r="D652" s="76"/>
      <c r="E652" s="76"/>
      <c r="F652" s="77"/>
      <c r="G652" s="76"/>
      <c r="H652" s="76"/>
      <c r="I652" s="76"/>
      <c r="J652" s="76"/>
      <c r="K652" s="76"/>
      <c r="L652" s="76"/>
      <c r="M652" s="76"/>
      <c r="N652" s="76"/>
      <c r="O652" s="76"/>
      <c r="P652" s="76"/>
      <c r="Q652" s="76"/>
      <c r="R652" s="76"/>
      <c r="S652" s="76"/>
      <c r="T652" s="76"/>
      <c r="U652" s="76"/>
      <c r="V652" s="76"/>
      <c r="W652" s="76"/>
      <c r="X652" s="76"/>
      <c r="Y652" s="76"/>
      <c r="Z652" s="76"/>
      <c r="AA652" s="79"/>
      <c r="AB652" s="79"/>
      <c r="AC652" s="79"/>
      <c r="AD652" s="79"/>
      <c r="AE652" s="79"/>
      <c r="AF652" s="79"/>
      <c r="AG652" s="79"/>
      <c r="AH652" s="79"/>
      <c r="AI652" s="79"/>
      <c r="AJ652" s="79"/>
      <c r="AK652" s="79"/>
    </row>
    <row r="653" spans="1:37" s="78" customFormat="1" ht="12" customHeight="1">
      <c r="A653" s="76"/>
      <c r="B653" s="76"/>
      <c r="C653" s="76"/>
      <c r="D653" s="76"/>
      <c r="E653" s="76"/>
      <c r="F653" s="77"/>
      <c r="G653" s="76"/>
      <c r="H653" s="76"/>
      <c r="I653" s="76"/>
      <c r="J653" s="76"/>
      <c r="K653" s="76"/>
      <c r="L653" s="76"/>
      <c r="M653" s="76"/>
      <c r="N653" s="76"/>
      <c r="O653" s="76"/>
      <c r="P653" s="76"/>
      <c r="Q653" s="76"/>
      <c r="R653" s="76"/>
      <c r="S653" s="76"/>
      <c r="T653" s="76"/>
      <c r="U653" s="76"/>
      <c r="V653" s="76"/>
      <c r="W653" s="76"/>
      <c r="X653" s="76"/>
      <c r="Y653" s="76"/>
      <c r="Z653" s="76"/>
      <c r="AA653" s="79"/>
      <c r="AB653" s="79"/>
      <c r="AC653" s="79"/>
      <c r="AD653" s="79"/>
      <c r="AE653" s="79"/>
      <c r="AF653" s="79"/>
      <c r="AG653" s="79"/>
      <c r="AH653" s="79"/>
      <c r="AI653" s="79"/>
      <c r="AJ653" s="79"/>
      <c r="AK653" s="79"/>
    </row>
    <row r="654" spans="1:37" s="78" customFormat="1" ht="12" customHeight="1">
      <c r="A654" s="76"/>
      <c r="B654" s="76"/>
      <c r="C654" s="76"/>
      <c r="D654" s="76"/>
      <c r="E654" s="76"/>
      <c r="F654" s="77"/>
      <c r="G654" s="76"/>
      <c r="H654" s="76"/>
      <c r="I654" s="76"/>
      <c r="J654" s="76"/>
      <c r="K654" s="76"/>
      <c r="L654" s="76"/>
      <c r="M654" s="76"/>
      <c r="N654" s="76"/>
      <c r="O654" s="76"/>
      <c r="P654" s="76"/>
      <c r="Q654" s="76"/>
      <c r="R654" s="76"/>
      <c r="S654" s="76"/>
      <c r="T654" s="76"/>
      <c r="U654" s="76"/>
      <c r="V654" s="76"/>
      <c r="W654" s="76"/>
      <c r="X654" s="76"/>
      <c r="Y654" s="76"/>
      <c r="Z654" s="76"/>
      <c r="AA654" s="79"/>
      <c r="AB654" s="79"/>
      <c r="AC654" s="79"/>
      <c r="AD654" s="79"/>
      <c r="AE654" s="79"/>
      <c r="AF654" s="79"/>
      <c r="AG654" s="79"/>
      <c r="AH654" s="79"/>
      <c r="AI654" s="79"/>
      <c r="AJ654" s="79"/>
      <c r="AK654" s="79"/>
    </row>
    <row r="655" spans="1:37" s="78" customFormat="1" ht="12" customHeight="1">
      <c r="A655" s="76"/>
      <c r="B655" s="76"/>
      <c r="C655" s="76"/>
      <c r="D655" s="76"/>
      <c r="E655" s="76"/>
      <c r="F655" s="77"/>
      <c r="G655" s="76"/>
      <c r="H655" s="76"/>
      <c r="I655" s="76"/>
      <c r="J655" s="76"/>
      <c r="K655" s="76"/>
      <c r="L655" s="76"/>
      <c r="M655" s="76"/>
      <c r="N655" s="76"/>
      <c r="O655" s="76"/>
      <c r="P655" s="76"/>
      <c r="Q655" s="76"/>
      <c r="R655" s="76"/>
      <c r="S655" s="76"/>
      <c r="T655" s="76"/>
      <c r="U655" s="76"/>
      <c r="V655" s="76"/>
      <c r="W655" s="76"/>
      <c r="X655" s="76"/>
      <c r="Y655" s="76"/>
      <c r="Z655" s="76"/>
      <c r="AA655" s="79"/>
      <c r="AB655" s="79"/>
      <c r="AC655" s="79"/>
      <c r="AD655" s="79"/>
      <c r="AE655" s="79"/>
      <c r="AF655" s="79"/>
      <c r="AG655" s="79"/>
      <c r="AH655" s="79"/>
      <c r="AI655" s="79"/>
      <c r="AJ655" s="79"/>
      <c r="AK655" s="79"/>
    </row>
    <row r="656" spans="1:37" s="78" customFormat="1" ht="12" customHeight="1">
      <c r="A656" s="76"/>
      <c r="B656" s="76"/>
      <c r="C656" s="76"/>
      <c r="D656" s="76"/>
      <c r="E656" s="76"/>
      <c r="F656" s="77"/>
      <c r="G656" s="76"/>
      <c r="H656" s="76"/>
      <c r="I656" s="76"/>
      <c r="J656" s="76"/>
      <c r="K656" s="76"/>
      <c r="L656" s="76"/>
      <c r="M656" s="76"/>
      <c r="N656" s="76"/>
      <c r="O656" s="76"/>
      <c r="P656" s="76"/>
      <c r="Q656" s="76"/>
      <c r="R656" s="76"/>
      <c r="S656" s="76"/>
      <c r="T656" s="76"/>
      <c r="U656" s="76"/>
      <c r="V656" s="76"/>
      <c r="W656" s="76"/>
      <c r="X656" s="76"/>
      <c r="Y656" s="76"/>
      <c r="Z656" s="76"/>
      <c r="AA656" s="79"/>
      <c r="AB656" s="79"/>
      <c r="AC656" s="79"/>
      <c r="AD656" s="79"/>
      <c r="AE656" s="79"/>
      <c r="AF656" s="79"/>
      <c r="AG656" s="79"/>
      <c r="AH656" s="79"/>
      <c r="AI656" s="79"/>
      <c r="AJ656" s="79"/>
      <c r="AK656" s="79"/>
    </row>
    <row r="657" spans="1:37" s="78" customFormat="1" ht="12" customHeight="1">
      <c r="A657" s="76"/>
      <c r="B657" s="76"/>
      <c r="C657" s="76"/>
      <c r="D657" s="76"/>
      <c r="E657" s="76"/>
      <c r="F657" s="77"/>
      <c r="G657" s="76"/>
      <c r="H657" s="76"/>
      <c r="I657" s="76"/>
      <c r="J657" s="76"/>
      <c r="K657" s="76"/>
      <c r="L657" s="76"/>
      <c r="M657" s="76"/>
      <c r="N657" s="76"/>
      <c r="O657" s="76"/>
      <c r="P657" s="76"/>
      <c r="Q657" s="76"/>
      <c r="R657" s="76"/>
      <c r="S657" s="76"/>
      <c r="T657" s="76"/>
      <c r="U657" s="76"/>
      <c r="V657" s="76"/>
      <c r="W657" s="76"/>
      <c r="X657" s="76"/>
      <c r="Y657" s="76"/>
      <c r="Z657" s="76"/>
      <c r="AA657" s="79"/>
      <c r="AB657" s="79"/>
      <c r="AC657" s="79"/>
      <c r="AD657" s="79"/>
      <c r="AE657" s="79"/>
      <c r="AF657" s="79"/>
      <c r="AG657" s="79"/>
      <c r="AH657" s="79"/>
      <c r="AI657" s="79"/>
      <c r="AJ657" s="79"/>
      <c r="AK657" s="79"/>
    </row>
    <row r="658" spans="1:37" s="78" customFormat="1" ht="12" customHeight="1">
      <c r="A658" s="76"/>
      <c r="B658" s="76"/>
      <c r="C658" s="76"/>
      <c r="D658" s="76"/>
      <c r="E658" s="76"/>
      <c r="F658" s="77"/>
      <c r="G658" s="76"/>
      <c r="H658" s="76"/>
      <c r="I658" s="76"/>
      <c r="J658" s="76"/>
      <c r="K658" s="76"/>
      <c r="L658" s="76"/>
      <c r="M658" s="76"/>
      <c r="N658" s="76"/>
      <c r="O658" s="76"/>
      <c r="P658" s="76"/>
      <c r="Q658" s="76"/>
      <c r="R658" s="76"/>
      <c r="S658" s="76"/>
      <c r="T658" s="76"/>
      <c r="U658" s="76"/>
      <c r="V658" s="76"/>
      <c r="W658" s="76"/>
      <c r="X658" s="76"/>
      <c r="Y658" s="76"/>
      <c r="Z658" s="76"/>
      <c r="AA658" s="79"/>
      <c r="AB658" s="79"/>
      <c r="AC658" s="79"/>
      <c r="AD658" s="79"/>
      <c r="AE658" s="79"/>
      <c r="AF658" s="79"/>
      <c r="AG658" s="79"/>
      <c r="AH658" s="79"/>
      <c r="AI658" s="79"/>
      <c r="AJ658" s="79"/>
      <c r="AK658" s="79"/>
    </row>
    <row r="659" spans="1:37" s="78" customFormat="1" ht="12" customHeight="1">
      <c r="A659" s="76"/>
      <c r="B659" s="76"/>
      <c r="C659" s="76"/>
      <c r="D659" s="76"/>
      <c r="E659" s="76"/>
      <c r="F659" s="77"/>
      <c r="G659" s="76"/>
      <c r="H659" s="76"/>
      <c r="I659" s="76"/>
      <c r="J659" s="76"/>
      <c r="K659" s="76"/>
      <c r="L659" s="76"/>
      <c r="M659" s="76"/>
      <c r="N659" s="76"/>
      <c r="O659" s="76"/>
      <c r="P659" s="76"/>
      <c r="Q659" s="76"/>
      <c r="R659" s="76"/>
      <c r="S659" s="76"/>
      <c r="T659" s="76"/>
      <c r="U659" s="76"/>
      <c r="V659" s="76"/>
      <c r="W659" s="76"/>
      <c r="X659" s="76"/>
      <c r="Y659" s="76"/>
      <c r="Z659" s="76"/>
      <c r="AA659" s="79"/>
      <c r="AB659" s="79"/>
      <c r="AC659" s="79"/>
      <c r="AD659" s="79"/>
      <c r="AE659" s="79"/>
      <c r="AF659" s="79"/>
      <c r="AG659" s="79"/>
      <c r="AH659" s="79"/>
      <c r="AI659" s="79"/>
      <c r="AJ659" s="79"/>
      <c r="AK659" s="79"/>
    </row>
    <row r="660" spans="1:37" s="78" customFormat="1" ht="12" customHeight="1">
      <c r="A660" s="76"/>
      <c r="B660" s="76"/>
      <c r="C660" s="76"/>
      <c r="D660" s="76"/>
      <c r="E660" s="76"/>
      <c r="F660" s="77"/>
      <c r="G660" s="76"/>
      <c r="H660" s="76"/>
      <c r="I660" s="76"/>
      <c r="J660" s="76"/>
      <c r="K660" s="76"/>
      <c r="L660" s="76"/>
      <c r="M660" s="76"/>
      <c r="N660" s="76"/>
      <c r="O660" s="76"/>
      <c r="P660" s="76"/>
      <c r="Q660" s="76"/>
      <c r="R660" s="76"/>
      <c r="S660" s="76"/>
      <c r="T660" s="76"/>
      <c r="U660" s="76"/>
      <c r="V660" s="76"/>
      <c r="W660" s="76"/>
      <c r="X660" s="76"/>
      <c r="Y660" s="76"/>
      <c r="Z660" s="76"/>
      <c r="AA660" s="79"/>
      <c r="AB660" s="79"/>
      <c r="AC660" s="79"/>
      <c r="AD660" s="79"/>
      <c r="AE660" s="79"/>
      <c r="AF660" s="79"/>
      <c r="AG660" s="79"/>
      <c r="AH660" s="79"/>
      <c r="AI660" s="79"/>
      <c r="AJ660" s="79"/>
      <c r="AK660" s="79"/>
    </row>
    <row r="661" spans="1:37" s="78" customFormat="1" ht="12" customHeight="1">
      <c r="A661" s="76"/>
      <c r="B661" s="76"/>
      <c r="C661" s="76"/>
      <c r="D661" s="76"/>
      <c r="E661" s="76"/>
      <c r="F661" s="77"/>
      <c r="G661" s="76"/>
      <c r="H661" s="76"/>
      <c r="I661" s="76"/>
      <c r="J661" s="76"/>
      <c r="K661" s="76"/>
      <c r="L661" s="76"/>
      <c r="M661" s="76"/>
      <c r="N661" s="76"/>
      <c r="O661" s="76"/>
      <c r="P661" s="76"/>
      <c r="Q661" s="76"/>
      <c r="R661" s="76"/>
      <c r="S661" s="76"/>
      <c r="T661" s="76"/>
      <c r="U661" s="76"/>
      <c r="V661" s="76"/>
      <c r="W661" s="76"/>
      <c r="X661" s="76"/>
      <c r="Y661" s="76"/>
      <c r="Z661" s="76"/>
      <c r="AA661" s="79"/>
      <c r="AB661" s="79"/>
      <c r="AC661" s="79"/>
      <c r="AD661" s="79"/>
      <c r="AE661" s="79"/>
      <c r="AF661" s="79"/>
      <c r="AG661" s="79"/>
      <c r="AH661" s="79"/>
      <c r="AI661" s="79"/>
      <c r="AJ661" s="79"/>
      <c r="AK661" s="79"/>
    </row>
    <row r="662" spans="1:37" s="78" customFormat="1" ht="12" customHeight="1">
      <c r="A662" s="76"/>
      <c r="B662" s="76"/>
      <c r="C662" s="76"/>
      <c r="D662" s="76"/>
      <c r="E662" s="76"/>
      <c r="F662" s="77"/>
      <c r="G662" s="76"/>
      <c r="H662" s="76"/>
      <c r="I662" s="76"/>
      <c r="J662" s="76"/>
      <c r="K662" s="76"/>
      <c r="L662" s="76"/>
      <c r="M662" s="76"/>
      <c r="N662" s="76"/>
      <c r="O662" s="76"/>
      <c r="P662" s="76"/>
      <c r="Q662" s="76"/>
      <c r="R662" s="76"/>
      <c r="S662" s="76"/>
      <c r="T662" s="76"/>
      <c r="U662" s="76"/>
      <c r="V662" s="76"/>
      <c r="W662" s="76"/>
      <c r="X662" s="76"/>
      <c r="Y662" s="76"/>
      <c r="Z662" s="76"/>
      <c r="AA662" s="79"/>
      <c r="AB662" s="79"/>
      <c r="AC662" s="79"/>
      <c r="AD662" s="79"/>
      <c r="AE662" s="79"/>
      <c r="AF662" s="79"/>
      <c r="AG662" s="79"/>
      <c r="AH662" s="79"/>
      <c r="AI662" s="79"/>
      <c r="AJ662" s="79"/>
      <c r="AK662" s="79"/>
    </row>
    <row r="663" spans="1:37" s="78" customFormat="1" ht="12" customHeight="1">
      <c r="A663" s="76"/>
      <c r="B663" s="76"/>
      <c r="C663" s="76"/>
      <c r="D663" s="76"/>
      <c r="E663" s="76"/>
      <c r="F663" s="77"/>
      <c r="G663" s="76"/>
      <c r="H663" s="76"/>
      <c r="I663" s="76"/>
      <c r="J663" s="76"/>
      <c r="K663" s="76"/>
      <c r="L663" s="76"/>
      <c r="M663" s="76"/>
      <c r="N663" s="76"/>
      <c r="O663" s="76"/>
      <c r="P663" s="76"/>
      <c r="Q663" s="76"/>
      <c r="R663" s="76"/>
      <c r="S663" s="76"/>
      <c r="T663" s="76"/>
      <c r="U663" s="76"/>
      <c r="V663" s="76"/>
      <c r="W663" s="76"/>
      <c r="X663" s="76"/>
      <c r="Y663" s="76"/>
      <c r="Z663" s="76"/>
      <c r="AA663" s="79"/>
      <c r="AB663" s="79"/>
      <c r="AC663" s="79"/>
      <c r="AD663" s="79"/>
      <c r="AE663" s="79"/>
      <c r="AF663" s="79"/>
      <c r="AG663" s="79"/>
      <c r="AH663" s="79"/>
      <c r="AI663" s="79"/>
      <c r="AJ663" s="79"/>
      <c r="AK663" s="79"/>
    </row>
    <row r="664" spans="1:37" s="78" customFormat="1" ht="12" customHeight="1">
      <c r="A664" s="76"/>
      <c r="B664" s="76"/>
      <c r="C664" s="76"/>
      <c r="D664" s="76"/>
      <c r="E664" s="76"/>
      <c r="F664" s="77"/>
      <c r="G664" s="76"/>
      <c r="H664" s="76"/>
      <c r="I664" s="76"/>
      <c r="J664" s="76"/>
      <c r="K664" s="76"/>
      <c r="L664" s="76"/>
      <c r="M664" s="76"/>
      <c r="N664" s="76"/>
      <c r="O664" s="76"/>
      <c r="P664" s="76"/>
      <c r="Q664" s="76"/>
      <c r="R664" s="76"/>
      <c r="S664" s="76"/>
      <c r="T664" s="76"/>
      <c r="U664" s="76"/>
      <c r="V664" s="76"/>
      <c r="W664" s="76"/>
      <c r="X664" s="76"/>
      <c r="Y664" s="76"/>
      <c r="Z664" s="76"/>
      <c r="AA664" s="79"/>
      <c r="AB664" s="79"/>
      <c r="AC664" s="79"/>
      <c r="AD664" s="79"/>
      <c r="AE664" s="79"/>
      <c r="AF664" s="79"/>
      <c r="AG664" s="79"/>
      <c r="AH664" s="79"/>
      <c r="AI664" s="79"/>
      <c r="AJ664" s="79"/>
      <c r="AK664" s="79"/>
    </row>
    <row r="665" spans="1:37" s="78" customFormat="1" ht="12" customHeight="1">
      <c r="A665" s="76"/>
      <c r="B665" s="76"/>
      <c r="C665" s="76"/>
      <c r="D665" s="76"/>
      <c r="E665" s="76"/>
      <c r="F665" s="77"/>
      <c r="G665" s="76"/>
      <c r="H665" s="76"/>
      <c r="I665" s="76"/>
      <c r="J665" s="76"/>
      <c r="K665" s="76"/>
      <c r="L665" s="76"/>
      <c r="M665" s="76"/>
      <c r="N665" s="76"/>
      <c r="O665" s="76"/>
      <c r="P665" s="76"/>
      <c r="Q665" s="76"/>
      <c r="R665" s="76"/>
      <c r="S665" s="76"/>
      <c r="T665" s="76"/>
      <c r="U665" s="76"/>
      <c r="V665" s="76"/>
      <c r="W665" s="76"/>
      <c r="X665" s="76"/>
      <c r="Y665" s="76"/>
      <c r="Z665" s="76"/>
      <c r="AA665" s="79"/>
      <c r="AB665" s="79"/>
      <c r="AC665" s="79"/>
      <c r="AD665" s="79"/>
      <c r="AE665" s="79"/>
      <c r="AF665" s="79"/>
      <c r="AG665" s="79"/>
      <c r="AH665" s="79"/>
      <c r="AI665" s="79"/>
      <c r="AJ665" s="79"/>
      <c r="AK665" s="79"/>
    </row>
    <row r="666" spans="1:37" s="78" customFormat="1" ht="12" customHeight="1">
      <c r="A666" s="76"/>
      <c r="B666" s="76"/>
      <c r="C666" s="76"/>
      <c r="D666" s="76"/>
      <c r="E666" s="76"/>
      <c r="F666" s="77"/>
      <c r="G666" s="76"/>
      <c r="H666" s="76"/>
      <c r="I666" s="76"/>
      <c r="J666" s="76"/>
      <c r="K666" s="76"/>
      <c r="L666" s="76"/>
      <c r="M666" s="76"/>
      <c r="N666" s="76"/>
      <c r="O666" s="76"/>
      <c r="P666" s="76"/>
      <c r="Q666" s="76"/>
      <c r="R666" s="76"/>
      <c r="S666" s="76"/>
      <c r="T666" s="76"/>
      <c r="U666" s="76"/>
      <c r="V666" s="76"/>
      <c r="W666" s="76"/>
      <c r="X666" s="76"/>
      <c r="Y666" s="76"/>
      <c r="Z666" s="76"/>
      <c r="AA666" s="79"/>
      <c r="AB666" s="79"/>
      <c r="AC666" s="79"/>
      <c r="AD666" s="79"/>
      <c r="AE666" s="79"/>
      <c r="AF666" s="79"/>
      <c r="AG666" s="79"/>
      <c r="AH666" s="79"/>
      <c r="AI666" s="79"/>
      <c r="AJ666" s="79"/>
      <c r="AK666" s="79"/>
    </row>
    <row r="667" spans="1:37" s="78" customFormat="1" ht="12" customHeight="1">
      <c r="A667" s="76"/>
      <c r="B667" s="76"/>
      <c r="C667" s="76"/>
      <c r="D667" s="76"/>
      <c r="E667" s="76"/>
      <c r="F667" s="77"/>
      <c r="G667" s="76"/>
      <c r="H667" s="76"/>
      <c r="I667" s="76"/>
      <c r="J667" s="76"/>
      <c r="K667" s="76"/>
      <c r="L667" s="76"/>
      <c r="M667" s="76"/>
      <c r="N667" s="76"/>
      <c r="O667" s="76"/>
      <c r="P667" s="76"/>
      <c r="Q667" s="76"/>
      <c r="R667" s="76"/>
      <c r="S667" s="76"/>
      <c r="T667" s="76"/>
      <c r="U667" s="76"/>
      <c r="V667" s="76"/>
      <c r="W667" s="76"/>
      <c r="X667" s="76"/>
      <c r="Y667" s="76"/>
      <c r="Z667" s="76"/>
      <c r="AA667" s="79"/>
      <c r="AB667" s="79"/>
      <c r="AC667" s="79"/>
      <c r="AD667" s="79"/>
      <c r="AE667" s="79"/>
      <c r="AF667" s="79"/>
      <c r="AG667" s="79"/>
      <c r="AH667" s="79"/>
      <c r="AI667" s="79"/>
      <c r="AJ667" s="79"/>
      <c r="AK667" s="79"/>
    </row>
    <row r="668" spans="1:37" s="78" customFormat="1" ht="12" customHeight="1">
      <c r="A668" s="76"/>
      <c r="B668" s="76"/>
      <c r="C668" s="76"/>
      <c r="D668" s="76"/>
      <c r="E668" s="76"/>
      <c r="F668" s="77"/>
      <c r="G668" s="76"/>
      <c r="H668" s="76"/>
      <c r="I668" s="76"/>
      <c r="J668" s="76"/>
      <c r="K668" s="76"/>
      <c r="L668" s="76"/>
      <c r="M668" s="76"/>
      <c r="N668" s="76"/>
      <c r="O668" s="76"/>
      <c r="P668" s="76"/>
      <c r="Q668" s="76"/>
      <c r="R668" s="76"/>
      <c r="S668" s="76"/>
      <c r="T668" s="76"/>
      <c r="U668" s="76"/>
      <c r="V668" s="76"/>
      <c r="W668" s="76"/>
      <c r="X668" s="76"/>
      <c r="Y668" s="76"/>
      <c r="Z668" s="76"/>
      <c r="AA668" s="79"/>
      <c r="AB668" s="79"/>
      <c r="AC668" s="79"/>
      <c r="AD668" s="79"/>
      <c r="AE668" s="79"/>
      <c r="AF668" s="79"/>
      <c r="AG668" s="79"/>
      <c r="AH668" s="79"/>
      <c r="AI668" s="79"/>
      <c r="AJ668" s="79"/>
      <c r="AK668" s="79"/>
    </row>
    <row r="669" spans="1:37" s="78" customFormat="1" ht="12" customHeight="1">
      <c r="A669" s="76"/>
      <c r="B669" s="76"/>
      <c r="C669" s="76"/>
      <c r="D669" s="76"/>
      <c r="E669" s="76"/>
      <c r="F669" s="77"/>
      <c r="G669" s="76"/>
      <c r="H669" s="76"/>
      <c r="I669" s="76"/>
      <c r="J669" s="76"/>
      <c r="K669" s="76"/>
      <c r="L669" s="76"/>
      <c r="M669" s="76"/>
      <c r="N669" s="76"/>
      <c r="O669" s="76"/>
      <c r="P669" s="76"/>
      <c r="Q669" s="76"/>
      <c r="R669" s="76"/>
      <c r="S669" s="76"/>
      <c r="T669" s="76"/>
      <c r="U669" s="76"/>
      <c r="V669" s="76"/>
      <c r="W669" s="76"/>
      <c r="X669" s="76"/>
      <c r="Y669" s="76"/>
      <c r="Z669" s="76"/>
      <c r="AA669" s="79"/>
      <c r="AB669" s="79"/>
      <c r="AC669" s="79"/>
      <c r="AD669" s="79"/>
      <c r="AE669" s="79"/>
      <c r="AF669" s="79"/>
      <c r="AG669" s="79"/>
      <c r="AH669" s="79"/>
      <c r="AI669" s="79"/>
      <c r="AJ669" s="79"/>
      <c r="AK669" s="79"/>
    </row>
    <row r="670" spans="1:37" s="78" customFormat="1" ht="12" customHeight="1">
      <c r="A670" s="76"/>
      <c r="B670" s="76"/>
      <c r="C670" s="76"/>
      <c r="D670" s="76"/>
      <c r="E670" s="76"/>
      <c r="F670" s="77"/>
      <c r="G670" s="76"/>
      <c r="H670" s="76"/>
      <c r="I670" s="76"/>
      <c r="J670" s="76"/>
      <c r="K670" s="76"/>
      <c r="L670" s="76"/>
      <c r="M670" s="76"/>
      <c r="N670" s="76"/>
      <c r="O670" s="76"/>
      <c r="P670" s="76"/>
      <c r="Q670" s="76"/>
      <c r="R670" s="76"/>
      <c r="S670" s="76"/>
      <c r="T670" s="76"/>
      <c r="U670" s="76"/>
      <c r="V670" s="76"/>
      <c r="W670" s="76"/>
      <c r="X670" s="76"/>
      <c r="Y670" s="76"/>
      <c r="Z670" s="76"/>
      <c r="AA670" s="79"/>
      <c r="AB670" s="79"/>
      <c r="AC670" s="79"/>
      <c r="AD670" s="79"/>
      <c r="AE670" s="79"/>
      <c r="AF670" s="79"/>
      <c r="AG670" s="79"/>
      <c r="AH670" s="79"/>
      <c r="AI670" s="79"/>
      <c r="AJ670" s="79"/>
      <c r="AK670" s="79"/>
    </row>
    <row r="671" spans="1:37" s="78" customFormat="1" ht="12" customHeight="1">
      <c r="A671" s="76"/>
      <c r="B671" s="76"/>
      <c r="C671" s="76"/>
      <c r="D671" s="76"/>
      <c r="E671" s="76"/>
      <c r="F671" s="77"/>
      <c r="G671" s="76"/>
      <c r="H671" s="76"/>
      <c r="I671" s="76"/>
      <c r="J671" s="76"/>
      <c r="K671" s="76"/>
      <c r="L671" s="76"/>
      <c r="M671" s="76"/>
      <c r="N671" s="76"/>
      <c r="O671" s="76"/>
      <c r="P671" s="76"/>
      <c r="Q671" s="76"/>
      <c r="R671" s="76"/>
      <c r="S671" s="76"/>
      <c r="T671" s="76"/>
      <c r="U671" s="76"/>
      <c r="V671" s="76"/>
      <c r="W671" s="76"/>
      <c r="X671" s="76"/>
      <c r="Y671" s="76"/>
      <c r="Z671" s="76"/>
      <c r="AA671" s="79"/>
      <c r="AB671" s="79"/>
      <c r="AC671" s="79"/>
      <c r="AD671" s="79"/>
      <c r="AE671" s="79"/>
      <c r="AF671" s="79"/>
      <c r="AG671" s="79"/>
      <c r="AH671" s="79"/>
      <c r="AI671" s="79"/>
      <c r="AJ671" s="79"/>
      <c r="AK671" s="79"/>
    </row>
    <row r="672" spans="1:37" s="78" customFormat="1" ht="12" customHeight="1">
      <c r="A672" s="76"/>
      <c r="B672" s="76"/>
      <c r="C672" s="76"/>
      <c r="D672" s="76"/>
      <c r="E672" s="76"/>
      <c r="F672" s="77"/>
      <c r="G672" s="76"/>
      <c r="H672" s="76"/>
      <c r="I672" s="76"/>
      <c r="J672" s="76"/>
      <c r="K672" s="76"/>
      <c r="L672" s="76"/>
      <c r="M672" s="76"/>
      <c r="N672" s="76"/>
      <c r="O672" s="76"/>
      <c r="P672" s="76"/>
      <c r="Q672" s="76"/>
      <c r="R672" s="76"/>
      <c r="S672" s="76"/>
      <c r="T672" s="76"/>
      <c r="U672" s="76"/>
      <c r="V672" s="76"/>
      <c r="W672" s="76"/>
      <c r="X672" s="76"/>
      <c r="Y672" s="76"/>
      <c r="Z672" s="76"/>
      <c r="AA672" s="79"/>
      <c r="AB672" s="79"/>
      <c r="AC672" s="79"/>
      <c r="AD672" s="79"/>
      <c r="AE672" s="79"/>
      <c r="AF672" s="79"/>
      <c r="AG672" s="79"/>
      <c r="AH672" s="79"/>
      <c r="AI672" s="79"/>
      <c r="AJ672" s="79"/>
      <c r="AK672" s="79"/>
    </row>
    <row r="673" spans="1:37" s="78" customFormat="1" ht="12" customHeight="1">
      <c r="A673" s="76"/>
      <c r="B673" s="76"/>
      <c r="C673" s="76"/>
      <c r="D673" s="76"/>
      <c r="E673" s="76"/>
      <c r="F673" s="77"/>
      <c r="G673" s="76"/>
      <c r="H673" s="76"/>
      <c r="I673" s="76"/>
      <c r="J673" s="76"/>
      <c r="K673" s="76"/>
      <c r="L673" s="76"/>
      <c r="M673" s="76"/>
      <c r="N673" s="76"/>
      <c r="O673" s="76"/>
      <c r="P673" s="76"/>
      <c r="Q673" s="76"/>
      <c r="R673" s="76"/>
      <c r="S673" s="76"/>
      <c r="T673" s="76"/>
      <c r="U673" s="76"/>
      <c r="V673" s="76"/>
      <c r="W673" s="76"/>
      <c r="X673" s="76"/>
      <c r="Y673" s="76"/>
      <c r="Z673" s="76"/>
      <c r="AA673" s="79"/>
      <c r="AB673" s="79"/>
      <c r="AC673" s="79"/>
      <c r="AD673" s="79"/>
      <c r="AE673" s="79"/>
      <c r="AF673" s="79"/>
      <c r="AG673" s="79"/>
      <c r="AH673" s="79"/>
      <c r="AI673" s="79"/>
      <c r="AJ673" s="79"/>
      <c r="AK673" s="79"/>
    </row>
    <row r="674" spans="1:37" s="78" customFormat="1" ht="12" customHeight="1">
      <c r="A674" s="76"/>
      <c r="B674" s="76"/>
      <c r="C674" s="76"/>
      <c r="D674" s="76"/>
      <c r="E674" s="76"/>
      <c r="F674" s="77"/>
      <c r="G674" s="76"/>
      <c r="H674" s="76"/>
      <c r="I674" s="76"/>
      <c r="J674" s="76"/>
      <c r="K674" s="76"/>
      <c r="L674" s="76"/>
      <c r="M674" s="76"/>
      <c r="N674" s="76"/>
      <c r="O674" s="76"/>
      <c r="P674" s="76"/>
      <c r="Q674" s="76"/>
      <c r="R674" s="76"/>
      <c r="S674" s="76"/>
      <c r="T674" s="76"/>
      <c r="U674" s="76"/>
      <c r="V674" s="76"/>
      <c r="W674" s="76"/>
      <c r="X674" s="76"/>
      <c r="Y674" s="76"/>
      <c r="Z674" s="76"/>
      <c r="AA674" s="79"/>
      <c r="AB674" s="79"/>
      <c r="AC674" s="79"/>
      <c r="AD674" s="79"/>
      <c r="AE674" s="79"/>
      <c r="AF674" s="79"/>
      <c r="AG674" s="79"/>
      <c r="AH674" s="79"/>
      <c r="AI674" s="79"/>
      <c r="AJ674" s="79"/>
      <c r="AK674" s="79"/>
    </row>
    <row r="675" spans="1:37" s="78" customFormat="1" ht="12" customHeight="1">
      <c r="A675" s="76"/>
      <c r="B675" s="76"/>
      <c r="C675" s="76"/>
      <c r="D675" s="76"/>
      <c r="E675" s="76"/>
      <c r="F675" s="77"/>
      <c r="G675" s="76"/>
      <c r="H675" s="76"/>
      <c r="I675" s="76"/>
      <c r="J675" s="76"/>
      <c r="K675" s="76"/>
      <c r="L675" s="76"/>
      <c r="M675" s="76"/>
      <c r="N675" s="76"/>
      <c r="O675" s="76"/>
      <c r="P675" s="76"/>
      <c r="Q675" s="76"/>
      <c r="R675" s="76"/>
      <c r="S675" s="76"/>
      <c r="T675" s="76"/>
      <c r="U675" s="76"/>
      <c r="V675" s="76"/>
      <c r="W675" s="76"/>
      <c r="X675" s="76"/>
      <c r="Y675" s="76"/>
      <c r="Z675" s="76"/>
      <c r="AA675" s="79"/>
      <c r="AB675" s="79"/>
      <c r="AC675" s="79"/>
      <c r="AD675" s="79"/>
      <c r="AE675" s="79"/>
      <c r="AF675" s="79"/>
      <c r="AG675" s="79"/>
      <c r="AH675" s="79"/>
      <c r="AI675" s="79"/>
      <c r="AJ675" s="79"/>
      <c r="AK675" s="79"/>
    </row>
    <row r="676" spans="1:37" s="78" customFormat="1" ht="12" customHeight="1">
      <c r="A676" s="76"/>
      <c r="B676" s="76"/>
      <c r="C676" s="76"/>
      <c r="D676" s="76"/>
      <c r="E676" s="76"/>
      <c r="F676" s="77"/>
      <c r="G676" s="76"/>
      <c r="H676" s="76"/>
      <c r="I676" s="76"/>
      <c r="J676" s="76"/>
      <c r="K676" s="76"/>
      <c r="L676" s="76"/>
      <c r="M676" s="76"/>
      <c r="N676" s="76"/>
      <c r="O676" s="76"/>
      <c r="P676" s="76"/>
      <c r="Q676" s="76"/>
      <c r="R676" s="76"/>
      <c r="S676" s="76"/>
      <c r="T676" s="76"/>
      <c r="U676" s="76"/>
      <c r="V676" s="76"/>
      <c r="W676" s="76"/>
      <c r="X676" s="76"/>
      <c r="Y676" s="76"/>
      <c r="Z676" s="76"/>
      <c r="AA676" s="79"/>
      <c r="AB676" s="79"/>
      <c r="AC676" s="79"/>
      <c r="AD676" s="79"/>
      <c r="AE676" s="79"/>
      <c r="AF676" s="79"/>
      <c r="AG676" s="79"/>
      <c r="AH676" s="79"/>
      <c r="AI676" s="79"/>
      <c r="AJ676" s="79"/>
      <c r="AK676" s="79"/>
    </row>
    <row r="677" spans="1:37" s="78" customFormat="1" ht="12" customHeight="1">
      <c r="A677" s="76"/>
      <c r="B677" s="76"/>
      <c r="C677" s="76"/>
      <c r="D677" s="76"/>
      <c r="E677" s="76"/>
      <c r="F677" s="77"/>
      <c r="G677" s="76"/>
      <c r="H677" s="76"/>
      <c r="I677" s="76"/>
      <c r="J677" s="76"/>
      <c r="K677" s="76"/>
      <c r="L677" s="76"/>
      <c r="M677" s="76"/>
      <c r="N677" s="76"/>
      <c r="O677" s="76"/>
      <c r="P677" s="76"/>
      <c r="Q677" s="76"/>
      <c r="R677" s="76"/>
      <c r="S677" s="76"/>
      <c r="T677" s="76"/>
      <c r="U677" s="76"/>
      <c r="V677" s="76"/>
      <c r="W677" s="76"/>
      <c r="X677" s="76"/>
      <c r="Y677" s="76"/>
      <c r="Z677" s="76"/>
      <c r="AA677" s="79"/>
      <c r="AB677" s="79"/>
      <c r="AC677" s="79"/>
      <c r="AD677" s="79"/>
      <c r="AE677" s="79"/>
      <c r="AF677" s="79"/>
      <c r="AG677" s="79"/>
      <c r="AH677" s="79"/>
      <c r="AI677" s="79"/>
      <c r="AJ677" s="79"/>
      <c r="AK677" s="79"/>
    </row>
    <row r="678" spans="1:37" s="78" customFormat="1" ht="12" customHeight="1">
      <c r="A678" s="76"/>
      <c r="B678" s="76"/>
      <c r="C678" s="76"/>
      <c r="D678" s="76"/>
      <c r="E678" s="76"/>
      <c r="F678" s="77"/>
      <c r="G678" s="76"/>
      <c r="H678" s="76"/>
      <c r="I678" s="76"/>
      <c r="J678" s="76"/>
      <c r="K678" s="76"/>
      <c r="L678" s="76"/>
      <c r="M678" s="76"/>
      <c r="N678" s="76"/>
      <c r="O678" s="76"/>
      <c r="P678" s="76"/>
      <c r="Q678" s="76"/>
      <c r="R678" s="76"/>
      <c r="S678" s="76"/>
      <c r="T678" s="76"/>
      <c r="U678" s="76"/>
      <c r="V678" s="76"/>
      <c r="W678" s="76"/>
      <c r="X678" s="76"/>
      <c r="Y678" s="76"/>
      <c r="Z678" s="76"/>
      <c r="AA678" s="79"/>
      <c r="AB678" s="79"/>
      <c r="AC678" s="79"/>
      <c r="AD678" s="79"/>
      <c r="AE678" s="79"/>
      <c r="AF678" s="79"/>
      <c r="AG678" s="79"/>
      <c r="AH678" s="79"/>
      <c r="AI678" s="79"/>
      <c r="AJ678" s="79"/>
      <c r="AK678" s="79"/>
    </row>
    <row r="679" spans="1:37" s="78" customFormat="1" ht="12" customHeight="1">
      <c r="A679" s="76"/>
      <c r="B679" s="76"/>
      <c r="C679" s="76"/>
      <c r="D679" s="76"/>
      <c r="E679" s="76"/>
      <c r="F679" s="77"/>
      <c r="G679" s="76"/>
      <c r="H679" s="76"/>
      <c r="I679" s="76"/>
      <c r="J679" s="76"/>
      <c r="K679" s="76"/>
      <c r="L679" s="76"/>
      <c r="M679" s="76"/>
      <c r="N679" s="76"/>
      <c r="O679" s="76"/>
      <c r="P679" s="76"/>
      <c r="Q679" s="76"/>
      <c r="R679" s="76"/>
      <c r="S679" s="76"/>
      <c r="T679" s="76"/>
      <c r="U679" s="76"/>
      <c r="V679" s="76"/>
      <c r="W679" s="76"/>
      <c r="X679" s="76"/>
      <c r="Y679" s="76"/>
      <c r="Z679" s="76"/>
      <c r="AA679" s="79"/>
      <c r="AB679" s="79"/>
      <c r="AC679" s="79"/>
      <c r="AD679" s="79"/>
      <c r="AE679" s="79"/>
      <c r="AF679" s="79"/>
      <c r="AG679" s="79"/>
      <c r="AH679" s="79"/>
      <c r="AI679" s="79"/>
      <c r="AJ679" s="79"/>
      <c r="AK679" s="79"/>
    </row>
    <row r="680" spans="1:37" s="78" customFormat="1" ht="12" customHeight="1">
      <c r="A680" s="76"/>
      <c r="B680" s="76"/>
      <c r="C680" s="76"/>
      <c r="D680" s="76"/>
      <c r="E680" s="76"/>
      <c r="F680" s="77"/>
      <c r="G680" s="76"/>
      <c r="H680" s="76"/>
      <c r="I680" s="76"/>
      <c r="J680" s="76"/>
      <c r="K680" s="76"/>
      <c r="L680" s="76"/>
      <c r="M680" s="76"/>
      <c r="N680" s="76"/>
      <c r="O680" s="76"/>
      <c r="P680" s="76"/>
      <c r="Q680" s="76"/>
      <c r="R680" s="76"/>
      <c r="S680" s="76"/>
      <c r="T680" s="76"/>
      <c r="U680" s="76"/>
      <c r="V680" s="76"/>
      <c r="W680" s="76"/>
      <c r="X680" s="76"/>
      <c r="Y680" s="76"/>
      <c r="Z680" s="76"/>
      <c r="AA680" s="79"/>
      <c r="AB680" s="79"/>
      <c r="AC680" s="79"/>
      <c r="AD680" s="79"/>
      <c r="AE680" s="79"/>
      <c r="AF680" s="79"/>
      <c r="AG680" s="79"/>
      <c r="AH680" s="79"/>
      <c r="AI680" s="79"/>
      <c r="AJ680" s="79"/>
      <c r="AK680" s="79"/>
    </row>
    <row r="681" spans="1:37" s="78" customFormat="1" ht="12" customHeight="1">
      <c r="A681" s="76"/>
      <c r="B681" s="76"/>
      <c r="C681" s="76"/>
      <c r="D681" s="76"/>
      <c r="E681" s="76"/>
      <c r="F681" s="77"/>
      <c r="G681" s="76"/>
      <c r="H681" s="76"/>
      <c r="I681" s="76"/>
      <c r="J681" s="76"/>
      <c r="K681" s="76"/>
      <c r="L681" s="76"/>
      <c r="M681" s="76"/>
      <c r="N681" s="76"/>
      <c r="O681" s="76"/>
      <c r="P681" s="76"/>
      <c r="Q681" s="76"/>
      <c r="R681" s="76"/>
      <c r="S681" s="76"/>
      <c r="T681" s="76"/>
      <c r="U681" s="76"/>
      <c r="V681" s="76"/>
      <c r="W681" s="76"/>
      <c r="X681" s="76"/>
      <c r="Y681" s="76"/>
      <c r="Z681" s="76"/>
      <c r="AA681" s="79"/>
      <c r="AB681" s="79"/>
      <c r="AC681" s="79"/>
      <c r="AD681" s="79"/>
      <c r="AE681" s="79"/>
      <c r="AF681" s="79"/>
      <c r="AG681" s="79"/>
      <c r="AH681" s="79"/>
      <c r="AI681" s="79"/>
      <c r="AJ681" s="79"/>
      <c r="AK681" s="79"/>
    </row>
    <row r="682" spans="1:37" s="78" customFormat="1" ht="12" customHeight="1">
      <c r="A682" s="76"/>
      <c r="B682" s="76"/>
      <c r="C682" s="76"/>
      <c r="D682" s="76"/>
      <c r="E682" s="76"/>
      <c r="F682" s="77"/>
      <c r="G682" s="76"/>
      <c r="H682" s="76"/>
      <c r="I682" s="76"/>
      <c r="J682" s="76"/>
      <c r="K682" s="76"/>
      <c r="L682" s="76"/>
      <c r="M682" s="76"/>
      <c r="N682" s="76"/>
      <c r="O682" s="76"/>
      <c r="P682" s="76"/>
      <c r="Q682" s="76"/>
      <c r="R682" s="76"/>
      <c r="S682" s="76"/>
      <c r="T682" s="76"/>
      <c r="U682" s="76"/>
      <c r="V682" s="76"/>
      <c r="W682" s="76"/>
      <c r="X682" s="76"/>
      <c r="Y682" s="76"/>
      <c r="Z682" s="76"/>
      <c r="AA682" s="79"/>
      <c r="AB682" s="79"/>
      <c r="AC682" s="79"/>
      <c r="AD682" s="79"/>
      <c r="AE682" s="79"/>
      <c r="AF682" s="79"/>
      <c r="AG682" s="79"/>
      <c r="AH682" s="79"/>
      <c r="AI682" s="79"/>
      <c r="AJ682" s="79"/>
      <c r="AK682" s="79"/>
    </row>
    <row r="683" spans="1:37" s="78" customFormat="1" ht="12" customHeight="1">
      <c r="A683" s="76"/>
      <c r="B683" s="76"/>
      <c r="C683" s="76"/>
      <c r="D683" s="76"/>
      <c r="E683" s="76"/>
      <c r="F683" s="77"/>
      <c r="G683" s="76"/>
      <c r="H683" s="76"/>
      <c r="I683" s="76"/>
      <c r="J683" s="76"/>
      <c r="K683" s="76"/>
      <c r="L683" s="76"/>
      <c r="M683" s="76"/>
      <c r="N683" s="76"/>
      <c r="O683" s="76"/>
      <c r="P683" s="76"/>
      <c r="Q683" s="76"/>
      <c r="R683" s="76"/>
      <c r="S683" s="76"/>
      <c r="T683" s="76"/>
      <c r="U683" s="76"/>
      <c r="V683" s="76"/>
      <c r="W683" s="76"/>
      <c r="X683" s="76"/>
      <c r="Y683" s="76"/>
      <c r="Z683" s="76"/>
      <c r="AA683" s="79"/>
      <c r="AB683" s="79"/>
      <c r="AC683" s="79"/>
      <c r="AD683" s="79"/>
      <c r="AE683" s="79"/>
      <c r="AF683" s="79"/>
      <c r="AG683" s="79"/>
      <c r="AH683" s="79"/>
      <c r="AI683" s="79"/>
      <c r="AJ683" s="79"/>
      <c r="AK683" s="79"/>
    </row>
    <row r="684" spans="1:37" s="78" customFormat="1" ht="12" customHeight="1">
      <c r="A684" s="76"/>
      <c r="B684" s="76"/>
      <c r="C684" s="76"/>
      <c r="D684" s="76"/>
      <c r="E684" s="76"/>
      <c r="F684" s="77"/>
      <c r="G684" s="76"/>
      <c r="H684" s="76"/>
      <c r="I684" s="76"/>
      <c r="J684" s="76"/>
      <c r="K684" s="76"/>
      <c r="L684" s="76"/>
      <c r="M684" s="76"/>
      <c r="N684" s="76"/>
      <c r="O684" s="76"/>
      <c r="P684" s="76"/>
      <c r="Q684" s="76"/>
      <c r="R684" s="76"/>
      <c r="S684" s="76"/>
      <c r="T684" s="76"/>
      <c r="U684" s="76"/>
      <c r="V684" s="76"/>
      <c r="W684" s="76"/>
      <c r="X684" s="76"/>
      <c r="Y684" s="76"/>
      <c r="Z684" s="76"/>
      <c r="AA684" s="79"/>
      <c r="AB684" s="79"/>
      <c r="AC684" s="79"/>
      <c r="AD684" s="79"/>
      <c r="AE684" s="79"/>
      <c r="AF684" s="79"/>
      <c r="AG684" s="79"/>
      <c r="AH684" s="79"/>
      <c r="AI684" s="79"/>
      <c r="AJ684" s="79"/>
      <c r="AK684" s="79"/>
    </row>
    <row r="685" spans="1:37" s="78" customFormat="1" ht="12" customHeight="1">
      <c r="A685" s="76"/>
      <c r="B685" s="76"/>
      <c r="C685" s="76"/>
      <c r="D685" s="76"/>
      <c r="E685" s="76"/>
      <c r="F685" s="77"/>
      <c r="G685" s="76"/>
      <c r="H685" s="76"/>
      <c r="I685" s="76"/>
      <c r="J685" s="76"/>
      <c r="K685" s="76"/>
      <c r="L685" s="76"/>
      <c r="M685" s="76"/>
      <c r="N685" s="76"/>
      <c r="O685" s="76"/>
      <c r="P685" s="76"/>
      <c r="Q685" s="76"/>
      <c r="R685" s="76"/>
      <c r="S685" s="76"/>
      <c r="T685" s="76"/>
      <c r="U685" s="76"/>
      <c r="V685" s="76"/>
      <c r="W685" s="76"/>
      <c r="X685" s="76"/>
      <c r="Y685" s="76"/>
      <c r="Z685" s="76"/>
      <c r="AA685" s="79"/>
      <c r="AB685" s="79"/>
      <c r="AC685" s="79"/>
      <c r="AD685" s="79"/>
      <c r="AE685" s="79"/>
      <c r="AF685" s="79"/>
      <c r="AG685" s="79"/>
      <c r="AH685" s="79"/>
      <c r="AI685" s="79"/>
      <c r="AJ685" s="79"/>
      <c r="AK685" s="79"/>
    </row>
    <row r="686" spans="1:37" s="78" customFormat="1" ht="12" customHeight="1">
      <c r="A686" s="76"/>
      <c r="B686" s="76"/>
      <c r="C686" s="76"/>
      <c r="D686" s="76"/>
      <c r="E686" s="76"/>
      <c r="F686" s="77"/>
      <c r="G686" s="76"/>
      <c r="H686" s="76"/>
      <c r="I686" s="76"/>
      <c r="J686" s="76"/>
      <c r="K686" s="76"/>
      <c r="L686" s="76"/>
      <c r="M686" s="76"/>
      <c r="N686" s="76"/>
      <c r="O686" s="76"/>
      <c r="P686" s="76"/>
      <c r="Q686" s="76"/>
      <c r="R686" s="76"/>
      <c r="S686" s="76"/>
      <c r="T686" s="76"/>
      <c r="U686" s="76"/>
      <c r="V686" s="76"/>
      <c r="W686" s="76"/>
      <c r="X686" s="76"/>
      <c r="Y686" s="76"/>
      <c r="Z686" s="76"/>
      <c r="AA686" s="79"/>
      <c r="AB686" s="79"/>
      <c r="AC686" s="79"/>
      <c r="AD686" s="79"/>
      <c r="AE686" s="79"/>
      <c r="AF686" s="79"/>
      <c r="AG686" s="79"/>
      <c r="AH686" s="79"/>
      <c r="AI686" s="79"/>
      <c r="AJ686" s="79"/>
      <c r="AK686" s="79"/>
    </row>
    <row r="687" spans="1:37" s="78" customFormat="1" ht="12" customHeight="1">
      <c r="A687" s="76"/>
      <c r="B687" s="76"/>
      <c r="C687" s="76"/>
      <c r="D687" s="76"/>
      <c r="E687" s="76"/>
      <c r="F687" s="77"/>
      <c r="G687" s="76"/>
      <c r="H687" s="76"/>
      <c r="I687" s="76"/>
      <c r="J687" s="76"/>
      <c r="K687" s="76"/>
      <c r="L687" s="76"/>
      <c r="M687" s="76"/>
      <c r="N687" s="76"/>
      <c r="O687" s="76"/>
      <c r="P687" s="76"/>
      <c r="Q687" s="76"/>
      <c r="R687" s="76"/>
      <c r="S687" s="76"/>
      <c r="T687" s="76"/>
      <c r="U687" s="76"/>
      <c r="V687" s="76"/>
      <c r="W687" s="76"/>
      <c r="X687" s="76"/>
      <c r="Y687" s="76"/>
      <c r="Z687" s="76"/>
      <c r="AA687" s="79"/>
      <c r="AB687" s="79"/>
      <c r="AC687" s="79"/>
      <c r="AD687" s="79"/>
      <c r="AE687" s="79"/>
      <c r="AF687" s="79"/>
      <c r="AG687" s="79"/>
      <c r="AH687" s="79"/>
      <c r="AI687" s="79"/>
      <c r="AJ687" s="79"/>
      <c r="AK687" s="79"/>
    </row>
    <row r="688" spans="1:37" s="78" customFormat="1" ht="12" customHeight="1">
      <c r="A688" s="76"/>
      <c r="B688" s="76"/>
      <c r="C688" s="76"/>
      <c r="D688" s="76"/>
      <c r="E688" s="76"/>
      <c r="F688" s="77"/>
      <c r="G688" s="76"/>
      <c r="H688" s="76"/>
      <c r="I688" s="76"/>
      <c r="J688" s="76"/>
      <c r="K688" s="76"/>
      <c r="L688" s="76"/>
      <c r="M688" s="76"/>
      <c r="N688" s="76"/>
      <c r="O688" s="76"/>
      <c r="P688" s="76"/>
      <c r="Q688" s="76"/>
      <c r="R688" s="76"/>
      <c r="S688" s="76"/>
      <c r="T688" s="76"/>
      <c r="U688" s="76"/>
      <c r="V688" s="76"/>
      <c r="W688" s="76"/>
      <c r="X688" s="76"/>
      <c r="Y688" s="76"/>
      <c r="Z688" s="76"/>
      <c r="AA688" s="79"/>
      <c r="AB688" s="79"/>
      <c r="AC688" s="79"/>
      <c r="AD688" s="79"/>
      <c r="AE688" s="79"/>
      <c r="AF688" s="79"/>
      <c r="AG688" s="79"/>
      <c r="AH688" s="79"/>
      <c r="AI688" s="79"/>
      <c r="AJ688" s="79"/>
      <c r="AK688" s="79"/>
    </row>
    <row r="689" spans="1:37" s="78" customFormat="1" ht="12" customHeight="1">
      <c r="A689" s="76"/>
      <c r="B689" s="76"/>
      <c r="C689" s="76"/>
      <c r="D689" s="76"/>
      <c r="E689" s="76"/>
      <c r="F689" s="77"/>
      <c r="G689" s="76"/>
      <c r="H689" s="76"/>
      <c r="I689" s="76"/>
      <c r="J689" s="76"/>
      <c r="K689" s="76"/>
      <c r="L689" s="76"/>
      <c r="M689" s="76"/>
      <c r="N689" s="76"/>
      <c r="O689" s="76"/>
      <c r="P689" s="76"/>
      <c r="Q689" s="76"/>
      <c r="R689" s="76"/>
      <c r="S689" s="76"/>
      <c r="T689" s="76"/>
      <c r="U689" s="76"/>
      <c r="V689" s="76"/>
      <c r="W689" s="76"/>
      <c r="X689" s="76"/>
      <c r="Y689" s="76"/>
      <c r="Z689" s="76"/>
      <c r="AA689" s="79"/>
      <c r="AB689" s="79"/>
      <c r="AC689" s="79"/>
      <c r="AD689" s="79"/>
      <c r="AE689" s="79"/>
      <c r="AF689" s="79"/>
      <c r="AG689" s="79"/>
      <c r="AH689" s="79"/>
      <c r="AI689" s="79"/>
      <c r="AJ689" s="79"/>
      <c r="AK689" s="79"/>
    </row>
    <row r="690" spans="1:37" s="78" customFormat="1" ht="12" customHeight="1">
      <c r="A690" s="76"/>
      <c r="B690" s="76"/>
      <c r="C690" s="76"/>
      <c r="D690" s="76"/>
      <c r="E690" s="76"/>
      <c r="F690" s="77"/>
      <c r="G690" s="76"/>
      <c r="H690" s="76"/>
      <c r="I690" s="76"/>
      <c r="J690" s="76"/>
      <c r="K690" s="76"/>
      <c r="L690" s="76"/>
      <c r="M690" s="76"/>
      <c r="N690" s="76"/>
      <c r="O690" s="76"/>
      <c r="P690" s="76"/>
      <c r="Q690" s="76"/>
      <c r="R690" s="76"/>
      <c r="S690" s="76"/>
      <c r="T690" s="76"/>
      <c r="U690" s="76"/>
      <c r="V690" s="76"/>
      <c r="W690" s="76"/>
      <c r="X690" s="76"/>
      <c r="Y690" s="76"/>
      <c r="Z690" s="76"/>
      <c r="AA690" s="79"/>
      <c r="AB690" s="79"/>
      <c r="AC690" s="79"/>
      <c r="AD690" s="79"/>
      <c r="AE690" s="79"/>
      <c r="AF690" s="79"/>
      <c r="AG690" s="79"/>
      <c r="AH690" s="79"/>
      <c r="AI690" s="79"/>
      <c r="AJ690" s="79"/>
      <c r="AK690" s="79"/>
    </row>
    <row r="691" spans="1:37" s="78" customFormat="1" ht="12" customHeight="1">
      <c r="A691" s="76"/>
      <c r="B691" s="76"/>
      <c r="C691" s="76"/>
      <c r="D691" s="76"/>
      <c r="E691" s="76"/>
      <c r="F691" s="77"/>
      <c r="G691" s="76"/>
      <c r="H691" s="76"/>
      <c r="I691" s="76"/>
      <c r="J691" s="76"/>
      <c r="K691" s="76"/>
      <c r="L691" s="76"/>
      <c r="M691" s="76"/>
      <c r="N691" s="76"/>
      <c r="O691" s="76"/>
      <c r="P691" s="76"/>
      <c r="Q691" s="76"/>
      <c r="R691" s="76"/>
      <c r="S691" s="76"/>
      <c r="T691" s="76"/>
      <c r="U691" s="76"/>
      <c r="V691" s="76"/>
      <c r="W691" s="76"/>
      <c r="X691" s="76"/>
      <c r="Y691" s="76"/>
      <c r="Z691" s="76"/>
      <c r="AA691" s="79"/>
      <c r="AB691" s="79"/>
      <c r="AC691" s="79"/>
      <c r="AD691" s="79"/>
      <c r="AE691" s="79"/>
      <c r="AF691" s="79"/>
      <c r="AG691" s="79"/>
      <c r="AH691" s="79"/>
      <c r="AI691" s="79"/>
      <c r="AJ691" s="79"/>
      <c r="AK691" s="79"/>
    </row>
    <row r="692" spans="1:37" s="78" customFormat="1" ht="12" customHeight="1">
      <c r="A692" s="76"/>
      <c r="B692" s="76"/>
      <c r="C692" s="76"/>
      <c r="D692" s="76"/>
      <c r="E692" s="76"/>
      <c r="F692" s="77"/>
      <c r="G692" s="76"/>
      <c r="H692" s="76"/>
      <c r="I692" s="76"/>
      <c r="J692" s="76"/>
      <c r="K692" s="76"/>
      <c r="L692" s="76"/>
      <c r="M692" s="76"/>
      <c r="N692" s="76"/>
      <c r="O692" s="76"/>
      <c r="P692" s="76"/>
      <c r="Q692" s="76"/>
      <c r="R692" s="76"/>
      <c r="S692" s="76"/>
      <c r="T692" s="76"/>
      <c r="U692" s="76"/>
      <c r="V692" s="76"/>
      <c r="W692" s="76"/>
      <c r="X692" s="76"/>
      <c r="Y692" s="76"/>
      <c r="Z692" s="76"/>
      <c r="AA692" s="79"/>
      <c r="AB692" s="79"/>
      <c r="AC692" s="79"/>
      <c r="AD692" s="79"/>
      <c r="AE692" s="79"/>
      <c r="AF692" s="79"/>
      <c r="AG692" s="79"/>
      <c r="AH692" s="79"/>
      <c r="AI692" s="79"/>
      <c r="AJ692" s="79"/>
      <c r="AK692" s="79"/>
    </row>
    <row r="693" spans="1:37" s="78" customFormat="1" ht="12" customHeight="1">
      <c r="A693" s="76"/>
      <c r="B693" s="76"/>
      <c r="C693" s="76"/>
      <c r="D693" s="76"/>
      <c r="E693" s="76"/>
      <c r="F693" s="77"/>
      <c r="G693" s="76"/>
      <c r="H693" s="76"/>
      <c r="I693" s="76"/>
      <c r="J693" s="76"/>
      <c r="K693" s="76"/>
      <c r="L693" s="76"/>
      <c r="M693" s="76"/>
      <c r="N693" s="76"/>
      <c r="O693" s="76"/>
      <c r="P693" s="76"/>
      <c r="Q693" s="76"/>
      <c r="R693" s="76"/>
      <c r="S693" s="76"/>
      <c r="T693" s="76"/>
      <c r="U693" s="76"/>
      <c r="V693" s="76"/>
      <c r="W693" s="76"/>
      <c r="X693" s="76"/>
      <c r="Y693" s="76"/>
      <c r="Z693" s="76"/>
      <c r="AA693" s="79"/>
      <c r="AB693" s="79"/>
      <c r="AC693" s="79"/>
      <c r="AD693" s="79"/>
      <c r="AE693" s="79"/>
      <c r="AF693" s="79"/>
      <c r="AG693" s="79"/>
      <c r="AH693" s="79"/>
      <c r="AI693" s="79"/>
      <c r="AJ693" s="79"/>
      <c r="AK693" s="79"/>
    </row>
    <row r="694" spans="1:37" s="78" customFormat="1" ht="12" customHeight="1">
      <c r="A694" s="76"/>
      <c r="B694" s="76"/>
      <c r="C694" s="76"/>
      <c r="D694" s="76"/>
      <c r="E694" s="76"/>
      <c r="F694" s="77"/>
      <c r="G694" s="76"/>
      <c r="H694" s="76"/>
      <c r="I694" s="76"/>
      <c r="J694" s="76"/>
      <c r="K694" s="76"/>
      <c r="L694" s="76"/>
      <c r="M694" s="76"/>
      <c r="N694" s="76"/>
      <c r="O694" s="76"/>
      <c r="P694" s="76"/>
      <c r="Q694" s="76"/>
      <c r="R694" s="76"/>
      <c r="S694" s="76"/>
      <c r="T694" s="76"/>
      <c r="U694" s="76"/>
      <c r="V694" s="76"/>
      <c r="W694" s="76"/>
      <c r="X694" s="76"/>
      <c r="Y694" s="76"/>
      <c r="Z694" s="76"/>
      <c r="AA694" s="79"/>
      <c r="AB694" s="79"/>
      <c r="AC694" s="79"/>
      <c r="AD694" s="79"/>
      <c r="AE694" s="79"/>
      <c r="AF694" s="79"/>
      <c r="AG694" s="79"/>
      <c r="AH694" s="79"/>
      <c r="AI694" s="79"/>
      <c r="AJ694" s="79"/>
      <c r="AK694" s="79"/>
    </row>
    <row r="695" spans="1:37" s="78" customFormat="1" ht="12" customHeight="1">
      <c r="A695" s="76"/>
      <c r="B695" s="76"/>
      <c r="C695" s="76"/>
      <c r="D695" s="76"/>
      <c r="E695" s="76"/>
      <c r="F695" s="77"/>
      <c r="G695" s="76"/>
      <c r="H695" s="76"/>
      <c r="I695" s="76"/>
      <c r="J695" s="76"/>
      <c r="K695" s="76"/>
      <c r="L695" s="76"/>
      <c r="M695" s="76"/>
      <c r="N695" s="76"/>
      <c r="O695" s="76"/>
      <c r="P695" s="76"/>
      <c r="Q695" s="76"/>
      <c r="R695" s="76"/>
      <c r="S695" s="76"/>
      <c r="T695" s="76"/>
      <c r="U695" s="76"/>
      <c r="V695" s="76"/>
      <c r="W695" s="76"/>
      <c r="X695" s="76"/>
      <c r="Y695" s="76"/>
      <c r="Z695" s="76"/>
      <c r="AA695" s="79"/>
      <c r="AB695" s="79"/>
      <c r="AC695" s="79"/>
      <c r="AD695" s="79"/>
      <c r="AE695" s="79"/>
      <c r="AF695" s="79"/>
      <c r="AG695" s="79"/>
      <c r="AH695" s="79"/>
      <c r="AI695" s="79"/>
      <c r="AJ695" s="79"/>
      <c r="AK695" s="79"/>
    </row>
    <row r="696" spans="1:37" s="78" customFormat="1" ht="12" customHeight="1">
      <c r="A696" s="76"/>
      <c r="B696" s="76"/>
      <c r="C696" s="76"/>
      <c r="D696" s="76"/>
      <c r="E696" s="76"/>
      <c r="F696" s="77"/>
      <c r="G696" s="76"/>
      <c r="H696" s="76"/>
      <c r="I696" s="76"/>
      <c r="J696" s="76"/>
      <c r="K696" s="76"/>
      <c r="L696" s="76"/>
      <c r="M696" s="76"/>
      <c r="N696" s="76"/>
      <c r="O696" s="76"/>
      <c r="P696" s="76"/>
      <c r="Q696" s="76"/>
      <c r="R696" s="76"/>
      <c r="S696" s="76"/>
      <c r="T696" s="76"/>
      <c r="U696" s="76"/>
      <c r="V696" s="76"/>
      <c r="W696" s="76"/>
      <c r="X696" s="76"/>
      <c r="Y696" s="76"/>
      <c r="Z696" s="76"/>
      <c r="AA696" s="79"/>
      <c r="AB696" s="79"/>
      <c r="AC696" s="79"/>
      <c r="AD696" s="79"/>
      <c r="AE696" s="79"/>
      <c r="AF696" s="79"/>
      <c r="AG696" s="79"/>
      <c r="AH696" s="79"/>
      <c r="AI696" s="79"/>
      <c r="AJ696" s="79"/>
      <c r="AK696" s="79"/>
    </row>
    <row r="697" spans="1:37" s="78" customFormat="1" ht="12" customHeight="1">
      <c r="A697" s="76"/>
      <c r="B697" s="76"/>
      <c r="C697" s="76"/>
      <c r="D697" s="76"/>
      <c r="E697" s="76"/>
      <c r="F697" s="77"/>
      <c r="G697" s="76"/>
      <c r="H697" s="76"/>
      <c r="I697" s="76"/>
      <c r="J697" s="76"/>
      <c r="K697" s="76"/>
      <c r="L697" s="76"/>
      <c r="M697" s="76"/>
      <c r="N697" s="76"/>
      <c r="O697" s="76"/>
      <c r="P697" s="76"/>
      <c r="Q697" s="76"/>
      <c r="R697" s="76"/>
      <c r="S697" s="76"/>
      <c r="T697" s="76"/>
      <c r="U697" s="76"/>
      <c r="V697" s="76"/>
      <c r="W697" s="76"/>
      <c r="X697" s="76"/>
      <c r="Y697" s="76"/>
      <c r="Z697" s="76"/>
      <c r="AA697" s="79"/>
      <c r="AB697" s="79"/>
      <c r="AC697" s="79"/>
      <c r="AD697" s="79"/>
      <c r="AE697" s="79"/>
      <c r="AF697" s="79"/>
      <c r="AG697" s="79"/>
      <c r="AH697" s="79"/>
      <c r="AI697" s="79"/>
      <c r="AJ697" s="79"/>
      <c r="AK697" s="79"/>
    </row>
    <row r="698" spans="1:37" s="78" customFormat="1" ht="12" customHeight="1">
      <c r="A698" s="76"/>
      <c r="B698" s="76"/>
      <c r="C698" s="76"/>
      <c r="D698" s="76"/>
      <c r="E698" s="76"/>
      <c r="F698" s="77"/>
      <c r="G698" s="76"/>
      <c r="H698" s="76"/>
      <c r="I698" s="76"/>
      <c r="J698" s="76"/>
      <c r="K698" s="76"/>
      <c r="L698" s="76"/>
      <c r="M698" s="76"/>
      <c r="N698" s="76"/>
      <c r="O698" s="76"/>
      <c r="P698" s="76"/>
      <c r="Q698" s="76"/>
      <c r="R698" s="76"/>
      <c r="S698" s="76"/>
      <c r="T698" s="76"/>
      <c r="U698" s="76"/>
      <c r="V698" s="76"/>
      <c r="W698" s="76"/>
      <c r="X698" s="76"/>
      <c r="Y698" s="76"/>
      <c r="Z698" s="76"/>
      <c r="AA698" s="79"/>
      <c r="AB698" s="79"/>
      <c r="AC698" s="79"/>
      <c r="AD698" s="79"/>
      <c r="AE698" s="79"/>
      <c r="AF698" s="79"/>
      <c r="AG698" s="79"/>
      <c r="AH698" s="79"/>
      <c r="AI698" s="79"/>
      <c r="AJ698" s="79"/>
      <c r="AK698" s="79"/>
    </row>
    <row r="699" spans="1:37" s="78" customFormat="1" ht="12" customHeight="1">
      <c r="A699" s="76"/>
      <c r="B699" s="76"/>
      <c r="C699" s="76"/>
      <c r="D699" s="76"/>
      <c r="E699" s="76"/>
      <c r="F699" s="77"/>
      <c r="G699" s="76"/>
      <c r="H699" s="76"/>
      <c r="I699" s="76"/>
      <c r="J699" s="76"/>
      <c r="K699" s="76"/>
      <c r="L699" s="76"/>
      <c r="M699" s="76"/>
      <c r="N699" s="76"/>
      <c r="O699" s="76"/>
      <c r="P699" s="76"/>
      <c r="Q699" s="76"/>
      <c r="R699" s="76"/>
      <c r="S699" s="76"/>
      <c r="T699" s="76"/>
      <c r="U699" s="76"/>
      <c r="V699" s="76"/>
      <c r="W699" s="76"/>
      <c r="X699" s="76"/>
      <c r="Y699" s="76"/>
      <c r="Z699" s="76"/>
      <c r="AA699" s="79"/>
      <c r="AB699" s="79"/>
      <c r="AC699" s="79"/>
      <c r="AD699" s="79"/>
      <c r="AE699" s="79"/>
      <c r="AF699" s="79"/>
      <c r="AG699" s="79"/>
      <c r="AH699" s="79"/>
      <c r="AI699" s="79"/>
      <c r="AJ699" s="79"/>
      <c r="AK699" s="79"/>
    </row>
    <row r="700" spans="1:37" s="78" customFormat="1" ht="12" customHeight="1">
      <c r="A700" s="76"/>
      <c r="B700" s="76"/>
      <c r="C700" s="76"/>
      <c r="D700" s="76"/>
      <c r="E700" s="76"/>
      <c r="F700" s="77"/>
      <c r="G700" s="76"/>
      <c r="H700" s="76"/>
      <c r="I700" s="76"/>
      <c r="J700" s="76"/>
      <c r="K700" s="76"/>
      <c r="L700" s="76"/>
      <c r="M700" s="76"/>
      <c r="N700" s="76"/>
      <c r="O700" s="76"/>
      <c r="P700" s="76"/>
      <c r="Q700" s="76"/>
      <c r="R700" s="76"/>
      <c r="S700" s="76"/>
      <c r="T700" s="76"/>
      <c r="U700" s="76"/>
      <c r="V700" s="76"/>
      <c r="W700" s="76"/>
      <c r="X700" s="76"/>
      <c r="Y700" s="76"/>
      <c r="Z700" s="76"/>
      <c r="AA700" s="79"/>
      <c r="AB700" s="79"/>
      <c r="AC700" s="79"/>
      <c r="AD700" s="79"/>
      <c r="AE700" s="79"/>
      <c r="AF700" s="79"/>
      <c r="AG700" s="79"/>
      <c r="AH700" s="79"/>
      <c r="AI700" s="79"/>
      <c r="AJ700" s="79"/>
      <c r="AK700" s="79"/>
    </row>
    <row r="701" spans="1:37" s="78" customFormat="1" ht="12" customHeight="1">
      <c r="A701" s="76"/>
      <c r="B701" s="76"/>
      <c r="C701" s="76"/>
      <c r="D701" s="76"/>
      <c r="E701" s="76"/>
      <c r="F701" s="77"/>
      <c r="G701" s="76"/>
      <c r="H701" s="76"/>
      <c r="I701" s="76"/>
      <c r="J701" s="76"/>
      <c r="K701" s="76"/>
      <c r="L701" s="76"/>
      <c r="M701" s="76"/>
      <c r="N701" s="76"/>
      <c r="O701" s="76"/>
      <c r="P701" s="76"/>
      <c r="Q701" s="76"/>
      <c r="R701" s="76"/>
      <c r="S701" s="76"/>
      <c r="T701" s="76"/>
      <c r="U701" s="76"/>
      <c r="V701" s="76"/>
      <c r="W701" s="76"/>
      <c r="X701" s="76"/>
      <c r="Y701" s="76"/>
      <c r="Z701" s="76"/>
      <c r="AA701" s="79"/>
      <c r="AB701" s="79"/>
      <c r="AC701" s="79"/>
      <c r="AD701" s="79"/>
      <c r="AE701" s="79"/>
      <c r="AF701" s="79"/>
      <c r="AG701" s="79"/>
      <c r="AH701" s="79"/>
      <c r="AI701" s="79"/>
      <c r="AJ701" s="79"/>
      <c r="AK701" s="79"/>
    </row>
    <row r="702" spans="1:37" s="78" customFormat="1" ht="12" customHeight="1">
      <c r="A702" s="76"/>
      <c r="B702" s="76"/>
      <c r="C702" s="76"/>
      <c r="D702" s="76"/>
      <c r="E702" s="76"/>
      <c r="F702" s="77"/>
      <c r="G702" s="76"/>
      <c r="H702" s="76"/>
      <c r="I702" s="76"/>
      <c r="J702" s="76"/>
      <c r="K702" s="76"/>
      <c r="L702" s="76"/>
      <c r="M702" s="76"/>
      <c r="N702" s="76"/>
      <c r="O702" s="76"/>
      <c r="P702" s="76"/>
      <c r="Q702" s="76"/>
      <c r="R702" s="76"/>
      <c r="S702" s="76"/>
      <c r="T702" s="76"/>
      <c r="U702" s="76"/>
      <c r="V702" s="76"/>
      <c r="W702" s="76"/>
      <c r="X702" s="76"/>
      <c r="Y702" s="76"/>
      <c r="Z702" s="76"/>
      <c r="AA702" s="79"/>
      <c r="AB702" s="79"/>
      <c r="AC702" s="79"/>
      <c r="AD702" s="79"/>
      <c r="AE702" s="79"/>
      <c r="AF702" s="79"/>
      <c r="AG702" s="79"/>
      <c r="AH702" s="79"/>
      <c r="AI702" s="79"/>
      <c r="AJ702" s="79"/>
      <c r="AK702" s="79"/>
    </row>
    <row r="703" spans="1:37" s="78" customFormat="1" ht="12" customHeight="1">
      <c r="A703" s="76"/>
      <c r="B703" s="76"/>
      <c r="C703" s="76"/>
      <c r="D703" s="76"/>
      <c r="E703" s="76"/>
      <c r="F703" s="77"/>
      <c r="G703" s="76"/>
      <c r="H703" s="76"/>
      <c r="I703" s="76"/>
      <c r="J703" s="76"/>
      <c r="K703" s="76"/>
      <c r="L703" s="76"/>
      <c r="M703" s="76"/>
      <c r="N703" s="76"/>
      <c r="O703" s="76"/>
      <c r="P703" s="76"/>
      <c r="Q703" s="76"/>
      <c r="R703" s="76"/>
      <c r="S703" s="76"/>
      <c r="T703" s="76"/>
      <c r="U703" s="76"/>
      <c r="V703" s="76"/>
      <c r="W703" s="76"/>
      <c r="X703" s="76"/>
      <c r="Y703" s="76"/>
      <c r="Z703" s="76"/>
      <c r="AA703" s="79"/>
      <c r="AB703" s="79"/>
      <c r="AC703" s="79"/>
      <c r="AD703" s="79"/>
      <c r="AE703" s="79"/>
      <c r="AF703" s="79"/>
      <c r="AG703" s="79"/>
      <c r="AH703" s="79"/>
      <c r="AI703" s="79"/>
      <c r="AJ703" s="79"/>
      <c r="AK703" s="79"/>
    </row>
    <row r="704" spans="1:37" s="78" customFormat="1" ht="12" customHeight="1">
      <c r="A704" s="76"/>
      <c r="B704" s="76"/>
      <c r="C704" s="76"/>
      <c r="D704" s="76"/>
      <c r="E704" s="76"/>
      <c r="F704" s="77"/>
      <c r="G704" s="76"/>
      <c r="H704" s="76"/>
      <c r="I704" s="76"/>
      <c r="J704" s="76"/>
      <c r="K704" s="76"/>
      <c r="L704" s="76"/>
      <c r="M704" s="76"/>
      <c r="N704" s="76"/>
      <c r="O704" s="76"/>
      <c r="P704" s="76"/>
      <c r="Q704" s="76"/>
      <c r="R704" s="76"/>
      <c r="S704" s="76"/>
      <c r="T704" s="76"/>
      <c r="U704" s="76"/>
      <c r="V704" s="76"/>
      <c r="W704" s="76"/>
      <c r="X704" s="76"/>
      <c r="Y704" s="76"/>
      <c r="Z704" s="76"/>
      <c r="AA704" s="79"/>
      <c r="AB704" s="79"/>
      <c r="AC704" s="79"/>
      <c r="AD704" s="79"/>
      <c r="AE704" s="79"/>
      <c r="AF704" s="79"/>
      <c r="AG704" s="79"/>
      <c r="AH704" s="79"/>
      <c r="AI704" s="79"/>
      <c r="AJ704" s="79"/>
      <c r="AK704" s="79"/>
    </row>
    <row r="705" spans="1:37" s="78" customFormat="1" ht="12" customHeight="1">
      <c r="A705" s="76"/>
      <c r="B705" s="76"/>
      <c r="C705" s="76"/>
      <c r="D705" s="76"/>
      <c r="E705" s="76"/>
      <c r="F705" s="77"/>
      <c r="G705" s="76"/>
      <c r="H705" s="76"/>
      <c r="I705" s="76"/>
      <c r="J705" s="76"/>
      <c r="K705" s="76"/>
      <c r="L705" s="76"/>
      <c r="M705" s="76"/>
      <c r="N705" s="76"/>
      <c r="O705" s="76"/>
      <c r="P705" s="76"/>
      <c r="Q705" s="76"/>
      <c r="R705" s="76"/>
      <c r="S705" s="76"/>
      <c r="T705" s="76"/>
      <c r="U705" s="76"/>
      <c r="V705" s="76"/>
      <c r="W705" s="76"/>
      <c r="X705" s="76"/>
      <c r="Y705" s="76"/>
      <c r="Z705" s="76"/>
      <c r="AA705" s="79"/>
      <c r="AB705" s="79"/>
      <c r="AC705" s="79"/>
      <c r="AD705" s="79"/>
      <c r="AE705" s="79"/>
      <c r="AF705" s="79"/>
      <c r="AG705" s="79"/>
      <c r="AH705" s="79"/>
      <c r="AI705" s="79"/>
      <c r="AJ705" s="79"/>
      <c r="AK705" s="79"/>
    </row>
    <row r="706" spans="1:37" s="78" customFormat="1" ht="12" customHeight="1">
      <c r="A706" s="76"/>
      <c r="B706" s="76"/>
      <c r="C706" s="76"/>
      <c r="D706" s="76"/>
      <c r="E706" s="76"/>
      <c r="F706" s="77"/>
      <c r="G706" s="76"/>
      <c r="H706" s="76"/>
      <c r="I706" s="76"/>
      <c r="J706" s="76"/>
      <c r="K706" s="76"/>
      <c r="L706" s="76"/>
      <c r="M706" s="76"/>
      <c r="N706" s="76"/>
      <c r="O706" s="76"/>
      <c r="P706" s="76"/>
      <c r="Q706" s="76"/>
      <c r="R706" s="76"/>
      <c r="S706" s="76"/>
      <c r="T706" s="76"/>
      <c r="U706" s="76"/>
      <c r="V706" s="76"/>
      <c r="W706" s="76"/>
      <c r="X706" s="76"/>
      <c r="Y706" s="76"/>
      <c r="Z706" s="76"/>
      <c r="AA706" s="79"/>
      <c r="AB706" s="79"/>
      <c r="AC706" s="79"/>
      <c r="AD706" s="79"/>
      <c r="AE706" s="79"/>
      <c r="AF706" s="79"/>
      <c r="AG706" s="79"/>
      <c r="AH706" s="79"/>
      <c r="AI706" s="79"/>
      <c r="AJ706" s="79"/>
      <c r="AK706" s="79"/>
    </row>
    <row r="707" spans="1:37" s="78" customFormat="1" ht="12" customHeight="1">
      <c r="A707" s="76"/>
      <c r="B707" s="76"/>
      <c r="C707" s="76"/>
      <c r="D707" s="76"/>
      <c r="E707" s="76"/>
      <c r="F707" s="77"/>
      <c r="G707" s="76"/>
      <c r="H707" s="76"/>
      <c r="I707" s="76"/>
      <c r="J707" s="76"/>
      <c r="K707" s="76"/>
      <c r="L707" s="76"/>
      <c r="M707" s="76"/>
      <c r="N707" s="76"/>
      <c r="O707" s="76"/>
      <c r="P707" s="76"/>
      <c r="Q707" s="76"/>
      <c r="R707" s="76"/>
      <c r="S707" s="76"/>
      <c r="T707" s="76"/>
      <c r="U707" s="76"/>
      <c r="V707" s="76"/>
      <c r="W707" s="76"/>
      <c r="X707" s="76"/>
      <c r="Y707" s="76"/>
      <c r="Z707" s="76"/>
      <c r="AA707" s="79"/>
      <c r="AB707" s="79"/>
      <c r="AC707" s="79"/>
      <c r="AD707" s="79"/>
      <c r="AE707" s="79"/>
      <c r="AF707" s="79"/>
      <c r="AG707" s="79"/>
      <c r="AH707" s="79"/>
      <c r="AI707" s="79"/>
      <c r="AJ707" s="79"/>
      <c r="AK707" s="79"/>
    </row>
    <row r="708" spans="1:37" s="78" customFormat="1" ht="12" customHeight="1">
      <c r="A708" s="76"/>
      <c r="B708" s="76"/>
      <c r="C708" s="76"/>
      <c r="D708" s="76"/>
      <c r="E708" s="76"/>
      <c r="F708" s="77"/>
      <c r="G708" s="76"/>
      <c r="H708" s="76"/>
      <c r="I708" s="76"/>
      <c r="J708" s="76"/>
      <c r="K708" s="76"/>
      <c r="L708" s="76"/>
      <c r="M708" s="76"/>
      <c r="N708" s="76"/>
      <c r="O708" s="76"/>
      <c r="P708" s="76"/>
      <c r="Q708" s="76"/>
      <c r="R708" s="76"/>
      <c r="S708" s="76"/>
      <c r="T708" s="76"/>
      <c r="U708" s="76"/>
      <c r="V708" s="76"/>
      <c r="W708" s="76"/>
      <c r="X708" s="76"/>
      <c r="Y708" s="76"/>
      <c r="Z708" s="76"/>
      <c r="AA708" s="79"/>
      <c r="AB708" s="79"/>
      <c r="AC708" s="79"/>
      <c r="AD708" s="79"/>
      <c r="AE708" s="79"/>
      <c r="AF708" s="79"/>
      <c r="AG708" s="79"/>
      <c r="AH708" s="79"/>
      <c r="AI708" s="79"/>
      <c r="AJ708" s="79"/>
      <c r="AK708" s="79"/>
    </row>
    <row r="709" spans="1:37" s="78" customFormat="1" ht="12" customHeight="1">
      <c r="A709" s="76"/>
      <c r="B709" s="76"/>
      <c r="C709" s="76"/>
      <c r="D709" s="76"/>
      <c r="E709" s="76"/>
      <c r="F709" s="77"/>
      <c r="G709" s="76"/>
      <c r="H709" s="76"/>
      <c r="I709" s="76"/>
      <c r="J709" s="76"/>
      <c r="K709" s="76"/>
      <c r="L709" s="76"/>
      <c r="M709" s="76"/>
      <c r="N709" s="76"/>
      <c r="O709" s="76"/>
      <c r="P709" s="76"/>
      <c r="Q709" s="76"/>
      <c r="R709" s="76"/>
      <c r="S709" s="76"/>
      <c r="T709" s="76"/>
      <c r="U709" s="76"/>
      <c r="V709" s="76"/>
      <c r="W709" s="76"/>
      <c r="X709" s="76"/>
      <c r="Y709" s="76"/>
      <c r="Z709" s="76"/>
      <c r="AA709" s="79"/>
      <c r="AB709" s="79"/>
      <c r="AC709" s="79"/>
      <c r="AD709" s="79"/>
      <c r="AE709" s="79"/>
      <c r="AF709" s="79"/>
      <c r="AG709" s="79"/>
      <c r="AH709" s="79"/>
      <c r="AI709" s="79"/>
      <c r="AJ709" s="79"/>
      <c r="AK709" s="79"/>
    </row>
    <row r="710" spans="1:37" s="78" customFormat="1" ht="12" customHeight="1">
      <c r="A710" s="76"/>
      <c r="B710" s="76"/>
      <c r="C710" s="76"/>
      <c r="D710" s="76"/>
      <c r="E710" s="76"/>
      <c r="F710" s="77"/>
      <c r="G710" s="76"/>
      <c r="H710" s="76"/>
      <c r="I710" s="76"/>
      <c r="J710" s="76"/>
      <c r="K710" s="76"/>
      <c r="L710" s="76"/>
      <c r="M710" s="76"/>
      <c r="N710" s="76"/>
      <c r="O710" s="76"/>
      <c r="P710" s="76"/>
      <c r="Q710" s="76"/>
      <c r="R710" s="76"/>
      <c r="S710" s="76"/>
      <c r="T710" s="76"/>
      <c r="U710" s="76"/>
      <c r="V710" s="76"/>
      <c r="W710" s="76"/>
      <c r="X710" s="76"/>
      <c r="Y710" s="76"/>
      <c r="Z710" s="76"/>
      <c r="AA710" s="79"/>
      <c r="AB710" s="79"/>
      <c r="AC710" s="79"/>
      <c r="AD710" s="79"/>
      <c r="AE710" s="79"/>
      <c r="AF710" s="79"/>
      <c r="AG710" s="79"/>
      <c r="AH710" s="79"/>
      <c r="AI710" s="79"/>
      <c r="AJ710" s="79"/>
      <c r="AK710" s="79"/>
    </row>
    <row r="711" spans="1:37" s="78" customFormat="1" ht="12" customHeight="1">
      <c r="A711" s="76"/>
      <c r="B711" s="76"/>
      <c r="C711" s="76"/>
      <c r="D711" s="76"/>
      <c r="E711" s="76"/>
      <c r="F711" s="77"/>
      <c r="G711" s="76"/>
      <c r="H711" s="76"/>
      <c r="I711" s="76"/>
      <c r="J711" s="76"/>
      <c r="K711" s="76"/>
      <c r="L711" s="76"/>
      <c r="M711" s="76"/>
      <c r="N711" s="76"/>
      <c r="O711" s="76"/>
      <c r="P711" s="76"/>
      <c r="Q711" s="76"/>
      <c r="R711" s="76"/>
      <c r="S711" s="76"/>
      <c r="T711" s="76"/>
      <c r="U711" s="76"/>
      <c r="V711" s="76"/>
      <c r="W711" s="76"/>
      <c r="X711" s="76"/>
      <c r="Y711" s="76"/>
      <c r="Z711" s="76"/>
      <c r="AA711" s="79"/>
      <c r="AB711" s="79"/>
      <c r="AC711" s="79"/>
      <c r="AD711" s="79"/>
      <c r="AE711" s="79"/>
      <c r="AF711" s="79"/>
      <c r="AG711" s="79"/>
      <c r="AH711" s="79"/>
      <c r="AI711" s="79"/>
      <c r="AJ711" s="79"/>
      <c r="AK711" s="79"/>
    </row>
    <row r="712" spans="1:37" s="78" customFormat="1" ht="12" customHeight="1">
      <c r="A712" s="76"/>
      <c r="B712" s="76"/>
      <c r="C712" s="76"/>
      <c r="D712" s="76"/>
      <c r="E712" s="76"/>
      <c r="F712" s="77"/>
      <c r="G712" s="76"/>
      <c r="H712" s="76"/>
      <c r="I712" s="76"/>
      <c r="J712" s="76"/>
      <c r="K712" s="76"/>
      <c r="L712" s="76"/>
      <c r="M712" s="76"/>
      <c r="N712" s="76"/>
      <c r="O712" s="76"/>
      <c r="P712" s="76"/>
      <c r="Q712" s="76"/>
      <c r="R712" s="76"/>
      <c r="S712" s="76"/>
      <c r="T712" s="76"/>
      <c r="U712" s="76"/>
      <c r="V712" s="76"/>
      <c r="W712" s="76"/>
      <c r="X712" s="76"/>
      <c r="Y712" s="76"/>
      <c r="Z712" s="76"/>
      <c r="AA712" s="79"/>
      <c r="AB712" s="79"/>
      <c r="AC712" s="79"/>
      <c r="AD712" s="79"/>
      <c r="AE712" s="79"/>
      <c r="AF712" s="79"/>
      <c r="AG712" s="79"/>
      <c r="AH712" s="79"/>
      <c r="AI712" s="79"/>
      <c r="AJ712" s="79"/>
      <c r="AK712" s="79"/>
    </row>
    <row r="713" spans="1:37" s="78" customFormat="1" ht="12" customHeight="1">
      <c r="A713" s="76"/>
      <c r="B713" s="76"/>
      <c r="C713" s="76"/>
      <c r="D713" s="76"/>
      <c r="E713" s="76"/>
      <c r="F713" s="77"/>
      <c r="G713" s="76"/>
      <c r="H713" s="76"/>
      <c r="I713" s="76"/>
      <c r="J713" s="76"/>
      <c r="K713" s="76"/>
      <c r="L713" s="76"/>
      <c r="M713" s="76"/>
      <c r="N713" s="76"/>
      <c r="O713" s="76"/>
      <c r="P713" s="76"/>
      <c r="Q713" s="76"/>
      <c r="R713" s="76"/>
      <c r="S713" s="76"/>
      <c r="T713" s="76"/>
      <c r="U713" s="76"/>
      <c r="V713" s="76"/>
      <c r="W713" s="76"/>
      <c r="X713" s="76"/>
      <c r="Y713" s="76"/>
      <c r="Z713" s="76"/>
      <c r="AA713" s="79"/>
      <c r="AB713" s="79"/>
      <c r="AC713" s="79"/>
      <c r="AD713" s="79"/>
      <c r="AE713" s="79"/>
      <c r="AF713" s="79"/>
      <c r="AG713" s="79"/>
      <c r="AH713" s="79"/>
      <c r="AI713" s="79"/>
      <c r="AJ713" s="79"/>
      <c r="AK713" s="79"/>
    </row>
    <row r="714" spans="1:37" s="78" customFormat="1" ht="12" customHeight="1">
      <c r="A714" s="76"/>
      <c r="B714" s="76"/>
      <c r="C714" s="76"/>
      <c r="D714" s="76"/>
      <c r="E714" s="76"/>
      <c r="F714" s="77"/>
      <c r="G714" s="76"/>
      <c r="H714" s="76"/>
      <c r="I714" s="76"/>
      <c r="J714" s="76"/>
      <c r="K714" s="76"/>
      <c r="L714" s="76"/>
      <c r="M714" s="76"/>
      <c r="N714" s="76"/>
      <c r="O714" s="76"/>
      <c r="P714" s="76"/>
      <c r="Q714" s="76"/>
      <c r="R714" s="76"/>
      <c r="S714" s="76"/>
      <c r="T714" s="76"/>
      <c r="U714" s="76"/>
      <c r="V714" s="76"/>
      <c r="W714" s="76"/>
      <c r="X714" s="76"/>
      <c r="Y714" s="76"/>
      <c r="Z714" s="76"/>
      <c r="AA714" s="79"/>
      <c r="AB714" s="79"/>
      <c r="AC714" s="79"/>
      <c r="AD714" s="79"/>
      <c r="AE714" s="79"/>
      <c r="AF714" s="79"/>
      <c r="AG714" s="79"/>
      <c r="AH714" s="79"/>
      <c r="AI714" s="79"/>
      <c r="AJ714" s="79"/>
      <c r="AK714" s="79"/>
    </row>
    <row r="715" spans="1:37" s="78" customFormat="1" ht="12" customHeight="1">
      <c r="A715" s="76"/>
      <c r="B715" s="76"/>
      <c r="C715" s="76"/>
      <c r="D715" s="76"/>
      <c r="E715" s="76"/>
      <c r="F715" s="77"/>
      <c r="G715" s="76"/>
      <c r="H715" s="76"/>
      <c r="I715" s="76"/>
      <c r="J715" s="76"/>
      <c r="K715" s="76"/>
      <c r="L715" s="76"/>
      <c r="M715" s="76"/>
      <c r="N715" s="76"/>
      <c r="O715" s="76"/>
      <c r="P715" s="76"/>
      <c r="Q715" s="76"/>
      <c r="R715" s="76"/>
      <c r="S715" s="76"/>
      <c r="T715" s="76"/>
      <c r="U715" s="76"/>
      <c r="V715" s="76"/>
      <c r="W715" s="76"/>
      <c r="X715" s="76"/>
      <c r="Y715" s="76"/>
      <c r="Z715" s="76"/>
      <c r="AA715" s="79"/>
      <c r="AB715" s="79"/>
      <c r="AC715" s="79"/>
      <c r="AD715" s="79"/>
      <c r="AE715" s="79"/>
      <c r="AF715" s="79"/>
      <c r="AG715" s="79"/>
      <c r="AH715" s="79"/>
      <c r="AI715" s="79"/>
      <c r="AJ715" s="79"/>
      <c r="AK715" s="79"/>
    </row>
    <row r="716" spans="1:37" s="78" customFormat="1" ht="12" customHeight="1">
      <c r="A716" s="76"/>
      <c r="B716" s="76"/>
      <c r="C716" s="76"/>
      <c r="D716" s="76"/>
      <c r="E716" s="76"/>
      <c r="F716" s="77"/>
      <c r="G716" s="76"/>
      <c r="H716" s="76"/>
      <c r="I716" s="76"/>
      <c r="J716" s="76"/>
      <c r="K716" s="76"/>
      <c r="L716" s="76"/>
      <c r="M716" s="76"/>
      <c r="N716" s="76"/>
      <c r="O716" s="76"/>
      <c r="P716" s="76"/>
      <c r="Q716" s="76"/>
      <c r="R716" s="76"/>
      <c r="S716" s="76"/>
      <c r="T716" s="76"/>
      <c r="U716" s="76"/>
      <c r="V716" s="76"/>
      <c r="W716" s="76"/>
      <c r="X716" s="76"/>
      <c r="Y716" s="76"/>
      <c r="Z716" s="76"/>
      <c r="AA716" s="79"/>
      <c r="AB716" s="79"/>
      <c r="AC716" s="79"/>
      <c r="AD716" s="79"/>
      <c r="AE716" s="79"/>
      <c r="AF716" s="79"/>
      <c r="AG716" s="79"/>
      <c r="AH716" s="79"/>
      <c r="AI716" s="79"/>
      <c r="AJ716" s="79"/>
      <c r="AK716" s="79"/>
    </row>
    <row r="717" spans="1:37" s="78" customFormat="1" ht="12" customHeight="1">
      <c r="A717" s="76"/>
      <c r="B717" s="76"/>
      <c r="C717" s="76"/>
      <c r="D717" s="76"/>
      <c r="E717" s="76"/>
      <c r="F717" s="77"/>
      <c r="G717" s="76"/>
      <c r="H717" s="76"/>
      <c r="I717" s="76"/>
      <c r="J717" s="76"/>
      <c r="K717" s="76"/>
      <c r="L717" s="76"/>
      <c r="M717" s="76"/>
      <c r="N717" s="76"/>
      <c r="O717" s="76"/>
      <c r="P717" s="76"/>
      <c r="Q717" s="76"/>
      <c r="R717" s="76"/>
      <c r="S717" s="76"/>
      <c r="T717" s="76"/>
      <c r="U717" s="76"/>
      <c r="V717" s="76"/>
      <c r="W717" s="76"/>
      <c r="X717" s="76"/>
      <c r="Y717" s="76"/>
      <c r="Z717" s="76"/>
      <c r="AA717" s="79"/>
      <c r="AB717" s="79"/>
      <c r="AC717" s="79"/>
      <c r="AD717" s="79"/>
      <c r="AE717" s="79"/>
      <c r="AF717" s="79"/>
      <c r="AG717" s="79"/>
      <c r="AH717" s="79"/>
      <c r="AI717" s="79"/>
      <c r="AJ717" s="79"/>
      <c r="AK717" s="79"/>
    </row>
    <row r="718" spans="1:37" s="78" customFormat="1" ht="12" customHeight="1">
      <c r="A718" s="76"/>
      <c r="B718" s="76"/>
      <c r="C718" s="76"/>
      <c r="D718" s="76"/>
      <c r="E718" s="76"/>
      <c r="F718" s="77"/>
      <c r="G718" s="76"/>
      <c r="H718" s="76"/>
      <c r="I718" s="76"/>
      <c r="J718" s="76"/>
      <c r="K718" s="76"/>
      <c r="L718" s="76"/>
      <c r="M718" s="76"/>
      <c r="N718" s="76"/>
      <c r="O718" s="76"/>
      <c r="P718" s="76"/>
      <c r="Q718" s="76"/>
      <c r="R718" s="76"/>
      <c r="S718" s="76"/>
      <c r="T718" s="76"/>
      <c r="U718" s="76"/>
      <c r="V718" s="76"/>
      <c r="W718" s="76"/>
      <c r="X718" s="76"/>
      <c r="Y718" s="76"/>
      <c r="Z718" s="76"/>
      <c r="AA718" s="79"/>
      <c r="AB718" s="79"/>
      <c r="AC718" s="79"/>
      <c r="AD718" s="79"/>
      <c r="AE718" s="79"/>
      <c r="AF718" s="79"/>
      <c r="AG718" s="79"/>
      <c r="AH718" s="79"/>
      <c r="AI718" s="79"/>
      <c r="AJ718" s="79"/>
      <c r="AK718" s="79"/>
    </row>
    <row r="719" spans="1:37" s="78" customFormat="1" ht="12" customHeight="1">
      <c r="A719" s="76"/>
      <c r="B719" s="76"/>
      <c r="C719" s="76"/>
      <c r="D719" s="76"/>
      <c r="E719" s="76"/>
      <c r="F719" s="77"/>
      <c r="G719" s="76"/>
      <c r="H719" s="76"/>
      <c r="I719" s="76"/>
      <c r="J719" s="76"/>
      <c r="K719" s="76"/>
      <c r="L719" s="76"/>
      <c r="M719" s="76"/>
      <c r="N719" s="76"/>
      <c r="O719" s="76"/>
      <c r="P719" s="76"/>
      <c r="Q719" s="76"/>
      <c r="R719" s="76"/>
      <c r="S719" s="76"/>
      <c r="T719" s="76"/>
      <c r="U719" s="76"/>
      <c r="V719" s="76"/>
      <c r="W719" s="76"/>
      <c r="X719" s="76"/>
      <c r="Y719" s="76"/>
      <c r="Z719" s="76"/>
      <c r="AA719" s="79"/>
      <c r="AB719" s="79"/>
      <c r="AC719" s="79"/>
      <c r="AD719" s="79"/>
      <c r="AE719" s="79"/>
      <c r="AF719" s="79"/>
      <c r="AG719" s="79"/>
      <c r="AH719" s="79"/>
      <c r="AI719" s="79"/>
      <c r="AJ719" s="79"/>
      <c r="AK719" s="79"/>
    </row>
    <row r="720" spans="1:37" s="78" customFormat="1" ht="12" customHeight="1">
      <c r="A720" s="76"/>
      <c r="B720" s="76"/>
      <c r="C720" s="76"/>
      <c r="D720" s="76"/>
      <c r="E720" s="76"/>
      <c r="F720" s="77"/>
      <c r="G720" s="76"/>
      <c r="H720" s="76"/>
      <c r="I720" s="76"/>
      <c r="J720" s="76"/>
      <c r="K720" s="76"/>
      <c r="L720" s="76"/>
      <c r="M720" s="76"/>
      <c r="N720" s="76"/>
      <c r="O720" s="76"/>
      <c r="P720" s="76"/>
      <c r="Q720" s="76"/>
      <c r="R720" s="76"/>
      <c r="S720" s="76"/>
      <c r="T720" s="76"/>
      <c r="U720" s="76"/>
      <c r="V720" s="76"/>
      <c r="W720" s="76"/>
      <c r="X720" s="76"/>
      <c r="Y720" s="76"/>
      <c r="Z720" s="76"/>
      <c r="AA720" s="79"/>
      <c r="AB720" s="79"/>
      <c r="AC720" s="79"/>
      <c r="AD720" s="79"/>
      <c r="AE720" s="79"/>
      <c r="AF720" s="79"/>
      <c r="AG720" s="79"/>
      <c r="AH720" s="79"/>
      <c r="AI720" s="79"/>
      <c r="AJ720" s="79"/>
      <c r="AK720" s="79"/>
    </row>
    <row r="721" spans="1:37" s="78" customFormat="1" ht="12" customHeight="1">
      <c r="A721" s="76"/>
      <c r="B721" s="76"/>
      <c r="C721" s="76"/>
      <c r="D721" s="76"/>
      <c r="E721" s="76"/>
      <c r="F721" s="77"/>
      <c r="G721" s="76"/>
      <c r="H721" s="76"/>
      <c r="I721" s="76"/>
      <c r="J721" s="76"/>
      <c r="K721" s="76"/>
      <c r="L721" s="76"/>
      <c r="M721" s="76"/>
      <c r="N721" s="76"/>
      <c r="O721" s="76"/>
      <c r="P721" s="76"/>
      <c r="Q721" s="76"/>
      <c r="R721" s="76"/>
      <c r="S721" s="76"/>
      <c r="T721" s="76"/>
      <c r="U721" s="76"/>
      <c r="V721" s="76"/>
      <c r="W721" s="76"/>
      <c r="X721" s="76"/>
      <c r="Y721" s="76"/>
      <c r="Z721" s="76"/>
      <c r="AA721" s="79"/>
      <c r="AB721" s="79"/>
      <c r="AC721" s="79"/>
      <c r="AD721" s="79"/>
      <c r="AE721" s="79"/>
      <c r="AF721" s="79"/>
      <c r="AG721" s="79"/>
      <c r="AH721" s="79"/>
      <c r="AI721" s="79"/>
      <c r="AJ721" s="79"/>
      <c r="AK721" s="79"/>
    </row>
    <row r="722" spans="1:37" s="78" customFormat="1" ht="12" customHeight="1">
      <c r="A722" s="76"/>
      <c r="B722" s="76"/>
      <c r="C722" s="76"/>
      <c r="D722" s="76"/>
      <c r="E722" s="76"/>
      <c r="F722" s="77"/>
      <c r="G722" s="76"/>
      <c r="H722" s="76"/>
      <c r="I722" s="76"/>
      <c r="J722" s="76"/>
      <c r="K722" s="76"/>
      <c r="L722" s="76"/>
      <c r="M722" s="76"/>
      <c r="N722" s="76"/>
      <c r="O722" s="76"/>
      <c r="P722" s="76"/>
      <c r="Q722" s="76"/>
      <c r="R722" s="76"/>
      <c r="S722" s="76"/>
      <c r="T722" s="76"/>
      <c r="U722" s="76"/>
      <c r="V722" s="76"/>
      <c r="W722" s="76"/>
      <c r="X722" s="76"/>
      <c r="Y722" s="76"/>
      <c r="Z722" s="76"/>
      <c r="AA722" s="79"/>
      <c r="AB722" s="79"/>
      <c r="AC722" s="79"/>
      <c r="AD722" s="79"/>
      <c r="AE722" s="79"/>
      <c r="AF722" s="79"/>
      <c r="AG722" s="79"/>
      <c r="AH722" s="79"/>
      <c r="AI722" s="79"/>
      <c r="AJ722" s="79"/>
      <c r="AK722" s="79"/>
    </row>
    <row r="723" spans="1:37" s="78" customFormat="1" ht="12" customHeight="1">
      <c r="A723" s="76"/>
      <c r="B723" s="76"/>
      <c r="C723" s="76"/>
      <c r="D723" s="76"/>
      <c r="E723" s="76"/>
      <c r="F723" s="77"/>
      <c r="G723" s="76"/>
      <c r="H723" s="76"/>
      <c r="I723" s="76"/>
      <c r="J723" s="76"/>
      <c r="K723" s="76"/>
      <c r="L723" s="76"/>
      <c r="M723" s="76"/>
      <c r="N723" s="76"/>
      <c r="O723" s="76"/>
      <c r="P723" s="76"/>
      <c r="Q723" s="76"/>
      <c r="R723" s="76"/>
      <c r="S723" s="76"/>
      <c r="T723" s="76"/>
      <c r="U723" s="76"/>
      <c r="V723" s="76"/>
      <c r="W723" s="76"/>
      <c r="X723" s="76"/>
      <c r="Y723" s="76"/>
      <c r="Z723" s="76"/>
      <c r="AA723" s="79"/>
      <c r="AB723" s="79"/>
      <c r="AC723" s="79"/>
      <c r="AD723" s="79"/>
      <c r="AE723" s="79"/>
      <c r="AF723" s="79"/>
      <c r="AG723" s="79"/>
      <c r="AH723" s="79"/>
      <c r="AI723" s="79"/>
      <c r="AJ723" s="79"/>
      <c r="AK723" s="79"/>
    </row>
    <row r="724" spans="1:37" s="78" customFormat="1" ht="12" customHeight="1">
      <c r="A724" s="76"/>
      <c r="B724" s="76"/>
      <c r="C724" s="76"/>
      <c r="D724" s="76"/>
      <c r="E724" s="76"/>
      <c r="F724" s="77"/>
      <c r="G724" s="76"/>
      <c r="H724" s="76"/>
      <c r="I724" s="76"/>
      <c r="J724" s="76"/>
      <c r="K724" s="76"/>
      <c r="L724" s="76"/>
      <c r="M724" s="76"/>
      <c r="N724" s="76"/>
      <c r="O724" s="76"/>
      <c r="P724" s="76"/>
      <c r="Q724" s="76"/>
      <c r="R724" s="76"/>
      <c r="S724" s="76"/>
      <c r="T724" s="76"/>
      <c r="U724" s="76"/>
      <c r="V724" s="76"/>
      <c r="W724" s="76"/>
      <c r="X724" s="76"/>
      <c r="Y724" s="76"/>
      <c r="Z724" s="76"/>
      <c r="AA724" s="79"/>
      <c r="AB724" s="79"/>
      <c r="AC724" s="79"/>
      <c r="AD724" s="79"/>
      <c r="AE724" s="79"/>
      <c r="AF724" s="79"/>
      <c r="AG724" s="79"/>
      <c r="AH724" s="79"/>
      <c r="AI724" s="79"/>
      <c r="AJ724" s="79"/>
      <c r="AK724" s="79"/>
    </row>
    <row r="725" spans="1:37" s="78" customFormat="1" ht="12" customHeight="1">
      <c r="A725" s="76"/>
      <c r="B725" s="76"/>
      <c r="C725" s="76"/>
      <c r="D725" s="76"/>
      <c r="E725" s="76"/>
      <c r="F725" s="77"/>
      <c r="G725" s="76"/>
      <c r="H725" s="76"/>
      <c r="I725" s="76"/>
      <c r="J725" s="76"/>
      <c r="K725" s="76"/>
      <c r="L725" s="76"/>
      <c r="M725" s="76"/>
      <c r="N725" s="76"/>
      <c r="O725" s="76"/>
      <c r="P725" s="76"/>
      <c r="Q725" s="76"/>
      <c r="R725" s="76"/>
      <c r="S725" s="76"/>
      <c r="T725" s="76"/>
      <c r="U725" s="76"/>
      <c r="V725" s="76"/>
      <c r="W725" s="76"/>
      <c r="X725" s="76"/>
      <c r="Y725" s="76"/>
      <c r="Z725" s="76"/>
      <c r="AA725" s="79"/>
      <c r="AB725" s="79"/>
      <c r="AC725" s="79"/>
      <c r="AD725" s="79"/>
      <c r="AE725" s="79"/>
      <c r="AF725" s="79"/>
      <c r="AG725" s="79"/>
      <c r="AH725" s="79"/>
      <c r="AI725" s="79"/>
      <c r="AJ725" s="79"/>
      <c r="AK725" s="79"/>
    </row>
    <row r="726" spans="1:37" s="78" customFormat="1" ht="12" customHeight="1">
      <c r="A726" s="76"/>
      <c r="B726" s="76"/>
      <c r="C726" s="76"/>
      <c r="D726" s="76"/>
      <c r="E726" s="76"/>
      <c r="F726" s="77"/>
      <c r="G726" s="76"/>
      <c r="H726" s="76"/>
      <c r="I726" s="76"/>
      <c r="J726" s="76"/>
      <c r="K726" s="76"/>
      <c r="L726" s="76"/>
      <c r="M726" s="76"/>
      <c r="N726" s="76"/>
      <c r="O726" s="76"/>
      <c r="P726" s="76"/>
      <c r="Q726" s="76"/>
      <c r="R726" s="76"/>
      <c r="S726" s="76"/>
      <c r="T726" s="76"/>
      <c r="U726" s="76"/>
      <c r="V726" s="76"/>
      <c r="W726" s="76"/>
      <c r="X726" s="76"/>
      <c r="Y726" s="76"/>
      <c r="Z726" s="76"/>
      <c r="AA726" s="79"/>
      <c r="AB726" s="79"/>
      <c r="AC726" s="79"/>
      <c r="AD726" s="79"/>
      <c r="AE726" s="79"/>
      <c r="AF726" s="79"/>
      <c r="AG726" s="79"/>
      <c r="AH726" s="79"/>
      <c r="AI726" s="79"/>
      <c r="AJ726" s="79"/>
      <c r="AK726" s="79"/>
    </row>
    <row r="727" spans="1:37" s="78" customFormat="1" ht="12" customHeight="1">
      <c r="A727" s="76"/>
      <c r="B727" s="76"/>
      <c r="C727" s="76"/>
      <c r="D727" s="76"/>
      <c r="E727" s="76"/>
      <c r="F727" s="77"/>
      <c r="G727" s="76"/>
      <c r="H727" s="76"/>
      <c r="I727" s="76"/>
      <c r="J727" s="76"/>
      <c r="K727" s="76"/>
      <c r="L727" s="76"/>
      <c r="M727" s="76"/>
      <c r="N727" s="76"/>
      <c r="O727" s="76"/>
      <c r="P727" s="76"/>
      <c r="Q727" s="76"/>
      <c r="R727" s="76"/>
      <c r="S727" s="76"/>
      <c r="T727" s="76"/>
      <c r="U727" s="76"/>
      <c r="V727" s="76"/>
      <c r="W727" s="76"/>
      <c r="X727" s="76"/>
      <c r="Y727" s="76"/>
      <c r="Z727" s="76"/>
      <c r="AA727" s="79"/>
      <c r="AB727" s="79"/>
      <c r="AC727" s="79"/>
      <c r="AD727" s="79"/>
      <c r="AE727" s="79"/>
      <c r="AF727" s="79"/>
      <c r="AG727" s="79"/>
      <c r="AH727" s="79"/>
      <c r="AI727" s="79"/>
      <c r="AJ727" s="79"/>
      <c r="AK727" s="79"/>
    </row>
    <row r="728" spans="1:37" s="78" customFormat="1" ht="12" customHeight="1">
      <c r="A728" s="76"/>
      <c r="B728" s="76"/>
      <c r="C728" s="76"/>
      <c r="D728" s="76"/>
      <c r="E728" s="76"/>
      <c r="F728" s="77"/>
      <c r="G728" s="76"/>
      <c r="H728" s="76"/>
      <c r="I728" s="76"/>
      <c r="J728" s="76"/>
      <c r="K728" s="76"/>
      <c r="L728" s="76"/>
      <c r="M728" s="76"/>
      <c r="N728" s="76"/>
      <c r="O728" s="76"/>
      <c r="P728" s="76"/>
      <c r="Q728" s="76"/>
      <c r="R728" s="76"/>
      <c r="S728" s="76"/>
      <c r="T728" s="76"/>
      <c r="U728" s="76"/>
      <c r="V728" s="76"/>
      <c r="W728" s="76"/>
      <c r="X728" s="76"/>
      <c r="Y728" s="76"/>
      <c r="Z728" s="76"/>
      <c r="AA728" s="79"/>
      <c r="AB728" s="79"/>
      <c r="AC728" s="79"/>
      <c r="AD728" s="79"/>
      <c r="AE728" s="79"/>
      <c r="AF728" s="79"/>
      <c r="AG728" s="79"/>
      <c r="AH728" s="79"/>
      <c r="AI728" s="79"/>
      <c r="AJ728" s="79"/>
      <c r="AK728" s="79"/>
    </row>
    <row r="729" spans="1:37" s="78" customFormat="1" ht="12" customHeight="1">
      <c r="A729" s="76"/>
      <c r="B729" s="76"/>
      <c r="C729" s="76"/>
      <c r="D729" s="76"/>
      <c r="E729" s="76"/>
      <c r="F729" s="77"/>
      <c r="G729" s="76"/>
      <c r="H729" s="76"/>
      <c r="I729" s="76"/>
      <c r="J729" s="76"/>
      <c r="K729" s="76"/>
      <c r="L729" s="76"/>
      <c r="M729" s="76"/>
      <c r="N729" s="76"/>
      <c r="O729" s="76"/>
      <c r="P729" s="76"/>
      <c r="Q729" s="76"/>
      <c r="R729" s="76"/>
      <c r="S729" s="76"/>
      <c r="T729" s="76"/>
      <c r="U729" s="76"/>
      <c r="V729" s="76"/>
      <c r="W729" s="76"/>
      <c r="X729" s="76"/>
      <c r="Y729" s="76"/>
      <c r="Z729" s="76"/>
      <c r="AA729" s="79"/>
      <c r="AB729" s="79"/>
      <c r="AC729" s="79"/>
      <c r="AD729" s="79"/>
      <c r="AE729" s="79"/>
      <c r="AF729" s="79"/>
      <c r="AG729" s="79"/>
      <c r="AH729" s="79"/>
      <c r="AI729" s="79"/>
      <c r="AJ729" s="79"/>
      <c r="AK729" s="79"/>
    </row>
    <row r="730" spans="1:37" s="78" customFormat="1" ht="12" customHeight="1">
      <c r="A730" s="76"/>
      <c r="B730" s="76"/>
      <c r="C730" s="76"/>
      <c r="D730" s="76"/>
      <c r="E730" s="76"/>
      <c r="F730" s="77"/>
      <c r="G730" s="76"/>
      <c r="H730" s="76"/>
      <c r="I730" s="76"/>
      <c r="J730" s="76"/>
      <c r="K730" s="76"/>
      <c r="L730" s="76"/>
      <c r="M730" s="76"/>
      <c r="N730" s="76"/>
      <c r="O730" s="76"/>
      <c r="P730" s="76"/>
      <c r="Q730" s="76"/>
      <c r="R730" s="76"/>
      <c r="S730" s="76"/>
      <c r="T730" s="76"/>
      <c r="U730" s="76"/>
      <c r="V730" s="76"/>
      <c r="W730" s="76"/>
      <c r="X730" s="76"/>
      <c r="Y730" s="76"/>
      <c r="Z730" s="76"/>
      <c r="AA730" s="79"/>
      <c r="AB730" s="79"/>
      <c r="AC730" s="79"/>
      <c r="AD730" s="79"/>
      <c r="AE730" s="79"/>
      <c r="AF730" s="79"/>
      <c r="AG730" s="79"/>
      <c r="AH730" s="79"/>
      <c r="AI730" s="79"/>
      <c r="AJ730" s="79"/>
      <c r="AK730" s="79"/>
    </row>
    <row r="731" spans="1:37" s="78" customFormat="1" ht="12" customHeight="1">
      <c r="A731" s="76"/>
      <c r="B731" s="76"/>
      <c r="C731" s="76"/>
      <c r="D731" s="76"/>
      <c r="E731" s="76"/>
      <c r="F731" s="77"/>
      <c r="G731" s="76"/>
      <c r="H731" s="76"/>
      <c r="I731" s="76"/>
      <c r="J731" s="76"/>
      <c r="K731" s="76"/>
      <c r="L731" s="76"/>
      <c r="M731" s="76"/>
      <c r="N731" s="76"/>
      <c r="O731" s="76"/>
      <c r="P731" s="76"/>
      <c r="Q731" s="76"/>
      <c r="R731" s="76"/>
      <c r="S731" s="76"/>
      <c r="T731" s="76"/>
      <c r="U731" s="76"/>
      <c r="V731" s="76"/>
      <c r="W731" s="76"/>
      <c r="X731" s="76"/>
      <c r="Y731" s="76"/>
      <c r="Z731" s="76"/>
      <c r="AA731" s="79"/>
      <c r="AB731" s="79"/>
      <c r="AC731" s="79"/>
      <c r="AD731" s="79"/>
      <c r="AE731" s="79"/>
      <c r="AF731" s="79"/>
      <c r="AG731" s="79"/>
      <c r="AH731" s="79"/>
      <c r="AI731" s="79"/>
      <c r="AJ731" s="79"/>
      <c r="AK731" s="79"/>
    </row>
    <row r="732" spans="1:37" s="78" customFormat="1" ht="12" customHeight="1">
      <c r="A732" s="76"/>
      <c r="B732" s="76"/>
      <c r="C732" s="76"/>
      <c r="D732" s="76"/>
      <c r="E732" s="76"/>
      <c r="F732" s="77"/>
      <c r="G732" s="76"/>
      <c r="H732" s="76"/>
      <c r="I732" s="76"/>
      <c r="J732" s="76"/>
      <c r="K732" s="76"/>
      <c r="L732" s="76"/>
      <c r="M732" s="76"/>
      <c r="N732" s="76"/>
      <c r="O732" s="76"/>
      <c r="P732" s="76"/>
      <c r="Q732" s="76"/>
      <c r="R732" s="76"/>
      <c r="S732" s="76"/>
      <c r="T732" s="76"/>
      <c r="U732" s="76"/>
      <c r="V732" s="76"/>
      <c r="W732" s="76"/>
      <c r="X732" s="76"/>
      <c r="Y732" s="76"/>
      <c r="Z732" s="76"/>
      <c r="AA732" s="79"/>
      <c r="AB732" s="79"/>
      <c r="AC732" s="79"/>
      <c r="AD732" s="79"/>
      <c r="AE732" s="79"/>
      <c r="AF732" s="79"/>
      <c r="AG732" s="79"/>
      <c r="AH732" s="79"/>
      <c r="AI732" s="79"/>
      <c r="AJ732" s="79"/>
      <c r="AK732" s="79"/>
    </row>
    <row r="733" spans="1:37" s="78" customFormat="1" ht="12" customHeight="1">
      <c r="A733" s="76"/>
      <c r="B733" s="76"/>
      <c r="C733" s="76"/>
      <c r="D733" s="76"/>
      <c r="E733" s="76"/>
      <c r="F733" s="77"/>
      <c r="G733" s="76"/>
      <c r="H733" s="76"/>
      <c r="I733" s="76"/>
      <c r="J733" s="76"/>
      <c r="K733" s="76"/>
      <c r="L733" s="76"/>
      <c r="M733" s="76"/>
      <c r="N733" s="76"/>
      <c r="O733" s="76"/>
      <c r="P733" s="76"/>
      <c r="Q733" s="76"/>
      <c r="R733" s="76"/>
      <c r="S733" s="76"/>
      <c r="T733" s="76"/>
      <c r="U733" s="76"/>
      <c r="V733" s="76"/>
      <c r="W733" s="76"/>
      <c r="X733" s="76"/>
      <c r="Y733" s="76"/>
      <c r="Z733" s="76"/>
      <c r="AA733" s="79"/>
      <c r="AB733" s="79"/>
      <c r="AC733" s="79"/>
      <c r="AD733" s="79"/>
      <c r="AE733" s="79"/>
      <c r="AF733" s="79"/>
      <c r="AG733" s="79"/>
      <c r="AH733" s="79"/>
      <c r="AI733" s="79"/>
      <c r="AJ733" s="79"/>
      <c r="AK733" s="79"/>
    </row>
    <row r="734" spans="1:37" s="78" customFormat="1" ht="12" customHeight="1">
      <c r="A734" s="76"/>
      <c r="B734" s="76"/>
      <c r="C734" s="76"/>
      <c r="D734" s="76"/>
      <c r="E734" s="76"/>
      <c r="F734" s="77"/>
      <c r="G734" s="76"/>
      <c r="H734" s="76"/>
      <c r="I734" s="76"/>
      <c r="J734" s="76"/>
      <c r="K734" s="76"/>
      <c r="L734" s="76"/>
      <c r="M734" s="76"/>
      <c r="N734" s="76"/>
      <c r="O734" s="76"/>
      <c r="P734" s="76"/>
      <c r="Q734" s="76"/>
      <c r="R734" s="76"/>
      <c r="S734" s="76"/>
      <c r="T734" s="76"/>
      <c r="U734" s="76"/>
      <c r="V734" s="76"/>
      <c r="W734" s="76"/>
      <c r="X734" s="76"/>
      <c r="Y734" s="76"/>
      <c r="Z734" s="76"/>
      <c r="AA734" s="79"/>
      <c r="AB734" s="79"/>
      <c r="AC734" s="79"/>
      <c r="AD734" s="79"/>
      <c r="AE734" s="79"/>
      <c r="AF734" s="79"/>
      <c r="AG734" s="79"/>
      <c r="AH734" s="79"/>
      <c r="AI734" s="79"/>
      <c r="AJ734" s="79"/>
      <c r="AK734" s="79"/>
    </row>
    <row r="735" spans="1:37" s="78" customFormat="1" ht="12" customHeight="1">
      <c r="A735" s="76"/>
      <c r="B735" s="76"/>
      <c r="C735" s="76"/>
      <c r="D735" s="76"/>
      <c r="E735" s="76"/>
      <c r="F735" s="77"/>
      <c r="G735" s="76"/>
      <c r="H735" s="76"/>
      <c r="I735" s="76"/>
      <c r="J735" s="76"/>
      <c r="K735" s="76"/>
      <c r="L735" s="76"/>
      <c r="M735" s="76"/>
      <c r="N735" s="76"/>
      <c r="O735" s="76"/>
      <c r="P735" s="76"/>
      <c r="Q735" s="76"/>
      <c r="R735" s="76"/>
      <c r="S735" s="76"/>
      <c r="T735" s="76"/>
      <c r="U735" s="76"/>
      <c r="V735" s="76"/>
      <c r="W735" s="76"/>
      <c r="X735" s="76"/>
      <c r="Y735" s="76"/>
      <c r="Z735" s="76"/>
      <c r="AA735" s="79"/>
      <c r="AB735" s="79"/>
      <c r="AC735" s="79"/>
      <c r="AD735" s="79"/>
      <c r="AE735" s="79"/>
      <c r="AF735" s="79"/>
      <c r="AG735" s="79"/>
      <c r="AH735" s="79"/>
      <c r="AI735" s="79"/>
      <c r="AJ735" s="79"/>
      <c r="AK735" s="79"/>
    </row>
    <row r="736" spans="1:37" s="78" customFormat="1" ht="12" customHeight="1">
      <c r="A736" s="76"/>
      <c r="B736" s="76"/>
      <c r="C736" s="76"/>
      <c r="D736" s="76"/>
      <c r="E736" s="76"/>
      <c r="F736" s="77"/>
      <c r="G736" s="76"/>
      <c r="H736" s="76"/>
      <c r="I736" s="76"/>
      <c r="J736" s="76"/>
      <c r="K736" s="76"/>
      <c r="L736" s="76"/>
      <c r="M736" s="76"/>
      <c r="N736" s="76"/>
      <c r="O736" s="76"/>
      <c r="P736" s="76"/>
      <c r="Q736" s="76"/>
      <c r="R736" s="76"/>
      <c r="S736" s="76"/>
      <c r="T736" s="76"/>
      <c r="U736" s="76"/>
      <c r="V736" s="76"/>
      <c r="W736" s="76"/>
      <c r="X736" s="76"/>
      <c r="Y736" s="76"/>
      <c r="Z736" s="76"/>
      <c r="AA736" s="79"/>
      <c r="AB736" s="79"/>
      <c r="AC736" s="79"/>
      <c r="AD736" s="79"/>
      <c r="AE736" s="79"/>
      <c r="AF736" s="79"/>
      <c r="AG736" s="79"/>
      <c r="AH736" s="79"/>
      <c r="AI736" s="79"/>
      <c r="AJ736" s="79"/>
      <c r="AK736" s="79"/>
    </row>
    <row r="737" spans="1:37" s="78" customFormat="1" ht="12" customHeight="1">
      <c r="A737" s="76"/>
      <c r="B737" s="76"/>
      <c r="C737" s="76"/>
      <c r="D737" s="76"/>
      <c r="E737" s="76"/>
      <c r="F737" s="77"/>
      <c r="G737" s="76"/>
      <c r="H737" s="76"/>
      <c r="I737" s="76"/>
      <c r="J737" s="76"/>
      <c r="K737" s="76"/>
      <c r="L737" s="76"/>
      <c r="M737" s="76"/>
      <c r="N737" s="76"/>
      <c r="O737" s="76"/>
      <c r="P737" s="76"/>
      <c r="Q737" s="76"/>
      <c r="R737" s="76"/>
      <c r="S737" s="76"/>
      <c r="T737" s="76"/>
      <c r="U737" s="76"/>
      <c r="V737" s="76"/>
      <c r="W737" s="76"/>
      <c r="X737" s="76"/>
      <c r="Y737" s="76"/>
      <c r="Z737" s="76"/>
      <c r="AA737" s="79"/>
      <c r="AB737" s="79"/>
      <c r="AC737" s="79"/>
      <c r="AD737" s="79"/>
      <c r="AE737" s="79"/>
      <c r="AF737" s="79"/>
      <c r="AG737" s="79"/>
      <c r="AH737" s="79"/>
      <c r="AI737" s="79"/>
      <c r="AJ737" s="79"/>
      <c r="AK737" s="79"/>
    </row>
    <row r="738" spans="1:37" s="78" customFormat="1" ht="12" customHeight="1">
      <c r="A738" s="76"/>
      <c r="B738" s="76"/>
      <c r="C738" s="76"/>
      <c r="D738" s="76"/>
      <c r="E738" s="76"/>
      <c r="F738" s="77"/>
      <c r="G738" s="76"/>
      <c r="H738" s="76"/>
      <c r="I738" s="76"/>
      <c r="J738" s="76"/>
      <c r="K738" s="76"/>
      <c r="L738" s="76"/>
      <c r="M738" s="76"/>
      <c r="N738" s="76"/>
      <c r="O738" s="76"/>
      <c r="P738" s="76"/>
      <c r="Q738" s="76"/>
      <c r="R738" s="76"/>
      <c r="S738" s="76"/>
      <c r="T738" s="76"/>
      <c r="U738" s="76"/>
      <c r="V738" s="76"/>
      <c r="W738" s="76"/>
      <c r="X738" s="76"/>
      <c r="Y738" s="76"/>
      <c r="Z738" s="76"/>
      <c r="AA738" s="79"/>
      <c r="AB738" s="79"/>
      <c r="AC738" s="79"/>
      <c r="AD738" s="79"/>
      <c r="AE738" s="79"/>
      <c r="AF738" s="79"/>
      <c r="AG738" s="79"/>
      <c r="AH738" s="79"/>
      <c r="AI738" s="79"/>
      <c r="AJ738" s="79"/>
      <c r="AK738" s="79"/>
    </row>
    <row r="739" spans="1:37" s="78" customFormat="1" ht="12" customHeight="1">
      <c r="A739" s="76"/>
      <c r="B739" s="76"/>
      <c r="C739" s="76"/>
      <c r="D739" s="76"/>
      <c r="E739" s="76"/>
      <c r="F739" s="77"/>
      <c r="G739" s="76"/>
      <c r="H739" s="76"/>
      <c r="I739" s="76"/>
      <c r="J739" s="76"/>
      <c r="K739" s="76"/>
      <c r="L739" s="76"/>
      <c r="M739" s="76"/>
      <c r="N739" s="76"/>
      <c r="O739" s="76"/>
      <c r="P739" s="76"/>
      <c r="Q739" s="76"/>
      <c r="R739" s="76"/>
      <c r="S739" s="76"/>
      <c r="T739" s="76"/>
      <c r="U739" s="76"/>
      <c r="V739" s="76"/>
      <c r="W739" s="76"/>
      <c r="X739" s="76"/>
      <c r="Y739" s="76"/>
      <c r="Z739" s="76"/>
      <c r="AA739" s="79"/>
      <c r="AB739" s="79"/>
      <c r="AC739" s="79"/>
      <c r="AD739" s="79"/>
      <c r="AE739" s="79"/>
      <c r="AF739" s="79"/>
      <c r="AG739" s="79"/>
      <c r="AH739" s="79"/>
      <c r="AI739" s="79"/>
      <c r="AJ739" s="79"/>
      <c r="AK739" s="79"/>
    </row>
    <row r="740" spans="1:37" s="78" customFormat="1" ht="12" customHeight="1">
      <c r="A740" s="76"/>
      <c r="B740" s="76"/>
      <c r="C740" s="76"/>
      <c r="D740" s="76"/>
      <c r="E740" s="76"/>
      <c r="F740" s="77"/>
      <c r="G740" s="76"/>
      <c r="H740" s="76"/>
      <c r="I740" s="76"/>
      <c r="J740" s="76"/>
      <c r="K740" s="76"/>
      <c r="L740" s="76"/>
      <c r="M740" s="76"/>
      <c r="N740" s="76"/>
      <c r="O740" s="76"/>
      <c r="P740" s="76"/>
      <c r="Q740" s="76"/>
      <c r="R740" s="76"/>
      <c r="S740" s="76"/>
      <c r="T740" s="76"/>
      <c r="U740" s="76"/>
      <c r="V740" s="76"/>
      <c r="W740" s="76"/>
      <c r="X740" s="76"/>
      <c r="Y740" s="76"/>
      <c r="Z740" s="76"/>
      <c r="AA740" s="79"/>
      <c r="AB740" s="79"/>
      <c r="AC740" s="79"/>
      <c r="AD740" s="79"/>
      <c r="AE740" s="79"/>
      <c r="AF740" s="79"/>
      <c r="AG740" s="79"/>
      <c r="AH740" s="79"/>
      <c r="AI740" s="79"/>
      <c r="AJ740" s="79"/>
      <c r="AK740" s="79"/>
    </row>
    <row r="741" spans="1:37" s="78" customFormat="1" ht="12" customHeight="1">
      <c r="A741" s="76"/>
      <c r="B741" s="76"/>
      <c r="C741" s="76"/>
      <c r="D741" s="76"/>
      <c r="E741" s="76"/>
      <c r="F741" s="77"/>
      <c r="G741" s="76"/>
      <c r="H741" s="76"/>
      <c r="I741" s="76"/>
      <c r="J741" s="76"/>
      <c r="K741" s="76"/>
      <c r="L741" s="76"/>
      <c r="M741" s="76"/>
      <c r="N741" s="76"/>
      <c r="O741" s="76"/>
      <c r="P741" s="76"/>
      <c r="Q741" s="76"/>
      <c r="R741" s="76"/>
      <c r="S741" s="76"/>
      <c r="T741" s="76"/>
      <c r="U741" s="76"/>
      <c r="V741" s="76"/>
      <c r="W741" s="76"/>
      <c r="X741" s="76"/>
      <c r="Y741" s="76"/>
      <c r="Z741" s="76"/>
      <c r="AA741" s="79"/>
      <c r="AB741" s="79"/>
      <c r="AC741" s="79"/>
      <c r="AD741" s="79"/>
      <c r="AE741" s="79"/>
      <c r="AF741" s="79"/>
      <c r="AG741" s="79"/>
      <c r="AH741" s="79"/>
      <c r="AI741" s="79"/>
      <c r="AJ741" s="79"/>
      <c r="AK741" s="79"/>
    </row>
    <row r="742" spans="1:37" s="78" customFormat="1" ht="12" customHeight="1">
      <c r="A742" s="76"/>
      <c r="B742" s="76"/>
      <c r="C742" s="76"/>
      <c r="D742" s="76"/>
      <c r="E742" s="76"/>
      <c r="F742" s="77"/>
      <c r="G742" s="76"/>
      <c r="H742" s="76"/>
      <c r="I742" s="76"/>
      <c r="J742" s="76"/>
      <c r="K742" s="76"/>
      <c r="L742" s="76"/>
      <c r="M742" s="76"/>
      <c r="N742" s="76"/>
      <c r="O742" s="76"/>
      <c r="P742" s="76"/>
      <c r="Q742" s="76"/>
      <c r="R742" s="76"/>
      <c r="S742" s="76"/>
      <c r="T742" s="76"/>
      <c r="U742" s="76"/>
      <c r="V742" s="76"/>
      <c r="W742" s="76"/>
      <c r="X742" s="76"/>
      <c r="Y742" s="76"/>
      <c r="Z742" s="76"/>
      <c r="AA742" s="79"/>
      <c r="AB742" s="79"/>
      <c r="AC742" s="79"/>
      <c r="AD742" s="79"/>
      <c r="AE742" s="79"/>
      <c r="AF742" s="79"/>
      <c r="AG742" s="79"/>
      <c r="AH742" s="79"/>
      <c r="AI742" s="79"/>
      <c r="AJ742" s="79"/>
      <c r="AK742" s="79"/>
    </row>
    <row r="743" spans="1:37" s="78" customFormat="1" ht="12" customHeight="1">
      <c r="A743" s="76"/>
      <c r="B743" s="76"/>
      <c r="C743" s="76"/>
      <c r="D743" s="76"/>
      <c r="E743" s="76"/>
      <c r="F743" s="77"/>
      <c r="G743" s="76"/>
      <c r="H743" s="76"/>
      <c r="I743" s="76"/>
      <c r="J743" s="76"/>
      <c r="K743" s="76"/>
      <c r="L743" s="76"/>
      <c r="M743" s="76"/>
      <c r="N743" s="76"/>
      <c r="O743" s="76"/>
      <c r="P743" s="76"/>
      <c r="Q743" s="76"/>
      <c r="R743" s="76"/>
      <c r="S743" s="76"/>
      <c r="T743" s="76"/>
      <c r="U743" s="76"/>
      <c r="V743" s="76"/>
      <c r="W743" s="76"/>
      <c r="X743" s="76"/>
      <c r="Y743" s="76"/>
      <c r="Z743" s="76"/>
      <c r="AA743" s="79"/>
      <c r="AB743" s="79"/>
      <c r="AC743" s="79"/>
      <c r="AD743" s="79"/>
      <c r="AE743" s="79"/>
      <c r="AF743" s="79"/>
      <c r="AG743" s="79"/>
      <c r="AH743" s="79"/>
      <c r="AI743" s="79"/>
      <c r="AJ743" s="79"/>
      <c r="AK743" s="79"/>
    </row>
    <row r="744" spans="1:37" s="78" customFormat="1" ht="12" customHeight="1">
      <c r="A744" s="76"/>
      <c r="B744" s="76"/>
      <c r="C744" s="76"/>
      <c r="D744" s="76"/>
      <c r="E744" s="76"/>
      <c r="F744" s="77"/>
      <c r="G744" s="76"/>
      <c r="H744" s="76"/>
      <c r="I744" s="76"/>
      <c r="J744" s="76"/>
      <c r="K744" s="76"/>
      <c r="L744" s="76"/>
      <c r="M744" s="76"/>
      <c r="N744" s="76"/>
      <c r="O744" s="76"/>
      <c r="P744" s="76"/>
      <c r="Q744" s="76"/>
      <c r="R744" s="76"/>
      <c r="S744" s="76"/>
      <c r="T744" s="76"/>
      <c r="U744" s="76"/>
      <c r="V744" s="76"/>
      <c r="W744" s="76"/>
      <c r="X744" s="76"/>
      <c r="Y744" s="76"/>
      <c r="Z744" s="76"/>
      <c r="AA744" s="79"/>
      <c r="AB744" s="79"/>
      <c r="AC744" s="79"/>
      <c r="AD744" s="79"/>
      <c r="AE744" s="79"/>
      <c r="AF744" s="79"/>
      <c r="AG744" s="79"/>
      <c r="AH744" s="79"/>
      <c r="AI744" s="79"/>
      <c r="AJ744" s="79"/>
      <c r="AK744" s="79"/>
    </row>
    <row r="745" spans="1:37" s="78" customFormat="1" ht="12" customHeight="1">
      <c r="A745" s="76"/>
      <c r="B745" s="76"/>
      <c r="C745" s="76"/>
      <c r="D745" s="76"/>
      <c r="E745" s="76"/>
      <c r="F745" s="77"/>
      <c r="G745" s="76"/>
      <c r="H745" s="76"/>
      <c r="I745" s="76"/>
      <c r="J745" s="76"/>
      <c r="K745" s="76"/>
      <c r="L745" s="76"/>
      <c r="M745" s="76"/>
      <c r="N745" s="76"/>
      <c r="O745" s="76"/>
      <c r="P745" s="76"/>
      <c r="Q745" s="76"/>
      <c r="R745" s="76"/>
      <c r="S745" s="76"/>
      <c r="T745" s="76"/>
      <c r="U745" s="76"/>
      <c r="V745" s="76"/>
      <c r="W745" s="76"/>
      <c r="X745" s="76"/>
      <c r="Y745" s="76"/>
      <c r="Z745" s="76"/>
      <c r="AA745" s="79"/>
      <c r="AB745" s="79"/>
      <c r="AC745" s="79"/>
      <c r="AD745" s="79"/>
      <c r="AE745" s="79"/>
      <c r="AF745" s="79"/>
      <c r="AG745" s="79"/>
      <c r="AH745" s="79"/>
      <c r="AI745" s="79"/>
      <c r="AJ745" s="79"/>
      <c r="AK745" s="79"/>
    </row>
    <row r="746" spans="1:37" s="78" customFormat="1" ht="12" customHeight="1">
      <c r="A746" s="76"/>
      <c r="B746" s="76"/>
      <c r="C746" s="76"/>
      <c r="D746" s="76"/>
      <c r="E746" s="76"/>
      <c r="F746" s="77"/>
      <c r="G746" s="76"/>
      <c r="H746" s="76"/>
      <c r="I746" s="76"/>
      <c r="J746" s="76"/>
      <c r="K746" s="76"/>
      <c r="L746" s="76"/>
      <c r="M746" s="76"/>
      <c r="N746" s="76"/>
      <c r="O746" s="76"/>
      <c r="P746" s="76"/>
      <c r="Q746" s="76"/>
      <c r="R746" s="76"/>
      <c r="S746" s="76"/>
      <c r="T746" s="76"/>
      <c r="U746" s="76"/>
      <c r="V746" s="76"/>
      <c r="W746" s="76"/>
      <c r="X746" s="76"/>
      <c r="Y746" s="76"/>
      <c r="Z746" s="76"/>
      <c r="AA746" s="79"/>
      <c r="AB746" s="79"/>
      <c r="AC746" s="79"/>
      <c r="AD746" s="79"/>
      <c r="AE746" s="79"/>
      <c r="AF746" s="79"/>
      <c r="AG746" s="79"/>
      <c r="AH746" s="79"/>
      <c r="AI746" s="79"/>
      <c r="AJ746" s="79"/>
      <c r="AK746" s="79"/>
    </row>
    <row r="747" spans="1:37" s="78" customFormat="1" ht="12" customHeight="1">
      <c r="A747" s="76"/>
      <c r="B747" s="76"/>
      <c r="C747" s="76"/>
      <c r="D747" s="76"/>
      <c r="E747" s="76"/>
      <c r="F747" s="77"/>
      <c r="G747" s="76"/>
      <c r="H747" s="76"/>
      <c r="I747" s="76"/>
      <c r="J747" s="76"/>
      <c r="K747" s="76"/>
      <c r="L747" s="76"/>
      <c r="M747" s="76"/>
      <c r="N747" s="76"/>
      <c r="O747" s="76"/>
      <c r="P747" s="76"/>
      <c r="Q747" s="76"/>
      <c r="R747" s="76"/>
      <c r="S747" s="76"/>
      <c r="T747" s="76"/>
      <c r="U747" s="76"/>
      <c r="V747" s="76"/>
      <c r="W747" s="76"/>
      <c r="X747" s="76"/>
      <c r="Y747" s="76"/>
      <c r="Z747" s="76"/>
      <c r="AA747" s="79"/>
      <c r="AB747" s="79"/>
      <c r="AC747" s="79"/>
      <c r="AD747" s="79"/>
      <c r="AE747" s="79"/>
      <c r="AF747" s="79"/>
      <c r="AG747" s="79"/>
      <c r="AH747" s="79"/>
      <c r="AI747" s="79"/>
      <c r="AJ747" s="79"/>
      <c r="AK747" s="79"/>
    </row>
    <row r="748" spans="1:37" s="78" customFormat="1" ht="12" customHeight="1">
      <c r="A748" s="76"/>
      <c r="B748" s="76"/>
      <c r="C748" s="76"/>
      <c r="D748" s="76"/>
      <c r="E748" s="76"/>
      <c r="F748" s="77"/>
      <c r="G748" s="76"/>
      <c r="H748" s="76"/>
      <c r="I748" s="76"/>
      <c r="J748" s="76"/>
      <c r="K748" s="76"/>
      <c r="L748" s="76"/>
      <c r="M748" s="76"/>
      <c r="N748" s="76"/>
      <c r="O748" s="76"/>
      <c r="P748" s="76"/>
      <c r="Q748" s="76"/>
      <c r="R748" s="76"/>
      <c r="S748" s="76"/>
      <c r="T748" s="76"/>
      <c r="U748" s="76"/>
      <c r="V748" s="76"/>
      <c r="W748" s="76"/>
      <c r="X748" s="76"/>
      <c r="Y748" s="76"/>
      <c r="Z748" s="76"/>
      <c r="AA748" s="79"/>
      <c r="AB748" s="79"/>
      <c r="AC748" s="79"/>
      <c r="AD748" s="79"/>
      <c r="AE748" s="79"/>
      <c r="AF748" s="79"/>
      <c r="AG748" s="79"/>
      <c r="AH748" s="79"/>
      <c r="AI748" s="79"/>
      <c r="AJ748" s="79"/>
      <c r="AK748" s="79"/>
    </row>
    <row r="749" spans="1:37" s="78" customFormat="1" ht="12" customHeight="1">
      <c r="A749" s="76"/>
      <c r="B749" s="76"/>
      <c r="C749" s="76"/>
      <c r="D749" s="76"/>
      <c r="E749" s="76"/>
      <c r="F749" s="77"/>
      <c r="G749" s="76"/>
      <c r="H749" s="76"/>
      <c r="I749" s="76"/>
      <c r="J749" s="76"/>
      <c r="K749" s="76"/>
      <c r="L749" s="76"/>
      <c r="M749" s="76"/>
      <c r="N749" s="76"/>
      <c r="O749" s="76"/>
      <c r="P749" s="76"/>
      <c r="Q749" s="76"/>
      <c r="R749" s="76"/>
      <c r="S749" s="76"/>
      <c r="T749" s="76"/>
      <c r="U749" s="76"/>
      <c r="V749" s="76"/>
      <c r="W749" s="76"/>
      <c r="X749" s="76"/>
      <c r="Y749" s="76"/>
      <c r="Z749" s="76"/>
      <c r="AA749" s="79"/>
      <c r="AB749" s="79"/>
      <c r="AC749" s="79"/>
      <c r="AD749" s="79"/>
      <c r="AE749" s="79"/>
      <c r="AF749" s="79"/>
      <c r="AG749" s="79"/>
      <c r="AH749" s="79"/>
      <c r="AI749" s="79"/>
      <c r="AJ749" s="79"/>
      <c r="AK749" s="79"/>
    </row>
    <row r="750" spans="1:37" s="78" customFormat="1" ht="12" customHeight="1">
      <c r="A750" s="76"/>
      <c r="B750" s="76"/>
      <c r="C750" s="76"/>
      <c r="D750" s="76"/>
      <c r="E750" s="76"/>
      <c r="F750" s="77"/>
      <c r="G750" s="76"/>
      <c r="H750" s="76"/>
      <c r="I750" s="76"/>
      <c r="J750" s="76"/>
      <c r="K750" s="76"/>
      <c r="L750" s="76"/>
      <c r="M750" s="76"/>
      <c r="N750" s="76"/>
      <c r="O750" s="76"/>
      <c r="P750" s="76"/>
      <c r="Q750" s="76"/>
      <c r="R750" s="76"/>
      <c r="S750" s="76"/>
      <c r="T750" s="76"/>
      <c r="U750" s="76"/>
      <c r="V750" s="76"/>
      <c r="W750" s="76"/>
      <c r="X750" s="76"/>
      <c r="Y750" s="76"/>
      <c r="Z750" s="76"/>
      <c r="AA750" s="79"/>
      <c r="AB750" s="79"/>
      <c r="AC750" s="79"/>
      <c r="AD750" s="79"/>
      <c r="AE750" s="79"/>
      <c r="AF750" s="79"/>
      <c r="AG750" s="79"/>
      <c r="AH750" s="79"/>
      <c r="AI750" s="79"/>
      <c r="AJ750" s="79"/>
      <c r="AK750" s="79"/>
    </row>
    <row r="751" spans="1:37" s="78" customFormat="1" ht="12" customHeight="1">
      <c r="A751" s="76"/>
      <c r="B751" s="76"/>
      <c r="C751" s="76"/>
      <c r="D751" s="76"/>
      <c r="E751" s="76"/>
      <c r="F751" s="77"/>
      <c r="G751" s="76"/>
      <c r="H751" s="76"/>
      <c r="I751" s="76"/>
      <c r="J751" s="76"/>
      <c r="K751" s="76"/>
      <c r="L751" s="76"/>
      <c r="M751" s="76"/>
      <c r="N751" s="76"/>
      <c r="O751" s="76"/>
      <c r="P751" s="76"/>
      <c r="Q751" s="76"/>
      <c r="R751" s="76"/>
      <c r="S751" s="76"/>
      <c r="T751" s="76"/>
      <c r="U751" s="76"/>
      <c r="V751" s="76"/>
      <c r="W751" s="76"/>
      <c r="X751" s="76"/>
      <c r="Y751" s="76"/>
      <c r="Z751" s="76"/>
      <c r="AA751" s="79"/>
      <c r="AB751" s="79"/>
      <c r="AC751" s="79"/>
      <c r="AD751" s="79"/>
      <c r="AE751" s="79"/>
      <c r="AF751" s="79"/>
      <c r="AG751" s="79"/>
      <c r="AH751" s="79"/>
      <c r="AI751" s="79"/>
      <c r="AJ751" s="79"/>
      <c r="AK751" s="79"/>
    </row>
    <row r="752" spans="1:37" s="78" customFormat="1" ht="12" customHeight="1">
      <c r="A752" s="76"/>
      <c r="B752" s="76"/>
      <c r="C752" s="76"/>
      <c r="D752" s="76"/>
      <c r="E752" s="76"/>
      <c r="F752" s="77"/>
      <c r="G752" s="76"/>
      <c r="H752" s="76"/>
      <c r="I752" s="76"/>
      <c r="J752" s="76"/>
      <c r="K752" s="76"/>
      <c r="L752" s="76"/>
      <c r="M752" s="76"/>
      <c r="N752" s="76"/>
      <c r="O752" s="76"/>
      <c r="P752" s="76"/>
      <c r="Q752" s="76"/>
      <c r="R752" s="76"/>
      <c r="S752" s="76"/>
      <c r="T752" s="76"/>
      <c r="U752" s="76"/>
      <c r="V752" s="76"/>
      <c r="W752" s="76"/>
      <c r="X752" s="76"/>
      <c r="Y752" s="76"/>
      <c r="Z752" s="76"/>
      <c r="AA752" s="79"/>
      <c r="AB752" s="79"/>
      <c r="AC752" s="79"/>
      <c r="AD752" s="79"/>
      <c r="AE752" s="79"/>
      <c r="AF752" s="79"/>
      <c r="AG752" s="79"/>
      <c r="AH752" s="79"/>
      <c r="AI752" s="79"/>
      <c r="AJ752" s="79"/>
      <c r="AK752" s="79"/>
    </row>
    <row r="753" spans="1:37" s="78" customFormat="1" ht="12" customHeight="1">
      <c r="A753" s="76"/>
      <c r="B753" s="76"/>
      <c r="C753" s="76"/>
      <c r="D753" s="76"/>
      <c r="E753" s="76"/>
      <c r="F753" s="77"/>
      <c r="G753" s="76"/>
      <c r="H753" s="76"/>
      <c r="I753" s="76"/>
      <c r="J753" s="76"/>
      <c r="K753" s="76"/>
      <c r="L753" s="76"/>
      <c r="M753" s="76"/>
      <c r="N753" s="76"/>
      <c r="O753" s="76"/>
      <c r="P753" s="76"/>
      <c r="Q753" s="76"/>
      <c r="R753" s="76"/>
      <c r="S753" s="76"/>
      <c r="T753" s="76"/>
      <c r="U753" s="76"/>
      <c r="V753" s="76"/>
      <c r="W753" s="76"/>
      <c r="X753" s="76"/>
      <c r="Y753" s="76"/>
      <c r="Z753" s="76"/>
      <c r="AA753" s="79"/>
      <c r="AB753" s="79"/>
      <c r="AC753" s="79"/>
      <c r="AD753" s="79"/>
      <c r="AE753" s="79"/>
      <c r="AF753" s="79"/>
      <c r="AG753" s="79"/>
      <c r="AH753" s="79"/>
      <c r="AI753" s="79"/>
      <c r="AJ753" s="79"/>
      <c r="AK753" s="79"/>
    </row>
    <row r="754" spans="1:37" s="78" customFormat="1" ht="12" customHeight="1">
      <c r="A754" s="76"/>
      <c r="B754" s="76"/>
      <c r="C754" s="76"/>
      <c r="D754" s="76"/>
      <c r="E754" s="76"/>
      <c r="F754" s="77"/>
      <c r="G754" s="76"/>
      <c r="H754" s="76"/>
      <c r="I754" s="76"/>
      <c r="J754" s="76"/>
      <c r="K754" s="76"/>
      <c r="L754" s="76"/>
      <c r="M754" s="76"/>
      <c r="N754" s="76"/>
      <c r="O754" s="76"/>
      <c r="P754" s="76"/>
      <c r="Q754" s="76"/>
      <c r="R754" s="76"/>
      <c r="S754" s="76"/>
      <c r="T754" s="76"/>
      <c r="U754" s="76"/>
      <c r="V754" s="76"/>
      <c r="W754" s="76"/>
      <c r="X754" s="76"/>
      <c r="Y754" s="76"/>
      <c r="Z754" s="76"/>
      <c r="AA754" s="79"/>
      <c r="AB754" s="79"/>
      <c r="AC754" s="79"/>
      <c r="AD754" s="79"/>
      <c r="AE754" s="79"/>
      <c r="AF754" s="79"/>
      <c r="AG754" s="79"/>
      <c r="AH754" s="79"/>
      <c r="AI754" s="79"/>
      <c r="AJ754" s="79"/>
      <c r="AK754" s="79"/>
    </row>
    <row r="755" spans="1:37" s="78" customFormat="1" ht="12" customHeight="1">
      <c r="A755" s="76"/>
      <c r="B755" s="76"/>
      <c r="C755" s="76"/>
      <c r="D755" s="76"/>
      <c r="E755" s="76"/>
      <c r="F755" s="77"/>
      <c r="G755" s="76"/>
      <c r="H755" s="76"/>
      <c r="I755" s="76"/>
      <c r="J755" s="76"/>
      <c r="K755" s="76"/>
      <c r="L755" s="76"/>
      <c r="M755" s="76"/>
      <c r="N755" s="76"/>
      <c r="O755" s="76"/>
      <c r="P755" s="76"/>
      <c r="Q755" s="76"/>
      <c r="R755" s="76"/>
      <c r="S755" s="76"/>
      <c r="T755" s="76"/>
      <c r="U755" s="76"/>
      <c r="V755" s="76"/>
      <c r="W755" s="76"/>
      <c r="X755" s="76"/>
      <c r="Y755" s="76"/>
      <c r="Z755" s="76"/>
      <c r="AA755" s="79"/>
      <c r="AB755" s="79"/>
      <c r="AC755" s="79"/>
      <c r="AD755" s="79"/>
      <c r="AE755" s="79"/>
      <c r="AF755" s="79"/>
      <c r="AG755" s="79"/>
      <c r="AH755" s="79"/>
      <c r="AI755" s="79"/>
      <c r="AJ755" s="79"/>
      <c r="AK755" s="79"/>
    </row>
    <row r="756" spans="1:37" s="78" customFormat="1" ht="12" customHeight="1">
      <c r="A756" s="76"/>
      <c r="B756" s="76"/>
      <c r="C756" s="76"/>
      <c r="D756" s="76"/>
      <c r="E756" s="76"/>
      <c r="F756" s="77"/>
      <c r="G756" s="76"/>
      <c r="H756" s="76"/>
      <c r="I756" s="76"/>
      <c r="J756" s="76"/>
      <c r="K756" s="76"/>
      <c r="L756" s="76"/>
      <c r="M756" s="76"/>
      <c r="N756" s="76"/>
      <c r="O756" s="76"/>
      <c r="P756" s="76"/>
      <c r="Q756" s="76"/>
      <c r="R756" s="76"/>
      <c r="S756" s="76"/>
      <c r="T756" s="76"/>
      <c r="U756" s="76"/>
      <c r="V756" s="76"/>
      <c r="W756" s="76"/>
      <c r="X756" s="76"/>
      <c r="Y756" s="76"/>
      <c r="Z756" s="76"/>
      <c r="AA756" s="79"/>
      <c r="AB756" s="79"/>
      <c r="AC756" s="79"/>
      <c r="AD756" s="79"/>
      <c r="AE756" s="79"/>
      <c r="AF756" s="79"/>
      <c r="AG756" s="79"/>
      <c r="AH756" s="79"/>
      <c r="AI756" s="79"/>
      <c r="AJ756" s="79"/>
      <c r="AK756" s="79"/>
    </row>
    <row r="757" spans="1:37" s="78" customFormat="1" ht="12" customHeight="1">
      <c r="A757" s="76"/>
      <c r="B757" s="76"/>
      <c r="C757" s="76"/>
      <c r="D757" s="76"/>
      <c r="E757" s="76"/>
      <c r="F757" s="77"/>
      <c r="G757" s="76"/>
      <c r="H757" s="76"/>
      <c r="I757" s="76"/>
      <c r="J757" s="76"/>
      <c r="K757" s="76"/>
      <c r="L757" s="76"/>
      <c r="M757" s="76"/>
      <c r="N757" s="76"/>
      <c r="O757" s="76"/>
      <c r="P757" s="76"/>
      <c r="Q757" s="76"/>
      <c r="R757" s="76"/>
      <c r="S757" s="76"/>
      <c r="T757" s="76"/>
      <c r="U757" s="76"/>
      <c r="V757" s="76"/>
      <c r="W757" s="76"/>
      <c r="X757" s="76"/>
      <c r="Y757" s="76"/>
      <c r="Z757" s="76"/>
      <c r="AA757" s="79"/>
      <c r="AB757" s="79"/>
      <c r="AC757" s="79"/>
      <c r="AD757" s="79"/>
      <c r="AE757" s="79"/>
      <c r="AF757" s="79"/>
      <c r="AG757" s="79"/>
      <c r="AH757" s="79"/>
      <c r="AI757" s="79"/>
      <c r="AJ757" s="79"/>
      <c r="AK757" s="79"/>
    </row>
    <row r="758" spans="1:37" s="78" customFormat="1" ht="12" customHeight="1">
      <c r="A758" s="76"/>
      <c r="B758" s="76"/>
      <c r="C758" s="76"/>
      <c r="D758" s="76"/>
      <c r="E758" s="76"/>
      <c r="F758" s="77"/>
      <c r="G758" s="76"/>
      <c r="H758" s="76"/>
      <c r="I758" s="76"/>
      <c r="J758" s="76"/>
      <c r="K758" s="76"/>
      <c r="L758" s="76"/>
      <c r="M758" s="76"/>
      <c r="N758" s="76"/>
      <c r="O758" s="76"/>
      <c r="P758" s="76"/>
      <c r="Q758" s="76"/>
      <c r="R758" s="76"/>
      <c r="S758" s="76"/>
      <c r="T758" s="76"/>
      <c r="U758" s="76"/>
      <c r="V758" s="76"/>
      <c r="W758" s="76"/>
      <c r="X758" s="76"/>
      <c r="Y758" s="76"/>
      <c r="Z758" s="76"/>
      <c r="AA758" s="79"/>
      <c r="AB758" s="79"/>
      <c r="AC758" s="79"/>
      <c r="AD758" s="79"/>
      <c r="AE758" s="79"/>
      <c r="AF758" s="79"/>
      <c r="AG758" s="79"/>
      <c r="AH758" s="79"/>
      <c r="AI758" s="79"/>
      <c r="AJ758" s="79"/>
      <c r="AK758" s="79"/>
    </row>
    <row r="759" spans="1:37" s="78" customFormat="1" ht="12" customHeight="1">
      <c r="A759" s="76"/>
      <c r="B759" s="76"/>
      <c r="C759" s="76"/>
      <c r="D759" s="76"/>
      <c r="E759" s="76"/>
      <c r="F759" s="77"/>
      <c r="G759" s="76"/>
      <c r="H759" s="76"/>
      <c r="I759" s="76"/>
      <c r="J759" s="76"/>
      <c r="K759" s="76"/>
      <c r="L759" s="76"/>
      <c r="M759" s="76"/>
      <c r="N759" s="76"/>
      <c r="O759" s="76"/>
      <c r="P759" s="76"/>
      <c r="Q759" s="76"/>
      <c r="R759" s="76"/>
      <c r="S759" s="76"/>
      <c r="T759" s="76"/>
      <c r="U759" s="76"/>
      <c r="V759" s="76"/>
      <c r="W759" s="76"/>
      <c r="X759" s="76"/>
      <c r="Y759" s="76"/>
      <c r="Z759" s="76"/>
      <c r="AA759" s="79"/>
      <c r="AB759" s="79"/>
      <c r="AC759" s="79"/>
      <c r="AD759" s="79"/>
      <c r="AE759" s="79"/>
      <c r="AF759" s="79"/>
      <c r="AG759" s="79"/>
      <c r="AH759" s="79"/>
      <c r="AI759" s="79"/>
      <c r="AJ759" s="79"/>
      <c r="AK759" s="79"/>
    </row>
    <row r="760" spans="1:37" s="78" customFormat="1" ht="12" customHeight="1">
      <c r="A760" s="76"/>
      <c r="B760" s="76"/>
      <c r="C760" s="76"/>
      <c r="D760" s="76"/>
      <c r="E760" s="76"/>
      <c r="F760" s="77"/>
      <c r="G760" s="76"/>
      <c r="H760" s="76"/>
      <c r="I760" s="76"/>
      <c r="J760" s="76"/>
      <c r="K760" s="76"/>
      <c r="L760" s="76"/>
      <c r="M760" s="76"/>
      <c r="N760" s="76"/>
      <c r="O760" s="76"/>
      <c r="P760" s="76"/>
      <c r="Q760" s="76"/>
      <c r="R760" s="76"/>
      <c r="S760" s="76"/>
      <c r="T760" s="76"/>
      <c r="U760" s="76"/>
      <c r="V760" s="76"/>
      <c r="W760" s="76"/>
      <c r="X760" s="76"/>
      <c r="Y760" s="76"/>
      <c r="Z760" s="76"/>
      <c r="AA760" s="79"/>
      <c r="AB760" s="79"/>
      <c r="AC760" s="79"/>
      <c r="AD760" s="79"/>
      <c r="AE760" s="79"/>
      <c r="AF760" s="79"/>
      <c r="AG760" s="79"/>
      <c r="AH760" s="79"/>
      <c r="AI760" s="79"/>
      <c r="AJ760" s="79"/>
      <c r="AK760" s="79"/>
    </row>
    <row r="761" spans="1:37" s="78" customFormat="1" ht="12" customHeight="1">
      <c r="A761" s="76"/>
      <c r="B761" s="76"/>
      <c r="C761" s="76"/>
      <c r="D761" s="76"/>
      <c r="E761" s="76"/>
      <c r="F761" s="77"/>
      <c r="G761" s="76"/>
      <c r="H761" s="76"/>
      <c r="I761" s="76"/>
      <c r="J761" s="76"/>
      <c r="K761" s="76"/>
      <c r="L761" s="76"/>
      <c r="M761" s="76"/>
      <c r="N761" s="76"/>
      <c r="O761" s="76"/>
      <c r="P761" s="76"/>
      <c r="Q761" s="76"/>
      <c r="R761" s="76"/>
      <c r="S761" s="76"/>
      <c r="T761" s="76"/>
      <c r="U761" s="76"/>
      <c r="V761" s="76"/>
      <c r="W761" s="76"/>
      <c r="X761" s="76"/>
      <c r="Y761" s="76"/>
      <c r="Z761" s="76"/>
      <c r="AA761" s="79"/>
      <c r="AB761" s="79"/>
      <c r="AC761" s="79"/>
      <c r="AD761" s="79"/>
      <c r="AE761" s="79"/>
      <c r="AF761" s="79"/>
      <c r="AG761" s="79"/>
      <c r="AH761" s="79"/>
      <c r="AI761" s="79"/>
      <c r="AJ761" s="79"/>
      <c r="AK761" s="79"/>
    </row>
    <row r="762" spans="1:37" s="78" customFormat="1" ht="12" customHeight="1">
      <c r="A762" s="76"/>
      <c r="B762" s="76"/>
      <c r="C762" s="76"/>
      <c r="D762" s="76"/>
      <c r="E762" s="76"/>
      <c r="F762" s="77"/>
      <c r="G762" s="76"/>
      <c r="H762" s="76"/>
      <c r="I762" s="76"/>
      <c r="J762" s="76"/>
      <c r="K762" s="76"/>
      <c r="L762" s="76"/>
      <c r="M762" s="76"/>
      <c r="N762" s="76"/>
      <c r="O762" s="76"/>
      <c r="P762" s="76"/>
      <c r="Q762" s="76"/>
      <c r="R762" s="76"/>
      <c r="S762" s="76"/>
      <c r="T762" s="76"/>
      <c r="U762" s="76"/>
      <c r="V762" s="76"/>
      <c r="W762" s="76"/>
      <c r="X762" s="76"/>
      <c r="Y762" s="76"/>
      <c r="Z762" s="76"/>
      <c r="AA762" s="79"/>
      <c r="AB762" s="79"/>
      <c r="AC762" s="79"/>
      <c r="AD762" s="79"/>
      <c r="AE762" s="79"/>
      <c r="AF762" s="79"/>
      <c r="AG762" s="79"/>
      <c r="AH762" s="79"/>
      <c r="AI762" s="79"/>
      <c r="AJ762" s="79"/>
      <c r="AK762" s="79"/>
    </row>
    <row r="763" spans="1:37" s="78" customFormat="1" ht="12" customHeight="1">
      <c r="A763" s="76"/>
      <c r="B763" s="76"/>
      <c r="C763" s="76"/>
      <c r="D763" s="76"/>
      <c r="E763" s="76"/>
      <c r="F763" s="77"/>
      <c r="G763" s="76"/>
      <c r="H763" s="76"/>
      <c r="I763" s="76"/>
      <c r="J763" s="76"/>
      <c r="K763" s="76"/>
      <c r="L763" s="76"/>
      <c r="M763" s="76"/>
      <c r="N763" s="76"/>
      <c r="O763" s="76"/>
      <c r="P763" s="76"/>
      <c r="Q763" s="76"/>
      <c r="R763" s="76"/>
      <c r="S763" s="76"/>
      <c r="T763" s="76"/>
      <c r="U763" s="76"/>
      <c r="V763" s="76"/>
      <c r="W763" s="76"/>
      <c r="X763" s="76"/>
      <c r="Y763" s="76"/>
      <c r="Z763" s="76"/>
      <c r="AA763" s="79"/>
      <c r="AB763" s="79"/>
      <c r="AC763" s="79"/>
      <c r="AD763" s="79"/>
      <c r="AE763" s="79"/>
      <c r="AF763" s="79"/>
      <c r="AG763" s="79"/>
      <c r="AH763" s="79"/>
      <c r="AI763" s="79"/>
      <c r="AJ763" s="79"/>
      <c r="AK763" s="79"/>
    </row>
    <row r="764" spans="1:37" s="78" customFormat="1" ht="12" customHeight="1">
      <c r="A764" s="76"/>
      <c r="B764" s="76"/>
      <c r="C764" s="76"/>
      <c r="D764" s="76"/>
      <c r="E764" s="76"/>
      <c r="F764" s="77"/>
      <c r="G764" s="76"/>
      <c r="H764" s="76"/>
      <c r="I764" s="76"/>
      <c r="J764" s="76"/>
      <c r="K764" s="76"/>
      <c r="L764" s="76"/>
      <c r="M764" s="76"/>
      <c r="N764" s="76"/>
      <c r="O764" s="76"/>
      <c r="P764" s="76"/>
      <c r="Q764" s="76"/>
      <c r="R764" s="76"/>
      <c r="S764" s="76"/>
      <c r="T764" s="76"/>
      <c r="U764" s="76"/>
      <c r="V764" s="76"/>
      <c r="W764" s="76"/>
      <c r="X764" s="76"/>
      <c r="Y764" s="76"/>
      <c r="Z764" s="76"/>
      <c r="AA764" s="79"/>
      <c r="AB764" s="79"/>
      <c r="AC764" s="79"/>
      <c r="AD764" s="79"/>
      <c r="AE764" s="79"/>
      <c r="AF764" s="79"/>
      <c r="AG764" s="79"/>
      <c r="AH764" s="79"/>
      <c r="AI764" s="79"/>
      <c r="AJ764" s="79"/>
      <c r="AK764" s="79"/>
    </row>
    <row r="765" spans="1:37" s="78" customFormat="1" ht="12" customHeight="1">
      <c r="A765" s="76"/>
      <c r="B765" s="76"/>
      <c r="C765" s="76"/>
      <c r="D765" s="76"/>
      <c r="E765" s="76"/>
      <c r="F765" s="77"/>
      <c r="G765" s="76"/>
      <c r="H765" s="76"/>
      <c r="I765" s="76"/>
      <c r="J765" s="76"/>
      <c r="K765" s="76"/>
      <c r="L765" s="76"/>
      <c r="M765" s="76"/>
      <c r="N765" s="76"/>
      <c r="O765" s="76"/>
      <c r="P765" s="76"/>
      <c r="Q765" s="76"/>
      <c r="R765" s="76"/>
      <c r="S765" s="76"/>
      <c r="T765" s="76"/>
      <c r="U765" s="76"/>
      <c r="V765" s="76"/>
      <c r="W765" s="76"/>
      <c r="X765" s="76"/>
      <c r="Y765" s="76"/>
      <c r="Z765" s="76"/>
      <c r="AA765" s="79"/>
      <c r="AB765" s="79"/>
      <c r="AC765" s="79"/>
      <c r="AD765" s="79"/>
      <c r="AE765" s="79"/>
      <c r="AF765" s="79"/>
      <c r="AG765" s="79"/>
      <c r="AH765" s="79"/>
      <c r="AI765" s="79"/>
      <c r="AJ765" s="79"/>
      <c r="AK765" s="79"/>
    </row>
    <row r="766" spans="1:37" s="78" customFormat="1" ht="12" customHeight="1">
      <c r="A766" s="76"/>
      <c r="B766" s="76"/>
      <c r="C766" s="76"/>
      <c r="D766" s="76"/>
      <c r="E766" s="76"/>
      <c r="F766" s="77"/>
      <c r="G766" s="76"/>
      <c r="H766" s="76"/>
      <c r="I766" s="76"/>
      <c r="J766" s="76"/>
      <c r="K766" s="76"/>
      <c r="L766" s="76"/>
      <c r="M766" s="76"/>
      <c r="N766" s="76"/>
      <c r="O766" s="76"/>
      <c r="P766" s="76"/>
      <c r="Q766" s="76"/>
      <c r="R766" s="76"/>
      <c r="S766" s="76"/>
      <c r="T766" s="76"/>
      <c r="U766" s="76"/>
      <c r="V766" s="76"/>
      <c r="W766" s="76"/>
      <c r="X766" s="76"/>
      <c r="Y766" s="76"/>
      <c r="Z766" s="76"/>
      <c r="AA766" s="79"/>
      <c r="AB766" s="79"/>
      <c r="AC766" s="79"/>
      <c r="AD766" s="79"/>
      <c r="AE766" s="79"/>
      <c r="AF766" s="79"/>
      <c r="AG766" s="79"/>
      <c r="AH766" s="79"/>
      <c r="AI766" s="79"/>
      <c r="AJ766" s="79"/>
      <c r="AK766" s="79"/>
    </row>
    <row r="767" spans="1:37" s="78" customFormat="1" ht="12" customHeight="1">
      <c r="A767" s="76"/>
      <c r="B767" s="76"/>
      <c r="C767" s="76"/>
      <c r="D767" s="76"/>
      <c r="E767" s="76"/>
      <c r="F767" s="77"/>
      <c r="G767" s="76"/>
      <c r="H767" s="76"/>
      <c r="I767" s="76"/>
      <c r="J767" s="76"/>
      <c r="K767" s="76"/>
      <c r="L767" s="76"/>
      <c r="M767" s="76"/>
      <c r="N767" s="76"/>
      <c r="O767" s="76"/>
      <c r="P767" s="76"/>
      <c r="Q767" s="76"/>
      <c r="R767" s="76"/>
      <c r="S767" s="76"/>
      <c r="T767" s="76"/>
      <c r="U767" s="76"/>
      <c r="V767" s="76"/>
      <c r="W767" s="76"/>
      <c r="X767" s="76"/>
      <c r="Y767" s="76"/>
      <c r="Z767" s="76"/>
      <c r="AA767" s="79"/>
      <c r="AB767" s="79"/>
      <c r="AC767" s="79"/>
      <c r="AD767" s="79"/>
      <c r="AE767" s="79"/>
      <c r="AF767" s="79"/>
      <c r="AG767" s="79"/>
      <c r="AH767" s="79"/>
      <c r="AI767" s="79"/>
      <c r="AJ767" s="79"/>
      <c r="AK767" s="79"/>
    </row>
    <row r="768" spans="1:37" s="78" customFormat="1" ht="12" customHeight="1">
      <c r="A768" s="76"/>
      <c r="B768" s="76"/>
      <c r="C768" s="76"/>
      <c r="D768" s="76"/>
      <c r="E768" s="76"/>
      <c r="F768" s="77"/>
      <c r="G768" s="76"/>
      <c r="H768" s="76"/>
      <c r="I768" s="76"/>
      <c r="J768" s="76"/>
      <c r="K768" s="76"/>
      <c r="L768" s="76"/>
      <c r="M768" s="76"/>
      <c r="N768" s="76"/>
      <c r="O768" s="76"/>
      <c r="P768" s="76"/>
      <c r="Q768" s="76"/>
      <c r="R768" s="76"/>
      <c r="S768" s="76"/>
      <c r="T768" s="76"/>
      <c r="U768" s="76"/>
      <c r="V768" s="76"/>
      <c r="W768" s="76"/>
      <c r="X768" s="76"/>
      <c r="Y768" s="76"/>
      <c r="Z768" s="76"/>
      <c r="AA768" s="79"/>
      <c r="AB768" s="79"/>
      <c r="AC768" s="79"/>
      <c r="AD768" s="79"/>
      <c r="AE768" s="79"/>
      <c r="AF768" s="79"/>
      <c r="AG768" s="79"/>
      <c r="AH768" s="79"/>
      <c r="AI768" s="79"/>
      <c r="AJ768" s="79"/>
      <c r="AK768" s="79"/>
    </row>
    <row r="769" spans="1:37" s="78" customFormat="1" ht="12" customHeight="1">
      <c r="A769" s="76"/>
      <c r="B769" s="76"/>
      <c r="C769" s="76"/>
      <c r="D769" s="76"/>
      <c r="E769" s="76"/>
      <c r="F769" s="77"/>
      <c r="G769" s="76"/>
      <c r="H769" s="76"/>
      <c r="I769" s="76"/>
      <c r="J769" s="76"/>
      <c r="K769" s="76"/>
      <c r="L769" s="76"/>
      <c r="M769" s="76"/>
      <c r="N769" s="76"/>
      <c r="O769" s="76"/>
      <c r="P769" s="76"/>
      <c r="Q769" s="76"/>
      <c r="R769" s="76"/>
      <c r="S769" s="76"/>
      <c r="T769" s="76"/>
      <c r="U769" s="76"/>
      <c r="V769" s="76"/>
      <c r="W769" s="76"/>
      <c r="X769" s="76"/>
      <c r="Y769" s="76"/>
      <c r="Z769" s="76"/>
      <c r="AA769" s="79"/>
      <c r="AB769" s="79"/>
      <c r="AC769" s="79"/>
      <c r="AD769" s="79"/>
      <c r="AE769" s="79"/>
      <c r="AF769" s="79"/>
      <c r="AG769" s="79"/>
      <c r="AH769" s="79"/>
      <c r="AI769" s="79"/>
      <c r="AJ769" s="79"/>
      <c r="AK769" s="79"/>
    </row>
    <row r="770" spans="1:37" s="78" customFormat="1" ht="12" customHeight="1">
      <c r="A770" s="76"/>
      <c r="B770" s="76"/>
      <c r="C770" s="76"/>
      <c r="D770" s="76"/>
      <c r="E770" s="76"/>
      <c r="F770" s="77"/>
      <c r="G770" s="76"/>
      <c r="H770" s="76"/>
      <c r="I770" s="76"/>
      <c r="J770" s="76"/>
      <c r="K770" s="76"/>
      <c r="L770" s="76"/>
      <c r="M770" s="76"/>
      <c r="N770" s="76"/>
      <c r="O770" s="76"/>
      <c r="P770" s="76"/>
      <c r="Q770" s="76"/>
      <c r="R770" s="76"/>
      <c r="S770" s="76"/>
      <c r="T770" s="76"/>
      <c r="U770" s="76"/>
      <c r="V770" s="76"/>
      <c r="W770" s="76"/>
      <c r="X770" s="76"/>
      <c r="Y770" s="76"/>
      <c r="Z770" s="76"/>
      <c r="AA770" s="79"/>
      <c r="AB770" s="79"/>
      <c r="AC770" s="79"/>
      <c r="AD770" s="79"/>
      <c r="AE770" s="79"/>
      <c r="AF770" s="79"/>
      <c r="AG770" s="79"/>
      <c r="AH770" s="79"/>
      <c r="AI770" s="79"/>
      <c r="AJ770" s="79"/>
      <c r="AK770" s="79"/>
    </row>
    <row r="771" spans="1:37" s="78" customFormat="1" ht="12" customHeight="1">
      <c r="A771" s="76"/>
      <c r="B771" s="76"/>
      <c r="C771" s="76"/>
      <c r="D771" s="76"/>
      <c r="E771" s="76"/>
      <c r="F771" s="77"/>
      <c r="G771" s="76"/>
      <c r="H771" s="76"/>
      <c r="I771" s="76"/>
      <c r="J771" s="76"/>
      <c r="K771" s="76"/>
      <c r="L771" s="76"/>
      <c r="M771" s="76"/>
      <c r="N771" s="76"/>
      <c r="O771" s="76"/>
      <c r="P771" s="76"/>
      <c r="Q771" s="76"/>
      <c r="R771" s="76"/>
      <c r="S771" s="76"/>
      <c r="T771" s="76"/>
      <c r="U771" s="76"/>
      <c r="V771" s="76"/>
      <c r="W771" s="76"/>
      <c r="X771" s="76"/>
      <c r="Y771" s="76"/>
      <c r="Z771" s="76"/>
      <c r="AA771" s="79"/>
      <c r="AB771" s="79"/>
      <c r="AC771" s="79"/>
      <c r="AD771" s="79"/>
      <c r="AE771" s="79"/>
      <c r="AF771" s="79"/>
      <c r="AG771" s="79"/>
      <c r="AH771" s="79"/>
      <c r="AI771" s="79"/>
      <c r="AJ771" s="79"/>
      <c r="AK771" s="79"/>
    </row>
    <row r="772" spans="1:37" s="78" customFormat="1" ht="12" customHeight="1">
      <c r="A772" s="76"/>
      <c r="B772" s="76"/>
      <c r="C772" s="76"/>
      <c r="D772" s="76"/>
      <c r="E772" s="76"/>
      <c r="F772" s="77"/>
      <c r="G772" s="76"/>
      <c r="H772" s="76"/>
      <c r="I772" s="76"/>
      <c r="J772" s="76"/>
      <c r="K772" s="76"/>
      <c r="L772" s="76"/>
      <c r="M772" s="76"/>
      <c r="N772" s="76"/>
      <c r="O772" s="76"/>
      <c r="P772" s="76"/>
      <c r="Q772" s="76"/>
      <c r="R772" s="76"/>
      <c r="S772" s="76"/>
      <c r="T772" s="76"/>
      <c r="U772" s="76"/>
      <c r="V772" s="76"/>
      <c r="W772" s="76"/>
      <c r="X772" s="76"/>
      <c r="Y772" s="76"/>
      <c r="Z772" s="76"/>
      <c r="AA772" s="79"/>
      <c r="AB772" s="79"/>
      <c r="AC772" s="79"/>
      <c r="AD772" s="79"/>
      <c r="AE772" s="79"/>
      <c r="AF772" s="79"/>
      <c r="AG772" s="79"/>
      <c r="AH772" s="79"/>
      <c r="AI772" s="79"/>
      <c r="AJ772" s="79"/>
      <c r="AK772" s="79"/>
    </row>
    <row r="773" spans="1:37" s="78" customFormat="1" ht="12" customHeight="1">
      <c r="A773" s="76"/>
      <c r="B773" s="76"/>
      <c r="C773" s="76"/>
      <c r="D773" s="76"/>
      <c r="E773" s="76"/>
      <c r="F773" s="77"/>
      <c r="G773" s="76"/>
      <c r="H773" s="76"/>
      <c r="I773" s="76"/>
      <c r="J773" s="76"/>
      <c r="K773" s="76"/>
      <c r="L773" s="76"/>
      <c r="M773" s="76"/>
      <c r="N773" s="76"/>
      <c r="O773" s="76"/>
      <c r="P773" s="76"/>
      <c r="Q773" s="76"/>
      <c r="R773" s="76"/>
      <c r="S773" s="76"/>
      <c r="T773" s="76"/>
      <c r="U773" s="76"/>
      <c r="V773" s="76"/>
      <c r="W773" s="76"/>
      <c r="X773" s="76"/>
      <c r="Y773" s="76"/>
      <c r="Z773" s="76"/>
      <c r="AA773" s="79"/>
      <c r="AB773" s="79"/>
      <c r="AC773" s="79"/>
      <c r="AD773" s="79"/>
      <c r="AE773" s="79"/>
      <c r="AF773" s="79"/>
      <c r="AG773" s="79"/>
      <c r="AH773" s="79"/>
      <c r="AI773" s="79"/>
      <c r="AJ773" s="79"/>
      <c r="AK773" s="79"/>
    </row>
    <row r="774" spans="1:37" s="78" customFormat="1" ht="12" customHeight="1">
      <c r="A774" s="76"/>
      <c r="B774" s="76"/>
      <c r="C774" s="76"/>
      <c r="D774" s="76"/>
      <c r="E774" s="76"/>
      <c r="F774" s="77"/>
      <c r="G774" s="76"/>
      <c r="H774" s="76"/>
      <c r="I774" s="76"/>
      <c r="J774" s="76"/>
      <c r="K774" s="76"/>
      <c r="L774" s="76"/>
      <c r="M774" s="76"/>
      <c r="N774" s="76"/>
      <c r="O774" s="76"/>
      <c r="P774" s="76"/>
      <c r="Q774" s="76"/>
      <c r="R774" s="76"/>
      <c r="S774" s="76"/>
      <c r="T774" s="76"/>
      <c r="U774" s="76"/>
      <c r="V774" s="76"/>
      <c r="W774" s="76"/>
      <c r="X774" s="76"/>
      <c r="Y774" s="76"/>
      <c r="Z774" s="76"/>
      <c r="AA774" s="79"/>
      <c r="AB774" s="79"/>
      <c r="AC774" s="79"/>
      <c r="AD774" s="79"/>
      <c r="AE774" s="79"/>
      <c r="AF774" s="79"/>
      <c r="AG774" s="79"/>
      <c r="AH774" s="79"/>
      <c r="AI774" s="79"/>
      <c r="AJ774" s="79"/>
      <c r="AK774" s="79"/>
    </row>
    <row r="775" spans="1:37" s="78" customFormat="1" ht="12" customHeight="1">
      <c r="A775" s="76"/>
      <c r="B775" s="76"/>
      <c r="C775" s="76"/>
      <c r="D775" s="76"/>
      <c r="E775" s="76"/>
      <c r="F775" s="77"/>
      <c r="G775" s="76"/>
      <c r="H775" s="76"/>
      <c r="I775" s="76"/>
      <c r="J775" s="76"/>
      <c r="K775" s="76"/>
      <c r="L775" s="76"/>
      <c r="M775" s="76"/>
      <c r="N775" s="76"/>
      <c r="O775" s="76"/>
      <c r="P775" s="76"/>
      <c r="Q775" s="76"/>
      <c r="R775" s="76"/>
      <c r="S775" s="76"/>
      <c r="T775" s="76"/>
      <c r="U775" s="76"/>
      <c r="V775" s="76"/>
      <c r="W775" s="76"/>
      <c r="X775" s="76"/>
      <c r="Y775" s="76"/>
      <c r="Z775" s="76"/>
      <c r="AA775" s="79"/>
      <c r="AB775" s="79"/>
      <c r="AC775" s="79"/>
      <c r="AD775" s="79"/>
      <c r="AE775" s="79"/>
      <c r="AF775" s="79"/>
      <c r="AG775" s="79"/>
      <c r="AH775" s="79"/>
      <c r="AI775" s="79"/>
      <c r="AJ775" s="79"/>
      <c r="AK775" s="79"/>
    </row>
    <row r="776" spans="1:37" s="78" customFormat="1" ht="12" customHeight="1">
      <c r="A776" s="76"/>
      <c r="B776" s="76"/>
      <c r="C776" s="76"/>
      <c r="D776" s="76"/>
      <c r="E776" s="76"/>
      <c r="F776" s="77"/>
      <c r="G776" s="76"/>
      <c r="H776" s="76"/>
      <c r="I776" s="76"/>
      <c r="J776" s="76"/>
      <c r="K776" s="76"/>
      <c r="L776" s="76"/>
      <c r="M776" s="76"/>
      <c r="N776" s="76"/>
      <c r="O776" s="76"/>
      <c r="P776" s="76"/>
      <c r="Q776" s="76"/>
      <c r="R776" s="76"/>
      <c r="S776" s="76"/>
      <c r="T776" s="76"/>
      <c r="U776" s="76"/>
      <c r="V776" s="76"/>
      <c r="W776" s="76"/>
      <c r="X776" s="76"/>
      <c r="Y776" s="76"/>
      <c r="Z776" s="76"/>
      <c r="AA776" s="79"/>
      <c r="AB776" s="79"/>
      <c r="AC776" s="79"/>
      <c r="AD776" s="79"/>
      <c r="AE776" s="79"/>
      <c r="AF776" s="79"/>
      <c r="AG776" s="79"/>
      <c r="AH776" s="79"/>
      <c r="AI776" s="79"/>
      <c r="AJ776" s="79"/>
      <c r="AK776" s="79"/>
    </row>
    <row r="777" spans="1:37" s="78" customFormat="1" ht="12" customHeight="1">
      <c r="A777" s="76"/>
      <c r="B777" s="76"/>
      <c r="C777" s="76"/>
      <c r="D777" s="76"/>
      <c r="E777" s="76"/>
      <c r="F777" s="77"/>
      <c r="G777" s="76"/>
      <c r="H777" s="76"/>
      <c r="I777" s="76"/>
      <c r="J777" s="76"/>
      <c r="K777" s="76"/>
      <c r="L777" s="76"/>
      <c r="M777" s="76"/>
      <c r="N777" s="76"/>
      <c r="O777" s="76"/>
      <c r="P777" s="76"/>
      <c r="Q777" s="76"/>
      <c r="R777" s="76"/>
      <c r="S777" s="76"/>
      <c r="T777" s="76"/>
      <c r="U777" s="76"/>
      <c r="V777" s="76"/>
      <c r="W777" s="76"/>
      <c r="X777" s="76"/>
      <c r="Y777" s="76"/>
      <c r="Z777" s="76"/>
      <c r="AA777" s="79"/>
      <c r="AB777" s="79"/>
      <c r="AC777" s="79"/>
      <c r="AD777" s="79"/>
      <c r="AE777" s="79"/>
      <c r="AF777" s="79"/>
      <c r="AG777" s="79"/>
      <c r="AH777" s="79"/>
      <c r="AI777" s="79"/>
      <c r="AJ777" s="79"/>
      <c r="AK777" s="79"/>
    </row>
    <row r="778" spans="1:37" s="78" customFormat="1" ht="12" customHeight="1">
      <c r="A778" s="76"/>
      <c r="B778" s="76"/>
      <c r="C778" s="76"/>
      <c r="D778" s="76"/>
      <c r="E778" s="76"/>
      <c r="F778" s="77"/>
      <c r="G778" s="76"/>
      <c r="H778" s="76"/>
      <c r="I778" s="76"/>
      <c r="J778" s="76"/>
      <c r="K778" s="76"/>
      <c r="L778" s="76"/>
      <c r="M778" s="76"/>
      <c r="N778" s="76"/>
      <c r="O778" s="76"/>
      <c r="P778" s="76"/>
      <c r="Q778" s="76"/>
      <c r="R778" s="76"/>
      <c r="S778" s="76"/>
      <c r="T778" s="76"/>
      <c r="U778" s="76"/>
      <c r="V778" s="76"/>
      <c r="W778" s="76"/>
      <c r="X778" s="76"/>
      <c r="Y778" s="76"/>
      <c r="Z778" s="76"/>
      <c r="AA778" s="79"/>
      <c r="AB778" s="79"/>
      <c r="AC778" s="79"/>
      <c r="AD778" s="79"/>
      <c r="AE778" s="79"/>
      <c r="AF778" s="79"/>
      <c r="AG778" s="79"/>
      <c r="AH778" s="79"/>
      <c r="AI778" s="79"/>
      <c r="AJ778" s="79"/>
      <c r="AK778" s="79"/>
    </row>
    <row r="779" spans="1:37" s="78" customFormat="1" ht="12" customHeight="1">
      <c r="A779" s="76"/>
      <c r="B779" s="76"/>
      <c r="C779" s="76"/>
      <c r="D779" s="76"/>
      <c r="E779" s="76"/>
      <c r="F779" s="77"/>
      <c r="G779" s="76"/>
      <c r="H779" s="76"/>
      <c r="I779" s="76"/>
      <c r="J779" s="76"/>
      <c r="K779" s="76"/>
      <c r="L779" s="76"/>
      <c r="M779" s="76"/>
      <c r="N779" s="76"/>
      <c r="O779" s="76"/>
      <c r="P779" s="76"/>
      <c r="Q779" s="76"/>
      <c r="R779" s="76"/>
      <c r="S779" s="76"/>
      <c r="T779" s="76"/>
      <c r="U779" s="76"/>
      <c r="V779" s="76"/>
      <c r="W779" s="76"/>
      <c r="X779" s="76"/>
      <c r="Y779" s="76"/>
      <c r="Z779" s="76"/>
      <c r="AA779" s="79"/>
      <c r="AB779" s="79"/>
      <c r="AC779" s="79"/>
      <c r="AD779" s="79"/>
      <c r="AE779" s="79"/>
      <c r="AF779" s="79"/>
      <c r="AG779" s="79"/>
      <c r="AH779" s="79"/>
      <c r="AI779" s="79"/>
      <c r="AJ779" s="79"/>
      <c r="AK779" s="79"/>
    </row>
    <row r="780" spans="1:37" s="78" customFormat="1" ht="12" customHeight="1">
      <c r="A780" s="76"/>
      <c r="B780" s="76"/>
      <c r="C780" s="76"/>
      <c r="D780" s="76"/>
      <c r="E780" s="76"/>
      <c r="F780" s="77"/>
      <c r="G780" s="76"/>
      <c r="H780" s="76"/>
      <c r="I780" s="76"/>
      <c r="J780" s="76"/>
      <c r="K780" s="76"/>
      <c r="L780" s="76"/>
      <c r="M780" s="76"/>
      <c r="N780" s="76"/>
      <c r="O780" s="76"/>
      <c r="P780" s="76"/>
      <c r="Q780" s="76"/>
      <c r="R780" s="76"/>
      <c r="S780" s="76"/>
      <c r="T780" s="76"/>
      <c r="U780" s="76"/>
      <c r="V780" s="76"/>
      <c r="W780" s="76"/>
      <c r="X780" s="76"/>
      <c r="Y780" s="76"/>
      <c r="Z780" s="76"/>
      <c r="AA780" s="79"/>
      <c r="AB780" s="79"/>
      <c r="AC780" s="79"/>
      <c r="AD780" s="79"/>
      <c r="AE780" s="79"/>
      <c r="AF780" s="79"/>
      <c r="AG780" s="79"/>
      <c r="AH780" s="79"/>
      <c r="AI780" s="79"/>
      <c r="AJ780" s="79"/>
      <c r="AK780" s="79"/>
    </row>
    <row r="781" spans="1:37" s="78" customFormat="1" ht="12" customHeight="1">
      <c r="A781" s="76"/>
      <c r="B781" s="76"/>
      <c r="C781" s="76"/>
      <c r="D781" s="76"/>
      <c r="E781" s="76"/>
      <c r="F781" s="77"/>
      <c r="G781" s="76"/>
      <c r="H781" s="76"/>
      <c r="I781" s="76"/>
      <c r="J781" s="76"/>
      <c r="K781" s="76"/>
      <c r="L781" s="76"/>
      <c r="M781" s="76"/>
      <c r="N781" s="76"/>
      <c r="O781" s="76"/>
      <c r="P781" s="76"/>
      <c r="Q781" s="76"/>
      <c r="R781" s="76"/>
      <c r="S781" s="76"/>
      <c r="T781" s="76"/>
      <c r="U781" s="76"/>
      <c r="V781" s="76"/>
      <c r="W781" s="76"/>
      <c r="X781" s="76"/>
      <c r="Y781" s="76"/>
      <c r="Z781" s="76"/>
      <c r="AA781" s="79"/>
      <c r="AB781" s="79"/>
      <c r="AC781" s="79"/>
      <c r="AD781" s="79"/>
      <c r="AE781" s="79"/>
      <c r="AF781" s="79"/>
      <c r="AG781" s="79"/>
      <c r="AH781" s="79"/>
      <c r="AI781" s="79"/>
      <c r="AJ781" s="79"/>
      <c r="AK781" s="79"/>
    </row>
    <row r="782" spans="1:37" s="78" customFormat="1" ht="12" customHeight="1">
      <c r="A782" s="76"/>
      <c r="B782" s="76"/>
      <c r="C782" s="76"/>
      <c r="D782" s="76"/>
      <c r="E782" s="76"/>
      <c r="F782" s="77"/>
      <c r="G782" s="76"/>
      <c r="H782" s="76"/>
      <c r="I782" s="76"/>
      <c r="J782" s="76"/>
      <c r="K782" s="76"/>
      <c r="L782" s="76"/>
      <c r="M782" s="76"/>
      <c r="N782" s="76"/>
      <c r="O782" s="76"/>
      <c r="P782" s="76"/>
      <c r="Q782" s="76"/>
      <c r="R782" s="76"/>
      <c r="S782" s="76"/>
      <c r="T782" s="76"/>
      <c r="U782" s="76"/>
      <c r="V782" s="76"/>
      <c r="W782" s="76"/>
      <c r="X782" s="76"/>
      <c r="Y782" s="76"/>
      <c r="Z782" s="76"/>
      <c r="AA782" s="79"/>
      <c r="AB782" s="79"/>
      <c r="AC782" s="79"/>
      <c r="AD782" s="79"/>
      <c r="AE782" s="79"/>
      <c r="AF782" s="79"/>
      <c r="AG782" s="79"/>
      <c r="AH782" s="79"/>
      <c r="AI782" s="79"/>
      <c r="AJ782" s="79"/>
      <c r="AK782" s="79"/>
    </row>
    <row r="783" spans="1:37" s="78" customFormat="1" ht="12" customHeight="1">
      <c r="A783" s="76"/>
      <c r="B783" s="76"/>
      <c r="C783" s="76"/>
      <c r="D783" s="76"/>
      <c r="E783" s="76"/>
      <c r="F783" s="77"/>
      <c r="G783" s="76"/>
      <c r="H783" s="76"/>
      <c r="I783" s="76"/>
      <c r="J783" s="76"/>
      <c r="K783" s="76"/>
      <c r="L783" s="76"/>
      <c r="M783" s="76"/>
      <c r="N783" s="76"/>
      <c r="O783" s="76"/>
      <c r="P783" s="76"/>
      <c r="Q783" s="76"/>
      <c r="R783" s="76"/>
      <c r="S783" s="76"/>
      <c r="T783" s="76"/>
      <c r="U783" s="76"/>
      <c r="V783" s="76"/>
      <c r="W783" s="76"/>
      <c r="X783" s="76"/>
      <c r="Y783" s="76"/>
      <c r="Z783" s="76"/>
      <c r="AA783" s="79"/>
      <c r="AB783" s="79"/>
      <c r="AC783" s="79"/>
      <c r="AD783" s="79"/>
      <c r="AE783" s="79"/>
      <c r="AF783" s="79"/>
      <c r="AG783" s="79"/>
      <c r="AH783" s="79"/>
      <c r="AI783" s="79"/>
      <c r="AJ783" s="79"/>
      <c r="AK783" s="79"/>
    </row>
    <row r="784" spans="1:37" s="78" customFormat="1" ht="12" customHeight="1">
      <c r="A784" s="76"/>
      <c r="B784" s="76"/>
      <c r="C784" s="76"/>
      <c r="D784" s="76"/>
      <c r="E784" s="76"/>
      <c r="F784" s="77"/>
      <c r="G784" s="76"/>
      <c r="H784" s="76"/>
      <c r="I784" s="76"/>
      <c r="J784" s="76"/>
      <c r="K784" s="76"/>
      <c r="L784" s="76"/>
      <c r="M784" s="76"/>
      <c r="N784" s="76"/>
      <c r="O784" s="76"/>
      <c r="P784" s="76"/>
      <c r="Q784" s="76"/>
      <c r="R784" s="76"/>
      <c r="S784" s="76"/>
      <c r="T784" s="76"/>
      <c r="U784" s="76"/>
      <c r="V784" s="76"/>
      <c r="W784" s="76"/>
      <c r="X784" s="76"/>
      <c r="Y784" s="76"/>
      <c r="Z784" s="76"/>
      <c r="AA784" s="79"/>
      <c r="AB784" s="79"/>
      <c r="AC784" s="79"/>
      <c r="AD784" s="79"/>
      <c r="AE784" s="79"/>
      <c r="AF784" s="79"/>
      <c r="AG784" s="79"/>
      <c r="AH784" s="79"/>
      <c r="AI784" s="79"/>
      <c r="AJ784" s="79"/>
      <c r="AK784" s="79"/>
    </row>
    <row r="785" spans="1:37" s="78" customFormat="1" ht="12" customHeight="1">
      <c r="A785" s="76"/>
      <c r="B785" s="76"/>
      <c r="C785" s="76"/>
      <c r="D785" s="76"/>
      <c r="E785" s="76"/>
      <c r="F785" s="77"/>
      <c r="G785" s="76"/>
      <c r="H785" s="76"/>
      <c r="I785" s="76"/>
      <c r="J785" s="76"/>
      <c r="K785" s="76"/>
      <c r="L785" s="76"/>
      <c r="M785" s="76"/>
      <c r="N785" s="76"/>
      <c r="O785" s="76"/>
      <c r="P785" s="76"/>
      <c r="Q785" s="76"/>
      <c r="R785" s="76"/>
      <c r="S785" s="76"/>
      <c r="T785" s="76"/>
      <c r="U785" s="76"/>
      <c r="V785" s="76"/>
      <c r="W785" s="76"/>
      <c r="X785" s="76"/>
      <c r="Y785" s="76"/>
      <c r="Z785" s="76"/>
      <c r="AA785" s="79"/>
      <c r="AB785" s="79"/>
      <c r="AC785" s="79"/>
      <c r="AD785" s="79"/>
      <c r="AE785" s="79"/>
      <c r="AF785" s="79"/>
      <c r="AG785" s="79"/>
      <c r="AH785" s="79"/>
      <c r="AI785" s="79"/>
      <c r="AJ785" s="79"/>
      <c r="AK785" s="79"/>
    </row>
    <row r="786" spans="1:37" s="78" customFormat="1" ht="12" customHeight="1">
      <c r="A786" s="76"/>
      <c r="B786" s="76"/>
      <c r="C786" s="76"/>
      <c r="D786" s="76"/>
      <c r="E786" s="76"/>
      <c r="F786" s="77"/>
      <c r="G786" s="76"/>
      <c r="H786" s="76"/>
      <c r="I786" s="76"/>
      <c r="J786" s="76"/>
      <c r="K786" s="76"/>
      <c r="L786" s="76"/>
      <c r="M786" s="76"/>
      <c r="N786" s="76"/>
      <c r="O786" s="76"/>
      <c r="P786" s="76"/>
      <c r="Q786" s="76"/>
      <c r="R786" s="76"/>
      <c r="S786" s="76"/>
      <c r="T786" s="76"/>
      <c r="U786" s="76"/>
      <c r="V786" s="76"/>
      <c r="W786" s="76"/>
      <c r="X786" s="76"/>
      <c r="Y786" s="76"/>
      <c r="Z786" s="76"/>
      <c r="AA786" s="79"/>
      <c r="AB786" s="79"/>
      <c r="AC786" s="79"/>
      <c r="AD786" s="79"/>
      <c r="AE786" s="79"/>
      <c r="AF786" s="79"/>
      <c r="AG786" s="79"/>
      <c r="AH786" s="79"/>
      <c r="AI786" s="79"/>
      <c r="AJ786" s="79"/>
      <c r="AK786" s="79"/>
    </row>
    <row r="787" spans="1:37" s="78" customFormat="1" ht="12" customHeight="1">
      <c r="A787" s="76"/>
      <c r="B787" s="76"/>
      <c r="C787" s="76"/>
      <c r="D787" s="76"/>
      <c r="E787" s="76"/>
      <c r="F787" s="77"/>
      <c r="G787" s="76"/>
      <c r="H787" s="76"/>
      <c r="I787" s="76"/>
      <c r="J787" s="76"/>
      <c r="K787" s="76"/>
      <c r="L787" s="76"/>
      <c r="M787" s="76"/>
      <c r="N787" s="76"/>
      <c r="O787" s="76"/>
      <c r="P787" s="76"/>
      <c r="Q787" s="76"/>
      <c r="R787" s="76"/>
      <c r="S787" s="76"/>
      <c r="T787" s="76"/>
      <c r="U787" s="76"/>
      <c r="V787" s="76"/>
      <c r="W787" s="76"/>
      <c r="X787" s="76"/>
      <c r="Y787" s="76"/>
      <c r="Z787" s="76"/>
      <c r="AA787" s="79"/>
      <c r="AB787" s="79"/>
      <c r="AC787" s="79"/>
      <c r="AD787" s="79"/>
      <c r="AE787" s="79"/>
      <c r="AF787" s="79"/>
      <c r="AG787" s="79"/>
      <c r="AH787" s="79"/>
      <c r="AI787" s="79"/>
      <c r="AJ787" s="79"/>
      <c r="AK787" s="79"/>
    </row>
    <row r="788" spans="1:37" s="78" customFormat="1" ht="12" customHeight="1">
      <c r="A788" s="76"/>
      <c r="B788" s="76"/>
      <c r="C788" s="76"/>
      <c r="D788" s="76"/>
      <c r="E788" s="76"/>
      <c r="F788" s="77"/>
      <c r="G788" s="76"/>
      <c r="H788" s="76"/>
      <c r="I788" s="76"/>
      <c r="J788" s="76"/>
      <c r="K788" s="76"/>
      <c r="L788" s="76"/>
      <c r="M788" s="76"/>
      <c r="N788" s="76"/>
      <c r="O788" s="76"/>
      <c r="P788" s="76"/>
      <c r="Q788" s="76"/>
      <c r="R788" s="76"/>
      <c r="S788" s="76"/>
      <c r="T788" s="76"/>
      <c r="U788" s="76"/>
      <c r="V788" s="76"/>
      <c r="W788" s="76"/>
      <c r="X788" s="76"/>
      <c r="Y788" s="76"/>
      <c r="Z788" s="76"/>
      <c r="AA788" s="79"/>
      <c r="AB788" s="79"/>
      <c r="AC788" s="79"/>
      <c r="AD788" s="79"/>
      <c r="AE788" s="79"/>
      <c r="AF788" s="79"/>
      <c r="AG788" s="79"/>
      <c r="AH788" s="79"/>
      <c r="AI788" s="79"/>
      <c r="AJ788" s="79"/>
      <c r="AK788" s="79"/>
    </row>
    <row r="789" spans="1:37" s="78" customFormat="1" ht="12" customHeight="1">
      <c r="A789" s="76"/>
      <c r="B789" s="76"/>
      <c r="C789" s="76"/>
      <c r="D789" s="76"/>
      <c r="E789" s="76"/>
      <c r="F789" s="77"/>
      <c r="G789" s="76"/>
      <c r="H789" s="76"/>
      <c r="I789" s="76"/>
      <c r="J789" s="76"/>
      <c r="K789" s="76"/>
      <c r="L789" s="76"/>
      <c r="M789" s="76"/>
      <c r="N789" s="76"/>
      <c r="O789" s="76"/>
      <c r="P789" s="76"/>
      <c r="Q789" s="76"/>
      <c r="R789" s="76"/>
      <c r="S789" s="76"/>
      <c r="T789" s="76"/>
      <c r="U789" s="76"/>
      <c r="V789" s="76"/>
      <c r="W789" s="76"/>
      <c r="X789" s="76"/>
      <c r="Y789" s="76"/>
      <c r="Z789" s="76"/>
      <c r="AA789" s="79"/>
      <c r="AB789" s="79"/>
      <c r="AC789" s="79"/>
      <c r="AD789" s="79"/>
      <c r="AE789" s="79"/>
      <c r="AF789" s="79"/>
      <c r="AG789" s="79"/>
      <c r="AH789" s="79"/>
      <c r="AI789" s="79"/>
      <c r="AJ789" s="79"/>
      <c r="AK789" s="79"/>
    </row>
    <row r="790" spans="1:37" s="78" customFormat="1" ht="12" customHeight="1">
      <c r="A790" s="76"/>
      <c r="B790" s="76"/>
      <c r="C790" s="76"/>
      <c r="D790" s="76"/>
      <c r="E790" s="76"/>
      <c r="F790" s="77"/>
      <c r="G790" s="76"/>
      <c r="H790" s="76"/>
      <c r="I790" s="76"/>
      <c r="J790" s="76"/>
      <c r="K790" s="76"/>
      <c r="L790" s="76"/>
      <c r="M790" s="76"/>
      <c r="N790" s="76"/>
      <c r="O790" s="76"/>
      <c r="P790" s="76"/>
      <c r="Q790" s="76"/>
      <c r="R790" s="76"/>
      <c r="S790" s="76"/>
      <c r="T790" s="76"/>
      <c r="U790" s="76"/>
      <c r="V790" s="76"/>
      <c r="W790" s="76"/>
      <c r="X790" s="76"/>
      <c r="Y790" s="76"/>
      <c r="Z790" s="76"/>
      <c r="AA790" s="79"/>
      <c r="AB790" s="79"/>
      <c r="AC790" s="79"/>
      <c r="AD790" s="79"/>
      <c r="AE790" s="79"/>
      <c r="AF790" s="79"/>
      <c r="AG790" s="79"/>
      <c r="AH790" s="79"/>
      <c r="AI790" s="79"/>
      <c r="AJ790" s="79"/>
      <c r="AK790" s="79"/>
    </row>
    <row r="791" spans="1:37" s="78" customFormat="1" ht="12" customHeight="1">
      <c r="A791" s="76"/>
      <c r="B791" s="76"/>
      <c r="C791" s="76"/>
      <c r="D791" s="76"/>
      <c r="E791" s="76"/>
      <c r="F791" s="77"/>
      <c r="G791" s="76"/>
      <c r="H791" s="76"/>
      <c r="I791" s="76"/>
      <c r="J791" s="76"/>
      <c r="K791" s="76"/>
      <c r="L791" s="76"/>
      <c r="M791" s="76"/>
      <c r="N791" s="76"/>
      <c r="O791" s="76"/>
      <c r="P791" s="76"/>
      <c r="Q791" s="76"/>
      <c r="R791" s="76"/>
      <c r="S791" s="76"/>
      <c r="T791" s="76"/>
      <c r="U791" s="76"/>
      <c r="V791" s="76"/>
      <c r="W791" s="76"/>
      <c r="X791" s="76"/>
      <c r="Y791" s="76"/>
      <c r="Z791" s="76"/>
      <c r="AA791" s="79"/>
      <c r="AB791" s="79"/>
      <c r="AC791" s="79"/>
      <c r="AD791" s="79"/>
      <c r="AE791" s="79"/>
      <c r="AF791" s="79"/>
      <c r="AG791" s="79"/>
      <c r="AH791" s="79"/>
      <c r="AI791" s="79"/>
      <c r="AJ791" s="79"/>
      <c r="AK791" s="79"/>
    </row>
    <row r="792" spans="1:37" s="78" customFormat="1" ht="12" customHeight="1">
      <c r="A792" s="76"/>
      <c r="B792" s="76"/>
      <c r="C792" s="76"/>
      <c r="D792" s="76"/>
      <c r="E792" s="76"/>
      <c r="F792" s="77"/>
      <c r="G792" s="76"/>
      <c r="H792" s="76"/>
      <c r="I792" s="76"/>
      <c r="J792" s="76"/>
      <c r="K792" s="76"/>
      <c r="L792" s="76"/>
      <c r="M792" s="76"/>
      <c r="N792" s="76"/>
      <c r="O792" s="76"/>
      <c r="P792" s="76"/>
      <c r="Q792" s="76"/>
      <c r="R792" s="76"/>
      <c r="S792" s="76"/>
      <c r="T792" s="76"/>
      <c r="U792" s="76"/>
      <c r="V792" s="76"/>
      <c r="W792" s="76"/>
      <c r="X792" s="76"/>
      <c r="Y792" s="76"/>
      <c r="Z792" s="76"/>
      <c r="AA792" s="79"/>
      <c r="AB792" s="79"/>
      <c r="AC792" s="79"/>
      <c r="AD792" s="79"/>
      <c r="AE792" s="79"/>
      <c r="AF792" s="79"/>
      <c r="AG792" s="79"/>
      <c r="AH792" s="79"/>
      <c r="AI792" s="79"/>
      <c r="AJ792" s="79"/>
      <c r="AK792" s="79"/>
    </row>
    <row r="793" spans="1:37" s="78" customFormat="1" ht="12" customHeight="1">
      <c r="A793" s="76"/>
      <c r="B793" s="76"/>
      <c r="C793" s="76"/>
      <c r="D793" s="76"/>
      <c r="E793" s="76"/>
      <c r="F793" s="77"/>
      <c r="G793" s="76"/>
      <c r="H793" s="76"/>
      <c r="I793" s="76"/>
      <c r="J793" s="76"/>
      <c r="K793" s="76"/>
      <c r="L793" s="76"/>
      <c r="M793" s="76"/>
      <c r="N793" s="76"/>
      <c r="O793" s="76"/>
      <c r="P793" s="76"/>
      <c r="Q793" s="76"/>
      <c r="R793" s="76"/>
      <c r="S793" s="76"/>
      <c r="T793" s="76"/>
      <c r="U793" s="76"/>
      <c r="V793" s="76"/>
      <c r="W793" s="76"/>
      <c r="X793" s="76"/>
      <c r="Y793" s="76"/>
      <c r="Z793" s="76"/>
      <c r="AA793" s="79"/>
      <c r="AB793" s="79"/>
      <c r="AC793" s="79"/>
      <c r="AD793" s="79"/>
      <c r="AE793" s="79"/>
      <c r="AF793" s="79"/>
      <c r="AG793" s="79"/>
      <c r="AH793" s="79"/>
      <c r="AI793" s="79"/>
      <c r="AJ793" s="79"/>
      <c r="AK793" s="79"/>
    </row>
    <row r="794" spans="1:37" s="78" customFormat="1" ht="12" customHeight="1">
      <c r="A794" s="76"/>
      <c r="B794" s="76"/>
      <c r="C794" s="76"/>
      <c r="D794" s="76"/>
      <c r="E794" s="76"/>
      <c r="F794" s="77"/>
      <c r="G794" s="76"/>
      <c r="H794" s="76"/>
      <c r="I794" s="76"/>
      <c r="J794" s="76"/>
      <c r="K794" s="76"/>
      <c r="L794" s="76"/>
      <c r="M794" s="76"/>
      <c r="N794" s="76"/>
      <c r="O794" s="76"/>
      <c r="P794" s="76"/>
      <c r="Q794" s="76"/>
      <c r="R794" s="76"/>
      <c r="S794" s="76"/>
      <c r="T794" s="76"/>
      <c r="U794" s="76"/>
      <c r="V794" s="76"/>
      <c r="W794" s="76"/>
      <c r="X794" s="76"/>
      <c r="Y794" s="76"/>
      <c r="Z794" s="76"/>
      <c r="AA794" s="79"/>
      <c r="AB794" s="79"/>
      <c r="AC794" s="79"/>
      <c r="AD794" s="79"/>
      <c r="AE794" s="79"/>
      <c r="AF794" s="79"/>
      <c r="AG794" s="79"/>
      <c r="AH794" s="79"/>
      <c r="AI794" s="79"/>
      <c r="AJ794" s="79"/>
      <c r="AK794" s="79"/>
    </row>
    <row r="795" spans="1:37" s="78" customFormat="1" ht="12" customHeight="1">
      <c r="A795" s="76"/>
      <c r="B795" s="76"/>
      <c r="C795" s="76"/>
      <c r="D795" s="76"/>
      <c r="E795" s="76"/>
      <c r="F795" s="77"/>
      <c r="G795" s="76"/>
      <c r="H795" s="76"/>
      <c r="I795" s="76"/>
      <c r="J795" s="76"/>
      <c r="K795" s="76"/>
      <c r="L795" s="76"/>
      <c r="M795" s="76"/>
      <c r="N795" s="76"/>
      <c r="O795" s="76"/>
      <c r="P795" s="76"/>
      <c r="Q795" s="76"/>
      <c r="R795" s="76"/>
      <c r="S795" s="76"/>
      <c r="T795" s="76"/>
      <c r="U795" s="76"/>
      <c r="V795" s="76"/>
      <c r="W795" s="76"/>
      <c r="X795" s="76"/>
      <c r="Y795" s="76"/>
      <c r="Z795" s="76"/>
      <c r="AA795" s="79"/>
      <c r="AB795" s="79"/>
      <c r="AC795" s="79"/>
      <c r="AD795" s="79"/>
      <c r="AE795" s="79"/>
      <c r="AF795" s="79"/>
      <c r="AG795" s="79"/>
      <c r="AH795" s="79"/>
      <c r="AI795" s="79"/>
      <c r="AJ795" s="79"/>
      <c r="AK795" s="79"/>
    </row>
    <row r="796" spans="1:37" s="78" customFormat="1" ht="12" customHeight="1">
      <c r="A796" s="76"/>
      <c r="B796" s="76"/>
      <c r="C796" s="76"/>
      <c r="D796" s="76"/>
      <c r="E796" s="76"/>
      <c r="F796" s="77"/>
      <c r="G796" s="76"/>
      <c r="H796" s="76"/>
      <c r="I796" s="76"/>
      <c r="J796" s="76"/>
      <c r="K796" s="76"/>
      <c r="L796" s="76"/>
      <c r="M796" s="76"/>
      <c r="N796" s="76"/>
      <c r="O796" s="76"/>
      <c r="P796" s="76"/>
      <c r="Q796" s="76"/>
      <c r="R796" s="76"/>
      <c r="S796" s="76"/>
      <c r="T796" s="76"/>
      <c r="U796" s="76"/>
      <c r="V796" s="76"/>
      <c r="W796" s="76"/>
      <c r="X796" s="76"/>
      <c r="Y796" s="76"/>
      <c r="Z796" s="76"/>
      <c r="AA796" s="79"/>
      <c r="AB796" s="79"/>
      <c r="AC796" s="79"/>
      <c r="AD796" s="79"/>
      <c r="AE796" s="79"/>
      <c r="AF796" s="79"/>
      <c r="AG796" s="79"/>
      <c r="AH796" s="79"/>
      <c r="AI796" s="79"/>
      <c r="AJ796" s="79"/>
      <c r="AK796" s="79"/>
    </row>
    <row r="797" spans="1:37" s="78" customFormat="1" ht="12" customHeight="1">
      <c r="A797" s="76"/>
      <c r="B797" s="76"/>
      <c r="C797" s="76"/>
      <c r="D797" s="76"/>
      <c r="E797" s="76"/>
      <c r="F797" s="77"/>
      <c r="G797" s="76"/>
      <c r="H797" s="76"/>
      <c r="I797" s="76"/>
      <c r="J797" s="76"/>
      <c r="K797" s="76"/>
      <c r="L797" s="76"/>
      <c r="M797" s="76"/>
      <c r="N797" s="76"/>
      <c r="O797" s="76"/>
      <c r="P797" s="76"/>
      <c r="Q797" s="76"/>
      <c r="R797" s="76"/>
      <c r="S797" s="76"/>
      <c r="T797" s="76"/>
      <c r="U797" s="76"/>
      <c r="V797" s="76"/>
      <c r="W797" s="76"/>
      <c r="X797" s="76"/>
      <c r="Y797" s="76"/>
      <c r="Z797" s="76"/>
      <c r="AA797" s="79"/>
      <c r="AB797" s="79"/>
      <c r="AC797" s="79"/>
      <c r="AD797" s="79"/>
      <c r="AE797" s="79"/>
      <c r="AF797" s="79"/>
      <c r="AG797" s="79"/>
      <c r="AH797" s="79"/>
      <c r="AI797" s="79"/>
      <c r="AJ797" s="79"/>
      <c r="AK797" s="79"/>
    </row>
    <row r="798" spans="1:37" s="78" customFormat="1" ht="12" customHeight="1">
      <c r="A798" s="76"/>
      <c r="B798" s="76"/>
      <c r="C798" s="76"/>
      <c r="D798" s="76"/>
      <c r="E798" s="76"/>
      <c r="F798" s="77"/>
      <c r="G798" s="76"/>
      <c r="H798" s="76"/>
      <c r="I798" s="76"/>
      <c r="J798" s="76"/>
      <c r="K798" s="76"/>
      <c r="L798" s="76"/>
      <c r="M798" s="76"/>
      <c r="N798" s="76"/>
      <c r="O798" s="76"/>
      <c r="P798" s="76"/>
      <c r="Q798" s="76"/>
      <c r="R798" s="76"/>
      <c r="S798" s="76"/>
      <c r="T798" s="76"/>
      <c r="U798" s="76"/>
      <c r="V798" s="76"/>
      <c r="W798" s="76"/>
      <c r="X798" s="76"/>
      <c r="Y798" s="76"/>
      <c r="Z798" s="76"/>
      <c r="AA798" s="79"/>
      <c r="AB798" s="79"/>
      <c r="AC798" s="79"/>
      <c r="AD798" s="79"/>
      <c r="AE798" s="79"/>
      <c r="AF798" s="79"/>
      <c r="AG798" s="79"/>
      <c r="AH798" s="79"/>
      <c r="AI798" s="79"/>
      <c r="AJ798" s="79"/>
      <c r="AK798" s="79"/>
    </row>
    <row r="799" spans="1:37" s="78" customFormat="1" ht="12" customHeight="1">
      <c r="A799" s="76"/>
      <c r="B799" s="76"/>
      <c r="C799" s="76"/>
      <c r="D799" s="76"/>
      <c r="E799" s="76"/>
      <c r="F799" s="77"/>
      <c r="G799" s="76"/>
      <c r="H799" s="76"/>
      <c r="I799" s="76"/>
      <c r="J799" s="76"/>
      <c r="K799" s="76"/>
      <c r="L799" s="76"/>
      <c r="M799" s="76"/>
      <c r="N799" s="76"/>
      <c r="O799" s="76"/>
      <c r="P799" s="76"/>
      <c r="Q799" s="76"/>
      <c r="R799" s="76"/>
      <c r="S799" s="76"/>
      <c r="T799" s="76"/>
      <c r="U799" s="76"/>
      <c r="V799" s="76"/>
      <c r="W799" s="76"/>
      <c r="X799" s="76"/>
      <c r="Y799" s="76"/>
      <c r="Z799" s="76"/>
      <c r="AA799" s="79"/>
      <c r="AB799" s="79"/>
      <c r="AC799" s="79"/>
      <c r="AD799" s="79"/>
      <c r="AE799" s="79"/>
      <c r="AF799" s="79"/>
      <c r="AG799" s="79"/>
      <c r="AH799" s="79"/>
      <c r="AI799" s="79"/>
      <c r="AJ799" s="79"/>
      <c r="AK799" s="79"/>
    </row>
    <row r="800" spans="1:37" s="78" customFormat="1" ht="12" customHeight="1">
      <c r="A800" s="76"/>
      <c r="B800" s="76"/>
      <c r="C800" s="76"/>
      <c r="D800" s="76"/>
      <c r="E800" s="76"/>
      <c r="F800" s="77"/>
      <c r="G800" s="76"/>
      <c r="H800" s="76"/>
      <c r="I800" s="76"/>
      <c r="J800" s="76"/>
      <c r="K800" s="76"/>
      <c r="L800" s="76"/>
      <c r="M800" s="76"/>
      <c r="N800" s="76"/>
      <c r="O800" s="76"/>
      <c r="P800" s="76"/>
      <c r="Q800" s="76"/>
      <c r="R800" s="76"/>
      <c r="S800" s="76"/>
      <c r="T800" s="76"/>
      <c r="U800" s="76"/>
      <c r="V800" s="76"/>
      <c r="W800" s="76"/>
      <c r="X800" s="76"/>
      <c r="Y800" s="76"/>
      <c r="Z800" s="76"/>
      <c r="AA800" s="79"/>
      <c r="AB800" s="79"/>
      <c r="AC800" s="79"/>
      <c r="AD800" s="79"/>
      <c r="AE800" s="79"/>
      <c r="AF800" s="79"/>
      <c r="AG800" s="79"/>
      <c r="AH800" s="79"/>
      <c r="AI800" s="79"/>
      <c r="AJ800" s="79"/>
      <c r="AK800" s="79"/>
    </row>
    <row r="801" spans="1:37" s="78" customFormat="1" ht="12" customHeight="1">
      <c r="A801" s="76"/>
      <c r="B801" s="76"/>
      <c r="C801" s="76"/>
      <c r="D801" s="76"/>
      <c r="E801" s="76"/>
      <c r="F801" s="77"/>
      <c r="G801" s="76"/>
      <c r="H801" s="76"/>
      <c r="I801" s="76"/>
      <c r="J801" s="76"/>
      <c r="K801" s="76"/>
      <c r="L801" s="76"/>
      <c r="M801" s="76"/>
      <c r="N801" s="76"/>
      <c r="O801" s="76"/>
      <c r="P801" s="76"/>
      <c r="Q801" s="76"/>
      <c r="R801" s="76"/>
      <c r="S801" s="76"/>
      <c r="T801" s="76"/>
      <c r="U801" s="76"/>
      <c r="V801" s="76"/>
      <c r="W801" s="76"/>
      <c r="X801" s="76"/>
      <c r="Y801" s="76"/>
      <c r="Z801" s="76"/>
      <c r="AA801" s="79"/>
      <c r="AB801" s="79"/>
      <c r="AC801" s="79"/>
      <c r="AD801" s="79"/>
      <c r="AE801" s="79"/>
      <c r="AF801" s="79"/>
      <c r="AG801" s="79"/>
      <c r="AH801" s="79"/>
      <c r="AI801" s="79"/>
      <c r="AJ801" s="79"/>
      <c r="AK801" s="79"/>
    </row>
    <row r="802" spans="1:37" s="78" customFormat="1" ht="12" customHeight="1">
      <c r="A802" s="76"/>
      <c r="B802" s="76"/>
      <c r="C802" s="76"/>
      <c r="D802" s="76"/>
      <c r="E802" s="76"/>
      <c r="F802" s="77"/>
      <c r="G802" s="76"/>
      <c r="H802" s="76"/>
      <c r="I802" s="76"/>
      <c r="J802" s="76"/>
      <c r="K802" s="76"/>
      <c r="L802" s="76"/>
      <c r="M802" s="76"/>
      <c r="N802" s="76"/>
      <c r="O802" s="76"/>
      <c r="P802" s="76"/>
      <c r="Q802" s="76"/>
      <c r="R802" s="76"/>
      <c r="S802" s="76"/>
      <c r="T802" s="76"/>
      <c r="U802" s="76"/>
      <c r="V802" s="76"/>
      <c r="W802" s="76"/>
      <c r="X802" s="76"/>
      <c r="Y802" s="76"/>
      <c r="Z802" s="76"/>
      <c r="AA802" s="79"/>
      <c r="AB802" s="79"/>
      <c r="AC802" s="79"/>
      <c r="AD802" s="79"/>
      <c r="AE802" s="79"/>
      <c r="AF802" s="79"/>
      <c r="AG802" s="79"/>
      <c r="AH802" s="79"/>
      <c r="AI802" s="79"/>
      <c r="AJ802" s="79"/>
      <c r="AK802" s="79"/>
    </row>
    <row r="803" spans="1:37" s="78" customFormat="1" ht="12" customHeight="1">
      <c r="A803" s="76"/>
      <c r="B803" s="76"/>
      <c r="C803" s="76"/>
      <c r="D803" s="76"/>
      <c r="E803" s="76"/>
      <c r="F803" s="77"/>
      <c r="G803" s="76"/>
      <c r="H803" s="76"/>
      <c r="I803" s="76"/>
      <c r="J803" s="76"/>
      <c r="K803" s="76"/>
      <c r="L803" s="76"/>
      <c r="M803" s="76"/>
      <c r="N803" s="76"/>
      <c r="O803" s="76"/>
      <c r="P803" s="76"/>
      <c r="Q803" s="76"/>
      <c r="R803" s="76"/>
      <c r="S803" s="76"/>
      <c r="T803" s="76"/>
      <c r="U803" s="76"/>
      <c r="V803" s="76"/>
      <c r="W803" s="76"/>
      <c r="X803" s="76"/>
      <c r="Y803" s="76"/>
      <c r="Z803" s="76"/>
      <c r="AA803" s="79"/>
      <c r="AB803" s="79"/>
      <c r="AC803" s="79"/>
      <c r="AD803" s="79"/>
      <c r="AE803" s="79"/>
      <c r="AF803" s="79"/>
      <c r="AG803" s="79"/>
      <c r="AH803" s="79"/>
      <c r="AI803" s="79"/>
      <c r="AJ803" s="79"/>
      <c r="AK803" s="79"/>
    </row>
    <row r="804" spans="1:37" s="78" customFormat="1" ht="12" customHeight="1">
      <c r="A804" s="76"/>
      <c r="B804" s="76"/>
      <c r="C804" s="76"/>
      <c r="D804" s="76"/>
      <c r="E804" s="76"/>
      <c r="F804" s="77"/>
      <c r="G804" s="76"/>
      <c r="H804" s="76"/>
      <c r="I804" s="76"/>
      <c r="J804" s="76"/>
      <c r="K804" s="76"/>
      <c r="L804" s="76"/>
      <c r="M804" s="76"/>
      <c r="N804" s="76"/>
      <c r="O804" s="76"/>
      <c r="P804" s="76"/>
      <c r="Q804" s="76"/>
      <c r="R804" s="76"/>
      <c r="S804" s="76"/>
      <c r="T804" s="76"/>
      <c r="U804" s="76"/>
      <c r="V804" s="76"/>
      <c r="W804" s="76"/>
      <c r="X804" s="76"/>
      <c r="Y804" s="76"/>
      <c r="Z804" s="76"/>
      <c r="AA804" s="79"/>
      <c r="AB804" s="79"/>
      <c r="AC804" s="79"/>
      <c r="AD804" s="79"/>
      <c r="AE804" s="79"/>
      <c r="AF804" s="79"/>
      <c r="AG804" s="79"/>
      <c r="AH804" s="79"/>
      <c r="AI804" s="79"/>
      <c r="AJ804" s="79"/>
      <c r="AK804" s="79"/>
    </row>
    <row r="805" spans="1:37" s="78" customFormat="1" ht="12" customHeight="1">
      <c r="A805" s="76"/>
      <c r="B805" s="76"/>
      <c r="C805" s="76"/>
      <c r="D805" s="76"/>
      <c r="E805" s="76"/>
      <c r="F805" s="77"/>
      <c r="G805" s="76"/>
      <c r="H805" s="76"/>
      <c r="I805" s="76"/>
      <c r="J805" s="76"/>
      <c r="K805" s="76"/>
      <c r="L805" s="76"/>
      <c r="M805" s="76"/>
      <c r="N805" s="76"/>
      <c r="O805" s="76"/>
      <c r="P805" s="76"/>
      <c r="Q805" s="76"/>
      <c r="R805" s="76"/>
      <c r="S805" s="76"/>
      <c r="T805" s="76"/>
      <c r="U805" s="76"/>
      <c r="V805" s="76"/>
      <c r="W805" s="76"/>
      <c r="X805" s="76"/>
      <c r="Y805" s="76"/>
      <c r="Z805" s="76"/>
      <c r="AA805" s="79"/>
      <c r="AB805" s="79"/>
      <c r="AC805" s="79"/>
      <c r="AD805" s="79"/>
      <c r="AE805" s="79"/>
      <c r="AF805" s="79"/>
      <c r="AG805" s="79"/>
      <c r="AH805" s="79"/>
      <c r="AI805" s="79"/>
      <c r="AJ805" s="79"/>
      <c r="AK805" s="79"/>
    </row>
    <row r="806" spans="1:37" s="78" customFormat="1" ht="12" customHeight="1">
      <c r="A806" s="76"/>
      <c r="B806" s="76"/>
      <c r="C806" s="76"/>
      <c r="D806" s="76"/>
      <c r="E806" s="76"/>
      <c r="F806" s="77"/>
      <c r="G806" s="76"/>
      <c r="H806" s="76"/>
      <c r="I806" s="76"/>
      <c r="J806" s="76"/>
      <c r="K806" s="76"/>
      <c r="L806" s="76"/>
      <c r="M806" s="76"/>
      <c r="N806" s="76"/>
      <c r="O806" s="76"/>
      <c r="P806" s="76"/>
      <c r="Q806" s="76"/>
      <c r="R806" s="76"/>
      <c r="S806" s="76"/>
      <c r="T806" s="76"/>
      <c r="U806" s="76"/>
      <c r="V806" s="76"/>
      <c r="W806" s="76"/>
      <c r="X806" s="76"/>
      <c r="Y806" s="76"/>
      <c r="Z806" s="76"/>
      <c r="AA806" s="79"/>
      <c r="AB806" s="79"/>
      <c r="AC806" s="79"/>
      <c r="AD806" s="79"/>
      <c r="AE806" s="79"/>
      <c r="AF806" s="79"/>
      <c r="AG806" s="79"/>
      <c r="AH806" s="79"/>
      <c r="AI806" s="79"/>
      <c r="AJ806" s="79"/>
      <c r="AK806" s="79"/>
    </row>
    <row r="807" spans="1:37" s="78" customFormat="1" ht="12" customHeight="1">
      <c r="A807" s="76"/>
      <c r="B807" s="76"/>
      <c r="C807" s="76"/>
      <c r="D807" s="76"/>
      <c r="E807" s="76"/>
      <c r="F807" s="77"/>
      <c r="G807" s="76"/>
      <c r="H807" s="76"/>
      <c r="I807" s="76"/>
      <c r="J807" s="76"/>
      <c r="K807" s="76"/>
      <c r="L807" s="76"/>
      <c r="M807" s="76"/>
      <c r="N807" s="76"/>
      <c r="O807" s="76"/>
      <c r="P807" s="76"/>
      <c r="Q807" s="76"/>
      <c r="R807" s="76"/>
      <c r="S807" s="76"/>
      <c r="T807" s="76"/>
      <c r="U807" s="76"/>
      <c r="V807" s="76"/>
      <c r="W807" s="76"/>
      <c r="X807" s="76"/>
      <c r="Y807" s="76"/>
      <c r="Z807" s="76"/>
      <c r="AA807" s="79"/>
      <c r="AB807" s="79"/>
      <c r="AC807" s="79"/>
      <c r="AD807" s="79"/>
      <c r="AE807" s="79"/>
      <c r="AF807" s="79"/>
      <c r="AG807" s="79"/>
      <c r="AH807" s="79"/>
      <c r="AI807" s="79"/>
      <c r="AJ807" s="79"/>
      <c r="AK807" s="79"/>
    </row>
    <row r="808" spans="1:37" s="78" customFormat="1" ht="12" customHeight="1">
      <c r="A808" s="76"/>
      <c r="B808" s="76"/>
      <c r="C808" s="76"/>
      <c r="D808" s="76"/>
      <c r="E808" s="76"/>
      <c r="F808" s="77"/>
      <c r="G808" s="76"/>
      <c r="H808" s="76"/>
      <c r="I808" s="76"/>
      <c r="J808" s="76"/>
      <c r="K808" s="76"/>
      <c r="L808" s="76"/>
      <c r="M808" s="76"/>
      <c r="N808" s="76"/>
      <c r="O808" s="76"/>
      <c r="P808" s="76"/>
      <c r="Q808" s="76"/>
      <c r="R808" s="76"/>
      <c r="S808" s="76"/>
      <c r="T808" s="76"/>
      <c r="U808" s="76"/>
      <c r="V808" s="76"/>
      <c r="W808" s="76"/>
      <c r="X808" s="76"/>
      <c r="Y808" s="76"/>
      <c r="Z808" s="76"/>
      <c r="AA808" s="79"/>
      <c r="AB808" s="79"/>
      <c r="AC808" s="79"/>
      <c r="AD808" s="79"/>
      <c r="AE808" s="79"/>
      <c r="AF808" s="79"/>
      <c r="AG808" s="79"/>
      <c r="AH808" s="79"/>
      <c r="AI808" s="79"/>
      <c r="AJ808" s="79"/>
      <c r="AK808" s="79"/>
    </row>
    <row r="809" spans="1:37" s="78" customFormat="1" ht="12" customHeight="1">
      <c r="A809" s="76"/>
      <c r="B809" s="76"/>
      <c r="C809" s="76"/>
      <c r="D809" s="76"/>
      <c r="E809" s="76"/>
      <c r="F809" s="77"/>
      <c r="G809" s="76"/>
      <c r="H809" s="76"/>
      <c r="I809" s="76"/>
      <c r="J809" s="76"/>
      <c r="K809" s="76"/>
      <c r="L809" s="76"/>
      <c r="M809" s="76"/>
      <c r="N809" s="76"/>
      <c r="O809" s="76"/>
      <c r="P809" s="76"/>
      <c r="Q809" s="76"/>
      <c r="R809" s="76"/>
      <c r="S809" s="76"/>
      <c r="T809" s="76"/>
      <c r="U809" s="76"/>
      <c r="V809" s="76"/>
      <c r="W809" s="76"/>
      <c r="X809" s="76"/>
      <c r="Y809" s="76"/>
      <c r="Z809" s="76"/>
      <c r="AA809" s="79"/>
      <c r="AB809" s="79"/>
      <c r="AC809" s="79"/>
      <c r="AD809" s="79"/>
      <c r="AE809" s="79"/>
      <c r="AF809" s="79"/>
      <c r="AG809" s="79"/>
      <c r="AH809" s="79"/>
      <c r="AI809" s="79"/>
      <c r="AJ809" s="79"/>
      <c r="AK809" s="79"/>
    </row>
    <row r="810" spans="1:37" s="78" customFormat="1" ht="12" customHeight="1">
      <c r="A810" s="76"/>
      <c r="B810" s="76"/>
      <c r="C810" s="76"/>
      <c r="D810" s="76"/>
      <c r="E810" s="76"/>
      <c r="F810" s="77"/>
      <c r="G810" s="76"/>
      <c r="H810" s="76"/>
      <c r="I810" s="76"/>
      <c r="J810" s="76"/>
      <c r="K810" s="76"/>
      <c r="L810" s="76"/>
      <c r="M810" s="76"/>
      <c r="N810" s="76"/>
      <c r="O810" s="76"/>
      <c r="P810" s="76"/>
      <c r="Q810" s="76"/>
      <c r="R810" s="76"/>
      <c r="S810" s="76"/>
      <c r="T810" s="76"/>
      <c r="U810" s="76"/>
      <c r="V810" s="76"/>
      <c r="W810" s="76"/>
      <c r="X810" s="76"/>
      <c r="Y810" s="76"/>
      <c r="Z810" s="76"/>
      <c r="AA810" s="79"/>
      <c r="AB810" s="79"/>
      <c r="AC810" s="79"/>
      <c r="AD810" s="79"/>
      <c r="AE810" s="79"/>
      <c r="AF810" s="79"/>
      <c r="AG810" s="79"/>
      <c r="AH810" s="79"/>
      <c r="AI810" s="79"/>
      <c r="AJ810" s="79"/>
      <c r="AK810" s="79"/>
    </row>
    <row r="811" spans="1:37" s="78" customFormat="1" ht="12" customHeight="1">
      <c r="A811" s="76"/>
      <c r="B811" s="76"/>
      <c r="C811" s="76"/>
      <c r="D811" s="76"/>
      <c r="E811" s="76"/>
      <c r="F811" s="77"/>
      <c r="G811" s="76"/>
      <c r="H811" s="76"/>
      <c r="I811" s="76"/>
      <c r="J811" s="76"/>
      <c r="K811" s="76"/>
      <c r="L811" s="76"/>
      <c r="M811" s="76"/>
      <c r="N811" s="76"/>
      <c r="O811" s="76"/>
      <c r="P811" s="76"/>
      <c r="Q811" s="76"/>
      <c r="R811" s="76"/>
      <c r="S811" s="76"/>
      <c r="T811" s="76"/>
      <c r="U811" s="76"/>
      <c r="V811" s="76"/>
      <c r="W811" s="76"/>
      <c r="X811" s="76"/>
      <c r="Y811" s="76"/>
      <c r="Z811" s="76"/>
      <c r="AA811" s="79"/>
      <c r="AB811" s="79"/>
      <c r="AC811" s="79"/>
      <c r="AD811" s="79"/>
      <c r="AE811" s="79"/>
      <c r="AF811" s="79"/>
      <c r="AG811" s="79"/>
      <c r="AH811" s="79"/>
      <c r="AI811" s="79"/>
      <c r="AJ811" s="79"/>
      <c r="AK811" s="79"/>
    </row>
    <row r="812" spans="1:37" s="78" customFormat="1" ht="12" customHeight="1">
      <c r="A812" s="76"/>
      <c r="B812" s="76"/>
      <c r="C812" s="76"/>
      <c r="D812" s="76"/>
      <c r="E812" s="76"/>
      <c r="F812" s="77"/>
      <c r="G812" s="76"/>
      <c r="H812" s="76"/>
      <c r="I812" s="76"/>
      <c r="J812" s="76"/>
      <c r="K812" s="76"/>
      <c r="L812" s="76"/>
      <c r="M812" s="76"/>
      <c r="N812" s="76"/>
      <c r="O812" s="76"/>
      <c r="P812" s="76"/>
      <c r="Q812" s="76"/>
      <c r="R812" s="76"/>
      <c r="S812" s="76"/>
      <c r="T812" s="76"/>
      <c r="U812" s="76"/>
      <c r="V812" s="76"/>
      <c r="W812" s="76"/>
      <c r="X812" s="76"/>
      <c r="Y812" s="76"/>
      <c r="Z812" s="76"/>
      <c r="AA812" s="79"/>
      <c r="AB812" s="79"/>
      <c r="AC812" s="79"/>
      <c r="AD812" s="79"/>
      <c r="AE812" s="79"/>
      <c r="AF812" s="79"/>
      <c r="AG812" s="79"/>
      <c r="AH812" s="79"/>
      <c r="AI812" s="79"/>
      <c r="AJ812" s="79"/>
      <c r="AK812" s="79"/>
    </row>
    <row r="813" spans="1:37" s="78" customFormat="1" ht="12" customHeight="1">
      <c r="A813" s="76"/>
      <c r="B813" s="76"/>
      <c r="C813" s="76"/>
      <c r="D813" s="76"/>
      <c r="E813" s="76"/>
      <c r="F813" s="77"/>
      <c r="G813" s="76"/>
      <c r="H813" s="76"/>
      <c r="I813" s="76"/>
      <c r="J813" s="76"/>
      <c r="K813" s="76"/>
      <c r="L813" s="76"/>
      <c r="M813" s="76"/>
      <c r="N813" s="76"/>
      <c r="O813" s="76"/>
      <c r="P813" s="76"/>
      <c r="Q813" s="76"/>
      <c r="R813" s="76"/>
      <c r="S813" s="76"/>
      <c r="T813" s="76"/>
      <c r="U813" s="76"/>
      <c r="V813" s="76"/>
      <c r="W813" s="76"/>
      <c r="X813" s="76"/>
      <c r="Y813" s="76"/>
      <c r="Z813" s="76"/>
      <c r="AA813" s="79"/>
      <c r="AB813" s="79"/>
      <c r="AC813" s="79"/>
      <c r="AD813" s="79"/>
      <c r="AE813" s="79"/>
      <c r="AF813" s="79"/>
      <c r="AG813" s="79"/>
      <c r="AH813" s="79"/>
      <c r="AI813" s="79"/>
      <c r="AJ813" s="79"/>
      <c r="AK813" s="79"/>
    </row>
    <row r="814" spans="1:37" s="78" customFormat="1" ht="12" customHeight="1">
      <c r="A814" s="76"/>
      <c r="B814" s="76"/>
      <c r="C814" s="76"/>
      <c r="D814" s="76"/>
      <c r="E814" s="76"/>
      <c r="F814" s="77"/>
      <c r="G814" s="76"/>
      <c r="H814" s="76"/>
      <c r="I814" s="76"/>
      <c r="J814" s="76"/>
      <c r="K814" s="76"/>
      <c r="L814" s="76"/>
      <c r="M814" s="76"/>
      <c r="N814" s="76"/>
      <c r="O814" s="76"/>
      <c r="P814" s="76"/>
      <c r="Q814" s="76"/>
      <c r="R814" s="76"/>
      <c r="S814" s="76"/>
      <c r="T814" s="76"/>
      <c r="U814" s="76"/>
      <c r="V814" s="76"/>
      <c r="W814" s="76"/>
      <c r="X814" s="76"/>
      <c r="Y814" s="76"/>
      <c r="Z814" s="76"/>
      <c r="AA814" s="79"/>
      <c r="AB814" s="79"/>
      <c r="AC814" s="79"/>
      <c r="AD814" s="79"/>
      <c r="AE814" s="79"/>
      <c r="AF814" s="79"/>
      <c r="AG814" s="79"/>
      <c r="AH814" s="79"/>
      <c r="AI814" s="79"/>
      <c r="AJ814" s="79"/>
      <c r="AK814" s="79"/>
    </row>
    <row r="815" spans="1:37" s="78" customFormat="1" ht="12" customHeight="1">
      <c r="A815" s="76"/>
      <c r="B815" s="76"/>
      <c r="C815" s="76"/>
      <c r="D815" s="76"/>
      <c r="E815" s="76"/>
      <c r="F815" s="77"/>
      <c r="G815" s="76"/>
      <c r="H815" s="76"/>
      <c r="I815" s="76"/>
      <c r="J815" s="76"/>
      <c r="K815" s="76"/>
      <c r="L815" s="76"/>
      <c r="M815" s="76"/>
      <c r="N815" s="76"/>
      <c r="O815" s="76"/>
      <c r="P815" s="76"/>
      <c r="Q815" s="76"/>
      <c r="R815" s="76"/>
      <c r="S815" s="76"/>
      <c r="T815" s="76"/>
      <c r="U815" s="76"/>
      <c r="V815" s="76"/>
      <c r="W815" s="76"/>
      <c r="X815" s="76"/>
      <c r="Y815" s="76"/>
      <c r="Z815" s="76"/>
      <c r="AA815" s="79"/>
      <c r="AB815" s="79"/>
      <c r="AC815" s="79"/>
      <c r="AD815" s="79"/>
      <c r="AE815" s="79"/>
      <c r="AF815" s="79"/>
      <c r="AG815" s="79"/>
      <c r="AH815" s="79"/>
      <c r="AI815" s="79"/>
      <c r="AJ815" s="79"/>
      <c r="AK815" s="79"/>
    </row>
    <row r="816" spans="1:37" s="78" customFormat="1" ht="12" customHeight="1">
      <c r="A816" s="76"/>
      <c r="B816" s="76"/>
      <c r="C816" s="76"/>
      <c r="D816" s="76"/>
      <c r="E816" s="76"/>
      <c r="F816" s="77"/>
      <c r="G816" s="76"/>
      <c r="H816" s="76"/>
      <c r="I816" s="76"/>
      <c r="J816" s="76"/>
      <c r="K816" s="76"/>
      <c r="L816" s="76"/>
      <c r="M816" s="76"/>
      <c r="N816" s="76"/>
      <c r="O816" s="76"/>
      <c r="P816" s="76"/>
      <c r="Q816" s="76"/>
      <c r="R816" s="76"/>
      <c r="S816" s="76"/>
      <c r="T816" s="76"/>
      <c r="U816" s="76"/>
      <c r="V816" s="76"/>
      <c r="W816" s="76"/>
      <c r="X816" s="76"/>
      <c r="Y816" s="76"/>
      <c r="Z816" s="76"/>
      <c r="AA816" s="79"/>
      <c r="AB816" s="79"/>
      <c r="AC816" s="79"/>
      <c r="AD816" s="79"/>
      <c r="AE816" s="79"/>
      <c r="AF816" s="79"/>
      <c r="AG816" s="79"/>
      <c r="AH816" s="79"/>
      <c r="AI816" s="79"/>
      <c r="AJ816" s="79"/>
      <c r="AK816" s="79"/>
    </row>
    <row r="817" spans="1:37" s="78" customFormat="1" ht="12" customHeight="1">
      <c r="A817" s="76"/>
      <c r="B817" s="76"/>
      <c r="C817" s="76"/>
      <c r="D817" s="76"/>
      <c r="E817" s="76"/>
      <c r="F817" s="77"/>
      <c r="G817" s="76"/>
      <c r="H817" s="76"/>
      <c r="I817" s="76"/>
      <c r="J817" s="76"/>
      <c r="K817" s="76"/>
      <c r="L817" s="76"/>
      <c r="M817" s="76"/>
      <c r="N817" s="76"/>
      <c r="O817" s="76"/>
      <c r="P817" s="76"/>
      <c r="Q817" s="76"/>
      <c r="R817" s="76"/>
      <c r="S817" s="76"/>
      <c r="T817" s="76"/>
      <c r="U817" s="76"/>
      <c r="V817" s="76"/>
      <c r="W817" s="76"/>
      <c r="X817" s="76"/>
      <c r="Y817" s="76"/>
      <c r="Z817" s="76"/>
      <c r="AA817" s="79"/>
      <c r="AB817" s="79"/>
      <c r="AC817" s="79"/>
      <c r="AD817" s="79"/>
      <c r="AE817" s="79"/>
      <c r="AF817" s="79"/>
      <c r="AG817" s="79"/>
      <c r="AH817" s="79"/>
      <c r="AI817" s="79"/>
      <c r="AJ817" s="79"/>
      <c r="AK817" s="79"/>
    </row>
    <row r="818" spans="1:37" s="78" customFormat="1" ht="12" customHeight="1">
      <c r="A818" s="76"/>
      <c r="B818" s="76"/>
      <c r="C818" s="76"/>
      <c r="D818" s="76"/>
      <c r="E818" s="76"/>
      <c r="F818" s="77"/>
      <c r="G818" s="76"/>
      <c r="H818" s="76"/>
      <c r="I818" s="76"/>
      <c r="J818" s="76"/>
      <c r="K818" s="76"/>
      <c r="L818" s="76"/>
      <c r="M818" s="76"/>
      <c r="N818" s="76"/>
      <c r="O818" s="76"/>
      <c r="P818" s="76"/>
      <c r="Q818" s="76"/>
      <c r="R818" s="76"/>
      <c r="S818" s="76"/>
      <c r="T818" s="76"/>
      <c r="U818" s="76"/>
      <c r="V818" s="76"/>
      <c r="W818" s="76"/>
      <c r="X818" s="76"/>
      <c r="Y818" s="76"/>
      <c r="Z818" s="76"/>
      <c r="AA818" s="79"/>
      <c r="AB818" s="79"/>
      <c r="AC818" s="79"/>
      <c r="AD818" s="79"/>
      <c r="AE818" s="79"/>
      <c r="AF818" s="79"/>
      <c r="AG818" s="79"/>
      <c r="AH818" s="79"/>
      <c r="AI818" s="79"/>
      <c r="AJ818" s="79"/>
      <c r="AK818" s="79"/>
    </row>
    <row r="819" spans="1:37" s="78" customFormat="1" ht="12" customHeight="1">
      <c r="A819" s="76"/>
      <c r="B819" s="76"/>
      <c r="C819" s="76"/>
      <c r="D819" s="76"/>
      <c r="E819" s="76"/>
      <c r="F819" s="77"/>
      <c r="G819" s="76"/>
      <c r="H819" s="76"/>
      <c r="I819" s="76"/>
      <c r="J819" s="76"/>
      <c r="K819" s="76"/>
      <c r="L819" s="76"/>
      <c r="M819" s="76"/>
      <c r="N819" s="76"/>
      <c r="O819" s="76"/>
      <c r="P819" s="76"/>
      <c r="Q819" s="76"/>
      <c r="R819" s="76"/>
      <c r="S819" s="76"/>
      <c r="T819" s="76"/>
      <c r="U819" s="76"/>
      <c r="V819" s="76"/>
      <c r="W819" s="76"/>
      <c r="X819" s="76"/>
      <c r="Y819" s="76"/>
      <c r="Z819" s="76"/>
      <c r="AA819" s="79"/>
      <c r="AB819" s="79"/>
      <c r="AC819" s="79"/>
      <c r="AD819" s="79"/>
      <c r="AE819" s="79"/>
      <c r="AF819" s="79"/>
      <c r="AG819" s="79"/>
      <c r="AH819" s="79"/>
      <c r="AI819" s="79"/>
      <c r="AJ819" s="79"/>
      <c r="AK819" s="79"/>
    </row>
    <row r="820" spans="1:37" s="78" customFormat="1" ht="12" customHeight="1">
      <c r="A820" s="76"/>
      <c r="B820" s="76"/>
      <c r="C820" s="76"/>
      <c r="D820" s="76"/>
      <c r="E820" s="76"/>
      <c r="F820" s="77"/>
      <c r="G820" s="76"/>
      <c r="H820" s="76"/>
      <c r="I820" s="76"/>
      <c r="J820" s="76"/>
      <c r="K820" s="76"/>
      <c r="L820" s="76"/>
      <c r="M820" s="76"/>
      <c r="N820" s="76"/>
      <c r="O820" s="76"/>
      <c r="P820" s="76"/>
      <c r="Q820" s="76"/>
      <c r="R820" s="76"/>
      <c r="S820" s="76"/>
      <c r="T820" s="76"/>
      <c r="U820" s="76"/>
      <c r="V820" s="76"/>
      <c r="W820" s="76"/>
      <c r="X820" s="76"/>
      <c r="Y820" s="76"/>
      <c r="Z820" s="76"/>
      <c r="AA820" s="79"/>
      <c r="AB820" s="79"/>
      <c r="AC820" s="79"/>
      <c r="AD820" s="79"/>
      <c r="AE820" s="79"/>
      <c r="AF820" s="79"/>
      <c r="AG820" s="79"/>
      <c r="AH820" s="79"/>
      <c r="AI820" s="79"/>
      <c r="AJ820" s="79"/>
      <c r="AK820" s="79"/>
    </row>
    <row r="821" spans="1:37" s="78" customFormat="1" ht="12" customHeight="1">
      <c r="A821" s="76"/>
      <c r="B821" s="76"/>
      <c r="C821" s="76"/>
      <c r="D821" s="76"/>
      <c r="E821" s="76"/>
      <c r="F821" s="77"/>
      <c r="G821" s="76"/>
      <c r="H821" s="76"/>
      <c r="I821" s="76"/>
      <c r="J821" s="76"/>
      <c r="K821" s="76"/>
      <c r="L821" s="76"/>
      <c r="M821" s="76"/>
      <c r="N821" s="76"/>
      <c r="O821" s="76"/>
      <c r="P821" s="76"/>
      <c r="Q821" s="76"/>
      <c r="R821" s="76"/>
      <c r="S821" s="76"/>
      <c r="T821" s="76"/>
      <c r="U821" s="76"/>
      <c r="V821" s="76"/>
      <c r="W821" s="76"/>
      <c r="X821" s="76"/>
      <c r="Y821" s="76"/>
      <c r="Z821" s="76"/>
      <c r="AA821" s="79"/>
      <c r="AB821" s="79"/>
      <c r="AC821" s="79"/>
      <c r="AD821" s="79"/>
      <c r="AE821" s="79"/>
      <c r="AF821" s="79"/>
      <c r="AG821" s="79"/>
      <c r="AH821" s="79"/>
      <c r="AI821" s="79"/>
      <c r="AJ821" s="79"/>
      <c r="AK821" s="79"/>
    </row>
    <row r="822" spans="1:37" s="78" customFormat="1" ht="12" customHeight="1">
      <c r="A822" s="76"/>
      <c r="B822" s="76"/>
      <c r="C822" s="76"/>
      <c r="D822" s="76"/>
      <c r="E822" s="76"/>
      <c r="F822" s="77"/>
      <c r="G822" s="76"/>
      <c r="H822" s="76"/>
      <c r="I822" s="76"/>
      <c r="J822" s="76"/>
      <c r="K822" s="76"/>
      <c r="L822" s="76"/>
      <c r="M822" s="76"/>
      <c r="N822" s="76"/>
      <c r="O822" s="76"/>
      <c r="P822" s="76"/>
      <c r="Q822" s="76"/>
      <c r="R822" s="76"/>
      <c r="S822" s="76"/>
      <c r="T822" s="76"/>
      <c r="U822" s="76"/>
      <c r="V822" s="76"/>
      <c r="W822" s="76"/>
      <c r="X822" s="76"/>
      <c r="Y822" s="76"/>
      <c r="Z822" s="76"/>
      <c r="AA822" s="79"/>
      <c r="AB822" s="79"/>
      <c r="AC822" s="79"/>
      <c r="AD822" s="79"/>
      <c r="AE822" s="79"/>
      <c r="AF822" s="79"/>
      <c r="AG822" s="79"/>
      <c r="AH822" s="79"/>
      <c r="AI822" s="79"/>
      <c r="AJ822" s="79"/>
      <c r="AK822" s="79"/>
    </row>
    <row r="823" spans="1:37" s="78" customFormat="1" ht="12" customHeight="1">
      <c r="A823" s="76"/>
      <c r="B823" s="76"/>
      <c r="C823" s="76"/>
      <c r="D823" s="76"/>
      <c r="E823" s="76"/>
      <c r="F823" s="77"/>
      <c r="G823" s="76"/>
      <c r="H823" s="76"/>
      <c r="I823" s="76"/>
      <c r="J823" s="76"/>
      <c r="K823" s="76"/>
      <c r="L823" s="76"/>
      <c r="M823" s="76"/>
      <c r="N823" s="76"/>
      <c r="O823" s="76"/>
      <c r="P823" s="76"/>
      <c r="Q823" s="76"/>
      <c r="R823" s="76"/>
      <c r="S823" s="76"/>
      <c r="T823" s="76"/>
      <c r="U823" s="76"/>
      <c r="V823" s="76"/>
      <c r="W823" s="76"/>
      <c r="X823" s="76"/>
      <c r="Y823" s="76"/>
      <c r="Z823" s="76"/>
      <c r="AA823" s="79"/>
      <c r="AB823" s="79"/>
      <c r="AC823" s="79"/>
      <c r="AD823" s="79"/>
      <c r="AE823" s="79"/>
      <c r="AF823" s="79"/>
      <c r="AG823" s="79"/>
      <c r="AH823" s="79"/>
      <c r="AI823" s="79"/>
      <c r="AJ823" s="79"/>
      <c r="AK823" s="79"/>
    </row>
    <row r="824" spans="1:37" s="78" customFormat="1" ht="12" customHeight="1">
      <c r="A824" s="76"/>
      <c r="B824" s="76"/>
      <c r="C824" s="76"/>
      <c r="D824" s="76"/>
      <c r="E824" s="76"/>
      <c r="F824" s="77"/>
      <c r="G824" s="76"/>
      <c r="H824" s="76"/>
      <c r="I824" s="76"/>
      <c r="J824" s="76"/>
      <c r="K824" s="76"/>
      <c r="L824" s="76"/>
      <c r="M824" s="76"/>
      <c r="N824" s="76"/>
      <c r="O824" s="76"/>
      <c r="P824" s="76"/>
      <c r="Q824" s="76"/>
      <c r="R824" s="76"/>
      <c r="S824" s="76"/>
      <c r="T824" s="76"/>
      <c r="U824" s="76"/>
      <c r="V824" s="76"/>
      <c r="W824" s="76"/>
      <c r="X824" s="76"/>
      <c r="Y824" s="76"/>
      <c r="Z824" s="76"/>
      <c r="AA824" s="79"/>
      <c r="AB824" s="79"/>
      <c r="AC824" s="79"/>
      <c r="AD824" s="79"/>
      <c r="AE824" s="79"/>
      <c r="AF824" s="79"/>
      <c r="AG824" s="79"/>
      <c r="AH824" s="79"/>
      <c r="AI824" s="79"/>
      <c r="AJ824" s="79"/>
      <c r="AK824" s="79"/>
    </row>
    <row r="825" spans="1:37" s="78" customFormat="1" ht="12" customHeight="1">
      <c r="A825" s="76"/>
      <c r="B825" s="76"/>
      <c r="C825" s="76"/>
      <c r="D825" s="76"/>
      <c r="E825" s="76"/>
      <c r="F825" s="77"/>
      <c r="G825" s="76"/>
      <c r="H825" s="76"/>
      <c r="I825" s="76"/>
      <c r="J825" s="76"/>
      <c r="K825" s="76"/>
      <c r="L825" s="76"/>
      <c r="M825" s="76"/>
      <c r="N825" s="76"/>
      <c r="O825" s="76"/>
      <c r="P825" s="76"/>
      <c r="Q825" s="76"/>
      <c r="R825" s="76"/>
      <c r="S825" s="76"/>
      <c r="T825" s="76"/>
      <c r="U825" s="76"/>
      <c r="V825" s="76"/>
      <c r="W825" s="76"/>
      <c r="X825" s="76"/>
      <c r="Y825" s="76"/>
      <c r="Z825" s="76"/>
      <c r="AA825" s="79"/>
      <c r="AB825" s="79"/>
      <c r="AC825" s="79"/>
      <c r="AD825" s="79"/>
      <c r="AE825" s="79"/>
      <c r="AF825" s="79"/>
      <c r="AG825" s="79"/>
      <c r="AH825" s="79"/>
      <c r="AI825" s="79"/>
      <c r="AJ825" s="79"/>
      <c r="AK825" s="79"/>
    </row>
    <row r="826" spans="1:37" s="78" customFormat="1" ht="12" customHeight="1">
      <c r="A826" s="76"/>
      <c r="B826" s="76"/>
      <c r="C826" s="76"/>
      <c r="D826" s="76"/>
      <c r="E826" s="76"/>
      <c r="F826" s="77"/>
      <c r="G826" s="76"/>
      <c r="H826" s="76"/>
      <c r="I826" s="76"/>
      <c r="J826" s="76"/>
      <c r="K826" s="76"/>
      <c r="L826" s="76"/>
      <c r="M826" s="76"/>
      <c r="N826" s="76"/>
      <c r="O826" s="76"/>
      <c r="P826" s="76"/>
      <c r="Q826" s="76"/>
      <c r="R826" s="76"/>
      <c r="S826" s="76"/>
      <c r="T826" s="76"/>
      <c r="U826" s="76"/>
      <c r="V826" s="76"/>
      <c r="W826" s="76"/>
      <c r="X826" s="76"/>
      <c r="Y826" s="76"/>
      <c r="Z826" s="76"/>
      <c r="AA826" s="79"/>
      <c r="AB826" s="79"/>
      <c r="AC826" s="79"/>
      <c r="AD826" s="79"/>
      <c r="AE826" s="79"/>
      <c r="AF826" s="79"/>
      <c r="AG826" s="79"/>
      <c r="AH826" s="79"/>
      <c r="AI826" s="79"/>
      <c r="AJ826" s="79"/>
      <c r="AK826" s="79"/>
    </row>
    <row r="827" spans="1:37" s="78" customFormat="1" ht="12" customHeight="1">
      <c r="A827" s="76"/>
      <c r="B827" s="76"/>
      <c r="C827" s="76"/>
      <c r="D827" s="76"/>
      <c r="E827" s="76"/>
      <c r="F827" s="77"/>
      <c r="G827" s="76"/>
      <c r="H827" s="76"/>
      <c r="I827" s="76"/>
      <c r="J827" s="76"/>
      <c r="K827" s="76"/>
      <c r="L827" s="76"/>
      <c r="M827" s="76"/>
      <c r="N827" s="76"/>
      <c r="O827" s="76"/>
      <c r="P827" s="76"/>
      <c r="Q827" s="76"/>
      <c r="R827" s="76"/>
      <c r="S827" s="76"/>
      <c r="T827" s="76"/>
      <c r="U827" s="76"/>
      <c r="V827" s="76"/>
      <c r="W827" s="76"/>
      <c r="X827" s="76"/>
      <c r="Y827" s="76"/>
      <c r="Z827" s="76"/>
      <c r="AA827" s="79"/>
      <c r="AB827" s="79"/>
      <c r="AC827" s="79"/>
      <c r="AD827" s="79"/>
      <c r="AE827" s="79"/>
      <c r="AF827" s="79"/>
      <c r="AG827" s="79"/>
      <c r="AH827" s="79"/>
      <c r="AI827" s="79"/>
      <c r="AJ827" s="79"/>
      <c r="AK827" s="79"/>
    </row>
    <row r="828" spans="1:37" s="78" customFormat="1" ht="12" customHeight="1">
      <c r="A828" s="76"/>
      <c r="B828" s="76"/>
      <c r="C828" s="76"/>
      <c r="D828" s="76"/>
      <c r="E828" s="76"/>
      <c r="F828" s="77"/>
      <c r="G828" s="76"/>
      <c r="H828" s="76"/>
      <c r="I828" s="76"/>
      <c r="J828" s="76"/>
      <c r="K828" s="76"/>
      <c r="L828" s="76"/>
      <c r="M828" s="76"/>
      <c r="N828" s="76"/>
      <c r="O828" s="76"/>
      <c r="P828" s="76"/>
      <c r="Q828" s="76"/>
      <c r="R828" s="76"/>
      <c r="S828" s="76"/>
      <c r="T828" s="76"/>
      <c r="U828" s="76"/>
      <c r="V828" s="76"/>
      <c r="W828" s="76"/>
      <c r="X828" s="76"/>
      <c r="Y828" s="76"/>
      <c r="Z828" s="76"/>
      <c r="AA828" s="79"/>
      <c r="AB828" s="79"/>
      <c r="AC828" s="79"/>
      <c r="AD828" s="79"/>
      <c r="AE828" s="79"/>
      <c r="AF828" s="79"/>
      <c r="AG828" s="79"/>
      <c r="AH828" s="79"/>
      <c r="AI828" s="79"/>
      <c r="AJ828" s="79"/>
      <c r="AK828" s="79"/>
    </row>
    <row r="829" spans="1:37" s="78" customFormat="1" ht="12" customHeight="1">
      <c r="A829" s="76"/>
      <c r="B829" s="76"/>
      <c r="C829" s="76"/>
      <c r="D829" s="76"/>
      <c r="E829" s="76"/>
      <c r="F829" s="77"/>
      <c r="G829" s="76"/>
      <c r="H829" s="76"/>
      <c r="I829" s="76"/>
      <c r="J829" s="76"/>
      <c r="K829" s="76"/>
      <c r="L829" s="76"/>
      <c r="M829" s="76"/>
      <c r="N829" s="76"/>
      <c r="O829" s="76"/>
      <c r="P829" s="76"/>
      <c r="Q829" s="76"/>
      <c r="R829" s="76"/>
      <c r="S829" s="76"/>
      <c r="T829" s="76"/>
      <c r="U829" s="76"/>
      <c r="V829" s="76"/>
      <c r="W829" s="76"/>
      <c r="X829" s="76"/>
      <c r="Y829" s="76"/>
      <c r="Z829" s="76"/>
      <c r="AA829" s="79"/>
      <c r="AB829" s="79"/>
      <c r="AC829" s="79"/>
      <c r="AD829" s="79"/>
      <c r="AE829" s="79"/>
      <c r="AF829" s="79"/>
      <c r="AG829" s="79"/>
      <c r="AH829" s="79"/>
      <c r="AI829" s="79"/>
      <c r="AJ829" s="79"/>
      <c r="AK829" s="79"/>
    </row>
    <row r="830" spans="1:37" s="78" customFormat="1" ht="12" customHeight="1">
      <c r="A830" s="76"/>
      <c r="B830" s="76"/>
      <c r="C830" s="76"/>
      <c r="D830" s="76"/>
      <c r="E830" s="76"/>
      <c r="F830" s="77"/>
      <c r="G830" s="76"/>
      <c r="H830" s="76"/>
      <c r="I830" s="76"/>
      <c r="J830" s="76"/>
      <c r="K830" s="76"/>
      <c r="L830" s="76"/>
      <c r="M830" s="76"/>
      <c r="N830" s="76"/>
      <c r="O830" s="76"/>
      <c r="P830" s="76"/>
      <c r="Q830" s="76"/>
      <c r="R830" s="76"/>
      <c r="S830" s="76"/>
      <c r="T830" s="76"/>
      <c r="U830" s="76"/>
      <c r="V830" s="76"/>
      <c r="W830" s="76"/>
      <c r="X830" s="76"/>
      <c r="Y830" s="76"/>
      <c r="Z830" s="76"/>
      <c r="AA830" s="79"/>
      <c r="AB830" s="79"/>
      <c r="AC830" s="79"/>
      <c r="AD830" s="79"/>
      <c r="AE830" s="79"/>
      <c r="AF830" s="79"/>
      <c r="AG830" s="79"/>
      <c r="AH830" s="79"/>
      <c r="AI830" s="79"/>
      <c r="AJ830" s="79"/>
      <c r="AK830" s="79"/>
    </row>
    <row r="831" spans="1:37" s="78" customFormat="1" ht="12" customHeight="1">
      <c r="A831" s="76"/>
      <c r="B831" s="76"/>
      <c r="C831" s="76"/>
      <c r="D831" s="76"/>
      <c r="E831" s="76"/>
      <c r="F831" s="77"/>
      <c r="G831" s="76"/>
      <c r="H831" s="76"/>
      <c r="I831" s="76"/>
      <c r="J831" s="76"/>
      <c r="K831" s="76"/>
      <c r="L831" s="76"/>
      <c r="M831" s="76"/>
      <c r="N831" s="76"/>
      <c r="O831" s="76"/>
      <c r="P831" s="76"/>
      <c r="Q831" s="76"/>
      <c r="R831" s="76"/>
      <c r="S831" s="76"/>
      <c r="T831" s="76"/>
      <c r="U831" s="76"/>
      <c r="V831" s="76"/>
      <c r="W831" s="76"/>
      <c r="X831" s="76"/>
      <c r="Y831" s="76"/>
      <c r="Z831" s="76"/>
      <c r="AA831" s="79"/>
      <c r="AB831" s="79"/>
      <c r="AC831" s="79"/>
      <c r="AD831" s="79"/>
      <c r="AE831" s="79"/>
      <c r="AF831" s="79"/>
      <c r="AG831" s="79"/>
      <c r="AH831" s="79"/>
      <c r="AI831" s="79"/>
      <c r="AJ831" s="79"/>
      <c r="AK831" s="79"/>
    </row>
    <row r="832" spans="1:37" s="78" customFormat="1" ht="12" customHeight="1">
      <c r="A832" s="76"/>
      <c r="B832" s="76"/>
      <c r="C832" s="76"/>
      <c r="D832" s="76"/>
      <c r="E832" s="76"/>
      <c r="F832" s="77"/>
      <c r="G832" s="76"/>
      <c r="H832" s="76"/>
      <c r="I832" s="76"/>
      <c r="J832" s="76"/>
      <c r="K832" s="76"/>
      <c r="L832" s="76"/>
      <c r="M832" s="76"/>
      <c r="N832" s="76"/>
      <c r="O832" s="76"/>
      <c r="P832" s="76"/>
      <c r="Q832" s="76"/>
      <c r="R832" s="76"/>
      <c r="S832" s="76"/>
      <c r="T832" s="76"/>
      <c r="U832" s="76"/>
      <c r="V832" s="76"/>
      <c r="W832" s="76"/>
      <c r="X832" s="76"/>
      <c r="Y832" s="76"/>
      <c r="Z832" s="76"/>
      <c r="AA832" s="79"/>
      <c r="AB832" s="79"/>
      <c r="AC832" s="79"/>
      <c r="AD832" s="79"/>
      <c r="AE832" s="79"/>
      <c r="AF832" s="79"/>
      <c r="AG832" s="79"/>
      <c r="AH832" s="79"/>
      <c r="AI832" s="79"/>
      <c r="AJ832" s="79"/>
      <c r="AK832" s="79"/>
    </row>
    <row r="833" spans="1:37" s="78" customFormat="1" ht="12" customHeight="1">
      <c r="A833" s="76"/>
      <c r="B833" s="76"/>
      <c r="C833" s="76"/>
      <c r="D833" s="76"/>
      <c r="E833" s="76"/>
      <c r="F833" s="77"/>
      <c r="G833" s="76"/>
      <c r="H833" s="76"/>
      <c r="I833" s="76"/>
      <c r="J833" s="76"/>
      <c r="K833" s="76"/>
      <c r="L833" s="76"/>
      <c r="M833" s="76"/>
      <c r="N833" s="76"/>
      <c r="O833" s="76"/>
      <c r="P833" s="76"/>
      <c r="Q833" s="76"/>
      <c r="R833" s="76"/>
      <c r="S833" s="76"/>
      <c r="T833" s="76"/>
      <c r="U833" s="76"/>
      <c r="V833" s="76"/>
      <c r="W833" s="76"/>
      <c r="X833" s="76"/>
      <c r="Y833" s="76"/>
      <c r="Z833" s="76"/>
      <c r="AA833" s="79"/>
      <c r="AB833" s="79"/>
      <c r="AC833" s="79"/>
      <c r="AD833" s="79"/>
      <c r="AE833" s="79"/>
      <c r="AF833" s="79"/>
      <c r="AG833" s="79"/>
      <c r="AH833" s="79"/>
      <c r="AI833" s="79"/>
      <c r="AJ833" s="79"/>
      <c r="AK833" s="79"/>
    </row>
    <row r="834" spans="1:37" s="78" customFormat="1" ht="12" customHeight="1">
      <c r="A834" s="76"/>
      <c r="B834" s="76"/>
      <c r="C834" s="76"/>
      <c r="D834" s="76"/>
      <c r="E834" s="76"/>
      <c r="F834" s="77"/>
      <c r="G834" s="76"/>
      <c r="H834" s="76"/>
      <c r="I834" s="76"/>
      <c r="J834" s="76"/>
      <c r="K834" s="76"/>
      <c r="L834" s="76"/>
      <c r="M834" s="76"/>
      <c r="N834" s="76"/>
      <c r="O834" s="76"/>
      <c r="P834" s="76"/>
      <c r="Q834" s="76"/>
      <c r="R834" s="76"/>
      <c r="S834" s="76"/>
      <c r="T834" s="76"/>
      <c r="U834" s="76"/>
      <c r="V834" s="76"/>
      <c r="W834" s="76"/>
      <c r="X834" s="76"/>
      <c r="Y834" s="76"/>
      <c r="Z834" s="76"/>
      <c r="AA834" s="79"/>
      <c r="AB834" s="79"/>
      <c r="AC834" s="79"/>
      <c r="AD834" s="79"/>
      <c r="AE834" s="79"/>
      <c r="AF834" s="79"/>
      <c r="AG834" s="79"/>
      <c r="AH834" s="79"/>
      <c r="AI834" s="79"/>
      <c r="AJ834" s="79"/>
      <c r="AK834" s="79"/>
    </row>
    <row r="835" spans="1:37" s="78" customFormat="1" ht="12" customHeight="1">
      <c r="A835" s="76"/>
      <c r="B835" s="76"/>
      <c r="C835" s="76"/>
      <c r="D835" s="76"/>
      <c r="E835" s="76"/>
      <c r="F835" s="77"/>
      <c r="G835" s="76"/>
      <c r="H835" s="76"/>
      <c r="I835" s="76"/>
      <c r="J835" s="76"/>
      <c r="K835" s="76"/>
      <c r="L835" s="76"/>
      <c r="M835" s="76"/>
      <c r="N835" s="76"/>
      <c r="O835" s="76"/>
      <c r="P835" s="76"/>
      <c r="Q835" s="76"/>
      <c r="R835" s="76"/>
      <c r="S835" s="76"/>
      <c r="T835" s="76"/>
      <c r="U835" s="76"/>
      <c r="V835" s="76"/>
      <c r="W835" s="76"/>
      <c r="X835" s="76"/>
      <c r="Y835" s="76"/>
      <c r="Z835" s="76"/>
      <c r="AA835" s="79"/>
      <c r="AB835" s="79"/>
      <c r="AC835" s="79"/>
      <c r="AD835" s="79"/>
      <c r="AE835" s="79"/>
      <c r="AF835" s="79"/>
      <c r="AG835" s="79"/>
      <c r="AH835" s="79"/>
      <c r="AI835" s="79"/>
      <c r="AJ835" s="79"/>
      <c r="AK835" s="79"/>
    </row>
    <row r="836" spans="1:37" s="78" customFormat="1" ht="12" customHeight="1">
      <c r="A836" s="76"/>
      <c r="B836" s="76"/>
      <c r="C836" s="76"/>
      <c r="D836" s="76"/>
      <c r="E836" s="76"/>
      <c r="F836" s="77"/>
      <c r="G836" s="76"/>
      <c r="H836" s="76"/>
      <c r="I836" s="76"/>
      <c r="J836" s="76"/>
      <c r="K836" s="76"/>
      <c r="L836" s="76"/>
      <c r="M836" s="76"/>
      <c r="N836" s="76"/>
      <c r="O836" s="76"/>
      <c r="P836" s="76"/>
      <c r="Q836" s="76"/>
      <c r="R836" s="76"/>
      <c r="S836" s="76"/>
      <c r="T836" s="76"/>
      <c r="U836" s="76"/>
      <c r="V836" s="76"/>
      <c r="W836" s="76"/>
      <c r="X836" s="76"/>
      <c r="Y836" s="76"/>
      <c r="Z836" s="76"/>
      <c r="AA836" s="79"/>
      <c r="AB836" s="79"/>
      <c r="AC836" s="79"/>
      <c r="AD836" s="79"/>
      <c r="AE836" s="79"/>
      <c r="AF836" s="79"/>
      <c r="AG836" s="79"/>
      <c r="AH836" s="79"/>
      <c r="AI836" s="79"/>
      <c r="AJ836" s="79"/>
      <c r="AK836" s="79"/>
    </row>
    <row r="837" spans="1:37" s="78" customFormat="1" ht="12" customHeight="1">
      <c r="A837" s="76"/>
      <c r="B837" s="76"/>
      <c r="C837" s="76"/>
      <c r="D837" s="76"/>
      <c r="E837" s="76"/>
      <c r="F837" s="77"/>
      <c r="G837" s="76"/>
      <c r="H837" s="76"/>
      <c r="I837" s="76"/>
      <c r="J837" s="76"/>
      <c r="K837" s="76"/>
      <c r="L837" s="76"/>
      <c r="M837" s="76"/>
      <c r="N837" s="76"/>
      <c r="O837" s="76"/>
      <c r="P837" s="76"/>
      <c r="Q837" s="76"/>
      <c r="R837" s="76"/>
      <c r="S837" s="76"/>
      <c r="T837" s="76"/>
      <c r="U837" s="76"/>
      <c r="V837" s="76"/>
      <c r="W837" s="76"/>
      <c r="X837" s="76"/>
      <c r="Y837" s="76"/>
      <c r="Z837" s="76"/>
      <c r="AA837" s="79"/>
      <c r="AB837" s="79"/>
      <c r="AC837" s="79"/>
      <c r="AD837" s="79"/>
      <c r="AE837" s="79"/>
      <c r="AF837" s="79"/>
      <c r="AG837" s="79"/>
      <c r="AH837" s="79"/>
      <c r="AI837" s="79"/>
      <c r="AJ837" s="79"/>
      <c r="AK837" s="79"/>
    </row>
    <row r="838" spans="1:37" s="78" customFormat="1" ht="12" customHeight="1">
      <c r="A838" s="76"/>
      <c r="B838" s="76"/>
      <c r="C838" s="76"/>
      <c r="D838" s="76"/>
      <c r="E838" s="76"/>
      <c r="F838" s="77"/>
      <c r="G838" s="76"/>
      <c r="H838" s="76"/>
      <c r="I838" s="76"/>
      <c r="J838" s="76"/>
      <c r="K838" s="76"/>
      <c r="L838" s="76"/>
      <c r="M838" s="76"/>
      <c r="N838" s="76"/>
      <c r="O838" s="76"/>
      <c r="P838" s="76"/>
      <c r="Q838" s="76"/>
      <c r="R838" s="76"/>
      <c r="S838" s="76"/>
      <c r="T838" s="76"/>
      <c r="U838" s="76"/>
      <c r="V838" s="76"/>
      <c r="W838" s="76"/>
      <c r="X838" s="76"/>
      <c r="Y838" s="76"/>
      <c r="Z838" s="76"/>
      <c r="AA838" s="79"/>
      <c r="AB838" s="79"/>
      <c r="AC838" s="79"/>
      <c r="AD838" s="79"/>
      <c r="AE838" s="79"/>
      <c r="AF838" s="79"/>
      <c r="AG838" s="79"/>
      <c r="AH838" s="79"/>
      <c r="AI838" s="79"/>
      <c r="AJ838" s="79"/>
      <c r="AK838" s="79"/>
    </row>
    <row r="839" spans="1:37" s="78" customFormat="1" ht="12" customHeight="1">
      <c r="A839" s="76"/>
      <c r="B839" s="76"/>
      <c r="C839" s="76"/>
      <c r="D839" s="76"/>
      <c r="E839" s="76"/>
      <c r="F839" s="77"/>
      <c r="G839" s="76"/>
      <c r="H839" s="76"/>
      <c r="I839" s="76"/>
      <c r="J839" s="76"/>
      <c r="K839" s="76"/>
      <c r="L839" s="76"/>
      <c r="M839" s="76"/>
      <c r="N839" s="76"/>
      <c r="O839" s="76"/>
      <c r="P839" s="76"/>
      <c r="Q839" s="76"/>
      <c r="R839" s="76"/>
      <c r="S839" s="76"/>
      <c r="T839" s="76"/>
      <c r="U839" s="76"/>
      <c r="V839" s="76"/>
      <c r="W839" s="76"/>
      <c r="X839" s="76"/>
      <c r="Y839" s="76"/>
      <c r="Z839" s="76"/>
      <c r="AA839" s="79"/>
      <c r="AB839" s="79"/>
      <c r="AC839" s="79"/>
      <c r="AD839" s="79"/>
      <c r="AE839" s="79"/>
      <c r="AF839" s="79"/>
      <c r="AG839" s="79"/>
      <c r="AH839" s="79"/>
      <c r="AI839" s="79"/>
      <c r="AJ839" s="79"/>
      <c r="AK839" s="79"/>
    </row>
    <row r="840" spans="1:37" s="78" customFormat="1" ht="12" customHeight="1">
      <c r="A840" s="76"/>
      <c r="B840" s="76"/>
      <c r="C840" s="76"/>
      <c r="D840" s="76"/>
      <c r="E840" s="76"/>
      <c r="F840" s="77"/>
      <c r="G840" s="76"/>
      <c r="H840" s="76"/>
      <c r="I840" s="76"/>
      <c r="J840" s="76"/>
      <c r="K840" s="76"/>
      <c r="L840" s="76"/>
      <c r="M840" s="76"/>
      <c r="N840" s="76"/>
      <c r="O840" s="76"/>
      <c r="P840" s="76"/>
      <c r="Q840" s="76"/>
      <c r="R840" s="76"/>
      <c r="S840" s="76"/>
      <c r="T840" s="76"/>
      <c r="U840" s="76"/>
      <c r="V840" s="76"/>
      <c r="W840" s="76"/>
      <c r="X840" s="76"/>
      <c r="Y840" s="76"/>
      <c r="Z840" s="76"/>
      <c r="AA840" s="79"/>
      <c r="AB840" s="79"/>
      <c r="AC840" s="79"/>
      <c r="AD840" s="79"/>
      <c r="AE840" s="79"/>
      <c r="AF840" s="79"/>
      <c r="AG840" s="79"/>
      <c r="AH840" s="79"/>
      <c r="AI840" s="79"/>
      <c r="AJ840" s="79"/>
      <c r="AK840" s="79"/>
    </row>
    <row r="841" spans="1:37" s="78" customFormat="1" ht="12" customHeight="1">
      <c r="A841" s="76"/>
      <c r="B841" s="76"/>
      <c r="C841" s="76"/>
      <c r="D841" s="76"/>
      <c r="E841" s="76"/>
      <c r="F841" s="77"/>
      <c r="G841" s="76"/>
      <c r="H841" s="76"/>
      <c r="I841" s="76"/>
      <c r="J841" s="76"/>
      <c r="K841" s="76"/>
      <c r="L841" s="76"/>
      <c r="M841" s="76"/>
      <c r="N841" s="76"/>
      <c r="O841" s="76"/>
      <c r="P841" s="76"/>
      <c r="Q841" s="76"/>
      <c r="R841" s="76"/>
      <c r="S841" s="76"/>
      <c r="T841" s="76"/>
      <c r="U841" s="76"/>
      <c r="V841" s="76"/>
      <c r="W841" s="76"/>
      <c r="X841" s="76"/>
      <c r="Y841" s="76"/>
      <c r="Z841" s="76"/>
      <c r="AA841" s="79"/>
      <c r="AB841" s="79"/>
      <c r="AC841" s="79"/>
      <c r="AD841" s="79"/>
      <c r="AE841" s="79"/>
      <c r="AF841" s="79"/>
      <c r="AG841" s="79"/>
      <c r="AH841" s="79"/>
      <c r="AI841" s="79"/>
      <c r="AJ841" s="79"/>
      <c r="AK841" s="79"/>
    </row>
    <row r="842" spans="1:37" s="78" customFormat="1" ht="12" customHeight="1">
      <c r="A842" s="76"/>
      <c r="B842" s="76"/>
      <c r="C842" s="76"/>
      <c r="D842" s="76"/>
      <c r="E842" s="76"/>
      <c r="F842" s="77"/>
      <c r="G842" s="76"/>
      <c r="H842" s="76"/>
      <c r="I842" s="76"/>
      <c r="J842" s="76"/>
      <c r="K842" s="76"/>
      <c r="L842" s="76"/>
      <c r="M842" s="76"/>
      <c r="N842" s="76"/>
      <c r="O842" s="76"/>
      <c r="P842" s="76"/>
      <c r="Q842" s="76"/>
      <c r="R842" s="76"/>
      <c r="S842" s="76"/>
      <c r="T842" s="76"/>
      <c r="U842" s="76"/>
      <c r="V842" s="76"/>
      <c r="W842" s="76"/>
      <c r="X842" s="76"/>
      <c r="Y842" s="76"/>
      <c r="Z842" s="76"/>
      <c r="AA842" s="79"/>
      <c r="AB842" s="79"/>
      <c r="AC842" s="79"/>
      <c r="AD842" s="79"/>
      <c r="AE842" s="79"/>
      <c r="AF842" s="79"/>
      <c r="AG842" s="79"/>
      <c r="AH842" s="79"/>
      <c r="AI842" s="79"/>
      <c r="AJ842" s="79"/>
      <c r="AK842" s="79"/>
    </row>
    <row r="843" spans="1:37" s="78" customFormat="1" ht="12" customHeight="1">
      <c r="A843" s="76"/>
      <c r="B843" s="76"/>
      <c r="C843" s="76"/>
      <c r="D843" s="76"/>
      <c r="E843" s="76"/>
      <c r="F843" s="77"/>
      <c r="G843" s="76"/>
      <c r="H843" s="76"/>
      <c r="I843" s="76"/>
      <c r="J843" s="76"/>
      <c r="K843" s="76"/>
      <c r="L843" s="76"/>
      <c r="M843" s="76"/>
      <c r="N843" s="76"/>
      <c r="O843" s="76"/>
      <c r="P843" s="76"/>
      <c r="Q843" s="76"/>
      <c r="R843" s="76"/>
      <c r="S843" s="76"/>
      <c r="T843" s="76"/>
      <c r="U843" s="76"/>
      <c r="V843" s="76"/>
      <c r="W843" s="76"/>
      <c r="X843" s="76"/>
      <c r="Y843" s="76"/>
      <c r="Z843" s="76"/>
      <c r="AA843" s="79"/>
      <c r="AB843" s="79"/>
      <c r="AC843" s="79"/>
      <c r="AD843" s="79"/>
      <c r="AE843" s="79"/>
      <c r="AF843" s="79"/>
      <c r="AG843" s="79"/>
      <c r="AH843" s="79"/>
      <c r="AI843" s="79"/>
      <c r="AJ843" s="79"/>
      <c r="AK843" s="79"/>
    </row>
    <row r="844" spans="1:37" s="78" customFormat="1" ht="12" customHeight="1">
      <c r="A844" s="76"/>
      <c r="B844" s="76"/>
      <c r="C844" s="76"/>
      <c r="D844" s="76"/>
      <c r="E844" s="76"/>
      <c r="F844" s="77"/>
      <c r="G844" s="76"/>
      <c r="H844" s="76"/>
      <c r="I844" s="76"/>
      <c r="J844" s="76"/>
      <c r="K844" s="76"/>
      <c r="L844" s="76"/>
      <c r="M844" s="76"/>
      <c r="N844" s="76"/>
      <c r="O844" s="76"/>
      <c r="P844" s="76"/>
      <c r="Q844" s="76"/>
      <c r="R844" s="76"/>
      <c r="S844" s="76"/>
      <c r="T844" s="76"/>
      <c r="U844" s="76"/>
      <c r="V844" s="76"/>
      <c r="W844" s="76"/>
      <c r="X844" s="76"/>
      <c r="Y844" s="76"/>
      <c r="Z844" s="76"/>
      <c r="AA844" s="79"/>
      <c r="AB844" s="79"/>
      <c r="AC844" s="79"/>
      <c r="AD844" s="79"/>
      <c r="AE844" s="79"/>
      <c r="AF844" s="79"/>
      <c r="AG844" s="79"/>
      <c r="AH844" s="79"/>
      <c r="AI844" s="79"/>
      <c r="AJ844" s="79"/>
      <c r="AK844" s="79"/>
    </row>
    <row r="845" spans="1:37" s="78" customFormat="1" ht="12" customHeight="1">
      <c r="A845" s="76"/>
      <c r="B845" s="76"/>
      <c r="C845" s="76"/>
      <c r="D845" s="76"/>
      <c r="E845" s="76"/>
      <c r="F845" s="77"/>
      <c r="G845" s="76"/>
      <c r="H845" s="76"/>
      <c r="I845" s="76"/>
      <c r="J845" s="76"/>
      <c r="K845" s="76"/>
      <c r="L845" s="76"/>
      <c r="M845" s="76"/>
      <c r="N845" s="76"/>
      <c r="O845" s="76"/>
      <c r="P845" s="76"/>
      <c r="Q845" s="76"/>
      <c r="R845" s="76"/>
      <c r="S845" s="76"/>
      <c r="T845" s="76"/>
      <c r="U845" s="76"/>
      <c r="V845" s="76"/>
      <c r="W845" s="76"/>
      <c r="X845" s="76"/>
      <c r="Y845" s="76"/>
      <c r="Z845" s="76"/>
      <c r="AA845" s="79"/>
      <c r="AB845" s="79"/>
      <c r="AC845" s="79"/>
      <c r="AD845" s="79"/>
      <c r="AE845" s="79"/>
      <c r="AF845" s="79"/>
      <c r="AG845" s="79"/>
      <c r="AH845" s="79"/>
      <c r="AI845" s="79"/>
      <c r="AJ845" s="79"/>
      <c r="AK845" s="79"/>
    </row>
    <row r="846" spans="1:37" s="78" customFormat="1" ht="12" customHeight="1">
      <c r="A846" s="76"/>
      <c r="B846" s="76"/>
      <c r="C846" s="76"/>
      <c r="D846" s="76"/>
      <c r="E846" s="76"/>
      <c r="F846" s="77"/>
      <c r="G846" s="76"/>
      <c r="H846" s="76"/>
      <c r="I846" s="76"/>
      <c r="J846" s="76"/>
      <c r="K846" s="76"/>
      <c r="L846" s="76"/>
      <c r="M846" s="76"/>
      <c r="N846" s="76"/>
      <c r="O846" s="76"/>
      <c r="P846" s="76"/>
      <c r="Q846" s="76"/>
      <c r="R846" s="76"/>
      <c r="S846" s="76"/>
      <c r="T846" s="76"/>
      <c r="U846" s="76"/>
      <c r="V846" s="76"/>
      <c r="W846" s="76"/>
      <c r="X846" s="76"/>
      <c r="Y846" s="76"/>
      <c r="Z846" s="76"/>
      <c r="AA846" s="79"/>
      <c r="AB846" s="79"/>
      <c r="AC846" s="79"/>
      <c r="AD846" s="79"/>
      <c r="AE846" s="79"/>
      <c r="AF846" s="79"/>
      <c r="AG846" s="79"/>
      <c r="AH846" s="79"/>
      <c r="AI846" s="79"/>
      <c r="AJ846" s="79"/>
      <c r="AK846" s="79"/>
    </row>
    <row r="847" spans="1:37" s="78" customFormat="1" ht="12" customHeight="1">
      <c r="A847" s="76"/>
      <c r="B847" s="76"/>
      <c r="C847" s="76"/>
      <c r="D847" s="76"/>
      <c r="E847" s="76"/>
      <c r="F847" s="77"/>
      <c r="G847" s="76"/>
      <c r="H847" s="76"/>
      <c r="I847" s="76"/>
      <c r="J847" s="76"/>
      <c r="K847" s="76"/>
      <c r="L847" s="76"/>
      <c r="M847" s="76"/>
      <c r="N847" s="76"/>
      <c r="O847" s="76"/>
      <c r="P847" s="76"/>
      <c r="Q847" s="76"/>
      <c r="R847" s="76"/>
      <c r="S847" s="76"/>
      <c r="T847" s="76"/>
      <c r="U847" s="76"/>
      <c r="V847" s="76"/>
      <c r="W847" s="76"/>
      <c r="X847" s="76"/>
      <c r="Y847" s="76"/>
      <c r="Z847" s="76"/>
      <c r="AA847" s="79"/>
      <c r="AB847" s="79"/>
      <c r="AC847" s="79"/>
      <c r="AD847" s="79"/>
      <c r="AE847" s="79"/>
      <c r="AF847" s="79"/>
      <c r="AG847" s="79"/>
      <c r="AH847" s="79"/>
      <c r="AI847" s="79"/>
      <c r="AJ847" s="79"/>
      <c r="AK847" s="79"/>
    </row>
    <row r="848" spans="1:37" s="78" customFormat="1" ht="12" customHeight="1">
      <c r="A848" s="76"/>
      <c r="B848" s="76"/>
      <c r="C848" s="76"/>
      <c r="D848" s="76"/>
      <c r="E848" s="76"/>
      <c r="F848" s="77"/>
      <c r="G848" s="76"/>
      <c r="H848" s="76"/>
      <c r="I848" s="76"/>
      <c r="J848" s="76"/>
      <c r="K848" s="76"/>
      <c r="L848" s="76"/>
      <c r="M848" s="76"/>
      <c r="N848" s="76"/>
      <c r="O848" s="76"/>
      <c r="P848" s="76"/>
      <c r="Q848" s="76"/>
      <c r="R848" s="76"/>
      <c r="S848" s="76"/>
      <c r="T848" s="76"/>
      <c r="U848" s="76"/>
      <c r="V848" s="76"/>
      <c r="W848" s="76"/>
      <c r="X848" s="76"/>
      <c r="Y848" s="76"/>
      <c r="Z848" s="76"/>
      <c r="AA848" s="79"/>
      <c r="AB848" s="79"/>
      <c r="AC848" s="79"/>
      <c r="AD848" s="79"/>
      <c r="AE848" s="79"/>
      <c r="AF848" s="79"/>
      <c r="AG848" s="79"/>
      <c r="AH848" s="79"/>
      <c r="AI848" s="79"/>
      <c r="AJ848" s="79"/>
      <c r="AK848" s="79"/>
    </row>
    <row r="849" spans="1:37" s="78" customFormat="1" ht="12" customHeight="1">
      <c r="A849" s="76"/>
      <c r="B849" s="76"/>
      <c r="C849" s="76"/>
      <c r="D849" s="76"/>
      <c r="E849" s="76"/>
      <c r="F849" s="77"/>
      <c r="G849" s="76"/>
      <c r="H849" s="76"/>
      <c r="I849" s="76"/>
      <c r="J849" s="76"/>
      <c r="K849" s="76"/>
      <c r="L849" s="76"/>
      <c r="M849" s="76"/>
      <c r="N849" s="76"/>
      <c r="O849" s="76"/>
      <c r="P849" s="76"/>
      <c r="Q849" s="76"/>
      <c r="R849" s="76"/>
      <c r="S849" s="76"/>
      <c r="T849" s="76"/>
      <c r="U849" s="76"/>
      <c r="V849" s="76"/>
      <c r="W849" s="76"/>
      <c r="X849" s="76"/>
      <c r="Y849" s="76"/>
      <c r="Z849" s="76"/>
      <c r="AA849" s="79"/>
      <c r="AB849" s="79"/>
      <c r="AC849" s="79"/>
      <c r="AD849" s="79"/>
      <c r="AE849" s="79"/>
      <c r="AF849" s="79"/>
      <c r="AG849" s="79"/>
      <c r="AH849" s="79"/>
      <c r="AI849" s="79"/>
      <c r="AJ849" s="79"/>
      <c r="AK849" s="79"/>
    </row>
    <row r="850" spans="1:37" s="78" customFormat="1" ht="12" customHeight="1">
      <c r="A850" s="76"/>
      <c r="B850" s="76"/>
      <c r="C850" s="76"/>
      <c r="D850" s="76"/>
      <c r="E850" s="76"/>
      <c r="F850" s="77"/>
      <c r="G850" s="76"/>
      <c r="H850" s="76"/>
      <c r="I850" s="76"/>
      <c r="J850" s="76"/>
      <c r="K850" s="76"/>
      <c r="L850" s="76"/>
      <c r="M850" s="76"/>
      <c r="N850" s="76"/>
      <c r="O850" s="76"/>
      <c r="P850" s="76"/>
      <c r="Q850" s="76"/>
      <c r="R850" s="76"/>
      <c r="S850" s="76"/>
      <c r="T850" s="76"/>
      <c r="U850" s="76"/>
      <c r="V850" s="76"/>
      <c r="W850" s="76"/>
      <c r="X850" s="76"/>
      <c r="Y850" s="76"/>
      <c r="Z850" s="76"/>
      <c r="AA850" s="79"/>
      <c r="AB850" s="79"/>
      <c r="AC850" s="79"/>
      <c r="AD850" s="79"/>
      <c r="AE850" s="79"/>
      <c r="AF850" s="79"/>
      <c r="AG850" s="79"/>
      <c r="AH850" s="79"/>
      <c r="AI850" s="79"/>
      <c r="AJ850" s="79"/>
      <c r="AK850" s="79"/>
    </row>
    <row r="851" spans="1:37" s="78" customFormat="1" ht="12" customHeight="1">
      <c r="A851" s="76"/>
      <c r="B851" s="76"/>
      <c r="C851" s="76"/>
      <c r="D851" s="76"/>
      <c r="E851" s="76"/>
      <c r="F851" s="77"/>
      <c r="G851" s="76"/>
      <c r="H851" s="76"/>
      <c r="I851" s="76"/>
      <c r="J851" s="76"/>
      <c r="K851" s="76"/>
      <c r="L851" s="76"/>
      <c r="M851" s="76"/>
      <c r="N851" s="76"/>
      <c r="O851" s="76"/>
      <c r="P851" s="76"/>
      <c r="Q851" s="76"/>
      <c r="R851" s="76"/>
      <c r="S851" s="76"/>
      <c r="T851" s="76"/>
      <c r="U851" s="76"/>
      <c r="V851" s="76"/>
      <c r="W851" s="76"/>
      <c r="X851" s="76"/>
      <c r="Y851" s="76"/>
      <c r="Z851" s="76"/>
      <c r="AA851" s="79"/>
      <c r="AB851" s="79"/>
      <c r="AC851" s="79"/>
      <c r="AD851" s="79"/>
      <c r="AE851" s="79"/>
      <c r="AF851" s="79"/>
      <c r="AG851" s="79"/>
      <c r="AH851" s="79"/>
      <c r="AI851" s="79"/>
      <c r="AJ851" s="79"/>
      <c r="AK851" s="79"/>
    </row>
    <row r="852" spans="1:37" s="78" customFormat="1" ht="12" customHeight="1">
      <c r="A852" s="76"/>
      <c r="B852" s="76"/>
      <c r="C852" s="76"/>
      <c r="D852" s="76"/>
      <c r="E852" s="76"/>
      <c r="F852" s="77"/>
      <c r="G852" s="76"/>
      <c r="H852" s="76"/>
      <c r="I852" s="76"/>
      <c r="J852" s="76"/>
      <c r="K852" s="76"/>
      <c r="L852" s="76"/>
      <c r="M852" s="76"/>
      <c r="N852" s="76"/>
      <c r="O852" s="76"/>
      <c r="P852" s="76"/>
      <c r="Q852" s="76"/>
      <c r="R852" s="76"/>
      <c r="S852" s="76"/>
      <c r="T852" s="76"/>
      <c r="U852" s="76"/>
      <c r="V852" s="76"/>
      <c r="W852" s="76"/>
      <c r="X852" s="76"/>
      <c r="Y852" s="76"/>
      <c r="Z852" s="76"/>
      <c r="AA852" s="79"/>
      <c r="AB852" s="79"/>
      <c r="AC852" s="79"/>
      <c r="AD852" s="79"/>
      <c r="AE852" s="79"/>
      <c r="AF852" s="79"/>
      <c r="AG852" s="79"/>
      <c r="AH852" s="79"/>
      <c r="AI852" s="79"/>
      <c r="AJ852" s="79"/>
      <c r="AK852" s="79"/>
    </row>
    <row r="853" spans="1:37" s="78" customFormat="1" ht="12" customHeight="1">
      <c r="A853" s="76"/>
      <c r="B853" s="76"/>
      <c r="C853" s="76"/>
      <c r="D853" s="76"/>
      <c r="E853" s="76"/>
      <c r="F853" s="77"/>
      <c r="G853" s="76"/>
      <c r="H853" s="76"/>
      <c r="I853" s="76"/>
      <c r="J853" s="76"/>
      <c r="K853" s="76"/>
      <c r="L853" s="76"/>
      <c r="M853" s="76"/>
      <c r="N853" s="76"/>
      <c r="O853" s="76"/>
      <c r="P853" s="76"/>
      <c r="Q853" s="76"/>
      <c r="R853" s="76"/>
      <c r="S853" s="76"/>
      <c r="T853" s="76"/>
      <c r="U853" s="76"/>
      <c r="V853" s="76"/>
      <c r="W853" s="76"/>
      <c r="X853" s="76"/>
      <c r="Y853" s="76"/>
      <c r="Z853" s="76"/>
      <c r="AA853" s="79"/>
      <c r="AB853" s="79"/>
      <c r="AC853" s="79"/>
      <c r="AD853" s="79"/>
      <c r="AE853" s="79"/>
      <c r="AF853" s="79"/>
      <c r="AG853" s="79"/>
      <c r="AH853" s="79"/>
      <c r="AI853" s="79"/>
      <c r="AJ853" s="79"/>
      <c r="AK853" s="79"/>
    </row>
    <row r="854" spans="1:37" s="78" customFormat="1" ht="12" customHeight="1">
      <c r="A854" s="76"/>
      <c r="B854" s="76"/>
      <c r="C854" s="76"/>
      <c r="D854" s="76"/>
      <c r="E854" s="76"/>
      <c r="F854" s="77"/>
      <c r="G854" s="76"/>
      <c r="H854" s="76"/>
      <c r="I854" s="76"/>
      <c r="J854" s="76"/>
      <c r="K854" s="76"/>
      <c r="L854" s="76"/>
      <c r="M854" s="76"/>
      <c r="N854" s="76"/>
      <c r="O854" s="76"/>
      <c r="P854" s="76"/>
      <c r="Q854" s="76"/>
      <c r="R854" s="76"/>
      <c r="S854" s="76"/>
      <c r="T854" s="76"/>
      <c r="U854" s="76"/>
      <c r="V854" s="76"/>
      <c r="W854" s="76"/>
      <c r="X854" s="76"/>
      <c r="Y854" s="76"/>
      <c r="Z854" s="76"/>
      <c r="AA854" s="79"/>
      <c r="AB854" s="79"/>
      <c r="AC854" s="79"/>
      <c r="AD854" s="79"/>
      <c r="AE854" s="79"/>
      <c r="AF854" s="79"/>
      <c r="AG854" s="79"/>
      <c r="AH854" s="79"/>
      <c r="AI854" s="79"/>
      <c r="AJ854" s="79"/>
      <c r="AK854" s="79"/>
    </row>
    <row r="855" spans="1:37" s="78" customFormat="1" ht="12" customHeight="1">
      <c r="A855" s="76"/>
      <c r="B855" s="76"/>
      <c r="C855" s="76"/>
      <c r="D855" s="76"/>
      <c r="E855" s="76"/>
      <c r="F855" s="77"/>
      <c r="G855" s="76"/>
      <c r="H855" s="76"/>
      <c r="I855" s="76"/>
      <c r="J855" s="76"/>
      <c r="K855" s="76"/>
      <c r="L855" s="76"/>
      <c r="M855" s="76"/>
      <c r="N855" s="76"/>
      <c r="O855" s="76"/>
      <c r="P855" s="76"/>
      <c r="Q855" s="76"/>
      <c r="R855" s="76"/>
      <c r="S855" s="76"/>
      <c r="T855" s="76"/>
      <c r="U855" s="76"/>
      <c r="V855" s="76"/>
      <c r="W855" s="76"/>
      <c r="X855" s="76"/>
      <c r="Y855" s="76"/>
      <c r="Z855" s="76"/>
      <c r="AA855" s="79"/>
      <c r="AB855" s="79"/>
      <c r="AC855" s="79"/>
      <c r="AD855" s="79"/>
      <c r="AE855" s="79"/>
      <c r="AF855" s="79"/>
      <c r="AG855" s="79"/>
      <c r="AH855" s="79"/>
      <c r="AI855" s="79"/>
      <c r="AJ855" s="79"/>
      <c r="AK855" s="79"/>
    </row>
    <row r="856" spans="1:37" s="78" customFormat="1" ht="12" customHeight="1">
      <c r="A856" s="76"/>
      <c r="B856" s="76"/>
      <c r="C856" s="76"/>
      <c r="D856" s="76"/>
      <c r="E856" s="76"/>
      <c r="F856" s="77"/>
      <c r="G856" s="76"/>
      <c r="H856" s="76"/>
      <c r="I856" s="76"/>
      <c r="J856" s="76"/>
      <c r="K856" s="76"/>
      <c r="L856" s="76"/>
      <c r="M856" s="76"/>
      <c r="N856" s="76"/>
      <c r="O856" s="76"/>
      <c r="P856" s="76"/>
      <c r="Q856" s="76"/>
      <c r="R856" s="76"/>
      <c r="S856" s="76"/>
      <c r="T856" s="76"/>
      <c r="U856" s="76"/>
      <c r="V856" s="76"/>
      <c r="W856" s="76"/>
      <c r="X856" s="76"/>
      <c r="Y856" s="76"/>
      <c r="Z856" s="76"/>
      <c r="AA856" s="79"/>
      <c r="AB856" s="79"/>
      <c r="AC856" s="79"/>
      <c r="AD856" s="79"/>
      <c r="AE856" s="79"/>
      <c r="AF856" s="79"/>
      <c r="AG856" s="79"/>
      <c r="AH856" s="79"/>
      <c r="AI856" s="79"/>
      <c r="AJ856" s="79"/>
      <c r="AK856" s="79"/>
    </row>
    <row r="857" spans="1:37" s="78" customFormat="1" ht="12" customHeight="1">
      <c r="A857" s="76"/>
      <c r="B857" s="76"/>
      <c r="C857" s="76"/>
      <c r="D857" s="76"/>
      <c r="E857" s="76"/>
      <c r="F857" s="77"/>
      <c r="G857" s="76"/>
      <c r="H857" s="76"/>
      <c r="I857" s="76"/>
      <c r="J857" s="76"/>
      <c r="K857" s="76"/>
      <c r="L857" s="76"/>
      <c r="M857" s="76"/>
      <c r="N857" s="76"/>
      <c r="O857" s="76"/>
      <c r="P857" s="76"/>
      <c r="Q857" s="76"/>
      <c r="R857" s="76"/>
      <c r="S857" s="76"/>
      <c r="T857" s="76"/>
      <c r="U857" s="76"/>
      <c r="V857" s="76"/>
      <c r="W857" s="76"/>
      <c r="X857" s="76"/>
      <c r="Y857" s="76"/>
      <c r="Z857" s="76"/>
      <c r="AA857" s="79"/>
      <c r="AB857" s="79"/>
      <c r="AC857" s="79"/>
      <c r="AD857" s="79"/>
      <c r="AE857" s="79"/>
      <c r="AF857" s="79"/>
      <c r="AG857" s="79"/>
      <c r="AH857" s="79"/>
      <c r="AI857" s="79"/>
      <c r="AJ857" s="79"/>
      <c r="AK857" s="79"/>
    </row>
    <row r="858" spans="1:37" s="78" customFormat="1" ht="12" customHeight="1">
      <c r="A858" s="76"/>
      <c r="B858" s="76"/>
      <c r="C858" s="76"/>
      <c r="D858" s="76"/>
      <c r="E858" s="76"/>
      <c r="F858" s="77"/>
      <c r="G858" s="76"/>
      <c r="H858" s="76"/>
      <c r="I858" s="76"/>
      <c r="J858" s="76"/>
      <c r="K858" s="76"/>
      <c r="L858" s="76"/>
      <c r="M858" s="76"/>
      <c r="N858" s="76"/>
      <c r="O858" s="76"/>
      <c r="P858" s="76"/>
      <c r="Q858" s="76"/>
      <c r="R858" s="76"/>
      <c r="S858" s="76"/>
      <c r="T858" s="76"/>
      <c r="U858" s="76"/>
      <c r="V858" s="76"/>
      <c r="W858" s="76"/>
      <c r="X858" s="76"/>
      <c r="Y858" s="76"/>
      <c r="Z858" s="76"/>
      <c r="AA858" s="79"/>
      <c r="AB858" s="79"/>
      <c r="AC858" s="79"/>
      <c r="AD858" s="79"/>
      <c r="AE858" s="79"/>
      <c r="AF858" s="79"/>
      <c r="AG858" s="79"/>
      <c r="AH858" s="79"/>
      <c r="AI858" s="79"/>
      <c r="AJ858" s="79"/>
      <c r="AK858" s="79"/>
    </row>
    <row r="859" spans="1:37" s="78" customFormat="1" ht="12" customHeight="1">
      <c r="A859" s="76"/>
      <c r="B859" s="76"/>
      <c r="C859" s="76"/>
      <c r="D859" s="76"/>
      <c r="E859" s="76"/>
      <c r="F859" s="77"/>
      <c r="G859" s="76"/>
      <c r="H859" s="76"/>
      <c r="I859" s="76"/>
      <c r="J859" s="76"/>
      <c r="K859" s="76"/>
      <c r="L859" s="76"/>
      <c r="M859" s="76"/>
      <c r="N859" s="76"/>
      <c r="O859" s="76"/>
      <c r="P859" s="76"/>
      <c r="Q859" s="76"/>
      <c r="R859" s="76"/>
      <c r="S859" s="76"/>
      <c r="T859" s="76"/>
      <c r="U859" s="76"/>
      <c r="V859" s="76"/>
      <c r="W859" s="76"/>
      <c r="X859" s="76"/>
      <c r="Y859" s="76"/>
      <c r="Z859" s="76"/>
      <c r="AA859" s="79"/>
      <c r="AB859" s="79"/>
      <c r="AC859" s="79"/>
      <c r="AD859" s="79"/>
      <c r="AE859" s="79"/>
      <c r="AF859" s="79"/>
      <c r="AG859" s="79"/>
      <c r="AH859" s="79"/>
      <c r="AI859" s="79"/>
      <c r="AJ859" s="79"/>
      <c r="AK859" s="79"/>
    </row>
    <row r="860" spans="1:37" s="78" customFormat="1" ht="12" customHeight="1">
      <c r="A860" s="76"/>
      <c r="B860" s="76"/>
      <c r="C860" s="76"/>
      <c r="D860" s="76"/>
      <c r="E860" s="76"/>
      <c r="F860" s="77"/>
      <c r="G860" s="76"/>
      <c r="H860" s="76"/>
      <c r="I860" s="76"/>
      <c r="J860" s="76"/>
      <c r="K860" s="76"/>
      <c r="L860" s="76"/>
      <c r="M860" s="76"/>
      <c r="N860" s="76"/>
      <c r="O860" s="76"/>
      <c r="P860" s="76"/>
      <c r="Q860" s="76"/>
      <c r="R860" s="76"/>
      <c r="S860" s="76"/>
      <c r="T860" s="76"/>
      <c r="U860" s="76"/>
      <c r="V860" s="76"/>
      <c r="W860" s="76"/>
      <c r="X860" s="76"/>
      <c r="Y860" s="76"/>
      <c r="Z860" s="76"/>
      <c r="AA860" s="79"/>
      <c r="AB860" s="79"/>
      <c r="AC860" s="79"/>
      <c r="AD860" s="79"/>
      <c r="AE860" s="79"/>
      <c r="AF860" s="79"/>
      <c r="AG860" s="79"/>
      <c r="AH860" s="79"/>
      <c r="AI860" s="79"/>
      <c r="AJ860" s="79"/>
      <c r="AK860" s="79"/>
    </row>
    <row r="861" spans="1:37" s="78" customFormat="1" ht="12" customHeight="1">
      <c r="A861" s="76"/>
      <c r="B861" s="76"/>
      <c r="C861" s="76"/>
      <c r="D861" s="76"/>
      <c r="E861" s="76"/>
      <c r="F861" s="77"/>
      <c r="G861" s="76"/>
      <c r="H861" s="76"/>
      <c r="I861" s="76"/>
      <c r="J861" s="76"/>
      <c r="K861" s="76"/>
      <c r="L861" s="76"/>
      <c r="M861" s="76"/>
      <c r="N861" s="76"/>
      <c r="O861" s="76"/>
      <c r="P861" s="76"/>
      <c r="Q861" s="76"/>
      <c r="R861" s="76"/>
      <c r="S861" s="76"/>
      <c r="T861" s="76"/>
      <c r="U861" s="76"/>
      <c r="V861" s="76"/>
      <c r="W861" s="76"/>
      <c r="X861" s="76"/>
      <c r="Y861" s="76"/>
      <c r="Z861" s="76"/>
      <c r="AA861" s="79"/>
      <c r="AB861" s="79"/>
      <c r="AC861" s="79"/>
      <c r="AD861" s="79"/>
      <c r="AE861" s="79"/>
      <c r="AF861" s="79"/>
      <c r="AG861" s="79"/>
      <c r="AH861" s="79"/>
      <c r="AI861" s="79"/>
      <c r="AJ861" s="79"/>
      <c r="AK861" s="79"/>
    </row>
    <row r="862" spans="1:37" s="78" customFormat="1" ht="12" customHeight="1">
      <c r="A862" s="76"/>
      <c r="B862" s="76"/>
      <c r="C862" s="76"/>
      <c r="D862" s="76"/>
      <c r="E862" s="76"/>
      <c r="F862" s="77"/>
      <c r="G862" s="76"/>
      <c r="H862" s="76"/>
      <c r="I862" s="76"/>
      <c r="J862" s="76"/>
      <c r="K862" s="76"/>
      <c r="L862" s="76"/>
      <c r="M862" s="76"/>
      <c r="N862" s="76"/>
      <c r="O862" s="76"/>
      <c r="P862" s="76"/>
      <c r="Q862" s="76"/>
      <c r="R862" s="76"/>
      <c r="S862" s="76"/>
      <c r="T862" s="76"/>
      <c r="U862" s="76"/>
      <c r="V862" s="76"/>
      <c r="W862" s="76"/>
      <c r="X862" s="76"/>
      <c r="Y862" s="76"/>
      <c r="Z862" s="76"/>
      <c r="AA862" s="79"/>
      <c r="AB862" s="79"/>
      <c r="AC862" s="79"/>
      <c r="AD862" s="79"/>
      <c r="AE862" s="79"/>
      <c r="AF862" s="79"/>
      <c r="AG862" s="79"/>
      <c r="AH862" s="79"/>
      <c r="AI862" s="79"/>
      <c r="AJ862" s="79"/>
      <c r="AK862" s="79"/>
    </row>
    <row r="863" spans="1:37" s="78" customFormat="1" ht="12" customHeight="1">
      <c r="A863" s="76"/>
      <c r="B863" s="76"/>
      <c r="C863" s="76"/>
      <c r="D863" s="76"/>
      <c r="E863" s="76"/>
      <c r="F863" s="77"/>
      <c r="G863" s="76"/>
      <c r="H863" s="76"/>
      <c r="I863" s="76"/>
      <c r="J863" s="76"/>
      <c r="K863" s="76"/>
      <c r="L863" s="76"/>
      <c r="M863" s="76"/>
      <c r="N863" s="76"/>
      <c r="O863" s="76"/>
      <c r="P863" s="76"/>
      <c r="Q863" s="76"/>
      <c r="R863" s="76"/>
      <c r="S863" s="76"/>
      <c r="T863" s="76"/>
      <c r="U863" s="76"/>
      <c r="V863" s="76"/>
      <c r="W863" s="76"/>
      <c r="X863" s="76"/>
      <c r="Y863" s="76"/>
      <c r="Z863" s="76"/>
      <c r="AA863" s="79"/>
      <c r="AB863" s="79"/>
      <c r="AC863" s="79"/>
      <c r="AD863" s="79"/>
      <c r="AE863" s="79"/>
      <c r="AF863" s="79"/>
      <c r="AG863" s="79"/>
      <c r="AH863" s="79"/>
      <c r="AI863" s="79"/>
      <c r="AJ863" s="79"/>
      <c r="AK863" s="79"/>
    </row>
    <row r="864" spans="1:37" s="78" customFormat="1" ht="12" customHeight="1">
      <c r="A864" s="76"/>
      <c r="B864" s="76"/>
      <c r="C864" s="76"/>
      <c r="D864" s="76"/>
      <c r="E864" s="76"/>
      <c r="F864" s="77"/>
      <c r="G864" s="76"/>
      <c r="H864" s="76"/>
      <c r="I864" s="76"/>
      <c r="J864" s="76"/>
      <c r="K864" s="76"/>
      <c r="L864" s="76"/>
      <c r="M864" s="76"/>
      <c r="N864" s="76"/>
      <c r="O864" s="76"/>
      <c r="P864" s="76"/>
      <c r="Q864" s="76"/>
      <c r="R864" s="76"/>
      <c r="S864" s="76"/>
      <c r="T864" s="76"/>
      <c r="U864" s="76"/>
      <c r="V864" s="76"/>
      <c r="W864" s="76"/>
      <c r="X864" s="76"/>
      <c r="Y864" s="76"/>
      <c r="Z864" s="76"/>
      <c r="AA864" s="79"/>
      <c r="AB864" s="79"/>
      <c r="AC864" s="79"/>
      <c r="AD864" s="79"/>
      <c r="AE864" s="79"/>
      <c r="AF864" s="79"/>
      <c r="AG864" s="79"/>
      <c r="AH864" s="79"/>
      <c r="AI864" s="79"/>
      <c r="AJ864" s="79"/>
      <c r="AK864" s="79"/>
    </row>
    <row r="865" spans="1:37" s="78" customFormat="1" ht="12" customHeight="1">
      <c r="A865" s="76"/>
      <c r="B865" s="76"/>
      <c r="C865" s="76"/>
      <c r="D865" s="76"/>
      <c r="E865" s="76"/>
      <c r="F865" s="77"/>
      <c r="G865" s="76"/>
      <c r="H865" s="76"/>
      <c r="I865" s="76"/>
      <c r="J865" s="76"/>
      <c r="K865" s="76"/>
      <c r="L865" s="76"/>
      <c r="M865" s="76"/>
      <c r="N865" s="76"/>
      <c r="O865" s="76"/>
      <c r="P865" s="76"/>
      <c r="Q865" s="76"/>
      <c r="R865" s="76"/>
      <c r="S865" s="76"/>
      <c r="T865" s="76"/>
      <c r="U865" s="76"/>
      <c r="V865" s="76"/>
      <c r="W865" s="76"/>
      <c r="X865" s="76"/>
      <c r="Y865" s="76"/>
      <c r="Z865" s="76"/>
      <c r="AA865" s="79"/>
      <c r="AB865" s="79"/>
      <c r="AC865" s="79"/>
      <c r="AD865" s="79"/>
      <c r="AE865" s="79"/>
      <c r="AF865" s="79"/>
      <c r="AG865" s="79"/>
      <c r="AH865" s="79"/>
      <c r="AI865" s="79"/>
      <c r="AJ865" s="79"/>
      <c r="AK865" s="79"/>
    </row>
    <row r="866" spans="1:37" s="78" customFormat="1" ht="12" customHeight="1">
      <c r="A866" s="76"/>
      <c r="B866" s="76"/>
      <c r="C866" s="76"/>
      <c r="D866" s="76"/>
      <c r="E866" s="76"/>
      <c r="F866" s="77"/>
      <c r="G866" s="76"/>
      <c r="H866" s="76"/>
      <c r="I866" s="76"/>
      <c r="J866" s="76"/>
      <c r="K866" s="76"/>
      <c r="L866" s="76"/>
      <c r="M866" s="76"/>
      <c r="N866" s="76"/>
      <c r="O866" s="76"/>
      <c r="P866" s="76"/>
      <c r="Q866" s="76"/>
      <c r="R866" s="76"/>
      <c r="S866" s="76"/>
      <c r="T866" s="76"/>
      <c r="U866" s="76"/>
      <c r="V866" s="76"/>
      <c r="W866" s="76"/>
      <c r="X866" s="76"/>
      <c r="Y866" s="76"/>
      <c r="Z866" s="76"/>
      <c r="AA866" s="79"/>
      <c r="AB866" s="79"/>
      <c r="AC866" s="79"/>
      <c r="AD866" s="79"/>
      <c r="AE866" s="79"/>
      <c r="AF866" s="79"/>
      <c r="AG866" s="79"/>
      <c r="AH866" s="79"/>
      <c r="AI866" s="79"/>
      <c r="AJ866" s="79"/>
      <c r="AK866" s="79"/>
    </row>
    <row r="867" spans="1:37" s="78" customFormat="1" ht="12" customHeight="1">
      <c r="A867" s="76"/>
      <c r="B867" s="76"/>
      <c r="C867" s="76"/>
      <c r="D867" s="76"/>
      <c r="E867" s="76"/>
      <c r="F867" s="77"/>
      <c r="G867" s="76"/>
      <c r="H867" s="76"/>
      <c r="I867" s="76"/>
      <c r="J867" s="76"/>
      <c r="K867" s="76"/>
      <c r="L867" s="76"/>
      <c r="M867" s="76"/>
      <c r="N867" s="76"/>
      <c r="O867" s="76"/>
      <c r="P867" s="76"/>
      <c r="Q867" s="76"/>
      <c r="R867" s="76"/>
      <c r="S867" s="76"/>
      <c r="T867" s="76"/>
      <c r="U867" s="76"/>
      <c r="V867" s="76"/>
      <c r="W867" s="76"/>
      <c r="X867" s="76"/>
      <c r="Y867" s="76"/>
      <c r="Z867" s="76"/>
      <c r="AA867" s="79"/>
      <c r="AB867" s="79"/>
      <c r="AC867" s="79"/>
      <c r="AD867" s="79"/>
      <c r="AE867" s="79"/>
      <c r="AF867" s="79"/>
      <c r="AG867" s="79"/>
      <c r="AH867" s="79"/>
      <c r="AI867" s="79"/>
      <c r="AJ867" s="79"/>
      <c r="AK867" s="79"/>
    </row>
    <row r="868" spans="1:37" s="78" customFormat="1" ht="12" customHeight="1">
      <c r="A868" s="76"/>
      <c r="B868" s="76"/>
      <c r="C868" s="76"/>
      <c r="D868" s="76"/>
      <c r="E868" s="76"/>
      <c r="F868" s="77"/>
      <c r="G868" s="76"/>
      <c r="H868" s="76"/>
      <c r="I868" s="76"/>
      <c r="J868" s="76"/>
      <c r="K868" s="76"/>
      <c r="L868" s="76"/>
      <c r="M868" s="76"/>
      <c r="N868" s="76"/>
      <c r="O868" s="76"/>
      <c r="P868" s="76"/>
      <c r="Q868" s="76"/>
      <c r="R868" s="76"/>
      <c r="S868" s="76"/>
      <c r="T868" s="76"/>
      <c r="U868" s="76"/>
      <c r="V868" s="76"/>
      <c r="W868" s="76"/>
      <c r="X868" s="76"/>
      <c r="Y868" s="76"/>
      <c r="Z868" s="76"/>
      <c r="AA868" s="79"/>
      <c r="AB868" s="79"/>
      <c r="AC868" s="79"/>
      <c r="AD868" s="79"/>
      <c r="AE868" s="79"/>
      <c r="AF868" s="79"/>
      <c r="AG868" s="79"/>
      <c r="AH868" s="79"/>
      <c r="AI868" s="79"/>
      <c r="AJ868" s="79"/>
      <c r="AK868" s="79"/>
    </row>
    <row r="869" spans="1:37" s="78" customFormat="1" ht="12" customHeight="1">
      <c r="A869" s="76"/>
      <c r="B869" s="76"/>
      <c r="C869" s="76"/>
      <c r="D869" s="76"/>
      <c r="E869" s="76"/>
      <c r="F869" s="77"/>
      <c r="G869" s="76"/>
      <c r="H869" s="76"/>
      <c r="I869" s="76"/>
      <c r="J869" s="76"/>
      <c r="K869" s="76"/>
      <c r="L869" s="76"/>
      <c r="M869" s="76"/>
      <c r="N869" s="76"/>
      <c r="O869" s="76"/>
      <c r="P869" s="76"/>
      <c r="Q869" s="76"/>
      <c r="R869" s="76"/>
      <c r="S869" s="76"/>
      <c r="T869" s="76"/>
      <c r="U869" s="76"/>
      <c r="V869" s="76"/>
      <c r="W869" s="76"/>
      <c r="X869" s="76"/>
      <c r="Y869" s="76"/>
      <c r="Z869" s="76"/>
      <c r="AA869" s="79"/>
      <c r="AB869" s="79"/>
      <c r="AC869" s="79"/>
      <c r="AD869" s="79"/>
      <c r="AE869" s="79"/>
      <c r="AF869" s="79"/>
      <c r="AG869" s="79"/>
      <c r="AH869" s="79"/>
      <c r="AI869" s="79"/>
      <c r="AJ869" s="79"/>
      <c r="AK869" s="79"/>
    </row>
    <row r="870" spans="1:37" s="78" customFormat="1" ht="12" customHeight="1">
      <c r="A870" s="76"/>
      <c r="B870" s="76"/>
      <c r="C870" s="76"/>
      <c r="D870" s="76"/>
      <c r="E870" s="76"/>
      <c r="F870" s="77"/>
      <c r="G870" s="76"/>
      <c r="H870" s="76"/>
      <c r="I870" s="76"/>
      <c r="J870" s="76"/>
      <c r="K870" s="76"/>
      <c r="L870" s="76"/>
      <c r="M870" s="76"/>
      <c r="N870" s="76"/>
      <c r="O870" s="76"/>
      <c r="P870" s="76"/>
      <c r="Q870" s="76"/>
      <c r="R870" s="76"/>
      <c r="S870" s="76"/>
      <c r="T870" s="76"/>
      <c r="U870" s="76"/>
      <c r="V870" s="76"/>
      <c r="W870" s="76"/>
      <c r="X870" s="76"/>
      <c r="Y870" s="76"/>
      <c r="Z870" s="76"/>
      <c r="AA870" s="79"/>
      <c r="AB870" s="79"/>
      <c r="AC870" s="79"/>
      <c r="AD870" s="79"/>
      <c r="AE870" s="79"/>
      <c r="AF870" s="79"/>
      <c r="AG870" s="79"/>
      <c r="AH870" s="79"/>
      <c r="AI870" s="79"/>
      <c r="AJ870" s="79"/>
      <c r="AK870" s="79"/>
    </row>
    <row r="871" spans="1:37" s="78" customFormat="1" ht="12" customHeight="1">
      <c r="A871" s="76"/>
      <c r="B871" s="76"/>
      <c r="C871" s="76"/>
      <c r="D871" s="76"/>
      <c r="E871" s="76"/>
      <c r="F871" s="77"/>
      <c r="G871" s="76"/>
      <c r="H871" s="76"/>
      <c r="I871" s="76"/>
      <c r="J871" s="76"/>
      <c r="K871" s="76"/>
      <c r="L871" s="76"/>
      <c r="M871" s="76"/>
      <c r="N871" s="76"/>
      <c r="O871" s="76"/>
      <c r="P871" s="76"/>
      <c r="Q871" s="76"/>
      <c r="R871" s="76"/>
      <c r="S871" s="76"/>
      <c r="T871" s="76"/>
      <c r="U871" s="76"/>
      <c r="V871" s="76"/>
      <c r="W871" s="76"/>
      <c r="X871" s="76"/>
      <c r="Y871" s="76"/>
      <c r="Z871" s="76"/>
      <c r="AA871" s="79"/>
      <c r="AB871" s="79"/>
      <c r="AC871" s="79"/>
      <c r="AD871" s="79"/>
      <c r="AE871" s="79"/>
      <c r="AF871" s="79"/>
      <c r="AG871" s="79"/>
      <c r="AH871" s="79"/>
      <c r="AI871" s="79"/>
      <c r="AJ871" s="79"/>
      <c r="AK871" s="79"/>
    </row>
    <row r="872" spans="1:37" s="78" customFormat="1" ht="12" customHeight="1">
      <c r="A872" s="76"/>
      <c r="B872" s="76"/>
      <c r="C872" s="76"/>
      <c r="D872" s="76"/>
      <c r="E872" s="76"/>
      <c r="F872" s="77"/>
      <c r="G872" s="76"/>
      <c r="H872" s="76"/>
      <c r="I872" s="76"/>
      <c r="J872" s="76"/>
      <c r="K872" s="76"/>
      <c r="L872" s="76"/>
      <c r="M872" s="76"/>
      <c r="N872" s="76"/>
      <c r="O872" s="76"/>
      <c r="P872" s="76"/>
      <c r="Q872" s="76"/>
      <c r="R872" s="76"/>
      <c r="S872" s="76"/>
      <c r="T872" s="76"/>
      <c r="U872" s="76"/>
      <c r="V872" s="76"/>
      <c r="W872" s="76"/>
      <c r="X872" s="76"/>
      <c r="Y872" s="76"/>
      <c r="Z872" s="76"/>
      <c r="AA872" s="79"/>
      <c r="AB872" s="79"/>
      <c r="AC872" s="79"/>
      <c r="AD872" s="79"/>
      <c r="AE872" s="79"/>
      <c r="AF872" s="79"/>
      <c r="AG872" s="79"/>
      <c r="AH872" s="79"/>
      <c r="AI872" s="79"/>
      <c r="AJ872" s="79"/>
      <c r="AK872" s="79"/>
    </row>
    <row r="873" spans="1:37" s="78" customFormat="1" ht="12" customHeight="1">
      <c r="A873" s="76"/>
      <c r="B873" s="76"/>
      <c r="C873" s="76"/>
      <c r="D873" s="76"/>
      <c r="E873" s="76"/>
      <c r="F873" s="77"/>
      <c r="G873" s="76"/>
      <c r="H873" s="76"/>
      <c r="I873" s="76"/>
      <c r="J873" s="76"/>
      <c r="K873" s="76"/>
      <c r="L873" s="76"/>
      <c r="M873" s="76"/>
      <c r="N873" s="76"/>
      <c r="O873" s="76"/>
      <c r="P873" s="76"/>
      <c r="Q873" s="76"/>
      <c r="R873" s="76"/>
      <c r="S873" s="76"/>
      <c r="T873" s="76"/>
      <c r="U873" s="76"/>
      <c r="V873" s="76"/>
      <c r="W873" s="76"/>
      <c r="X873" s="76"/>
      <c r="Y873" s="76"/>
      <c r="Z873" s="76"/>
      <c r="AA873" s="79"/>
      <c r="AB873" s="79"/>
      <c r="AC873" s="79"/>
      <c r="AD873" s="79"/>
      <c r="AE873" s="79"/>
      <c r="AF873" s="79"/>
      <c r="AG873" s="79"/>
      <c r="AH873" s="79"/>
      <c r="AI873" s="79"/>
      <c r="AJ873" s="79"/>
      <c r="AK873" s="79"/>
    </row>
    <row r="874" spans="1:37" s="78" customFormat="1" ht="12" customHeight="1">
      <c r="A874" s="76"/>
      <c r="B874" s="76"/>
      <c r="C874" s="76"/>
      <c r="D874" s="76"/>
      <c r="E874" s="76"/>
      <c r="F874" s="77"/>
      <c r="G874" s="76"/>
      <c r="H874" s="76"/>
      <c r="I874" s="76"/>
      <c r="J874" s="76"/>
      <c r="K874" s="76"/>
      <c r="L874" s="76"/>
      <c r="M874" s="76"/>
      <c r="N874" s="76"/>
      <c r="O874" s="76"/>
      <c r="P874" s="76"/>
      <c r="Q874" s="76"/>
      <c r="R874" s="76"/>
      <c r="S874" s="76"/>
      <c r="T874" s="76"/>
      <c r="U874" s="76"/>
      <c r="V874" s="76"/>
      <c r="W874" s="76"/>
      <c r="X874" s="76"/>
      <c r="Y874" s="76"/>
      <c r="Z874" s="76"/>
      <c r="AA874" s="79"/>
      <c r="AB874" s="79"/>
      <c r="AC874" s="79"/>
      <c r="AD874" s="79"/>
      <c r="AE874" s="79"/>
      <c r="AF874" s="79"/>
      <c r="AG874" s="79"/>
      <c r="AH874" s="79"/>
      <c r="AI874" s="79"/>
      <c r="AJ874" s="79"/>
      <c r="AK874" s="79"/>
    </row>
    <row r="875" spans="1:37" s="78" customFormat="1" ht="12" customHeight="1">
      <c r="A875" s="76"/>
      <c r="B875" s="76"/>
      <c r="C875" s="76"/>
      <c r="D875" s="76"/>
      <c r="E875" s="76"/>
      <c r="F875" s="77"/>
      <c r="G875" s="76"/>
      <c r="H875" s="76"/>
      <c r="I875" s="76"/>
      <c r="J875" s="76"/>
      <c r="K875" s="76"/>
      <c r="L875" s="76"/>
      <c r="M875" s="76"/>
      <c r="N875" s="76"/>
      <c r="O875" s="76"/>
      <c r="P875" s="76"/>
      <c r="Q875" s="76"/>
      <c r="R875" s="76"/>
      <c r="S875" s="76"/>
      <c r="T875" s="76"/>
      <c r="U875" s="76"/>
      <c r="V875" s="76"/>
      <c r="W875" s="76"/>
      <c r="X875" s="76"/>
      <c r="Y875" s="76"/>
      <c r="Z875" s="76"/>
      <c r="AA875" s="79"/>
      <c r="AB875" s="79"/>
      <c r="AC875" s="79"/>
      <c r="AD875" s="79"/>
      <c r="AE875" s="79"/>
      <c r="AF875" s="79"/>
      <c r="AG875" s="79"/>
      <c r="AH875" s="79"/>
      <c r="AI875" s="79"/>
      <c r="AJ875" s="79"/>
      <c r="AK875" s="79"/>
    </row>
    <row r="876" spans="1:37" s="78" customFormat="1" ht="12" customHeight="1">
      <c r="A876" s="76"/>
      <c r="B876" s="76"/>
      <c r="C876" s="76"/>
      <c r="D876" s="76"/>
      <c r="E876" s="76"/>
      <c r="F876" s="77"/>
      <c r="G876" s="76"/>
      <c r="H876" s="76"/>
      <c r="I876" s="76"/>
      <c r="J876" s="76"/>
      <c r="K876" s="76"/>
      <c r="L876" s="76"/>
      <c r="M876" s="76"/>
      <c r="N876" s="76"/>
      <c r="O876" s="76"/>
      <c r="P876" s="76"/>
      <c r="Q876" s="76"/>
      <c r="R876" s="76"/>
      <c r="S876" s="76"/>
      <c r="T876" s="76"/>
      <c r="U876" s="76"/>
      <c r="V876" s="76"/>
      <c r="W876" s="76"/>
      <c r="X876" s="76"/>
      <c r="Y876" s="76"/>
      <c r="Z876" s="76"/>
      <c r="AA876" s="79"/>
      <c r="AB876" s="79"/>
      <c r="AC876" s="79"/>
      <c r="AD876" s="79"/>
      <c r="AE876" s="79"/>
      <c r="AF876" s="79"/>
      <c r="AG876" s="79"/>
      <c r="AH876" s="79"/>
      <c r="AI876" s="79"/>
      <c r="AJ876" s="79"/>
      <c r="AK876" s="79"/>
    </row>
    <row r="877" spans="1:37" s="78" customFormat="1" ht="12" customHeight="1">
      <c r="A877" s="76"/>
      <c r="B877" s="76"/>
      <c r="C877" s="76"/>
      <c r="D877" s="76"/>
      <c r="E877" s="76"/>
      <c r="F877" s="77"/>
      <c r="G877" s="76"/>
      <c r="H877" s="76"/>
      <c r="I877" s="76"/>
      <c r="J877" s="76"/>
      <c r="K877" s="76"/>
      <c r="L877" s="76"/>
      <c r="M877" s="76"/>
      <c r="N877" s="76"/>
      <c r="O877" s="76"/>
      <c r="P877" s="76"/>
      <c r="Q877" s="76"/>
      <c r="R877" s="76"/>
      <c r="S877" s="76"/>
      <c r="T877" s="76"/>
      <c r="U877" s="76"/>
      <c r="V877" s="76"/>
      <c r="W877" s="76"/>
      <c r="X877" s="76"/>
      <c r="Y877" s="76"/>
      <c r="Z877" s="76"/>
      <c r="AA877" s="79"/>
      <c r="AB877" s="79"/>
      <c r="AC877" s="79"/>
      <c r="AD877" s="79"/>
      <c r="AE877" s="79"/>
      <c r="AF877" s="79"/>
      <c r="AG877" s="79"/>
      <c r="AH877" s="79"/>
      <c r="AI877" s="79"/>
      <c r="AJ877" s="79"/>
      <c r="AK877" s="79"/>
    </row>
    <row r="878" spans="1:37" s="78" customFormat="1" ht="12" customHeight="1">
      <c r="A878" s="76"/>
      <c r="B878" s="76"/>
      <c r="C878" s="76"/>
      <c r="D878" s="76"/>
      <c r="E878" s="76"/>
      <c r="F878" s="77"/>
      <c r="G878" s="76"/>
      <c r="H878" s="76"/>
      <c r="I878" s="76"/>
      <c r="J878" s="76"/>
      <c r="K878" s="76"/>
      <c r="L878" s="76"/>
      <c r="M878" s="76"/>
      <c r="N878" s="76"/>
      <c r="O878" s="76"/>
      <c r="P878" s="76"/>
      <c r="Q878" s="76"/>
      <c r="R878" s="76"/>
      <c r="S878" s="76"/>
      <c r="T878" s="76"/>
      <c r="U878" s="76"/>
      <c r="V878" s="76"/>
      <c r="W878" s="76"/>
      <c r="X878" s="76"/>
      <c r="Y878" s="76"/>
      <c r="Z878" s="76"/>
      <c r="AA878" s="79"/>
      <c r="AB878" s="79"/>
      <c r="AC878" s="79"/>
      <c r="AD878" s="79"/>
      <c r="AE878" s="79"/>
      <c r="AF878" s="79"/>
      <c r="AG878" s="79"/>
      <c r="AH878" s="79"/>
      <c r="AI878" s="79"/>
      <c r="AJ878" s="79"/>
      <c r="AK878" s="79"/>
    </row>
    <row r="879" spans="1:37" s="78" customFormat="1" ht="12" customHeight="1">
      <c r="A879" s="76"/>
      <c r="B879" s="76"/>
      <c r="C879" s="76"/>
      <c r="D879" s="76"/>
      <c r="E879" s="76"/>
      <c r="F879" s="77"/>
      <c r="G879" s="76"/>
      <c r="H879" s="76"/>
      <c r="I879" s="76"/>
      <c r="J879" s="76"/>
      <c r="K879" s="76"/>
      <c r="L879" s="76"/>
      <c r="M879" s="76"/>
      <c r="N879" s="76"/>
      <c r="O879" s="76"/>
      <c r="P879" s="76"/>
      <c r="Q879" s="76"/>
      <c r="R879" s="76"/>
      <c r="S879" s="76"/>
      <c r="T879" s="76"/>
      <c r="U879" s="76"/>
      <c r="V879" s="76"/>
      <c r="W879" s="76"/>
      <c r="X879" s="76"/>
      <c r="Y879" s="76"/>
      <c r="Z879" s="76"/>
      <c r="AA879" s="79"/>
      <c r="AB879" s="79"/>
      <c r="AC879" s="79"/>
      <c r="AD879" s="79"/>
      <c r="AE879" s="79"/>
      <c r="AF879" s="79"/>
      <c r="AG879" s="79"/>
      <c r="AH879" s="79"/>
      <c r="AI879" s="79"/>
      <c r="AJ879" s="79"/>
      <c r="AK879" s="79"/>
    </row>
    <row r="880" spans="1:37" s="78" customFormat="1" ht="12" customHeight="1">
      <c r="A880" s="76"/>
      <c r="B880" s="76"/>
      <c r="C880" s="76"/>
      <c r="D880" s="76"/>
      <c r="E880" s="76"/>
      <c r="F880" s="77"/>
      <c r="G880" s="76"/>
      <c r="H880" s="76"/>
      <c r="I880" s="76"/>
      <c r="J880" s="76"/>
      <c r="K880" s="76"/>
      <c r="L880" s="76"/>
      <c r="M880" s="76"/>
      <c r="N880" s="76"/>
      <c r="O880" s="76"/>
      <c r="P880" s="76"/>
      <c r="Q880" s="76"/>
      <c r="R880" s="76"/>
      <c r="S880" s="76"/>
      <c r="T880" s="76"/>
      <c r="U880" s="76"/>
      <c r="V880" s="76"/>
      <c r="W880" s="76"/>
      <c r="X880" s="76"/>
      <c r="Y880" s="76"/>
      <c r="Z880" s="76"/>
      <c r="AA880" s="79"/>
      <c r="AB880" s="79"/>
      <c r="AC880" s="79"/>
      <c r="AD880" s="79"/>
      <c r="AE880" s="79"/>
      <c r="AF880" s="79"/>
      <c r="AG880" s="79"/>
      <c r="AH880" s="79"/>
      <c r="AI880" s="79"/>
      <c r="AJ880" s="79"/>
      <c r="AK880" s="79"/>
    </row>
    <row r="881" spans="1:37" s="78" customFormat="1" ht="12" customHeight="1">
      <c r="A881" s="76"/>
      <c r="B881" s="76"/>
      <c r="C881" s="76"/>
      <c r="D881" s="76"/>
      <c r="E881" s="76"/>
      <c r="F881" s="77"/>
      <c r="G881" s="76"/>
      <c r="H881" s="76"/>
      <c r="I881" s="76"/>
      <c r="J881" s="76"/>
      <c r="K881" s="76"/>
      <c r="L881" s="76"/>
      <c r="M881" s="76"/>
      <c r="N881" s="76"/>
      <c r="O881" s="76"/>
      <c r="P881" s="76"/>
      <c r="Q881" s="76"/>
      <c r="R881" s="76"/>
      <c r="S881" s="76"/>
      <c r="T881" s="76"/>
      <c r="U881" s="76"/>
      <c r="V881" s="76"/>
      <c r="W881" s="76"/>
      <c r="X881" s="76"/>
      <c r="Y881" s="76"/>
      <c r="Z881" s="76"/>
      <c r="AA881" s="79"/>
      <c r="AB881" s="79"/>
      <c r="AC881" s="79"/>
      <c r="AD881" s="79"/>
      <c r="AE881" s="79"/>
      <c r="AF881" s="79"/>
      <c r="AG881" s="79"/>
      <c r="AH881" s="79"/>
      <c r="AI881" s="79"/>
      <c r="AJ881" s="79"/>
      <c r="AK881" s="79"/>
    </row>
    <row r="882" spans="1:37" s="78" customFormat="1" ht="12" customHeight="1">
      <c r="A882" s="76"/>
      <c r="B882" s="76"/>
      <c r="C882" s="76"/>
      <c r="D882" s="76"/>
      <c r="E882" s="76"/>
      <c r="F882" s="77"/>
      <c r="G882" s="76"/>
      <c r="H882" s="76"/>
      <c r="I882" s="76"/>
      <c r="J882" s="76"/>
      <c r="K882" s="76"/>
      <c r="L882" s="76"/>
      <c r="M882" s="76"/>
      <c r="N882" s="76"/>
      <c r="O882" s="76"/>
      <c r="P882" s="76"/>
      <c r="Q882" s="76"/>
      <c r="R882" s="76"/>
      <c r="S882" s="76"/>
      <c r="T882" s="76"/>
      <c r="U882" s="76"/>
      <c r="V882" s="76"/>
      <c r="W882" s="76"/>
      <c r="X882" s="76"/>
      <c r="Y882" s="76"/>
      <c r="Z882" s="76"/>
      <c r="AA882" s="79"/>
      <c r="AB882" s="79"/>
      <c r="AC882" s="79"/>
      <c r="AD882" s="79"/>
      <c r="AE882" s="79"/>
      <c r="AF882" s="79"/>
      <c r="AG882" s="79"/>
      <c r="AH882" s="79"/>
      <c r="AI882" s="79"/>
      <c r="AJ882" s="79"/>
      <c r="AK882" s="79"/>
    </row>
    <row r="883" spans="1:37" s="78" customFormat="1" ht="12" customHeight="1">
      <c r="A883" s="76"/>
      <c r="B883" s="76"/>
      <c r="C883" s="76"/>
      <c r="D883" s="76"/>
      <c r="E883" s="76"/>
      <c r="F883" s="77"/>
      <c r="G883" s="76"/>
      <c r="H883" s="76"/>
      <c r="I883" s="76"/>
      <c r="J883" s="76"/>
      <c r="K883" s="76"/>
      <c r="L883" s="76"/>
      <c r="M883" s="76"/>
      <c r="N883" s="76"/>
      <c r="O883" s="76"/>
      <c r="P883" s="76"/>
      <c r="Q883" s="76"/>
      <c r="R883" s="76"/>
      <c r="S883" s="76"/>
      <c r="T883" s="76"/>
      <c r="U883" s="76"/>
      <c r="V883" s="76"/>
      <c r="W883" s="76"/>
      <c r="X883" s="76"/>
      <c r="Y883" s="76"/>
      <c r="Z883" s="76"/>
      <c r="AA883" s="79"/>
      <c r="AB883" s="79"/>
      <c r="AC883" s="79"/>
      <c r="AD883" s="79"/>
      <c r="AE883" s="79"/>
      <c r="AF883" s="79"/>
      <c r="AG883" s="79"/>
      <c r="AH883" s="79"/>
      <c r="AI883" s="79"/>
      <c r="AJ883" s="79"/>
      <c r="AK883" s="79"/>
    </row>
    <row r="884" spans="1:37" s="78" customFormat="1" ht="12" customHeight="1">
      <c r="A884" s="76"/>
      <c r="B884" s="76"/>
      <c r="C884" s="76"/>
      <c r="D884" s="76"/>
      <c r="E884" s="76"/>
      <c r="F884" s="77"/>
      <c r="G884" s="76"/>
      <c r="H884" s="76"/>
      <c r="I884" s="76"/>
      <c r="J884" s="76"/>
      <c r="K884" s="76"/>
      <c r="L884" s="76"/>
      <c r="M884" s="76"/>
      <c r="N884" s="76"/>
      <c r="O884" s="76"/>
      <c r="P884" s="76"/>
      <c r="Q884" s="76"/>
      <c r="R884" s="76"/>
      <c r="S884" s="76"/>
      <c r="T884" s="76"/>
      <c r="U884" s="76"/>
      <c r="V884" s="76"/>
      <c r="W884" s="76"/>
      <c r="X884" s="76"/>
      <c r="Y884" s="76"/>
      <c r="Z884" s="76"/>
      <c r="AA884" s="79"/>
      <c r="AB884" s="79"/>
      <c r="AC884" s="79"/>
      <c r="AD884" s="79"/>
      <c r="AE884" s="79"/>
      <c r="AF884" s="79"/>
      <c r="AG884" s="79"/>
      <c r="AH884" s="79"/>
      <c r="AI884" s="79"/>
      <c r="AJ884" s="79"/>
      <c r="AK884" s="79"/>
    </row>
    <row r="885" spans="1:37" s="78" customFormat="1" ht="12" customHeight="1">
      <c r="A885" s="76"/>
      <c r="B885" s="76"/>
      <c r="C885" s="76"/>
      <c r="D885" s="76"/>
      <c r="E885" s="76"/>
      <c r="F885" s="77"/>
      <c r="G885" s="76"/>
      <c r="H885" s="76"/>
      <c r="I885" s="76"/>
      <c r="J885" s="76"/>
      <c r="K885" s="76"/>
      <c r="L885" s="76"/>
      <c r="M885" s="76"/>
      <c r="N885" s="76"/>
      <c r="O885" s="76"/>
      <c r="P885" s="76"/>
      <c r="Q885" s="76"/>
      <c r="R885" s="76"/>
      <c r="S885" s="76"/>
      <c r="T885" s="76"/>
      <c r="U885" s="76"/>
      <c r="V885" s="76"/>
      <c r="W885" s="76"/>
      <c r="X885" s="76"/>
      <c r="Y885" s="76"/>
      <c r="Z885" s="76"/>
      <c r="AA885" s="79"/>
      <c r="AB885" s="79"/>
      <c r="AC885" s="79"/>
      <c r="AD885" s="79"/>
      <c r="AE885" s="79"/>
      <c r="AF885" s="79"/>
      <c r="AG885" s="79"/>
      <c r="AH885" s="79"/>
      <c r="AI885" s="79"/>
      <c r="AJ885" s="79"/>
      <c r="AK885" s="79"/>
    </row>
    <row r="886" spans="1:37" s="78" customFormat="1" ht="12" customHeight="1">
      <c r="A886" s="76"/>
      <c r="B886" s="76"/>
      <c r="C886" s="76"/>
      <c r="D886" s="76"/>
      <c r="E886" s="76"/>
      <c r="F886" s="77"/>
      <c r="G886" s="76"/>
      <c r="H886" s="76"/>
      <c r="I886" s="76"/>
      <c r="J886" s="76"/>
      <c r="K886" s="76"/>
      <c r="L886" s="76"/>
      <c r="M886" s="76"/>
      <c r="N886" s="76"/>
      <c r="O886" s="76"/>
      <c r="P886" s="76"/>
      <c r="Q886" s="76"/>
      <c r="R886" s="76"/>
      <c r="S886" s="76"/>
      <c r="T886" s="76"/>
      <c r="U886" s="76"/>
      <c r="V886" s="76"/>
      <c r="W886" s="76"/>
      <c r="X886" s="76"/>
      <c r="Y886" s="76"/>
      <c r="Z886" s="76"/>
      <c r="AA886" s="79"/>
      <c r="AB886" s="79"/>
      <c r="AC886" s="79"/>
      <c r="AD886" s="79"/>
      <c r="AE886" s="79"/>
      <c r="AF886" s="79"/>
      <c r="AG886" s="79"/>
      <c r="AH886" s="79"/>
      <c r="AI886" s="79"/>
      <c r="AJ886" s="79"/>
      <c r="AK886" s="79"/>
    </row>
    <row r="887" spans="1:37" s="78" customFormat="1" ht="12" customHeight="1">
      <c r="A887" s="76"/>
      <c r="B887" s="76"/>
      <c r="C887" s="76"/>
      <c r="D887" s="76"/>
      <c r="E887" s="76"/>
      <c r="F887" s="77"/>
      <c r="G887" s="76"/>
      <c r="H887" s="76"/>
      <c r="I887" s="76"/>
      <c r="J887" s="76"/>
      <c r="K887" s="76"/>
      <c r="L887" s="76"/>
      <c r="M887" s="76"/>
      <c r="N887" s="76"/>
      <c r="O887" s="76"/>
      <c r="P887" s="76"/>
      <c r="Q887" s="76"/>
      <c r="R887" s="76"/>
      <c r="S887" s="76"/>
      <c r="T887" s="76"/>
      <c r="U887" s="76"/>
      <c r="V887" s="76"/>
      <c r="W887" s="76"/>
      <c r="X887" s="76"/>
      <c r="Y887" s="76"/>
      <c r="Z887" s="76"/>
      <c r="AA887" s="79"/>
      <c r="AB887" s="79"/>
      <c r="AC887" s="79"/>
      <c r="AD887" s="79"/>
      <c r="AE887" s="79"/>
      <c r="AF887" s="79"/>
      <c r="AG887" s="79"/>
      <c r="AH887" s="79"/>
      <c r="AI887" s="79"/>
      <c r="AJ887" s="79"/>
      <c r="AK887" s="79"/>
    </row>
    <row r="888" spans="1:37" s="78" customFormat="1" ht="12" customHeight="1">
      <c r="A888" s="76"/>
      <c r="B888" s="76"/>
      <c r="C888" s="76"/>
      <c r="D888" s="76"/>
      <c r="E888" s="76"/>
      <c r="F888" s="77"/>
      <c r="G888" s="76"/>
      <c r="H888" s="76"/>
      <c r="I888" s="76"/>
      <c r="J888" s="76"/>
      <c r="K888" s="76"/>
      <c r="L888" s="76"/>
      <c r="M888" s="76"/>
      <c r="N888" s="76"/>
      <c r="O888" s="76"/>
      <c r="P888" s="76"/>
      <c r="Q888" s="76"/>
      <c r="R888" s="76"/>
      <c r="S888" s="76"/>
      <c r="T888" s="76"/>
      <c r="U888" s="76"/>
      <c r="V888" s="76"/>
      <c r="W888" s="76"/>
      <c r="X888" s="76"/>
      <c r="Y888" s="76"/>
      <c r="Z888" s="76"/>
      <c r="AA888" s="79"/>
      <c r="AB888" s="79"/>
      <c r="AC888" s="79"/>
      <c r="AD888" s="79"/>
      <c r="AE888" s="79"/>
      <c r="AF888" s="79"/>
      <c r="AG888" s="79"/>
      <c r="AH888" s="79"/>
      <c r="AI888" s="79"/>
      <c r="AJ888" s="79"/>
      <c r="AK888" s="79"/>
    </row>
    <row r="889" spans="1:37" s="78" customFormat="1" ht="12" customHeight="1">
      <c r="A889" s="76"/>
      <c r="B889" s="76"/>
      <c r="C889" s="76"/>
      <c r="D889" s="76"/>
      <c r="E889" s="76"/>
      <c r="F889" s="77"/>
      <c r="G889" s="76"/>
      <c r="H889" s="76"/>
      <c r="I889" s="76"/>
      <c r="J889" s="76"/>
      <c r="K889" s="76"/>
      <c r="L889" s="76"/>
      <c r="M889" s="76"/>
      <c r="N889" s="76"/>
      <c r="O889" s="76"/>
      <c r="P889" s="76"/>
      <c r="Q889" s="76"/>
      <c r="R889" s="76"/>
      <c r="S889" s="76"/>
      <c r="T889" s="76"/>
      <c r="U889" s="76"/>
      <c r="V889" s="76"/>
      <c r="W889" s="76"/>
      <c r="X889" s="76"/>
      <c r="Y889" s="76"/>
      <c r="Z889" s="76"/>
      <c r="AA889" s="79"/>
      <c r="AB889" s="79"/>
      <c r="AC889" s="79"/>
      <c r="AD889" s="79"/>
      <c r="AE889" s="79"/>
      <c r="AF889" s="79"/>
      <c r="AG889" s="79"/>
      <c r="AH889" s="79"/>
      <c r="AI889" s="79"/>
      <c r="AJ889" s="79"/>
      <c r="AK889" s="79"/>
    </row>
    <row r="890" spans="1:37" s="78" customFormat="1" ht="12" customHeight="1">
      <c r="A890" s="76"/>
      <c r="B890" s="76"/>
      <c r="C890" s="76"/>
      <c r="D890" s="76"/>
      <c r="E890" s="76"/>
      <c r="F890" s="77"/>
      <c r="G890" s="76"/>
      <c r="H890" s="76"/>
      <c r="I890" s="76"/>
      <c r="J890" s="76"/>
      <c r="K890" s="76"/>
      <c r="L890" s="76"/>
      <c r="M890" s="76"/>
      <c r="N890" s="76"/>
      <c r="O890" s="76"/>
      <c r="P890" s="76"/>
      <c r="Q890" s="76"/>
      <c r="R890" s="76"/>
      <c r="S890" s="76"/>
      <c r="T890" s="76"/>
      <c r="U890" s="76"/>
      <c r="V890" s="76"/>
      <c r="W890" s="76"/>
      <c r="X890" s="76"/>
      <c r="Y890" s="76"/>
      <c r="Z890" s="76"/>
      <c r="AA890" s="79"/>
      <c r="AB890" s="79"/>
      <c r="AC890" s="79"/>
      <c r="AD890" s="79"/>
      <c r="AE890" s="79"/>
      <c r="AF890" s="79"/>
      <c r="AG890" s="79"/>
      <c r="AH890" s="79"/>
      <c r="AI890" s="79"/>
      <c r="AJ890" s="79"/>
      <c r="AK890" s="79"/>
    </row>
    <row r="891" spans="1:37" s="78" customFormat="1" ht="12" customHeight="1">
      <c r="A891" s="76"/>
      <c r="B891" s="76"/>
      <c r="C891" s="76"/>
      <c r="D891" s="76"/>
      <c r="E891" s="76"/>
      <c r="F891" s="77"/>
      <c r="G891" s="76"/>
      <c r="H891" s="76"/>
      <c r="I891" s="76"/>
      <c r="J891" s="76"/>
      <c r="K891" s="76"/>
      <c r="L891" s="76"/>
      <c r="M891" s="76"/>
      <c r="N891" s="76"/>
      <c r="O891" s="76"/>
      <c r="P891" s="76"/>
      <c r="Q891" s="76"/>
      <c r="R891" s="76"/>
      <c r="S891" s="76"/>
      <c r="T891" s="76"/>
      <c r="U891" s="76"/>
      <c r="V891" s="76"/>
      <c r="W891" s="76"/>
      <c r="X891" s="76"/>
      <c r="Y891" s="76"/>
      <c r="Z891" s="76"/>
      <c r="AA891" s="79"/>
      <c r="AB891" s="79"/>
      <c r="AC891" s="79"/>
      <c r="AD891" s="79"/>
      <c r="AE891" s="79"/>
      <c r="AF891" s="79"/>
      <c r="AG891" s="79"/>
      <c r="AH891" s="79"/>
      <c r="AI891" s="79"/>
      <c r="AJ891" s="79"/>
      <c r="AK891" s="79"/>
    </row>
    <row r="892" spans="1:37" s="78" customFormat="1" ht="12" customHeight="1">
      <c r="A892" s="76"/>
      <c r="B892" s="76"/>
      <c r="C892" s="76"/>
      <c r="D892" s="76"/>
      <c r="E892" s="76"/>
      <c r="F892" s="77"/>
      <c r="G892" s="76"/>
      <c r="H892" s="76"/>
      <c r="I892" s="76"/>
      <c r="J892" s="76"/>
      <c r="K892" s="76"/>
      <c r="L892" s="76"/>
      <c r="M892" s="76"/>
      <c r="N892" s="76"/>
      <c r="O892" s="76"/>
      <c r="P892" s="76"/>
      <c r="Q892" s="76"/>
      <c r="R892" s="76"/>
      <c r="S892" s="76"/>
      <c r="T892" s="76"/>
      <c r="U892" s="76"/>
      <c r="V892" s="76"/>
      <c r="W892" s="76"/>
      <c r="X892" s="76"/>
      <c r="Y892" s="76"/>
      <c r="Z892" s="76"/>
      <c r="AA892" s="79"/>
      <c r="AB892" s="79"/>
      <c r="AC892" s="79"/>
      <c r="AD892" s="79"/>
      <c r="AE892" s="79"/>
      <c r="AF892" s="79"/>
      <c r="AG892" s="79"/>
      <c r="AH892" s="79"/>
      <c r="AI892" s="79"/>
      <c r="AJ892" s="79"/>
      <c r="AK892" s="79"/>
    </row>
    <row r="893" spans="1:37" s="78" customFormat="1" ht="12" customHeight="1">
      <c r="A893" s="76"/>
      <c r="B893" s="76"/>
      <c r="C893" s="76"/>
      <c r="D893" s="76"/>
      <c r="E893" s="76"/>
      <c r="F893" s="77"/>
      <c r="G893" s="76"/>
      <c r="H893" s="76"/>
      <c r="I893" s="76"/>
      <c r="J893" s="76"/>
      <c r="K893" s="76"/>
      <c r="L893" s="76"/>
      <c r="M893" s="76"/>
      <c r="N893" s="76"/>
      <c r="O893" s="76"/>
      <c r="P893" s="76"/>
      <c r="Q893" s="76"/>
      <c r="R893" s="76"/>
      <c r="S893" s="76"/>
      <c r="T893" s="76"/>
      <c r="U893" s="76"/>
      <c r="V893" s="76"/>
      <c r="W893" s="76"/>
      <c r="X893" s="76"/>
      <c r="Y893" s="76"/>
      <c r="Z893" s="76"/>
      <c r="AA893" s="79"/>
      <c r="AB893" s="79"/>
      <c r="AC893" s="79"/>
      <c r="AD893" s="79"/>
      <c r="AE893" s="79"/>
      <c r="AF893" s="79"/>
      <c r="AG893" s="79"/>
      <c r="AH893" s="79"/>
      <c r="AI893" s="79"/>
      <c r="AJ893" s="79"/>
      <c r="AK893" s="79"/>
    </row>
    <row r="894" spans="1:37" s="78" customFormat="1" ht="12" customHeight="1">
      <c r="A894" s="76"/>
      <c r="B894" s="76"/>
      <c r="C894" s="76"/>
      <c r="D894" s="76"/>
      <c r="E894" s="76"/>
      <c r="F894" s="77"/>
      <c r="G894" s="76"/>
      <c r="H894" s="76"/>
      <c r="I894" s="76"/>
      <c r="J894" s="76"/>
      <c r="K894" s="76"/>
      <c r="L894" s="76"/>
      <c r="M894" s="76"/>
      <c r="N894" s="76"/>
      <c r="O894" s="76"/>
      <c r="P894" s="76"/>
      <c r="Q894" s="76"/>
      <c r="R894" s="76"/>
      <c r="S894" s="76"/>
      <c r="T894" s="76"/>
      <c r="U894" s="76"/>
      <c r="V894" s="76"/>
      <c r="W894" s="76"/>
      <c r="X894" s="76"/>
      <c r="Y894" s="76"/>
      <c r="Z894" s="76"/>
      <c r="AA894" s="79"/>
      <c r="AB894" s="79"/>
      <c r="AC894" s="79"/>
      <c r="AD894" s="79"/>
      <c r="AE894" s="79"/>
      <c r="AF894" s="79"/>
      <c r="AG894" s="79"/>
      <c r="AH894" s="79"/>
      <c r="AI894" s="79"/>
      <c r="AJ894" s="79"/>
      <c r="AK894" s="79"/>
    </row>
    <row r="895" spans="1:37" s="78" customFormat="1" ht="12" customHeight="1">
      <c r="A895" s="76"/>
      <c r="B895" s="76"/>
      <c r="C895" s="76"/>
      <c r="D895" s="76"/>
      <c r="E895" s="76"/>
      <c r="F895" s="77"/>
      <c r="G895" s="76"/>
      <c r="H895" s="76"/>
      <c r="I895" s="76"/>
      <c r="J895" s="76"/>
      <c r="K895" s="76"/>
      <c r="L895" s="76"/>
      <c r="M895" s="76"/>
      <c r="N895" s="76"/>
      <c r="O895" s="76"/>
      <c r="P895" s="76"/>
      <c r="Q895" s="76"/>
      <c r="R895" s="76"/>
      <c r="S895" s="76"/>
      <c r="T895" s="76"/>
      <c r="U895" s="76"/>
      <c r="V895" s="76"/>
      <c r="W895" s="76"/>
      <c r="X895" s="76"/>
      <c r="Y895" s="76"/>
      <c r="Z895" s="76"/>
      <c r="AA895" s="79"/>
      <c r="AB895" s="79"/>
      <c r="AC895" s="79"/>
      <c r="AD895" s="79"/>
      <c r="AE895" s="79"/>
      <c r="AF895" s="79"/>
      <c r="AG895" s="79"/>
      <c r="AH895" s="79"/>
      <c r="AI895" s="79"/>
      <c r="AJ895" s="79"/>
      <c r="AK895" s="79"/>
    </row>
    <row r="896" spans="1:37" s="78" customFormat="1" ht="12" customHeight="1">
      <c r="A896" s="76"/>
      <c r="B896" s="76"/>
      <c r="C896" s="76"/>
      <c r="D896" s="76"/>
      <c r="E896" s="76"/>
      <c r="F896" s="77"/>
      <c r="G896" s="76"/>
      <c r="H896" s="76"/>
      <c r="I896" s="76"/>
      <c r="J896" s="76"/>
      <c r="K896" s="76"/>
      <c r="L896" s="76"/>
      <c r="M896" s="76"/>
      <c r="N896" s="76"/>
      <c r="O896" s="76"/>
      <c r="P896" s="76"/>
      <c r="Q896" s="76"/>
      <c r="R896" s="76"/>
      <c r="S896" s="76"/>
      <c r="T896" s="76"/>
      <c r="U896" s="76"/>
      <c r="V896" s="76"/>
      <c r="W896" s="76"/>
      <c r="X896" s="76"/>
      <c r="Y896" s="76"/>
      <c r="Z896" s="76"/>
      <c r="AA896" s="79"/>
      <c r="AB896" s="79"/>
      <c r="AC896" s="79"/>
      <c r="AD896" s="79"/>
      <c r="AE896" s="79"/>
      <c r="AF896" s="79"/>
      <c r="AG896" s="79"/>
      <c r="AH896" s="79"/>
      <c r="AI896" s="79"/>
      <c r="AJ896" s="79"/>
      <c r="AK896" s="79"/>
    </row>
    <row r="897" spans="1:37" s="78" customFormat="1" ht="12" customHeight="1">
      <c r="A897" s="76"/>
      <c r="B897" s="76"/>
      <c r="C897" s="76"/>
      <c r="D897" s="76"/>
      <c r="E897" s="76"/>
      <c r="F897" s="77"/>
      <c r="G897" s="76"/>
      <c r="H897" s="76"/>
      <c r="I897" s="76"/>
      <c r="J897" s="76"/>
      <c r="K897" s="76"/>
      <c r="L897" s="76"/>
      <c r="M897" s="76"/>
      <c r="N897" s="76"/>
      <c r="O897" s="76"/>
      <c r="P897" s="76"/>
      <c r="Q897" s="76"/>
      <c r="R897" s="76"/>
      <c r="S897" s="76"/>
      <c r="T897" s="76"/>
      <c r="U897" s="76"/>
      <c r="V897" s="76"/>
      <c r="W897" s="76"/>
      <c r="X897" s="76"/>
      <c r="Y897" s="76"/>
      <c r="Z897" s="76"/>
      <c r="AA897" s="79"/>
      <c r="AB897" s="79"/>
      <c r="AC897" s="79"/>
      <c r="AD897" s="79"/>
      <c r="AE897" s="79"/>
      <c r="AF897" s="79"/>
      <c r="AG897" s="79"/>
      <c r="AH897" s="79"/>
      <c r="AI897" s="79"/>
      <c r="AJ897" s="79"/>
      <c r="AK897" s="79"/>
    </row>
    <row r="898" spans="1:37" s="78" customFormat="1" ht="12" customHeight="1">
      <c r="A898" s="76"/>
      <c r="B898" s="76"/>
      <c r="C898" s="76"/>
      <c r="D898" s="76"/>
      <c r="E898" s="76"/>
      <c r="F898" s="77"/>
      <c r="G898" s="76"/>
      <c r="H898" s="76"/>
      <c r="I898" s="76"/>
      <c r="J898" s="76"/>
      <c r="K898" s="76"/>
      <c r="L898" s="76"/>
      <c r="M898" s="76"/>
      <c r="N898" s="76"/>
      <c r="O898" s="76"/>
      <c r="P898" s="76"/>
      <c r="Q898" s="76"/>
      <c r="R898" s="76"/>
      <c r="S898" s="76"/>
      <c r="T898" s="76"/>
      <c r="U898" s="76"/>
      <c r="V898" s="76"/>
      <c r="W898" s="76"/>
      <c r="X898" s="76"/>
      <c r="Y898" s="76"/>
      <c r="Z898" s="76"/>
      <c r="AA898" s="79"/>
      <c r="AB898" s="79"/>
      <c r="AC898" s="79"/>
      <c r="AD898" s="79"/>
      <c r="AE898" s="79"/>
      <c r="AF898" s="79"/>
      <c r="AG898" s="79"/>
      <c r="AH898" s="79"/>
      <c r="AI898" s="79"/>
      <c r="AJ898" s="79"/>
      <c r="AK898" s="79"/>
    </row>
    <row r="899" spans="1:37" s="78" customFormat="1" ht="12" customHeight="1">
      <c r="A899" s="76"/>
      <c r="B899" s="76"/>
      <c r="C899" s="76"/>
      <c r="D899" s="76"/>
      <c r="E899" s="76"/>
      <c r="F899" s="77"/>
      <c r="G899" s="76"/>
      <c r="H899" s="76"/>
      <c r="I899" s="76"/>
      <c r="J899" s="76"/>
      <c r="K899" s="76"/>
      <c r="L899" s="76"/>
      <c r="M899" s="76"/>
      <c r="N899" s="76"/>
      <c r="O899" s="76"/>
      <c r="P899" s="76"/>
      <c r="Q899" s="76"/>
      <c r="R899" s="76"/>
      <c r="S899" s="76"/>
      <c r="T899" s="76"/>
      <c r="U899" s="76"/>
      <c r="V899" s="76"/>
      <c r="W899" s="76"/>
      <c r="X899" s="76"/>
      <c r="Y899" s="76"/>
      <c r="Z899" s="76"/>
      <c r="AA899" s="79"/>
      <c r="AB899" s="79"/>
      <c r="AC899" s="79"/>
      <c r="AD899" s="79"/>
      <c r="AE899" s="79"/>
      <c r="AF899" s="79"/>
      <c r="AG899" s="79"/>
      <c r="AH899" s="79"/>
      <c r="AI899" s="79"/>
      <c r="AJ899" s="79"/>
      <c r="AK899" s="79"/>
    </row>
    <row r="900" spans="1:37" s="78" customFormat="1" ht="12" customHeight="1">
      <c r="A900" s="76"/>
      <c r="B900" s="76"/>
      <c r="C900" s="76"/>
      <c r="D900" s="76"/>
      <c r="E900" s="76"/>
      <c r="F900" s="77"/>
      <c r="G900" s="76"/>
      <c r="H900" s="76"/>
      <c r="I900" s="76"/>
      <c r="J900" s="76"/>
      <c r="K900" s="76"/>
      <c r="L900" s="76"/>
      <c r="M900" s="76"/>
      <c r="N900" s="76"/>
      <c r="O900" s="76"/>
      <c r="P900" s="76"/>
      <c r="Q900" s="76"/>
      <c r="R900" s="76"/>
      <c r="S900" s="76"/>
      <c r="T900" s="76"/>
      <c r="U900" s="76"/>
      <c r="V900" s="76"/>
      <c r="W900" s="76"/>
      <c r="X900" s="76"/>
      <c r="Y900" s="76"/>
      <c r="Z900" s="76"/>
      <c r="AA900" s="79"/>
      <c r="AB900" s="79"/>
      <c r="AC900" s="79"/>
      <c r="AD900" s="79"/>
      <c r="AE900" s="79"/>
      <c r="AF900" s="79"/>
      <c r="AG900" s="79"/>
      <c r="AH900" s="79"/>
      <c r="AI900" s="79"/>
      <c r="AJ900" s="79"/>
      <c r="AK900" s="79"/>
    </row>
    <row r="901" spans="1:37" s="78" customFormat="1" ht="12" customHeight="1">
      <c r="A901" s="76"/>
      <c r="B901" s="76"/>
      <c r="C901" s="76"/>
      <c r="D901" s="76"/>
      <c r="E901" s="76"/>
      <c r="F901" s="77"/>
      <c r="G901" s="76"/>
      <c r="H901" s="76"/>
      <c r="I901" s="76"/>
      <c r="J901" s="76"/>
      <c r="K901" s="76"/>
      <c r="L901" s="76"/>
      <c r="M901" s="76"/>
      <c r="N901" s="76"/>
      <c r="O901" s="76"/>
      <c r="P901" s="76"/>
      <c r="Q901" s="76"/>
      <c r="R901" s="76"/>
      <c r="S901" s="76"/>
      <c r="T901" s="76"/>
      <c r="U901" s="76"/>
      <c r="V901" s="76"/>
      <c r="W901" s="76"/>
      <c r="X901" s="76"/>
      <c r="Y901" s="76"/>
      <c r="Z901" s="76"/>
      <c r="AA901" s="79"/>
      <c r="AB901" s="79"/>
      <c r="AC901" s="79"/>
      <c r="AD901" s="79"/>
      <c r="AE901" s="79"/>
      <c r="AF901" s="79"/>
      <c r="AG901" s="79"/>
      <c r="AH901" s="79"/>
      <c r="AI901" s="79"/>
      <c r="AJ901" s="79"/>
      <c r="AK901" s="79"/>
    </row>
    <row r="902" spans="1:37" s="78" customFormat="1" ht="12" customHeight="1">
      <c r="A902" s="76"/>
      <c r="B902" s="76"/>
      <c r="C902" s="76"/>
      <c r="D902" s="76"/>
      <c r="E902" s="76"/>
      <c r="F902" s="77"/>
      <c r="G902" s="76"/>
      <c r="H902" s="76"/>
      <c r="I902" s="76"/>
      <c r="J902" s="76"/>
      <c r="K902" s="76"/>
      <c r="L902" s="76"/>
      <c r="M902" s="76"/>
      <c r="N902" s="76"/>
      <c r="O902" s="76"/>
      <c r="P902" s="76"/>
      <c r="Q902" s="76"/>
      <c r="R902" s="76"/>
      <c r="S902" s="76"/>
      <c r="T902" s="76"/>
      <c r="U902" s="76"/>
      <c r="V902" s="76"/>
      <c r="W902" s="76"/>
      <c r="X902" s="76"/>
      <c r="Y902" s="76"/>
      <c r="Z902" s="76"/>
      <c r="AA902" s="79"/>
      <c r="AB902" s="79"/>
      <c r="AC902" s="79"/>
      <c r="AD902" s="79"/>
      <c r="AE902" s="79"/>
      <c r="AF902" s="79"/>
      <c r="AG902" s="79"/>
      <c r="AH902" s="79"/>
      <c r="AI902" s="79"/>
      <c r="AJ902" s="79"/>
      <c r="AK902" s="79"/>
    </row>
    <row r="903" spans="1:37" s="78" customFormat="1" ht="12" customHeight="1">
      <c r="A903" s="76"/>
      <c r="B903" s="76"/>
      <c r="C903" s="76"/>
      <c r="D903" s="76"/>
      <c r="E903" s="76"/>
      <c r="F903" s="77"/>
      <c r="G903" s="76"/>
      <c r="H903" s="76"/>
      <c r="I903" s="76"/>
      <c r="J903" s="76"/>
      <c r="K903" s="76"/>
      <c r="L903" s="76"/>
      <c r="M903" s="76"/>
      <c r="N903" s="76"/>
      <c r="O903" s="76"/>
      <c r="P903" s="76"/>
      <c r="Q903" s="76"/>
      <c r="R903" s="76"/>
      <c r="S903" s="76"/>
      <c r="T903" s="76"/>
      <c r="U903" s="76"/>
      <c r="V903" s="76"/>
      <c r="W903" s="76"/>
      <c r="X903" s="76"/>
      <c r="Y903" s="76"/>
      <c r="Z903" s="76"/>
      <c r="AA903" s="79"/>
      <c r="AB903" s="79"/>
      <c r="AC903" s="79"/>
      <c r="AD903" s="79"/>
      <c r="AE903" s="79"/>
      <c r="AF903" s="79"/>
      <c r="AG903" s="79"/>
      <c r="AH903" s="79"/>
      <c r="AI903" s="79"/>
      <c r="AJ903" s="79"/>
      <c r="AK903" s="79"/>
    </row>
    <row r="904" spans="1:37" s="78" customFormat="1" ht="12" customHeight="1">
      <c r="A904" s="76"/>
      <c r="B904" s="76"/>
      <c r="C904" s="76"/>
      <c r="D904" s="76"/>
      <c r="E904" s="76"/>
      <c r="F904" s="77"/>
      <c r="G904" s="76"/>
      <c r="H904" s="76"/>
      <c r="I904" s="76"/>
      <c r="J904" s="76"/>
      <c r="K904" s="76"/>
      <c r="L904" s="76"/>
      <c r="M904" s="76"/>
      <c r="N904" s="76"/>
      <c r="O904" s="76"/>
      <c r="P904" s="76"/>
      <c r="Q904" s="76"/>
      <c r="R904" s="76"/>
      <c r="S904" s="76"/>
      <c r="T904" s="76"/>
      <c r="U904" s="76"/>
      <c r="V904" s="76"/>
      <c r="W904" s="76"/>
      <c r="X904" s="76"/>
      <c r="Y904" s="76"/>
      <c r="Z904" s="76"/>
      <c r="AA904" s="79"/>
      <c r="AB904" s="79"/>
      <c r="AC904" s="79"/>
      <c r="AD904" s="79"/>
      <c r="AE904" s="79"/>
      <c r="AF904" s="79"/>
      <c r="AG904" s="79"/>
      <c r="AH904" s="79"/>
      <c r="AI904" s="79"/>
      <c r="AJ904" s="79"/>
      <c r="AK904" s="79"/>
    </row>
    <row r="905" spans="1:37" s="78" customFormat="1" ht="12" customHeight="1">
      <c r="A905" s="76"/>
      <c r="B905" s="76"/>
      <c r="C905" s="76"/>
      <c r="D905" s="76"/>
      <c r="E905" s="76"/>
      <c r="F905" s="77"/>
      <c r="G905" s="76"/>
      <c r="H905" s="76"/>
      <c r="I905" s="76"/>
      <c r="J905" s="76"/>
      <c r="K905" s="76"/>
      <c r="L905" s="76"/>
      <c r="M905" s="76"/>
      <c r="N905" s="76"/>
      <c r="O905" s="76"/>
      <c r="P905" s="76"/>
      <c r="Q905" s="76"/>
      <c r="R905" s="76"/>
      <c r="S905" s="76"/>
      <c r="T905" s="76"/>
      <c r="U905" s="76"/>
      <c r="V905" s="76"/>
      <c r="W905" s="76"/>
      <c r="X905" s="76"/>
      <c r="Y905" s="76"/>
      <c r="Z905" s="76"/>
      <c r="AA905" s="79"/>
      <c r="AB905" s="79"/>
      <c r="AC905" s="79"/>
      <c r="AD905" s="79"/>
      <c r="AE905" s="79"/>
      <c r="AF905" s="79"/>
      <c r="AG905" s="79"/>
      <c r="AH905" s="79"/>
      <c r="AI905" s="79"/>
      <c r="AJ905" s="79"/>
      <c r="AK905" s="79"/>
    </row>
    <row r="906" spans="1:37" s="78" customFormat="1" ht="12" customHeight="1">
      <c r="A906" s="76"/>
      <c r="B906" s="76"/>
      <c r="C906" s="76"/>
      <c r="D906" s="76"/>
      <c r="E906" s="76"/>
      <c r="F906" s="77"/>
      <c r="G906" s="76"/>
      <c r="H906" s="76"/>
      <c r="I906" s="76"/>
      <c r="J906" s="76"/>
      <c r="K906" s="76"/>
      <c r="L906" s="76"/>
      <c r="M906" s="76"/>
      <c r="N906" s="76"/>
      <c r="O906" s="76"/>
      <c r="P906" s="76"/>
      <c r="Q906" s="76"/>
      <c r="R906" s="76"/>
      <c r="S906" s="76"/>
      <c r="T906" s="76"/>
      <c r="U906" s="76"/>
      <c r="V906" s="76"/>
      <c r="W906" s="76"/>
      <c r="X906" s="76"/>
      <c r="Y906" s="76"/>
      <c r="Z906" s="76"/>
      <c r="AA906" s="79"/>
      <c r="AB906" s="79"/>
      <c r="AC906" s="79"/>
      <c r="AD906" s="79"/>
      <c r="AE906" s="79"/>
      <c r="AF906" s="79"/>
      <c r="AG906" s="79"/>
      <c r="AH906" s="79"/>
      <c r="AI906" s="79"/>
      <c r="AJ906" s="79"/>
      <c r="AK906" s="79"/>
    </row>
    <row r="907" spans="1:37" s="78" customFormat="1" ht="12" customHeight="1">
      <c r="A907" s="76"/>
      <c r="B907" s="76"/>
      <c r="C907" s="76"/>
      <c r="D907" s="76"/>
      <c r="E907" s="76"/>
      <c r="F907" s="77"/>
      <c r="G907" s="76"/>
      <c r="H907" s="76"/>
      <c r="I907" s="76"/>
      <c r="J907" s="76"/>
      <c r="K907" s="76"/>
      <c r="L907" s="76"/>
      <c r="M907" s="76"/>
      <c r="N907" s="76"/>
      <c r="O907" s="76"/>
      <c r="P907" s="76"/>
      <c r="Q907" s="76"/>
      <c r="R907" s="76"/>
      <c r="S907" s="76"/>
      <c r="T907" s="76"/>
      <c r="U907" s="76"/>
      <c r="V907" s="76"/>
      <c r="W907" s="76"/>
      <c r="X907" s="76"/>
      <c r="Y907" s="76"/>
      <c r="Z907" s="76"/>
      <c r="AA907" s="79"/>
      <c r="AB907" s="79"/>
      <c r="AC907" s="79"/>
      <c r="AD907" s="79"/>
      <c r="AE907" s="79"/>
      <c r="AF907" s="79"/>
      <c r="AG907" s="79"/>
      <c r="AH907" s="79"/>
      <c r="AI907" s="79"/>
      <c r="AJ907" s="79"/>
      <c r="AK907" s="79"/>
    </row>
    <row r="908" spans="1:37" s="78" customFormat="1" ht="12" customHeight="1">
      <c r="A908" s="76"/>
      <c r="B908" s="76"/>
      <c r="C908" s="76"/>
      <c r="D908" s="76"/>
      <c r="E908" s="76"/>
      <c r="F908" s="77"/>
      <c r="G908" s="76"/>
      <c r="H908" s="76"/>
      <c r="I908" s="76"/>
      <c r="J908" s="76"/>
      <c r="K908" s="76"/>
      <c r="L908" s="76"/>
      <c r="M908" s="76"/>
      <c r="N908" s="76"/>
      <c r="O908" s="76"/>
      <c r="P908" s="76"/>
      <c r="Q908" s="76"/>
      <c r="R908" s="76"/>
      <c r="S908" s="76"/>
      <c r="T908" s="76"/>
      <c r="U908" s="76"/>
      <c r="V908" s="76"/>
      <c r="W908" s="76"/>
      <c r="X908" s="76"/>
      <c r="Y908" s="76"/>
      <c r="Z908" s="76"/>
      <c r="AA908" s="79"/>
      <c r="AB908" s="79"/>
      <c r="AC908" s="79"/>
      <c r="AD908" s="79"/>
      <c r="AE908" s="79"/>
      <c r="AF908" s="79"/>
      <c r="AG908" s="79"/>
      <c r="AH908" s="79"/>
      <c r="AI908" s="79"/>
      <c r="AJ908" s="79"/>
      <c r="AK908" s="79"/>
    </row>
    <row r="909" spans="1:37" s="78" customFormat="1" ht="12" customHeight="1">
      <c r="A909" s="76"/>
      <c r="B909" s="76"/>
      <c r="C909" s="76"/>
      <c r="D909" s="76"/>
      <c r="E909" s="76"/>
      <c r="F909" s="77"/>
      <c r="G909" s="76"/>
      <c r="H909" s="76"/>
      <c r="I909" s="76"/>
      <c r="J909" s="76"/>
      <c r="K909" s="76"/>
      <c r="L909" s="76"/>
      <c r="M909" s="76"/>
      <c r="N909" s="76"/>
      <c r="O909" s="76"/>
      <c r="P909" s="76"/>
      <c r="Q909" s="76"/>
      <c r="R909" s="76"/>
      <c r="S909" s="76"/>
      <c r="T909" s="76"/>
      <c r="U909" s="76"/>
      <c r="V909" s="76"/>
      <c r="W909" s="76"/>
      <c r="X909" s="76"/>
      <c r="Y909" s="76"/>
      <c r="Z909" s="76"/>
      <c r="AA909" s="79"/>
      <c r="AB909" s="79"/>
      <c r="AC909" s="79"/>
      <c r="AD909" s="79"/>
      <c r="AE909" s="79"/>
      <c r="AF909" s="79"/>
      <c r="AG909" s="79"/>
      <c r="AH909" s="79"/>
      <c r="AI909" s="79"/>
      <c r="AJ909" s="79"/>
      <c r="AK909" s="79"/>
    </row>
    <row r="910" spans="1:37" s="78" customFormat="1" ht="12" customHeight="1">
      <c r="A910" s="76"/>
      <c r="B910" s="76"/>
      <c r="C910" s="76"/>
      <c r="D910" s="76"/>
      <c r="E910" s="76"/>
      <c r="F910" s="77"/>
      <c r="G910" s="76"/>
      <c r="H910" s="76"/>
      <c r="I910" s="76"/>
      <c r="J910" s="76"/>
      <c r="K910" s="76"/>
      <c r="L910" s="76"/>
      <c r="M910" s="76"/>
      <c r="N910" s="76"/>
      <c r="O910" s="76"/>
      <c r="P910" s="76"/>
      <c r="Q910" s="76"/>
      <c r="R910" s="76"/>
      <c r="S910" s="76"/>
      <c r="T910" s="76"/>
      <c r="U910" s="76"/>
      <c r="V910" s="76"/>
      <c r="W910" s="76"/>
      <c r="X910" s="76"/>
      <c r="Y910" s="76"/>
      <c r="Z910" s="76"/>
      <c r="AA910" s="79"/>
      <c r="AB910" s="79"/>
      <c r="AC910" s="79"/>
      <c r="AD910" s="79"/>
      <c r="AE910" s="79"/>
      <c r="AF910" s="79"/>
      <c r="AG910" s="79"/>
      <c r="AH910" s="79"/>
      <c r="AI910" s="79"/>
      <c r="AJ910" s="79"/>
      <c r="AK910" s="79"/>
    </row>
    <row r="911" spans="1:37" s="78" customFormat="1" ht="12" customHeight="1">
      <c r="A911" s="76"/>
      <c r="B911" s="76"/>
      <c r="C911" s="76"/>
      <c r="D911" s="76"/>
      <c r="E911" s="76"/>
      <c r="F911" s="77"/>
      <c r="G911" s="76"/>
      <c r="H911" s="76"/>
      <c r="I911" s="76"/>
      <c r="J911" s="76"/>
      <c r="K911" s="76"/>
      <c r="L911" s="76"/>
      <c r="M911" s="76"/>
      <c r="N911" s="76"/>
      <c r="O911" s="76"/>
      <c r="P911" s="76"/>
      <c r="Q911" s="76"/>
      <c r="R911" s="76"/>
      <c r="S911" s="76"/>
      <c r="T911" s="76"/>
      <c r="U911" s="76"/>
      <c r="V911" s="76"/>
      <c r="W911" s="76"/>
      <c r="X911" s="76"/>
      <c r="Y911" s="76"/>
      <c r="Z911" s="76"/>
      <c r="AA911" s="79"/>
      <c r="AB911" s="79"/>
      <c r="AC911" s="79"/>
      <c r="AD911" s="79"/>
      <c r="AE911" s="79"/>
      <c r="AF911" s="79"/>
      <c r="AG911" s="79"/>
      <c r="AH911" s="79"/>
      <c r="AI911" s="79"/>
      <c r="AJ911" s="79"/>
      <c r="AK911" s="79"/>
    </row>
    <row r="912" spans="1:37" s="78" customFormat="1" ht="12" customHeight="1">
      <c r="A912" s="76"/>
      <c r="B912" s="76"/>
      <c r="C912" s="76"/>
      <c r="D912" s="76"/>
      <c r="E912" s="76"/>
      <c r="F912" s="77"/>
      <c r="G912" s="76"/>
      <c r="H912" s="76"/>
      <c r="I912" s="76"/>
      <c r="J912" s="76"/>
      <c r="K912" s="76"/>
      <c r="L912" s="76"/>
      <c r="M912" s="76"/>
      <c r="N912" s="76"/>
      <c r="O912" s="76"/>
      <c r="P912" s="76"/>
      <c r="Q912" s="76"/>
      <c r="R912" s="76"/>
      <c r="S912" s="76"/>
      <c r="T912" s="76"/>
      <c r="U912" s="76"/>
      <c r="V912" s="76"/>
      <c r="W912" s="76"/>
      <c r="X912" s="76"/>
      <c r="Y912" s="76"/>
      <c r="Z912" s="76"/>
      <c r="AA912" s="79"/>
      <c r="AB912" s="79"/>
      <c r="AC912" s="79"/>
      <c r="AD912" s="79"/>
      <c r="AE912" s="79"/>
      <c r="AF912" s="79"/>
      <c r="AG912" s="79"/>
      <c r="AH912" s="79"/>
      <c r="AI912" s="79"/>
      <c r="AJ912" s="79"/>
      <c r="AK912" s="79"/>
    </row>
    <row r="913" spans="1:37" s="78" customFormat="1" ht="12" customHeight="1">
      <c r="A913" s="76"/>
      <c r="B913" s="76"/>
      <c r="C913" s="76"/>
      <c r="D913" s="76"/>
      <c r="E913" s="76"/>
      <c r="F913" s="77"/>
      <c r="G913" s="76"/>
      <c r="H913" s="76"/>
      <c r="I913" s="76"/>
      <c r="J913" s="76"/>
      <c r="K913" s="76"/>
      <c r="L913" s="76"/>
      <c r="M913" s="76"/>
      <c r="N913" s="76"/>
      <c r="O913" s="76"/>
      <c r="P913" s="76"/>
      <c r="Q913" s="76"/>
      <c r="R913" s="76"/>
      <c r="S913" s="76"/>
      <c r="T913" s="76"/>
      <c r="U913" s="76"/>
      <c r="V913" s="76"/>
      <c r="W913" s="76"/>
      <c r="X913" s="76"/>
      <c r="Y913" s="76"/>
      <c r="Z913" s="76"/>
      <c r="AA913" s="79"/>
      <c r="AB913" s="79"/>
      <c r="AC913" s="79"/>
      <c r="AD913" s="79"/>
      <c r="AE913" s="79"/>
      <c r="AF913" s="79"/>
      <c r="AG913" s="79"/>
      <c r="AH913" s="79"/>
      <c r="AI913" s="79"/>
      <c r="AJ913" s="79"/>
      <c r="AK913" s="79"/>
    </row>
    <row r="914" spans="1:37" s="78" customFormat="1" ht="12" customHeight="1">
      <c r="A914" s="76"/>
      <c r="B914" s="76"/>
      <c r="C914" s="76"/>
      <c r="D914" s="76"/>
      <c r="E914" s="76"/>
      <c r="F914" s="77"/>
      <c r="G914" s="76"/>
      <c r="H914" s="76"/>
      <c r="I914" s="76"/>
      <c r="J914" s="76"/>
      <c r="K914" s="76"/>
      <c r="L914" s="76"/>
      <c r="M914" s="76"/>
      <c r="N914" s="76"/>
      <c r="O914" s="76"/>
      <c r="P914" s="76"/>
      <c r="Q914" s="76"/>
      <c r="R914" s="76"/>
      <c r="S914" s="76"/>
      <c r="T914" s="76"/>
      <c r="U914" s="76"/>
      <c r="V914" s="76"/>
      <c r="W914" s="76"/>
      <c r="X914" s="76"/>
      <c r="Y914" s="76"/>
      <c r="Z914" s="76"/>
      <c r="AA914" s="79"/>
      <c r="AB914" s="79"/>
      <c r="AC914" s="79"/>
      <c r="AD914" s="79"/>
      <c r="AE914" s="79"/>
      <c r="AF914" s="79"/>
      <c r="AG914" s="79"/>
      <c r="AH914" s="79"/>
      <c r="AI914" s="79"/>
      <c r="AJ914" s="79"/>
      <c r="AK914" s="79"/>
    </row>
    <row r="915" spans="1:37" s="78" customFormat="1" ht="12" customHeight="1">
      <c r="A915" s="76"/>
      <c r="B915" s="76"/>
      <c r="C915" s="76"/>
      <c r="D915" s="76"/>
      <c r="E915" s="76"/>
      <c r="F915" s="77"/>
      <c r="G915" s="76"/>
      <c r="H915" s="76"/>
      <c r="I915" s="76"/>
      <c r="J915" s="76"/>
      <c r="K915" s="76"/>
      <c r="L915" s="76"/>
      <c r="M915" s="76"/>
      <c r="N915" s="76"/>
      <c r="O915" s="76"/>
      <c r="P915" s="76"/>
      <c r="Q915" s="76"/>
      <c r="R915" s="76"/>
      <c r="S915" s="76"/>
      <c r="T915" s="76"/>
      <c r="U915" s="76"/>
      <c r="V915" s="76"/>
      <c r="W915" s="76"/>
      <c r="X915" s="76"/>
      <c r="Y915" s="76"/>
      <c r="Z915" s="76"/>
      <c r="AA915" s="79"/>
      <c r="AB915" s="79"/>
      <c r="AC915" s="79"/>
      <c r="AD915" s="79"/>
      <c r="AE915" s="79"/>
      <c r="AF915" s="79"/>
      <c r="AG915" s="79"/>
      <c r="AH915" s="79"/>
      <c r="AI915" s="79"/>
      <c r="AJ915" s="79"/>
      <c r="AK915" s="79"/>
    </row>
    <row r="916" spans="1:37" s="78" customFormat="1" ht="12" customHeight="1">
      <c r="A916" s="76"/>
      <c r="B916" s="76"/>
      <c r="C916" s="76"/>
      <c r="D916" s="76"/>
      <c r="E916" s="76"/>
      <c r="F916" s="77"/>
      <c r="G916" s="76"/>
      <c r="H916" s="76"/>
      <c r="I916" s="76"/>
      <c r="J916" s="76"/>
      <c r="K916" s="76"/>
      <c r="L916" s="76"/>
      <c r="M916" s="76"/>
      <c r="N916" s="76"/>
      <c r="O916" s="76"/>
      <c r="P916" s="76"/>
      <c r="Q916" s="76"/>
      <c r="R916" s="76"/>
      <c r="S916" s="76"/>
      <c r="T916" s="76"/>
      <c r="U916" s="76"/>
      <c r="V916" s="76"/>
      <c r="W916" s="76"/>
      <c r="X916" s="76"/>
      <c r="Y916" s="76"/>
      <c r="Z916" s="76"/>
      <c r="AA916" s="79"/>
      <c r="AB916" s="79"/>
      <c r="AC916" s="79"/>
      <c r="AD916" s="79"/>
      <c r="AE916" s="79"/>
      <c r="AF916" s="79"/>
      <c r="AG916" s="79"/>
      <c r="AH916" s="79"/>
      <c r="AI916" s="79"/>
      <c r="AJ916" s="79"/>
      <c r="AK916" s="79"/>
    </row>
    <row r="917" spans="1:37" s="78" customFormat="1" ht="12" customHeight="1">
      <c r="A917" s="76"/>
      <c r="B917" s="76"/>
      <c r="C917" s="76"/>
      <c r="D917" s="76"/>
      <c r="E917" s="76"/>
      <c r="F917" s="77"/>
      <c r="G917" s="76"/>
      <c r="H917" s="76"/>
      <c r="I917" s="76"/>
      <c r="J917" s="76"/>
      <c r="K917" s="76"/>
      <c r="L917" s="76"/>
      <c r="M917" s="76"/>
      <c r="N917" s="76"/>
      <c r="O917" s="76"/>
      <c r="P917" s="76"/>
      <c r="Q917" s="76"/>
      <c r="R917" s="76"/>
      <c r="S917" s="76"/>
      <c r="T917" s="76"/>
      <c r="U917" s="76"/>
      <c r="V917" s="76"/>
      <c r="W917" s="76"/>
      <c r="X917" s="76"/>
      <c r="Y917" s="76"/>
      <c r="Z917" s="76"/>
      <c r="AA917" s="79"/>
      <c r="AB917" s="79"/>
      <c r="AC917" s="79"/>
      <c r="AD917" s="79"/>
      <c r="AE917" s="79"/>
      <c r="AF917" s="79"/>
      <c r="AG917" s="79"/>
      <c r="AH917" s="79"/>
      <c r="AI917" s="79"/>
      <c r="AJ917" s="79"/>
      <c r="AK917" s="79"/>
    </row>
    <row r="918" spans="1:37" s="78" customFormat="1" ht="12" customHeight="1">
      <c r="A918" s="76"/>
      <c r="B918" s="76"/>
      <c r="C918" s="76"/>
      <c r="D918" s="76"/>
      <c r="E918" s="76"/>
      <c r="F918" s="77"/>
      <c r="G918" s="76"/>
      <c r="H918" s="76"/>
      <c r="I918" s="76"/>
      <c r="J918" s="76"/>
      <c r="K918" s="76"/>
      <c r="L918" s="76"/>
      <c r="M918" s="76"/>
      <c r="N918" s="76"/>
      <c r="O918" s="76"/>
      <c r="P918" s="76"/>
      <c r="Q918" s="76"/>
      <c r="R918" s="76"/>
      <c r="S918" s="76"/>
      <c r="T918" s="76"/>
      <c r="U918" s="76"/>
      <c r="V918" s="76"/>
      <c r="W918" s="76"/>
      <c r="X918" s="76"/>
      <c r="Y918" s="76"/>
      <c r="Z918" s="76"/>
      <c r="AA918" s="79"/>
      <c r="AB918" s="79"/>
      <c r="AC918" s="79"/>
      <c r="AD918" s="79"/>
      <c r="AE918" s="79"/>
      <c r="AF918" s="79"/>
      <c r="AG918" s="79"/>
      <c r="AH918" s="79"/>
      <c r="AI918" s="79"/>
      <c r="AJ918" s="79"/>
      <c r="AK918" s="79"/>
    </row>
    <row r="919" spans="1:37" s="78" customFormat="1" ht="12" customHeight="1">
      <c r="A919" s="76"/>
      <c r="B919" s="76"/>
      <c r="C919" s="76"/>
      <c r="D919" s="76"/>
      <c r="E919" s="76"/>
      <c r="F919" s="77"/>
      <c r="G919" s="76"/>
      <c r="H919" s="76"/>
      <c r="I919" s="76"/>
      <c r="J919" s="76"/>
      <c r="K919" s="76"/>
      <c r="L919" s="76"/>
      <c r="M919" s="76"/>
      <c r="N919" s="76"/>
      <c r="O919" s="76"/>
      <c r="P919" s="76"/>
      <c r="Q919" s="76"/>
      <c r="R919" s="76"/>
      <c r="S919" s="76"/>
      <c r="T919" s="76"/>
      <c r="U919" s="76"/>
      <c r="V919" s="76"/>
      <c r="W919" s="76"/>
      <c r="X919" s="76"/>
      <c r="Y919" s="76"/>
      <c r="Z919" s="76"/>
      <c r="AA919" s="79"/>
      <c r="AB919" s="79"/>
      <c r="AC919" s="79"/>
      <c r="AD919" s="79"/>
      <c r="AE919" s="79"/>
      <c r="AF919" s="79"/>
      <c r="AG919" s="79"/>
      <c r="AH919" s="79"/>
      <c r="AI919" s="79"/>
      <c r="AJ919" s="79"/>
      <c r="AK919" s="79"/>
    </row>
    <row r="920" spans="1:37" s="78" customFormat="1" ht="12" customHeight="1">
      <c r="A920" s="76"/>
      <c r="B920" s="76"/>
      <c r="C920" s="76"/>
      <c r="D920" s="76"/>
      <c r="E920" s="76"/>
      <c r="F920" s="77"/>
      <c r="G920" s="76"/>
      <c r="H920" s="76"/>
      <c r="I920" s="76"/>
      <c r="J920" s="76"/>
      <c r="K920" s="76"/>
      <c r="L920" s="76"/>
      <c r="M920" s="76"/>
      <c r="N920" s="76"/>
      <c r="O920" s="76"/>
      <c r="P920" s="76"/>
      <c r="Q920" s="76"/>
      <c r="R920" s="76"/>
      <c r="S920" s="76"/>
      <c r="T920" s="76"/>
      <c r="U920" s="76"/>
      <c r="V920" s="76"/>
      <c r="W920" s="76"/>
      <c r="X920" s="76"/>
      <c r="Y920" s="76"/>
      <c r="Z920" s="76"/>
      <c r="AA920" s="79"/>
      <c r="AB920" s="79"/>
      <c r="AC920" s="79"/>
      <c r="AD920" s="79"/>
      <c r="AE920" s="79"/>
      <c r="AF920" s="79"/>
      <c r="AG920" s="79"/>
      <c r="AH920" s="79"/>
      <c r="AI920" s="79"/>
      <c r="AJ920" s="79"/>
      <c r="AK920" s="79"/>
    </row>
    <row r="921" spans="1:37" s="78" customFormat="1" ht="12" customHeight="1">
      <c r="A921" s="76"/>
      <c r="B921" s="76"/>
      <c r="C921" s="76"/>
      <c r="D921" s="76"/>
      <c r="E921" s="76"/>
      <c r="F921" s="77"/>
      <c r="G921" s="76"/>
      <c r="H921" s="76"/>
      <c r="I921" s="76"/>
      <c r="J921" s="76"/>
      <c r="K921" s="76"/>
      <c r="L921" s="76"/>
      <c r="M921" s="76"/>
      <c r="N921" s="76"/>
      <c r="O921" s="76"/>
      <c r="P921" s="76"/>
      <c r="Q921" s="76"/>
      <c r="R921" s="76"/>
      <c r="S921" s="76"/>
      <c r="T921" s="76"/>
      <c r="U921" s="76"/>
      <c r="V921" s="76"/>
      <c r="W921" s="76"/>
      <c r="X921" s="76"/>
      <c r="Y921" s="76"/>
      <c r="Z921" s="76"/>
      <c r="AA921" s="79"/>
      <c r="AB921" s="79"/>
      <c r="AC921" s="79"/>
      <c r="AD921" s="79"/>
      <c r="AE921" s="79"/>
      <c r="AF921" s="79"/>
      <c r="AG921" s="79"/>
      <c r="AH921" s="79"/>
      <c r="AI921" s="79"/>
      <c r="AJ921" s="79"/>
      <c r="AK921" s="79"/>
    </row>
    <row r="922" spans="1:37" s="78" customFormat="1" ht="12" customHeight="1">
      <c r="A922" s="76"/>
      <c r="B922" s="76"/>
      <c r="C922" s="76"/>
      <c r="D922" s="76"/>
      <c r="E922" s="76"/>
      <c r="F922" s="77"/>
      <c r="G922" s="76"/>
      <c r="H922" s="76"/>
      <c r="I922" s="76"/>
      <c r="J922" s="76"/>
      <c r="K922" s="76"/>
      <c r="L922" s="76"/>
      <c r="M922" s="76"/>
      <c r="N922" s="76"/>
      <c r="O922" s="76"/>
      <c r="P922" s="76"/>
      <c r="Q922" s="76"/>
      <c r="R922" s="76"/>
      <c r="S922" s="76"/>
      <c r="T922" s="76"/>
      <c r="U922" s="76"/>
      <c r="V922" s="76"/>
      <c r="W922" s="76"/>
      <c r="X922" s="76"/>
      <c r="Y922" s="76"/>
      <c r="Z922" s="76"/>
      <c r="AA922" s="79"/>
      <c r="AB922" s="79"/>
      <c r="AC922" s="79"/>
      <c r="AD922" s="79"/>
      <c r="AE922" s="79"/>
      <c r="AF922" s="79"/>
      <c r="AG922" s="79"/>
      <c r="AH922" s="79"/>
      <c r="AI922" s="79"/>
      <c r="AJ922" s="79"/>
      <c r="AK922" s="79"/>
    </row>
    <row r="923" spans="1:37" s="78" customFormat="1" ht="12" customHeight="1">
      <c r="A923" s="76"/>
      <c r="B923" s="76"/>
      <c r="C923" s="76"/>
      <c r="D923" s="76"/>
      <c r="E923" s="76"/>
      <c r="F923" s="77"/>
      <c r="G923" s="76"/>
      <c r="H923" s="76"/>
      <c r="I923" s="76"/>
      <c r="J923" s="76"/>
      <c r="K923" s="76"/>
      <c r="L923" s="76"/>
      <c r="M923" s="76"/>
      <c r="N923" s="76"/>
      <c r="O923" s="76"/>
      <c r="P923" s="76"/>
      <c r="Q923" s="76"/>
      <c r="R923" s="76"/>
      <c r="S923" s="76"/>
      <c r="T923" s="76"/>
      <c r="U923" s="76"/>
      <c r="V923" s="76"/>
      <c r="W923" s="76"/>
      <c r="X923" s="76"/>
      <c r="Y923" s="76"/>
      <c r="Z923" s="76"/>
      <c r="AA923" s="79"/>
      <c r="AB923" s="79"/>
      <c r="AC923" s="79"/>
      <c r="AD923" s="79"/>
      <c r="AE923" s="79"/>
      <c r="AF923" s="79"/>
      <c r="AG923" s="79"/>
      <c r="AH923" s="79"/>
      <c r="AI923" s="79"/>
      <c r="AJ923" s="79"/>
      <c r="AK923" s="79"/>
    </row>
    <row r="924" spans="1:37" s="78" customFormat="1" ht="12" customHeight="1">
      <c r="A924" s="76"/>
      <c r="B924" s="76"/>
      <c r="C924" s="76"/>
      <c r="D924" s="76"/>
      <c r="E924" s="76"/>
      <c r="F924" s="77"/>
      <c r="G924" s="76"/>
      <c r="H924" s="76"/>
      <c r="I924" s="76"/>
      <c r="J924" s="76"/>
      <c r="K924" s="76"/>
      <c r="L924" s="76"/>
      <c r="M924" s="76"/>
      <c r="N924" s="76"/>
      <c r="O924" s="76"/>
      <c r="P924" s="76"/>
      <c r="Q924" s="76"/>
      <c r="R924" s="76"/>
      <c r="S924" s="76"/>
      <c r="T924" s="76"/>
      <c r="U924" s="76"/>
      <c r="V924" s="76"/>
      <c r="W924" s="76"/>
      <c r="X924" s="76"/>
      <c r="Y924" s="76"/>
      <c r="Z924" s="76"/>
      <c r="AA924" s="79"/>
      <c r="AB924" s="79"/>
      <c r="AC924" s="79"/>
      <c r="AD924" s="79"/>
      <c r="AE924" s="79"/>
      <c r="AF924" s="79"/>
      <c r="AG924" s="79"/>
      <c r="AH924" s="79"/>
      <c r="AI924" s="79"/>
      <c r="AJ924" s="79"/>
      <c r="AK924" s="79"/>
    </row>
    <row r="925" spans="1:37" s="78" customFormat="1" ht="12" customHeight="1">
      <c r="A925" s="76"/>
      <c r="B925" s="76"/>
      <c r="C925" s="76"/>
      <c r="D925" s="76"/>
      <c r="E925" s="76"/>
      <c r="F925" s="77"/>
      <c r="G925" s="76"/>
      <c r="H925" s="76"/>
      <c r="I925" s="76"/>
      <c r="J925" s="76"/>
      <c r="K925" s="76"/>
      <c r="L925" s="76"/>
      <c r="M925" s="76"/>
      <c r="N925" s="76"/>
      <c r="O925" s="76"/>
      <c r="P925" s="76"/>
      <c r="Q925" s="76"/>
      <c r="R925" s="76"/>
      <c r="S925" s="76"/>
      <c r="T925" s="76"/>
      <c r="U925" s="76"/>
      <c r="V925" s="76"/>
      <c r="W925" s="76"/>
      <c r="X925" s="76"/>
      <c r="Y925" s="76"/>
      <c r="Z925" s="76"/>
      <c r="AA925" s="79"/>
      <c r="AB925" s="79"/>
      <c r="AC925" s="79"/>
      <c r="AD925" s="79"/>
      <c r="AE925" s="79"/>
      <c r="AF925" s="79"/>
      <c r="AG925" s="79"/>
      <c r="AH925" s="79"/>
      <c r="AI925" s="79"/>
      <c r="AJ925" s="79"/>
      <c r="AK925" s="79"/>
    </row>
    <row r="926" spans="1:37" s="78" customFormat="1" ht="12" customHeight="1">
      <c r="A926" s="76"/>
      <c r="B926" s="76"/>
      <c r="C926" s="76"/>
      <c r="D926" s="76"/>
      <c r="E926" s="76"/>
      <c r="F926" s="77"/>
      <c r="G926" s="76"/>
      <c r="H926" s="76"/>
      <c r="I926" s="76"/>
      <c r="J926" s="76"/>
      <c r="K926" s="76"/>
      <c r="L926" s="76"/>
      <c r="M926" s="76"/>
      <c r="N926" s="76"/>
      <c r="O926" s="76"/>
      <c r="P926" s="76"/>
      <c r="Q926" s="76"/>
      <c r="R926" s="76"/>
      <c r="S926" s="76"/>
      <c r="T926" s="76"/>
      <c r="U926" s="76"/>
      <c r="V926" s="76"/>
      <c r="W926" s="76"/>
      <c r="X926" s="76"/>
      <c r="Y926" s="76"/>
      <c r="Z926" s="76"/>
      <c r="AA926" s="79"/>
      <c r="AB926" s="79"/>
      <c r="AC926" s="79"/>
      <c r="AD926" s="79"/>
      <c r="AE926" s="79"/>
      <c r="AF926" s="79"/>
      <c r="AG926" s="79"/>
      <c r="AH926" s="79"/>
      <c r="AI926" s="79"/>
      <c r="AJ926" s="79"/>
      <c r="AK926" s="79"/>
    </row>
    <row r="927" spans="1:37" s="78" customFormat="1" ht="12" customHeight="1">
      <c r="A927" s="76"/>
      <c r="B927" s="76"/>
      <c r="C927" s="76"/>
      <c r="D927" s="76"/>
      <c r="E927" s="76"/>
      <c r="F927" s="77"/>
      <c r="G927" s="76"/>
      <c r="H927" s="76"/>
      <c r="I927" s="76"/>
      <c r="J927" s="76"/>
      <c r="K927" s="76"/>
      <c r="L927" s="76"/>
      <c r="M927" s="76"/>
      <c r="N927" s="76"/>
      <c r="O927" s="76"/>
      <c r="P927" s="76"/>
      <c r="Q927" s="76"/>
      <c r="R927" s="76"/>
      <c r="S927" s="76"/>
      <c r="T927" s="76"/>
      <c r="U927" s="76"/>
      <c r="V927" s="76"/>
      <c r="W927" s="76"/>
      <c r="X927" s="76"/>
      <c r="Y927" s="76"/>
      <c r="Z927" s="76"/>
      <c r="AA927" s="79"/>
      <c r="AB927" s="79"/>
      <c r="AC927" s="79"/>
      <c r="AD927" s="79"/>
      <c r="AE927" s="79"/>
      <c r="AF927" s="79"/>
      <c r="AG927" s="79"/>
      <c r="AH927" s="79"/>
      <c r="AI927" s="79"/>
      <c r="AJ927" s="79"/>
      <c r="AK927" s="79"/>
    </row>
    <row r="928" spans="1:37" s="78" customFormat="1" ht="12" customHeight="1">
      <c r="A928" s="76"/>
      <c r="B928" s="76"/>
      <c r="C928" s="76"/>
      <c r="D928" s="76"/>
      <c r="E928" s="76"/>
      <c r="F928" s="77"/>
      <c r="G928" s="76"/>
      <c r="H928" s="76"/>
      <c r="I928" s="76"/>
      <c r="J928" s="76"/>
      <c r="K928" s="76"/>
      <c r="L928" s="76"/>
      <c r="M928" s="76"/>
      <c r="N928" s="76"/>
      <c r="O928" s="76"/>
      <c r="P928" s="76"/>
      <c r="Q928" s="76"/>
      <c r="R928" s="76"/>
      <c r="S928" s="76"/>
      <c r="T928" s="76"/>
      <c r="U928" s="76"/>
      <c r="V928" s="76"/>
      <c r="W928" s="76"/>
      <c r="X928" s="76"/>
      <c r="Y928" s="76"/>
      <c r="Z928" s="76"/>
      <c r="AA928" s="79"/>
      <c r="AB928" s="79"/>
      <c r="AC928" s="79"/>
      <c r="AD928" s="79"/>
      <c r="AE928" s="79"/>
      <c r="AF928" s="79"/>
      <c r="AG928" s="79"/>
      <c r="AH928" s="79"/>
      <c r="AI928" s="79"/>
      <c r="AJ928" s="79"/>
      <c r="AK928" s="79"/>
    </row>
    <row r="929" spans="1:37" s="78" customFormat="1" ht="12" customHeight="1">
      <c r="A929" s="76"/>
      <c r="B929" s="76"/>
      <c r="C929" s="76"/>
      <c r="D929" s="76"/>
      <c r="E929" s="76"/>
      <c r="F929" s="77"/>
      <c r="G929" s="76"/>
      <c r="H929" s="76"/>
      <c r="I929" s="76"/>
      <c r="J929" s="76"/>
      <c r="K929" s="76"/>
      <c r="L929" s="76"/>
      <c r="M929" s="76"/>
      <c r="N929" s="76"/>
      <c r="O929" s="76"/>
      <c r="P929" s="76"/>
      <c r="Q929" s="76"/>
      <c r="R929" s="76"/>
      <c r="S929" s="76"/>
      <c r="T929" s="76"/>
      <c r="U929" s="76"/>
      <c r="V929" s="76"/>
      <c r="W929" s="76"/>
      <c r="X929" s="76"/>
      <c r="Y929" s="76"/>
      <c r="Z929" s="76"/>
      <c r="AA929" s="79"/>
      <c r="AB929" s="79"/>
      <c r="AC929" s="79"/>
      <c r="AD929" s="79"/>
      <c r="AE929" s="79"/>
      <c r="AF929" s="79"/>
      <c r="AG929" s="79"/>
      <c r="AH929" s="79"/>
      <c r="AI929" s="79"/>
      <c r="AJ929" s="79"/>
      <c r="AK929" s="79"/>
    </row>
    <row r="930" spans="1:37" s="78" customFormat="1" ht="12" customHeight="1">
      <c r="A930" s="76"/>
      <c r="B930" s="76"/>
      <c r="C930" s="76"/>
      <c r="D930" s="76"/>
      <c r="E930" s="76"/>
      <c r="F930" s="77"/>
      <c r="G930" s="76"/>
      <c r="H930" s="76"/>
      <c r="I930" s="76"/>
      <c r="J930" s="76"/>
      <c r="K930" s="76"/>
      <c r="L930" s="76"/>
      <c r="M930" s="76"/>
      <c r="N930" s="76"/>
      <c r="O930" s="76"/>
      <c r="P930" s="76"/>
      <c r="Q930" s="76"/>
      <c r="R930" s="76"/>
      <c r="S930" s="76"/>
      <c r="T930" s="76"/>
      <c r="U930" s="76"/>
      <c r="V930" s="76"/>
      <c r="W930" s="76"/>
      <c r="X930" s="76"/>
      <c r="Y930" s="76"/>
      <c r="Z930" s="76"/>
      <c r="AA930" s="79"/>
      <c r="AB930" s="79"/>
      <c r="AC930" s="79"/>
      <c r="AD930" s="79"/>
      <c r="AE930" s="79"/>
      <c r="AF930" s="79"/>
      <c r="AG930" s="79"/>
      <c r="AH930" s="79"/>
      <c r="AI930" s="79"/>
      <c r="AJ930" s="79"/>
      <c r="AK930" s="79"/>
    </row>
    <row r="931" spans="1:37" s="78" customFormat="1" ht="12" customHeight="1">
      <c r="A931" s="76"/>
      <c r="B931" s="76"/>
      <c r="C931" s="76"/>
      <c r="D931" s="76"/>
      <c r="E931" s="76"/>
      <c r="F931" s="77"/>
      <c r="G931" s="76"/>
      <c r="H931" s="76"/>
      <c r="I931" s="76"/>
      <c r="J931" s="76"/>
      <c r="K931" s="76"/>
      <c r="L931" s="76"/>
      <c r="M931" s="76"/>
      <c r="N931" s="76"/>
      <c r="O931" s="76"/>
      <c r="P931" s="76"/>
      <c r="Q931" s="76"/>
      <c r="R931" s="76"/>
      <c r="S931" s="76"/>
      <c r="T931" s="76"/>
      <c r="U931" s="76"/>
      <c r="V931" s="76"/>
      <c r="W931" s="76"/>
      <c r="X931" s="76"/>
      <c r="Y931" s="76"/>
      <c r="Z931" s="76"/>
      <c r="AA931" s="79"/>
      <c r="AB931" s="79"/>
      <c r="AC931" s="79"/>
      <c r="AD931" s="79"/>
      <c r="AE931" s="79"/>
      <c r="AF931" s="79"/>
      <c r="AG931" s="79"/>
      <c r="AH931" s="79"/>
      <c r="AI931" s="79"/>
      <c r="AJ931" s="79"/>
      <c r="AK931" s="79"/>
    </row>
    <row r="932" spans="1:37" s="78" customFormat="1" ht="12" customHeight="1">
      <c r="A932" s="76"/>
      <c r="B932" s="76"/>
      <c r="C932" s="76"/>
      <c r="D932" s="76"/>
      <c r="E932" s="76"/>
      <c r="F932" s="77"/>
      <c r="G932" s="76"/>
      <c r="H932" s="76"/>
      <c r="I932" s="76"/>
      <c r="J932" s="76"/>
      <c r="K932" s="76"/>
      <c r="L932" s="76"/>
      <c r="M932" s="76"/>
      <c r="N932" s="76"/>
      <c r="O932" s="76"/>
      <c r="P932" s="76"/>
      <c r="Q932" s="76"/>
      <c r="R932" s="76"/>
      <c r="S932" s="76"/>
      <c r="T932" s="76"/>
      <c r="U932" s="76"/>
      <c r="V932" s="76"/>
      <c r="W932" s="76"/>
      <c r="X932" s="76"/>
      <c r="Y932" s="76"/>
      <c r="Z932" s="76"/>
      <c r="AA932" s="79"/>
      <c r="AB932" s="79"/>
      <c r="AC932" s="79"/>
      <c r="AD932" s="79"/>
      <c r="AE932" s="79"/>
      <c r="AF932" s="79"/>
      <c r="AG932" s="79"/>
      <c r="AH932" s="79"/>
      <c r="AI932" s="79"/>
      <c r="AJ932" s="79"/>
      <c r="AK932" s="79"/>
    </row>
    <row r="933" spans="1:37" s="78" customFormat="1" ht="12" customHeight="1">
      <c r="A933" s="76"/>
      <c r="B933" s="76"/>
      <c r="C933" s="76"/>
      <c r="D933" s="76"/>
      <c r="E933" s="76"/>
      <c r="F933" s="77"/>
      <c r="G933" s="76"/>
      <c r="H933" s="76"/>
      <c r="I933" s="76"/>
      <c r="J933" s="76"/>
      <c r="K933" s="76"/>
      <c r="L933" s="76"/>
      <c r="M933" s="76"/>
      <c r="N933" s="76"/>
      <c r="O933" s="76"/>
      <c r="P933" s="76"/>
      <c r="Q933" s="76"/>
      <c r="R933" s="76"/>
      <c r="S933" s="76"/>
      <c r="T933" s="76"/>
      <c r="U933" s="76"/>
      <c r="V933" s="76"/>
      <c r="W933" s="76"/>
      <c r="X933" s="76"/>
      <c r="Y933" s="76"/>
      <c r="Z933" s="76"/>
      <c r="AA933" s="79"/>
      <c r="AB933" s="79"/>
      <c r="AC933" s="79"/>
      <c r="AD933" s="79"/>
      <c r="AE933" s="79"/>
      <c r="AF933" s="79"/>
      <c r="AG933" s="79"/>
      <c r="AH933" s="79"/>
      <c r="AI933" s="79"/>
      <c r="AJ933" s="79"/>
      <c r="AK933" s="79"/>
    </row>
    <row r="934" spans="1:37" s="78" customFormat="1" ht="12" customHeight="1">
      <c r="A934" s="76"/>
      <c r="B934" s="76"/>
      <c r="C934" s="76"/>
      <c r="D934" s="76"/>
      <c r="E934" s="76"/>
      <c r="F934" s="77"/>
      <c r="G934" s="76"/>
      <c r="H934" s="76"/>
      <c r="I934" s="76"/>
      <c r="J934" s="76"/>
      <c r="K934" s="76"/>
      <c r="L934" s="76"/>
      <c r="M934" s="76"/>
      <c r="N934" s="76"/>
      <c r="O934" s="76"/>
      <c r="P934" s="76"/>
      <c r="Q934" s="76"/>
      <c r="R934" s="76"/>
      <c r="S934" s="76"/>
      <c r="T934" s="76"/>
      <c r="U934" s="76"/>
      <c r="V934" s="76"/>
      <c r="W934" s="76"/>
      <c r="X934" s="76"/>
      <c r="Y934" s="76"/>
      <c r="Z934" s="76"/>
      <c r="AA934" s="79"/>
      <c r="AB934" s="79"/>
      <c r="AC934" s="79"/>
      <c r="AD934" s="79"/>
      <c r="AE934" s="79"/>
      <c r="AF934" s="79"/>
      <c r="AG934" s="79"/>
      <c r="AH934" s="79"/>
      <c r="AI934" s="79"/>
      <c r="AJ934" s="79"/>
      <c r="AK934" s="79"/>
    </row>
    <row r="935" spans="1:37" s="78" customFormat="1" ht="12" customHeight="1">
      <c r="A935" s="76"/>
      <c r="B935" s="76"/>
      <c r="C935" s="76"/>
      <c r="D935" s="76"/>
      <c r="E935" s="76"/>
      <c r="F935" s="77"/>
      <c r="G935" s="76"/>
      <c r="H935" s="76"/>
      <c r="I935" s="76"/>
      <c r="J935" s="76"/>
      <c r="K935" s="76"/>
      <c r="L935" s="76"/>
      <c r="M935" s="76"/>
      <c r="N935" s="76"/>
      <c r="O935" s="76"/>
      <c r="P935" s="76"/>
      <c r="Q935" s="76"/>
      <c r="R935" s="76"/>
      <c r="S935" s="76"/>
      <c r="T935" s="76"/>
      <c r="U935" s="76"/>
      <c r="V935" s="76"/>
      <c r="W935" s="76"/>
      <c r="X935" s="76"/>
      <c r="Y935" s="76"/>
      <c r="Z935" s="76"/>
      <c r="AA935" s="79"/>
      <c r="AB935" s="79"/>
      <c r="AC935" s="79"/>
      <c r="AD935" s="79"/>
      <c r="AE935" s="79"/>
      <c r="AF935" s="79"/>
      <c r="AG935" s="79"/>
      <c r="AH935" s="79"/>
      <c r="AI935" s="79"/>
      <c r="AJ935" s="79"/>
      <c r="AK935" s="79"/>
    </row>
    <row r="936" spans="1:37" s="78" customFormat="1" ht="12" customHeight="1">
      <c r="A936" s="76"/>
      <c r="B936" s="76"/>
      <c r="C936" s="76"/>
      <c r="D936" s="76"/>
      <c r="E936" s="76"/>
      <c r="F936" s="77"/>
      <c r="G936" s="76"/>
      <c r="H936" s="76"/>
      <c r="I936" s="76"/>
      <c r="J936" s="76"/>
      <c r="K936" s="76"/>
      <c r="L936" s="76"/>
      <c r="M936" s="76"/>
      <c r="N936" s="76"/>
      <c r="O936" s="76"/>
      <c r="P936" s="76"/>
      <c r="Q936" s="76"/>
      <c r="R936" s="76"/>
      <c r="S936" s="76"/>
      <c r="T936" s="76"/>
      <c r="U936" s="76"/>
      <c r="V936" s="76"/>
      <c r="W936" s="76"/>
      <c r="X936" s="76"/>
      <c r="Y936" s="76"/>
      <c r="Z936" s="76"/>
      <c r="AA936" s="79"/>
      <c r="AB936" s="79"/>
      <c r="AC936" s="79"/>
      <c r="AD936" s="79"/>
      <c r="AE936" s="79"/>
      <c r="AF936" s="79"/>
      <c r="AG936" s="79"/>
      <c r="AH936" s="79"/>
      <c r="AI936" s="79"/>
      <c r="AJ936" s="79"/>
      <c r="AK936" s="79"/>
    </row>
    <row r="937" spans="1:37" s="78" customFormat="1" ht="12" customHeight="1">
      <c r="A937" s="76"/>
      <c r="B937" s="76"/>
      <c r="C937" s="76"/>
      <c r="D937" s="76"/>
      <c r="E937" s="76"/>
      <c r="F937" s="77"/>
      <c r="G937" s="76"/>
      <c r="H937" s="76"/>
      <c r="I937" s="76"/>
      <c r="J937" s="76"/>
      <c r="K937" s="76"/>
      <c r="L937" s="76"/>
      <c r="M937" s="76"/>
      <c r="N937" s="76"/>
      <c r="O937" s="76"/>
      <c r="P937" s="76"/>
      <c r="Q937" s="76"/>
      <c r="R937" s="76"/>
      <c r="S937" s="76"/>
      <c r="T937" s="76"/>
      <c r="U937" s="76"/>
      <c r="V937" s="76"/>
      <c r="W937" s="76"/>
      <c r="X937" s="76"/>
      <c r="Y937" s="76"/>
      <c r="Z937" s="76"/>
      <c r="AA937" s="79"/>
      <c r="AB937" s="79"/>
      <c r="AC937" s="79"/>
      <c r="AD937" s="79"/>
      <c r="AE937" s="79"/>
      <c r="AF937" s="79"/>
      <c r="AG937" s="79"/>
      <c r="AH937" s="79"/>
      <c r="AI937" s="79"/>
      <c r="AJ937" s="79"/>
      <c r="AK937" s="79"/>
    </row>
    <row r="938" spans="1:37" s="78" customFormat="1" ht="12" customHeight="1">
      <c r="A938" s="76"/>
      <c r="B938" s="76"/>
      <c r="C938" s="76"/>
      <c r="D938" s="76"/>
      <c r="E938" s="76"/>
      <c r="F938" s="77"/>
      <c r="G938" s="76"/>
      <c r="H938" s="76"/>
      <c r="I938" s="76"/>
      <c r="J938" s="76"/>
      <c r="K938" s="76"/>
      <c r="L938" s="76"/>
      <c r="M938" s="76"/>
      <c r="N938" s="76"/>
      <c r="O938" s="76"/>
      <c r="P938" s="76"/>
      <c r="Q938" s="76"/>
      <c r="R938" s="76"/>
      <c r="S938" s="76"/>
      <c r="T938" s="76"/>
      <c r="U938" s="76"/>
      <c r="V938" s="76"/>
      <c r="W938" s="76"/>
      <c r="X938" s="76"/>
      <c r="Y938" s="76"/>
      <c r="Z938" s="76"/>
      <c r="AA938" s="79"/>
      <c r="AB938" s="79"/>
      <c r="AC938" s="79"/>
      <c r="AD938" s="79"/>
      <c r="AE938" s="79"/>
      <c r="AF938" s="79"/>
      <c r="AG938" s="79"/>
      <c r="AH938" s="79"/>
      <c r="AI938" s="79"/>
      <c r="AJ938" s="79"/>
      <c r="AK938" s="79"/>
    </row>
    <row r="939" spans="1:37" s="78" customFormat="1" ht="12" customHeight="1">
      <c r="A939" s="76"/>
      <c r="B939" s="76"/>
      <c r="C939" s="76"/>
      <c r="D939" s="76"/>
      <c r="E939" s="76"/>
      <c r="F939" s="77"/>
      <c r="G939" s="76"/>
      <c r="H939" s="76"/>
      <c r="I939" s="76"/>
      <c r="J939" s="76"/>
      <c r="K939" s="76"/>
      <c r="L939" s="76"/>
      <c r="M939" s="76"/>
      <c r="N939" s="76"/>
      <c r="O939" s="76"/>
      <c r="P939" s="76"/>
      <c r="Q939" s="76"/>
      <c r="R939" s="76"/>
      <c r="S939" s="76"/>
      <c r="T939" s="76"/>
      <c r="U939" s="76"/>
      <c r="V939" s="76"/>
      <c r="W939" s="76"/>
      <c r="X939" s="76"/>
      <c r="Y939" s="76"/>
      <c r="Z939" s="76"/>
      <c r="AA939" s="79"/>
      <c r="AB939" s="79"/>
      <c r="AC939" s="79"/>
      <c r="AD939" s="79"/>
      <c r="AE939" s="79"/>
      <c r="AF939" s="79"/>
      <c r="AG939" s="79"/>
      <c r="AH939" s="79"/>
      <c r="AI939" s="79"/>
      <c r="AJ939" s="79"/>
      <c r="AK939" s="79"/>
    </row>
    <row r="940" spans="1:37" s="78" customFormat="1" ht="12" customHeight="1">
      <c r="A940" s="76"/>
      <c r="B940" s="76"/>
      <c r="C940" s="76"/>
      <c r="D940" s="76"/>
      <c r="E940" s="76"/>
      <c r="F940" s="77"/>
      <c r="G940" s="76"/>
      <c r="H940" s="76"/>
      <c r="I940" s="76"/>
      <c r="J940" s="76"/>
      <c r="K940" s="76"/>
      <c r="L940" s="76"/>
      <c r="M940" s="76"/>
      <c r="N940" s="76"/>
      <c r="O940" s="76"/>
      <c r="P940" s="76"/>
      <c r="Q940" s="76"/>
      <c r="R940" s="76"/>
      <c r="S940" s="76"/>
      <c r="T940" s="76"/>
      <c r="U940" s="76"/>
      <c r="V940" s="76"/>
      <c r="W940" s="76"/>
      <c r="X940" s="76"/>
      <c r="Y940" s="76"/>
      <c r="Z940" s="76"/>
      <c r="AA940" s="79"/>
      <c r="AB940" s="79"/>
      <c r="AC940" s="79"/>
      <c r="AD940" s="79"/>
      <c r="AE940" s="79"/>
      <c r="AF940" s="79"/>
      <c r="AG940" s="79"/>
      <c r="AH940" s="79"/>
      <c r="AI940" s="79"/>
      <c r="AJ940" s="79"/>
      <c r="AK940" s="79"/>
    </row>
    <row r="941" spans="1:37" s="78" customFormat="1" ht="12" customHeight="1">
      <c r="A941" s="76"/>
      <c r="B941" s="76"/>
      <c r="C941" s="76"/>
      <c r="D941" s="76"/>
      <c r="E941" s="76"/>
      <c r="F941" s="77"/>
      <c r="G941" s="76"/>
      <c r="H941" s="76"/>
      <c r="I941" s="76"/>
      <c r="J941" s="76"/>
      <c r="K941" s="76"/>
      <c r="L941" s="76"/>
      <c r="M941" s="76"/>
      <c r="N941" s="76"/>
      <c r="O941" s="76"/>
      <c r="P941" s="76"/>
      <c r="Q941" s="76"/>
      <c r="R941" s="76"/>
      <c r="S941" s="76"/>
      <c r="T941" s="76"/>
      <c r="U941" s="76"/>
      <c r="V941" s="76"/>
      <c r="W941" s="76"/>
      <c r="X941" s="76"/>
      <c r="Y941" s="76"/>
      <c r="Z941" s="76"/>
      <c r="AA941" s="79"/>
      <c r="AB941" s="79"/>
      <c r="AC941" s="79"/>
      <c r="AD941" s="79"/>
      <c r="AE941" s="79"/>
      <c r="AF941" s="79"/>
      <c r="AG941" s="79"/>
      <c r="AH941" s="79"/>
      <c r="AI941" s="79"/>
      <c r="AJ941" s="79"/>
      <c r="AK941" s="79"/>
    </row>
    <row r="942" spans="1:37" s="78" customFormat="1" ht="12" customHeight="1">
      <c r="A942" s="76"/>
      <c r="B942" s="76"/>
      <c r="C942" s="76"/>
      <c r="D942" s="76"/>
      <c r="E942" s="76"/>
      <c r="F942" s="77"/>
      <c r="G942" s="76"/>
      <c r="H942" s="76"/>
      <c r="I942" s="76"/>
      <c r="J942" s="76"/>
      <c r="K942" s="76"/>
      <c r="L942" s="76"/>
      <c r="M942" s="76"/>
      <c r="N942" s="76"/>
      <c r="O942" s="76"/>
      <c r="P942" s="76"/>
      <c r="Q942" s="76"/>
      <c r="R942" s="76"/>
      <c r="S942" s="76"/>
      <c r="T942" s="76"/>
      <c r="U942" s="76"/>
      <c r="V942" s="76"/>
      <c r="W942" s="76"/>
      <c r="X942" s="76"/>
      <c r="Y942" s="76"/>
      <c r="Z942" s="76"/>
      <c r="AA942" s="79"/>
      <c r="AB942" s="79"/>
      <c r="AC942" s="79"/>
      <c r="AD942" s="79"/>
      <c r="AE942" s="79"/>
      <c r="AF942" s="79"/>
      <c r="AG942" s="79"/>
      <c r="AH942" s="79"/>
      <c r="AI942" s="79"/>
      <c r="AJ942" s="79"/>
      <c r="AK942" s="79"/>
    </row>
    <row r="943" spans="1:37" s="78" customFormat="1" ht="12" customHeight="1">
      <c r="A943" s="76"/>
      <c r="B943" s="76"/>
      <c r="C943" s="76"/>
      <c r="D943" s="76"/>
      <c r="E943" s="76"/>
      <c r="F943" s="77"/>
      <c r="G943" s="76"/>
      <c r="H943" s="76"/>
      <c r="I943" s="76"/>
      <c r="J943" s="76"/>
      <c r="K943" s="76"/>
      <c r="L943" s="76"/>
      <c r="M943" s="76"/>
      <c r="N943" s="76"/>
      <c r="O943" s="76"/>
      <c r="P943" s="76"/>
      <c r="Q943" s="76"/>
      <c r="R943" s="76"/>
      <c r="S943" s="76"/>
      <c r="T943" s="76"/>
      <c r="U943" s="76"/>
      <c r="V943" s="76"/>
      <c r="W943" s="76"/>
      <c r="X943" s="76"/>
      <c r="Y943" s="76"/>
      <c r="Z943" s="76"/>
      <c r="AA943" s="79"/>
      <c r="AB943" s="79"/>
      <c r="AC943" s="79"/>
      <c r="AD943" s="79"/>
      <c r="AE943" s="79"/>
      <c r="AF943" s="79"/>
      <c r="AG943" s="79"/>
      <c r="AH943" s="79"/>
      <c r="AI943" s="79"/>
      <c r="AJ943" s="79"/>
      <c r="AK943" s="79"/>
    </row>
    <row r="944" spans="1:37" s="78" customFormat="1" ht="12" customHeight="1">
      <c r="A944" s="76"/>
      <c r="B944" s="76"/>
      <c r="C944" s="76"/>
      <c r="D944" s="76"/>
      <c r="E944" s="76"/>
      <c r="F944" s="77"/>
      <c r="G944" s="76"/>
      <c r="H944" s="76"/>
      <c r="I944" s="76"/>
      <c r="J944" s="76"/>
      <c r="K944" s="76"/>
      <c r="L944" s="76"/>
      <c r="M944" s="76"/>
      <c r="N944" s="76"/>
      <c r="O944" s="76"/>
      <c r="P944" s="76"/>
      <c r="Q944" s="76"/>
      <c r="R944" s="76"/>
      <c r="S944" s="76"/>
      <c r="T944" s="76"/>
      <c r="U944" s="76"/>
      <c r="V944" s="76"/>
      <c r="W944" s="76"/>
      <c r="X944" s="76"/>
      <c r="Y944" s="76"/>
      <c r="Z944" s="76"/>
      <c r="AA944" s="79"/>
      <c r="AB944" s="79"/>
      <c r="AC944" s="79"/>
      <c r="AD944" s="79"/>
      <c r="AE944" s="79"/>
      <c r="AF944" s="79"/>
      <c r="AG944" s="79"/>
      <c r="AH944" s="79"/>
      <c r="AI944" s="79"/>
      <c r="AJ944" s="79"/>
      <c r="AK944" s="79"/>
    </row>
    <row r="945" spans="1:37" s="78" customFormat="1" ht="12" customHeight="1">
      <c r="A945" s="76"/>
      <c r="B945" s="76"/>
      <c r="C945" s="76"/>
      <c r="D945" s="76"/>
      <c r="E945" s="76"/>
      <c r="F945" s="77"/>
      <c r="G945" s="76"/>
      <c r="H945" s="76"/>
      <c r="I945" s="76"/>
      <c r="J945" s="76"/>
      <c r="K945" s="76"/>
      <c r="L945" s="76"/>
      <c r="M945" s="76"/>
      <c r="N945" s="76"/>
      <c r="O945" s="76"/>
      <c r="P945" s="76"/>
      <c r="Q945" s="76"/>
      <c r="R945" s="76"/>
      <c r="S945" s="76"/>
      <c r="T945" s="76"/>
      <c r="U945" s="76"/>
      <c r="V945" s="76"/>
      <c r="W945" s="76"/>
      <c r="X945" s="76"/>
      <c r="Y945" s="76"/>
      <c r="Z945" s="76"/>
      <c r="AA945" s="79"/>
      <c r="AB945" s="79"/>
      <c r="AC945" s="79"/>
      <c r="AD945" s="79"/>
      <c r="AE945" s="79"/>
      <c r="AF945" s="79"/>
      <c r="AG945" s="79"/>
      <c r="AH945" s="79"/>
      <c r="AI945" s="79"/>
      <c r="AJ945" s="79"/>
      <c r="AK945" s="79"/>
    </row>
    <row r="946" spans="1:37" s="78" customFormat="1" ht="12" customHeight="1">
      <c r="A946" s="76"/>
      <c r="B946" s="76"/>
      <c r="C946" s="76"/>
      <c r="D946" s="76"/>
      <c r="E946" s="76"/>
      <c r="F946" s="77"/>
      <c r="G946" s="76"/>
      <c r="H946" s="76"/>
      <c r="I946" s="76"/>
      <c r="J946" s="76"/>
      <c r="K946" s="76"/>
      <c r="L946" s="76"/>
      <c r="M946" s="76"/>
      <c r="N946" s="76"/>
      <c r="O946" s="76"/>
      <c r="P946" s="76"/>
      <c r="Q946" s="76"/>
      <c r="R946" s="76"/>
      <c r="S946" s="76"/>
      <c r="T946" s="76"/>
      <c r="U946" s="76"/>
      <c r="V946" s="76"/>
      <c r="W946" s="76"/>
      <c r="X946" s="76"/>
      <c r="Y946" s="76"/>
      <c r="Z946" s="76"/>
      <c r="AA946" s="79"/>
      <c r="AB946" s="79"/>
      <c r="AC946" s="79"/>
      <c r="AD946" s="79"/>
      <c r="AE946" s="79"/>
      <c r="AF946" s="79"/>
      <c r="AG946" s="79"/>
      <c r="AH946" s="79"/>
      <c r="AI946" s="79"/>
      <c r="AJ946" s="79"/>
      <c r="AK946" s="79"/>
    </row>
    <row r="947" spans="1:37" s="78" customFormat="1" ht="12" customHeight="1">
      <c r="A947" s="76"/>
      <c r="B947" s="76"/>
      <c r="C947" s="76"/>
      <c r="D947" s="76"/>
      <c r="E947" s="76"/>
      <c r="F947" s="77"/>
      <c r="G947" s="76"/>
      <c r="H947" s="76"/>
      <c r="I947" s="76"/>
      <c r="J947" s="76"/>
      <c r="K947" s="76"/>
      <c r="L947" s="76"/>
      <c r="M947" s="76"/>
      <c r="N947" s="76"/>
      <c r="O947" s="76"/>
      <c r="P947" s="76"/>
      <c r="Q947" s="76"/>
      <c r="R947" s="76"/>
      <c r="S947" s="76"/>
      <c r="T947" s="76"/>
      <c r="U947" s="76"/>
      <c r="V947" s="76"/>
      <c r="W947" s="76"/>
      <c r="X947" s="76"/>
      <c r="Y947" s="76"/>
      <c r="Z947" s="76"/>
      <c r="AA947" s="79"/>
      <c r="AB947" s="79"/>
      <c r="AC947" s="79"/>
      <c r="AD947" s="79"/>
      <c r="AE947" s="79"/>
      <c r="AF947" s="79"/>
      <c r="AG947" s="79"/>
      <c r="AH947" s="79"/>
      <c r="AI947" s="79"/>
      <c r="AJ947" s="79"/>
      <c r="AK947" s="79"/>
    </row>
    <row r="948" spans="1:37" s="78" customFormat="1" ht="12" customHeight="1">
      <c r="A948" s="76"/>
      <c r="B948" s="76"/>
      <c r="C948" s="76"/>
      <c r="D948" s="76"/>
      <c r="E948" s="76"/>
      <c r="F948" s="77"/>
      <c r="G948" s="76"/>
      <c r="H948" s="76"/>
      <c r="I948" s="76"/>
      <c r="J948" s="76"/>
      <c r="K948" s="76"/>
      <c r="L948" s="76"/>
      <c r="M948" s="76"/>
      <c r="N948" s="76"/>
      <c r="O948" s="76"/>
      <c r="P948" s="76"/>
      <c r="Q948" s="76"/>
      <c r="R948" s="76"/>
      <c r="S948" s="76"/>
      <c r="T948" s="76"/>
      <c r="U948" s="76"/>
      <c r="V948" s="76"/>
      <c r="W948" s="76"/>
      <c r="X948" s="76"/>
      <c r="Y948" s="76"/>
      <c r="Z948" s="76"/>
      <c r="AA948" s="79"/>
      <c r="AB948" s="79"/>
      <c r="AC948" s="79"/>
      <c r="AD948" s="79"/>
      <c r="AE948" s="79"/>
      <c r="AF948" s="79"/>
      <c r="AG948" s="79"/>
      <c r="AH948" s="79"/>
      <c r="AI948" s="79"/>
      <c r="AJ948" s="79"/>
      <c r="AK948" s="79"/>
    </row>
    <row r="949" spans="1:37" s="78" customFormat="1" ht="12" customHeight="1">
      <c r="A949" s="76"/>
      <c r="B949" s="76"/>
      <c r="C949" s="76"/>
      <c r="D949" s="76"/>
      <c r="E949" s="76"/>
      <c r="F949" s="77"/>
      <c r="G949" s="76"/>
      <c r="H949" s="76"/>
      <c r="I949" s="76"/>
      <c r="J949" s="76"/>
      <c r="K949" s="76"/>
      <c r="L949" s="76"/>
      <c r="M949" s="76"/>
      <c r="N949" s="76"/>
      <c r="O949" s="76"/>
      <c r="P949" s="76"/>
      <c r="Q949" s="76"/>
      <c r="R949" s="76"/>
      <c r="S949" s="76"/>
      <c r="T949" s="76"/>
      <c r="U949" s="76"/>
      <c r="V949" s="76"/>
      <c r="W949" s="76"/>
      <c r="X949" s="76"/>
      <c r="Y949" s="76"/>
      <c r="Z949" s="76"/>
      <c r="AA949" s="79"/>
      <c r="AB949" s="79"/>
      <c r="AC949" s="79"/>
      <c r="AD949" s="79"/>
      <c r="AE949" s="79"/>
      <c r="AF949" s="79"/>
      <c r="AG949" s="79"/>
      <c r="AH949" s="79"/>
      <c r="AI949" s="79"/>
      <c r="AJ949" s="79"/>
      <c r="AK949" s="79"/>
    </row>
    <row r="950" spans="1:37" s="78" customFormat="1" ht="12" customHeight="1">
      <c r="A950" s="76"/>
      <c r="B950" s="76"/>
      <c r="C950" s="76"/>
      <c r="D950" s="76"/>
      <c r="E950" s="76"/>
      <c r="F950" s="77"/>
      <c r="G950" s="76"/>
      <c r="H950" s="76"/>
      <c r="I950" s="76"/>
      <c r="J950" s="76"/>
      <c r="K950" s="76"/>
      <c r="L950" s="76"/>
      <c r="M950" s="76"/>
      <c r="N950" s="76"/>
      <c r="O950" s="76"/>
      <c r="P950" s="76"/>
      <c r="Q950" s="76"/>
      <c r="R950" s="76"/>
      <c r="S950" s="76"/>
      <c r="T950" s="76"/>
      <c r="U950" s="76"/>
      <c r="V950" s="76"/>
      <c r="W950" s="76"/>
      <c r="X950" s="76"/>
      <c r="Y950" s="76"/>
      <c r="Z950" s="76"/>
      <c r="AA950" s="79"/>
      <c r="AB950" s="79"/>
      <c r="AC950" s="79"/>
      <c r="AD950" s="79"/>
      <c r="AE950" s="79"/>
      <c r="AF950" s="79"/>
      <c r="AG950" s="79"/>
      <c r="AH950" s="79"/>
      <c r="AI950" s="79"/>
      <c r="AJ950" s="79"/>
      <c r="AK950" s="79"/>
    </row>
    <row r="951" spans="1:37" s="78" customFormat="1" ht="12" customHeight="1">
      <c r="A951" s="76"/>
      <c r="B951" s="76"/>
      <c r="C951" s="76"/>
      <c r="D951" s="76"/>
      <c r="E951" s="76"/>
      <c r="F951" s="77"/>
      <c r="G951" s="76"/>
      <c r="H951" s="76"/>
      <c r="I951" s="76"/>
      <c r="J951" s="76"/>
      <c r="K951" s="76"/>
      <c r="L951" s="76"/>
      <c r="M951" s="76"/>
      <c r="N951" s="76"/>
      <c r="O951" s="76"/>
      <c r="P951" s="76"/>
      <c r="Q951" s="76"/>
      <c r="R951" s="76"/>
      <c r="S951" s="76"/>
      <c r="T951" s="76"/>
      <c r="U951" s="76"/>
      <c r="V951" s="76"/>
      <c r="W951" s="76"/>
      <c r="X951" s="76"/>
      <c r="Y951" s="76"/>
      <c r="Z951" s="76"/>
      <c r="AA951" s="79"/>
      <c r="AB951" s="79"/>
      <c r="AC951" s="79"/>
      <c r="AD951" s="79"/>
      <c r="AE951" s="79"/>
      <c r="AF951" s="79"/>
      <c r="AG951" s="79"/>
      <c r="AH951" s="79"/>
      <c r="AI951" s="79"/>
      <c r="AJ951" s="79"/>
      <c r="AK951" s="79"/>
    </row>
    <row r="952" spans="1:37" s="78" customFormat="1" ht="12" customHeight="1">
      <c r="A952" s="76"/>
      <c r="B952" s="76"/>
      <c r="C952" s="76"/>
      <c r="D952" s="76"/>
      <c r="E952" s="76"/>
      <c r="F952" s="77"/>
      <c r="G952" s="76"/>
      <c r="H952" s="76"/>
      <c r="I952" s="76"/>
      <c r="J952" s="76"/>
      <c r="K952" s="76"/>
      <c r="L952" s="76"/>
      <c r="M952" s="76"/>
      <c r="N952" s="76"/>
      <c r="O952" s="76"/>
      <c r="P952" s="76"/>
      <c r="Q952" s="76"/>
      <c r="R952" s="76"/>
      <c r="S952" s="76"/>
      <c r="T952" s="76"/>
      <c r="U952" s="76"/>
      <c r="V952" s="76"/>
      <c r="W952" s="76"/>
      <c r="X952" s="76"/>
      <c r="Y952" s="76"/>
      <c r="Z952" s="76"/>
      <c r="AA952" s="79"/>
      <c r="AB952" s="79"/>
      <c r="AC952" s="79"/>
      <c r="AD952" s="79"/>
      <c r="AE952" s="79"/>
      <c r="AF952" s="79"/>
      <c r="AG952" s="79"/>
      <c r="AH952" s="79"/>
      <c r="AI952" s="79"/>
      <c r="AJ952" s="79"/>
      <c r="AK952" s="79"/>
    </row>
    <row r="953" spans="1:37" s="78" customFormat="1" ht="12" customHeight="1">
      <c r="A953" s="76"/>
      <c r="B953" s="76"/>
      <c r="C953" s="76"/>
      <c r="D953" s="76"/>
      <c r="E953" s="76"/>
      <c r="F953" s="77"/>
      <c r="G953" s="76"/>
      <c r="H953" s="76"/>
      <c r="I953" s="76"/>
      <c r="J953" s="76"/>
      <c r="K953" s="76"/>
      <c r="L953" s="76"/>
      <c r="M953" s="76"/>
      <c r="N953" s="76"/>
      <c r="O953" s="76"/>
      <c r="P953" s="76"/>
      <c r="Q953" s="76"/>
      <c r="R953" s="76"/>
      <c r="S953" s="76"/>
      <c r="T953" s="76"/>
      <c r="U953" s="76"/>
      <c r="V953" s="76"/>
      <c r="W953" s="76"/>
      <c r="X953" s="76"/>
      <c r="Y953" s="76"/>
      <c r="Z953" s="76"/>
      <c r="AA953" s="79"/>
      <c r="AB953" s="79"/>
      <c r="AC953" s="79"/>
      <c r="AD953" s="79"/>
      <c r="AE953" s="79"/>
      <c r="AF953" s="79"/>
      <c r="AG953" s="79"/>
      <c r="AH953" s="79"/>
      <c r="AI953" s="79"/>
      <c r="AJ953" s="79"/>
      <c r="AK953" s="79"/>
    </row>
    <row r="954" spans="1:37" s="78" customFormat="1" ht="12" customHeight="1">
      <c r="A954" s="76"/>
      <c r="B954" s="76"/>
      <c r="C954" s="76"/>
      <c r="D954" s="76"/>
      <c r="E954" s="76"/>
      <c r="F954" s="77"/>
      <c r="G954" s="76"/>
      <c r="H954" s="76"/>
      <c r="I954" s="76"/>
      <c r="J954" s="76"/>
      <c r="K954" s="76"/>
      <c r="L954" s="76"/>
      <c r="M954" s="76"/>
      <c r="N954" s="76"/>
      <c r="O954" s="76"/>
      <c r="P954" s="76"/>
      <c r="Q954" s="76"/>
      <c r="R954" s="76"/>
      <c r="S954" s="76"/>
      <c r="T954" s="76"/>
      <c r="U954" s="76"/>
      <c r="V954" s="76"/>
      <c r="W954" s="76"/>
      <c r="X954" s="76"/>
      <c r="Y954" s="76"/>
      <c r="Z954" s="76"/>
      <c r="AA954" s="79"/>
      <c r="AB954" s="79"/>
      <c r="AC954" s="79"/>
      <c r="AD954" s="79"/>
      <c r="AE954" s="79"/>
      <c r="AF954" s="79"/>
      <c r="AG954" s="79"/>
      <c r="AH954" s="79"/>
      <c r="AI954" s="79"/>
      <c r="AJ954" s="79"/>
      <c r="AK954" s="79"/>
    </row>
    <row r="955" spans="1:37" s="78" customFormat="1" ht="12" customHeight="1">
      <c r="A955" s="76"/>
      <c r="B955" s="76"/>
      <c r="C955" s="76"/>
      <c r="D955" s="76"/>
      <c r="E955" s="76"/>
      <c r="F955" s="77"/>
      <c r="G955" s="76"/>
      <c r="H955" s="76"/>
      <c r="I955" s="76"/>
      <c r="J955" s="76"/>
      <c r="K955" s="76"/>
      <c r="L955" s="76"/>
      <c r="M955" s="76"/>
      <c r="N955" s="76"/>
      <c r="O955" s="76"/>
      <c r="P955" s="76"/>
      <c r="Q955" s="76"/>
      <c r="R955" s="76"/>
      <c r="S955" s="76"/>
      <c r="T955" s="76"/>
      <c r="U955" s="76"/>
      <c r="V955" s="76"/>
      <c r="W955" s="76"/>
      <c r="X955" s="76"/>
      <c r="Y955" s="76"/>
      <c r="Z955" s="76"/>
      <c r="AA955" s="79"/>
      <c r="AB955" s="79"/>
      <c r="AC955" s="79"/>
      <c r="AD955" s="79"/>
      <c r="AE955" s="79"/>
      <c r="AF955" s="79"/>
      <c r="AG955" s="79"/>
      <c r="AH955" s="79"/>
      <c r="AI955" s="79"/>
      <c r="AJ955" s="79"/>
      <c r="AK955" s="79"/>
    </row>
    <row r="956" spans="1:37" s="78" customFormat="1" ht="12" customHeight="1">
      <c r="A956" s="76"/>
      <c r="B956" s="76"/>
      <c r="C956" s="76"/>
      <c r="D956" s="76"/>
      <c r="E956" s="76"/>
      <c r="F956" s="77"/>
      <c r="G956" s="76"/>
      <c r="H956" s="76"/>
      <c r="I956" s="76"/>
      <c r="J956" s="76"/>
      <c r="K956" s="76"/>
      <c r="L956" s="76"/>
      <c r="M956" s="76"/>
      <c r="N956" s="76"/>
      <c r="O956" s="76"/>
      <c r="P956" s="76"/>
      <c r="Q956" s="76"/>
      <c r="R956" s="76"/>
      <c r="S956" s="76"/>
      <c r="T956" s="76"/>
      <c r="U956" s="76"/>
      <c r="V956" s="76"/>
      <c r="W956" s="76"/>
      <c r="X956" s="76"/>
      <c r="Y956" s="76"/>
      <c r="Z956" s="76"/>
      <c r="AA956" s="79"/>
      <c r="AB956" s="79"/>
      <c r="AC956" s="79"/>
      <c r="AD956" s="79"/>
      <c r="AE956" s="79"/>
      <c r="AF956" s="79"/>
      <c r="AG956" s="79"/>
      <c r="AH956" s="79"/>
      <c r="AI956" s="79"/>
      <c r="AJ956" s="79"/>
      <c r="AK956" s="79"/>
    </row>
    <row r="957" spans="1:37" s="78" customFormat="1" ht="12" customHeight="1">
      <c r="A957" s="76"/>
      <c r="B957" s="76"/>
      <c r="C957" s="76"/>
      <c r="D957" s="76"/>
      <c r="E957" s="76"/>
      <c r="F957" s="77"/>
      <c r="G957" s="76"/>
      <c r="H957" s="76"/>
      <c r="I957" s="76"/>
      <c r="J957" s="76"/>
      <c r="K957" s="76"/>
      <c r="L957" s="76"/>
      <c r="M957" s="76"/>
      <c r="N957" s="76"/>
      <c r="O957" s="76"/>
      <c r="P957" s="76"/>
      <c r="Q957" s="76"/>
      <c r="R957" s="76"/>
      <c r="S957" s="76"/>
      <c r="T957" s="76"/>
      <c r="U957" s="76"/>
      <c r="V957" s="76"/>
      <c r="W957" s="76"/>
      <c r="X957" s="76"/>
      <c r="Y957" s="76"/>
      <c r="Z957" s="76"/>
      <c r="AA957" s="79"/>
      <c r="AB957" s="79"/>
      <c r="AC957" s="79"/>
      <c r="AD957" s="79"/>
      <c r="AE957" s="79"/>
      <c r="AF957" s="79"/>
      <c r="AG957" s="79"/>
      <c r="AH957" s="79"/>
      <c r="AI957" s="79"/>
      <c r="AJ957" s="79"/>
      <c r="AK957" s="79"/>
    </row>
    <row r="958" spans="1:37" s="78" customFormat="1" ht="12" customHeight="1">
      <c r="A958" s="76"/>
      <c r="B958" s="76"/>
      <c r="C958" s="76"/>
      <c r="D958" s="76"/>
      <c r="E958" s="76"/>
      <c r="F958" s="77"/>
      <c r="G958" s="76"/>
      <c r="H958" s="76"/>
      <c r="I958" s="76"/>
      <c r="J958" s="76"/>
      <c r="K958" s="76"/>
      <c r="L958" s="76"/>
      <c r="M958" s="76"/>
      <c r="N958" s="76"/>
      <c r="O958" s="76"/>
      <c r="P958" s="76"/>
      <c r="Q958" s="76"/>
      <c r="R958" s="76"/>
      <c r="S958" s="76"/>
      <c r="T958" s="76"/>
      <c r="U958" s="76"/>
      <c r="V958" s="76"/>
      <c r="W958" s="76"/>
      <c r="X958" s="76"/>
      <c r="Y958" s="76"/>
      <c r="Z958" s="76"/>
      <c r="AA958" s="79"/>
      <c r="AB958" s="79"/>
      <c r="AC958" s="79"/>
      <c r="AD958" s="79"/>
      <c r="AE958" s="79"/>
      <c r="AF958" s="79"/>
      <c r="AG958" s="79"/>
      <c r="AH958" s="79"/>
      <c r="AI958" s="79"/>
      <c r="AJ958" s="79"/>
      <c r="AK958" s="79"/>
    </row>
    <row r="959" spans="1:37" s="78" customFormat="1" ht="12" customHeight="1">
      <c r="A959" s="76"/>
      <c r="B959" s="76"/>
      <c r="C959" s="76"/>
      <c r="D959" s="76"/>
      <c r="E959" s="76"/>
      <c r="F959" s="77"/>
      <c r="G959" s="76"/>
      <c r="H959" s="76"/>
      <c r="I959" s="76"/>
      <c r="J959" s="76"/>
      <c r="K959" s="76"/>
      <c r="L959" s="76"/>
      <c r="M959" s="76"/>
      <c r="N959" s="76"/>
      <c r="O959" s="76"/>
      <c r="P959" s="76"/>
      <c r="Q959" s="76"/>
      <c r="R959" s="76"/>
      <c r="S959" s="76"/>
      <c r="T959" s="76"/>
      <c r="U959" s="76"/>
      <c r="V959" s="76"/>
      <c r="W959" s="76"/>
      <c r="X959" s="76"/>
      <c r="Y959" s="76"/>
      <c r="Z959" s="76"/>
      <c r="AA959" s="79"/>
      <c r="AB959" s="79"/>
      <c r="AC959" s="79"/>
      <c r="AD959" s="79"/>
      <c r="AE959" s="79"/>
      <c r="AF959" s="79"/>
      <c r="AG959" s="79"/>
      <c r="AH959" s="79"/>
      <c r="AI959" s="79"/>
      <c r="AJ959" s="79"/>
      <c r="AK959" s="79"/>
    </row>
    <row r="960" spans="1:37" s="78" customFormat="1" ht="12" customHeight="1">
      <c r="A960" s="76"/>
      <c r="B960" s="76"/>
      <c r="C960" s="76"/>
      <c r="D960" s="76"/>
      <c r="E960" s="76"/>
      <c r="F960" s="77"/>
      <c r="G960" s="76"/>
      <c r="H960" s="76"/>
      <c r="I960" s="76"/>
      <c r="J960" s="76"/>
      <c r="K960" s="76"/>
      <c r="L960" s="76"/>
      <c r="M960" s="76"/>
      <c r="N960" s="76"/>
      <c r="O960" s="76"/>
      <c r="P960" s="76"/>
      <c r="Q960" s="76"/>
      <c r="R960" s="76"/>
      <c r="S960" s="76"/>
      <c r="T960" s="76"/>
      <c r="U960" s="76"/>
      <c r="V960" s="76"/>
      <c r="W960" s="76"/>
      <c r="X960" s="76"/>
      <c r="Y960" s="76"/>
      <c r="Z960" s="76"/>
      <c r="AA960" s="79"/>
      <c r="AB960" s="79"/>
      <c r="AC960" s="79"/>
      <c r="AD960" s="79"/>
      <c r="AE960" s="79"/>
      <c r="AF960" s="79"/>
      <c r="AG960" s="79"/>
      <c r="AH960" s="79"/>
      <c r="AI960" s="79"/>
      <c r="AJ960" s="79"/>
      <c r="AK960" s="79"/>
    </row>
    <row r="961" spans="1:37" s="78" customFormat="1" ht="12" customHeight="1">
      <c r="A961" s="76"/>
      <c r="B961" s="76"/>
      <c r="C961" s="76"/>
      <c r="D961" s="76"/>
      <c r="E961" s="76"/>
      <c r="F961" s="77"/>
      <c r="G961" s="76"/>
      <c r="H961" s="76"/>
      <c r="I961" s="76"/>
      <c r="J961" s="76"/>
      <c r="K961" s="76"/>
      <c r="L961" s="76"/>
      <c r="M961" s="76"/>
      <c r="N961" s="76"/>
      <c r="O961" s="76"/>
      <c r="P961" s="76"/>
      <c r="Q961" s="76"/>
      <c r="R961" s="76"/>
      <c r="S961" s="76"/>
      <c r="T961" s="76"/>
      <c r="U961" s="76"/>
      <c r="V961" s="76"/>
      <c r="W961" s="76"/>
      <c r="X961" s="76"/>
      <c r="Y961" s="76"/>
      <c r="Z961" s="76"/>
      <c r="AA961" s="79"/>
      <c r="AB961" s="79"/>
      <c r="AC961" s="79"/>
      <c r="AD961" s="79"/>
      <c r="AE961" s="79"/>
      <c r="AF961" s="79"/>
      <c r="AG961" s="79"/>
      <c r="AH961" s="79"/>
      <c r="AI961" s="79"/>
      <c r="AJ961" s="79"/>
      <c r="AK961" s="79"/>
    </row>
    <row r="962" spans="1:37" s="78" customFormat="1" ht="12" customHeight="1">
      <c r="A962" s="76"/>
      <c r="B962" s="76"/>
      <c r="C962" s="76"/>
      <c r="D962" s="76"/>
      <c r="E962" s="76"/>
      <c r="F962" s="77"/>
      <c r="G962" s="76"/>
      <c r="H962" s="76"/>
      <c r="I962" s="76"/>
      <c r="J962" s="76"/>
      <c r="K962" s="76"/>
      <c r="L962" s="76"/>
      <c r="M962" s="76"/>
      <c r="N962" s="76"/>
      <c r="O962" s="76"/>
      <c r="P962" s="76"/>
      <c r="Q962" s="76"/>
      <c r="R962" s="76"/>
      <c r="S962" s="76"/>
      <c r="T962" s="76"/>
      <c r="U962" s="76"/>
      <c r="V962" s="76"/>
      <c r="W962" s="76"/>
      <c r="X962" s="76"/>
      <c r="Y962" s="76"/>
      <c r="Z962" s="76"/>
      <c r="AA962" s="79"/>
      <c r="AB962" s="79"/>
      <c r="AC962" s="79"/>
      <c r="AD962" s="79"/>
      <c r="AE962" s="79"/>
      <c r="AF962" s="79"/>
      <c r="AG962" s="79"/>
      <c r="AH962" s="79"/>
      <c r="AI962" s="79"/>
      <c r="AJ962" s="79"/>
      <c r="AK962" s="79"/>
    </row>
    <row r="963" spans="1:37" s="78" customFormat="1" ht="12" customHeight="1">
      <c r="A963" s="76"/>
      <c r="B963" s="76"/>
      <c r="C963" s="76"/>
      <c r="D963" s="76"/>
      <c r="E963" s="76"/>
      <c r="F963" s="77"/>
      <c r="G963" s="76"/>
      <c r="H963" s="76"/>
      <c r="I963" s="76"/>
      <c r="J963" s="76"/>
      <c r="K963" s="76"/>
      <c r="L963" s="76"/>
      <c r="M963" s="76"/>
      <c r="N963" s="76"/>
      <c r="O963" s="76"/>
      <c r="P963" s="76"/>
      <c r="Q963" s="76"/>
      <c r="R963" s="76"/>
      <c r="S963" s="76"/>
      <c r="T963" s="76"/>
      <c r="U963" s="76"/>
      <c r="V963" s="76"/>
      <c r="W963" s="76"/>
      <c r="X963" s="76"/>
      <c r="Y963" s="76"/>
      <c r="Z963" s="76"/>
      <c r="AA963" s="79"/>
      <c r="AB963" s="79"/>
      <c r="AC963" s="79"/>
      <c r="AD963" s="79"/>
      <c r="AE963" s="79"/>
      <c r="AF963" s="79"/>
      <c r="AG963" s="79"/>
      <c r="AH963" s="79"/>
      <c r="AI963" s="79"/>
      <c r="AJ963" s="79"/>
      <c r="AK963" s="79"/>
    </row>
    <row r="964" spans="1:37" s="78" customFormat="1" ht="12" customHeight="1">
      <c r="A964" s="76"/>
      <c r="B964" s="76"/>
      <c r="C964" s="76"/>
      <c r="D964" s="76"/>
      <c r="E964" s="76"/>
      <c r="F964" s="77"/>
      <c r="G964" s="76"/>
      <c r="H964" s="76"/>
      <c r="I964" s="76"/>
      <c r="J964" s="76"/>
      <c r="K964" s="76"/>
      <c r="L964" s="76"/>
      <c r="M964" s="76"/>
      <c r="N964" s="76"/>
      <c r="O964" s="76"/>
      <c r="P964" s="76"/>
      <c r="Q964" s="76"/>
      <c r="R964" s="76"/>
      <c r="S964" s="76"/>
      <c r="T964" s="76"/>
      <c r="U964" s="76"/>
      <c r="V964" s="76"/>
      <c r="W964" s="76"/>
      <c r="X964" s="76"/>
      <c r="Y964" s="76"/>
      <c r="Z964" s="76"/>
      <c r="AA964" s="79"/>
      <c r="AB964" s="79"/>
      <c r="AC964" s="79"/>
      <c r="AD964" s="79"/>
      <c r="AE964" s="79"/>
      <c r="AF964" s="79"/>
      <c r="AG964" s="79"/>
      <c r="AH964" s="79"/>
      <c r="AI964" s="79"/>
      <c r="AJ964" s="79"/>
      <c r="AK964" s="79"/>
    </row>
    <row r="965" spans="1:37" s="78" customFormat="1" ht="12" customHeight="1">
      <c r="A965" s="76"/>
      <c r="B965" s="76"/>
      <c r="C965" s="76"/>
      <c r="D965" s="76"/>
      <c r="E965" s="76"/>
      <c r="F965" s="77"/>
      <c r="G965" s="76"/>
      <c r="H965" s="76"/>
      <c r="I965" s="76"/>
      <c r="J965" s="76"/>
      <c r="K965" s="76"/>
      <c r="L965" s="76"/>
      <c r="M965" s="76"/>
      <c r="N965" s="76"/>
      <c r="O965" s="76"/>
      <c r="P965" s="76"/>
      <c r="Q965" s="76"/>
      <c r="R965" s="76"/>
      <c r="S965" s="76"/>
      <c r="T965" s="76"/>
      <c r="U965" s="76"/>
      <c r="V965" s="76"/>
      <c r="W965" s="76"/>
      <c r="X965" s="76"/>
      <c r="Y965" s="76"/>
      <c r="Z965" s="76"/>
      <c r="AA965" s="79"/>
      <c r="AB965" s="79"/>
      <c r="AC965" s="79"/>
      <c r="AD965" s="79"/>
      <c r="AE965" s="79"/>
      <c r="AF965" s="79"/>
      <c r="AG965" s="79"/>
      <c r="AH965" s="79"/>
      <c r="AI965" s="79"/>
      <c r="AJ965" s="79"/>
      <c r="AK965" s="79"/>
    </row>
    <row r="966" spans="1:37" s="78" customFormat="1" ht="12" customHeight="1">
      <c r="A966" s="76"/>
      <c r="B966" s="76"/>
      <c r="C966" s="76"/>
      <c r="D966" s="76"/>
      <c r="E966" s="76"/>
      <c r="F966" s="77"/>
      <c r="G966" s="76"/>
      <c r="H966" s="76"/>
      <c r="I966" s="76"/>
      <c r="J966" s="76"/>
      <c r="K966" s="76"/>
      <c r="L966" s="76"/>
      <c r="M966" s="76"/>
      <c r="N966" s="76"/>
      <c r="O966" s="76"/>
      <c r="P966" s="76"/>
      <c r="Q966" s="76"/>
      <c r="R966" s="76"/>
      <c r="S966" s="76"/>
      <c r="T966" s="76"/>
      <c r="U966" s="76"/>
      <c r="V966" s="76"/>
      <c r="W966" s="76"/>
      <c r="X966" s="76"/>
      <c r="Y966" s="76"/>
      <c r="Z966" s="76"/>
      <c r="AA966" s="79"/>
      <c r="AB966" s="79"/>
      <c r="AC966" s="79"/>
      <c r="AD966" s="79"/>
      <c r="AE966" s="79"/>
      <c r="AF966" s="79"/>
      <c r="AG966" s="79"/>
      <c r="AH966" s="79"/>
      <c r="AI966" s="79"/>
      <c r="AJ966" s="79"/>
      <c r="AK966" s="79"/>
    </row>
    <row r="967" spans="1:37" s="78" customFormat="1" ht="12" customHeight="1">
      <c r="A967" s="76"/>
      <c r="B967" s="76"/>
      <c r="C967" s="76"/>
      <c r="D967" s="76"/>
      <c r="E967" s="76"/>
      <c r="F967" s="77"/>
      <c r="G967" s="76"/>
      <c r="H967" s="76"/>
      <c r="I967" s="76"/>
      <c r="J967" s="76"/>
      <c r="K967" s="76"/>
      <c r="L967" s="76"/>
      <c r="M967" s="76"/>
      <c r="N967" s="76"/>
      <c r="O967" s="76"/>
      <c r="P967" s="76"/>
      <c r="Q967" s="76"/>
      <c r="R967" s="76"/>
      <c r="S967" s="76"/>
      <c r="T967" s="76"/>
      <c r="U967" s="76"/>
      <c r="V967" s="76"/>
      <c r="W967" s="76"/>
      <c r="X967" s="76"/>
      <c r="Y967" s="76"/>
      <c r="Z967" s="76"/>
      <c r="AA967" s="79"/>
      <c r="AB967" s="79"/>
      <c r="AC967" s="79"/>
      <c r="AD967" s="79"/>
      <c r="AE967" s="79"/>
      <c r="AF967" s="79"/>
      <c r="AG967" s="79"/>
      <c r="AH967" s="79"/>
      <c r="AI967" s="79"/>
      <c r="AJ967" s="79"/>
      <c r="AK967" s="79"/>
    </row>
    <row r="968" spans="1:37" s="78" customFormat="1" ht="12" customHeight="1">
      <c r="A968" s="76"/>
      <c r="B968" s="76"/>
      <c r="C968" s="76"/>
      <c r="D968" s="76"/>
      <c r="E968" s="76"/>
      <c r="F968" s="77"/>
      <c r="G968" s="76"/>
      <c r="H968" s="76"/>
      <c r="I968" s="76"/>
      <c r="J968" s="76"/>
      <c r="K968" s="76"/>
      <c r="L968" s="76"/>
      <c r="M968" s="76"/>
      <c r="N968" s="76"/>
      <c r="O968" s="76"/>
      <c r="P968" s="76"/>
      <c r="Q968" s="76"/>
      <c r="R968" s="76"/>
      <c r="S968" s="76"/>
      <c r="T968" s="76"/>
      <c r="U968" s="76"/>
      <c r="V968" s="76"/>
      <c r="W968" s="76"/>
      <c r="X968" s="76"/>
      <c r="Y968" s="76"/>
      <c r="Z968" s="76"/>
      <c r="AA968" s="79"/>
      <c r="AB968" s="79"/>
      <c r="AC968" s="79"/>
      <c r="AD968" s="79"/>
      <c r="AE968" s="79"/>
      <c r="AF968" s="79"/>
      <c r="AG968" s="79"/>
      <c r="AH968" s="79"/>
      <c r="AI968" s="79"/>
      <c r="AJ968" s="79"/>
      <c r="AK968" s="79"/>
    </row>
    <row r="969" spans="1:37" s="78" customFormat="1" ht="12" customHeight="1">
      <c r="A969" s="76"/>
      <c r="B969" s="76"/>
      <c r="C969" s="76"/>
      <c r="D969" s="76"/>
      <c r="E969" s="76"/>
      <c r="F969" s="77"/>
      <c r="G969" s="76"/>
      <c r="H969" s="76"/>
      <c r="I969" s="76"/>
      <c r="J969" s="76"/>
      <c r="K969" s="76"/>
      <c r="L969" s="76"/>
      <c r="M969" s="76"/>
      <c r="N969" s="76"/>
      <c r="O969" s="76"/>
      <c r="P969" s="76"/>
      <c r="Q969" s="76"/>
      <c r="R969" s="76"/>
      <c r="S969" s="76"/>
      <c r="T969" s="76"/>
      <c r="U969" s="76"/>
      <c r="V969" s="76"/>
      <c r="W969" s="76"/>
      <c r="X969" s="76"/>
      <c r="Y969" s="76"/>
      <c r="Z969" s="76"/>
      <c r="AA969" s="79"/>
      <c r="AB969" s="79"/>
      <c r="AC969" s="79"/>
      <c r="AD969" s="79"/>
      <c r="AE969" s="79"/>
      <c r="AF969" s="79"/>
      <c r="AG969" s="79"/>
      <c r="AH969" s="79"/>
      <c r="AI969" s="79"/>
      <c r="AJ969" s="79"/>
      <c r="AK969" s="79"/>
    </row>
    <row r="970" spans="1:37" s="78" customFormat="1" ht="12" customHeight="1">
      <c r="A970" s="76"/>
      <c r="B970" s="76"/>
      <c r="C970" s="76"/>
      <c r="D970" s="76"/>
      <c r="E970" s="76"/>
      <c r="F970" s="77"/>
      <c r="G970" s="76"/>
      <c r="H970" s="76"/>
      <c r="I970" s="76"/>
      <c r="J970" s="76"/>
      <c r="K970" s="76"/>
      <c r="L970" s="76"/>
      <c r="M970" s="76"/>
      <c r="N970" s="76"/>
      <c r="O970" s="76"/>
      <c r="P970" s="76"/>
      <c r="Q970" s="76"/>
      <c r="R970" s="76"/>
      <c r="S970" s="76"/>
      <c r="T970" s="76"/>
      <c r="U970" s="76"/>
      <c r="V970" s="76"/>
      <c r="W970" s="76"/>
      <c r="X970" s="76"/>
      <c r="Y970" s="76"/>
      <c r="Z970" s="76"/>
      <c r="AA970" s="79"/>
      <c r="AB970" s="79"/>
      <c r="AC970" s="79"/>
      <c r="AD970" s="79"/>
      <c r="AE970" s="79"/>
      <c r="AF970" s="79"/>
      <c r="AG970" s="79"/>
      <c r="AH970" s="79"/>
      <c r="AI970" s="79"/>
      <c r="AJ970" s="79"/>
      <c r="AK970" s="79"/>
    </row>
    <row r="971" spans="1:37" s="78" customFormat="1" ht="12" customHeight="1">
      <c r="A971" s="76"/>
      <c r="B971" s="76"/>
      <c r="C971" s="76"/>
      <c r="D971" s="76"/>
      <c r="E971" s="76"/>
      <c r="F971" s="77"/>
      <c r="G971" s="76"/>
      <c r="H971" s="76"/>
      <c r="I971" s="76"/>
      <c r="J971" s="76"/>
      <c r="K971" s="76"/>
      <c r="L971" s="76"/>
      <c r="M971" s="76"/>
      <c r="N971" s="76"/>
      <c r="O971" s="76"/>
      <c r="P971" s="76"/>
      <c r="Q971" s="76"/>
      <c r="R971" s="76"/>
      <c r="S971" s="76"/>
      <c r="T971" s="76"/>
      <c r="U971" s="76"/>
      <c r="V971" s="76"/>
      <c r="W971" s="76"/>
      <c r="X971" s="76"/>
      <c r="Y971" s="76"/>
      <c r="Z971" s="76"/>
      <c r="AA971" s="79"/>
      <c r="AB971" s="79"/>
      <c r="AC971" s="79"/>
      <c r="AD971" s="79"/>
      <c r="AE971" s="79"/>
      <c r="AF971" s="79"/>
      <c r="AG971" s="79"/>
      <c r="AH971" s="79"/>
      <c r="AI971" s="79"/>
      <c r="AJ971" s="79"/>
      <c r="AK971" s="79"/>
    </row>
    <row r="972" spans="1:37" s="78" customFormat="1" ht="12" customHeight="1">
      <c r="A972" s="76"/>
      <c r="B972" s="76"/>
      <c r="C972" s="76"/>
      <c r="D972" s="76"/>
      <c r="E972" s="76"/>
      <c r="F972" s="77"/>
      <c r="G972" s="76"/>
      <c r="H972" s="76"/>
      <c r="I972" s="76"/>
      <c r="J972" s="76"/>
      <c r="K972" s="76"/>
      <c r="L972" s="76"/>
      <c r="M972" s="76"/>
      <c r="N972" s="76"/>
      <c r="O972" s="76"/>
      <c r="P972" s="76"/>
      <c r="Q972" s="76"/>
      <c r="R972" s="76"/>
      <c r="S972" s="76"/>
      <c r="T972" s="76"/>
      <c r="U972" s="76"/>
      <c r="V972" s="76"/>
      <c r="W972" s="76"/>
      <c r="X972" s="76"/>
      <c r="Y972" s="76"/>
      <c r="Z972" s="76"/>
      <c r="AA972" s="79"/>
      <c r="AB972" s="79"/>
      <c r="AC972" s="79"/>
      <c r="AD972" s="79"/>
      <c r="AE972" s="79"/>
      <c r="AF972" s="79"/>
      <c r="AG972" s="79"/>
      <c r="AH972" s="79"/>
      <c r="AI972" s="79"/>
      <c r="AJ972" s="79"/>
      <c r="AK972" s="79"/>
    </row>
    <row r="973" spans="1:37" s="78" customFormat="1" ht="12" customHeight="1">
      <c r="A973" s="76"/>
      <c r="B973" s="76"/>
      <c r="C973" s="76"/>
      <c r="D973" s="76"/>
      <c r="E973" s="76"/>
      <c r="F973" s="77"/>
      <c r="G973" s="76"/>
      <c r="H973" s="76"/>
      <c r="I973" s="76"/>
      <c r="J973" s="76"/>
      <c r="K973" s="76"/>
      <c r="L973" s="76"/>
      <c r="M973" s="76"/>
      <c r="N973" s="76"/>
      <c r="O973" s="76"/>
      <c r="P973" s="76"/>
      <c r="Q973" s="76"/>
      <c r="R973" s="76"/>
      <c r="S973" s="76"/>
      <c r="T973" s="76"/>
      <c r="U973" s="76"/>
      <c r="V973" s="76"/>
      <c r="W973" s="76"/>
      <c r="X973" s="76"/>
      <c r="Y973" s="76"/>
      <c r="Z973" s="76"/>
      <c r="AA973" s="79"/>
      <c r="AB973" s="79"/>
      <c r="AC973" s="79"/>
      <c r="AD973" s="79"/>
      <c r="AE973" s="79"/>
      <c r="AF973" s="79"/>
      <c r="AG973" s="79"/>
      <c r="AH973" s="79"/>
      <c r="AI973" s="79"/>
      <c r="AJ973" s="79"/>
      <c r="AK973" s="79"/>
    </row>
    <row r="974" spans="1:37" s="78" customFormat="1" ht="12" customHeight="1">
      <c r="A974" s="76"/>
      <c r="B974" s="76"/>
      <c r="C974" s="76"/>
      <c r="D974" s="76"/>
      <c r="E974" s="76"/>
      <c r="F974" s="77"/>
      <c r="G974" s="76"/>
      <c r="H974" s="76"/>
      <c r="I974" s="76"/>
      <c r="J974" s="76"/>
      <c r="K974" s="76"/>
      <c r="L974" s="76"/>
      <c r="M974" s="76"/>
      <c r="N974" s="76"/>
      <c r="O974" s="76"/>
      <c r="P974" s="76"/>
      <c r="Q974" s="76"/>
      <c r="R974" s="76"/>
      <c r="S974" s="76"/>
      <c r="T974" s="76"/>
      <c r="U974" s="76"/>
      <c r="V974" s="76"/>
      <c r="W974" s="76"/>
      <c r="X974" s="76"/>
      <c r="Y974" s="76"/>
      <c r="Z974" s="76"/>
      <c r="AA974" s="79"/>
      <c r="AB974" s="79"/>
      <c r="AC974" s="79"/>
      <c r="AD974" s="79"/>
      <c r="AE974" s="79"/>
      <c r="AF974" s="79"/>
      <c r="AG974" s="79"/>
      <c r="AH974" s="79"/>
      <c r="AI974" s="79"/>
      <c r="AJ974" s="79"/>
      <c r="AK974" s="79"/>
    </row>
    <row r="975" spans="1:37" s="78" customFormat="1" ht="12" customHeight="1">
      <c r="A975" s="76"/>
      <c r="B975" s="76"/>
      <c r="C975" s="76"/>
      <c r="D975" s="76"/>
      <c r="E975" s="76"/>
      <c r="F975" s="77"/>
      <c r="G975" s="76"/>
      <c r="H975" s="76"/>
      <c r="I975" s="76"/>
      <c r="J975" s="76"/>
      <c r="K975" s="76"/>
      <c r="L975" s="76"/>
      <c r="M975" s="76"/>
      <c r="N975" s="76"/>
      <c r="O975" s="76"/>
      <c r="P975" s="76"/>
      <c r="Q975" s="76"/>
      <c r="R975" s="76"/>
      <c r="S975" s="76"/>
      <c r="T975" s="76"/>
      <c r="U975" s="76"/>
      <c r="V975" s="76"/>
      <c r="W975" s="76"/>
      <c r="X975" s="76"/>
      <c r="Y975" s="76"/>
      <c r="Z975" s="76"/>
      <c r="AA975" s="79"/>
      <c r="AB975" s="79"/>
      <c r="AC975" s="79"/>
      <c r="AD975" s="79"/>
      <c r="AE975" s="79"/>
      <c r="AF975" s="79"/>
      <c r="AG975" s="79"/>
      <c r="AH975" s="79"/>
      <c r="AI975" s="79"/>
      <c r="AJ975" s="79"/>
      <c r="AK975" s="79"/>
    </row>
    <row r="976" spans="1:37" s="78" customFormat="1" ht="12" customHeight="1">
      <c r="A976" s="76"/>
      <c r="B976" s="76"/>
      <c r="C976" s="76"/>
      <c r="D976" s="76"/>
      <c r="E976" s="76"/>
      <c r="F976" s="77"/>
      <c r="G976" s="76"/>
      <c r="H976" s="76"/>
      <c r="I976" s="76"/>
      <c r="J976" s="76"/>
      <c r="K976" s="76"/>
      <c r="L976" s="76"/>
      <c r="M976" s="76"/>
      <c r="N976" s="76"/>
      <c r="O976" s="76"/>
      <c r="P976" s="76"/>
      <c r="Q976" s="76"/>
      <c r="R976" s="76"/>
      <c r="S976" s="76"/>
      <c r="T976" s="76"/>
      <c r="U976" s="76"/>
      <c r="V976" s="76"/>
      <c r="W976" s="76"/>
      <c r="X976" s="76"/>
      <c r="Y976" s="76"/>
      <c r="Z976" s="76"/>
      <c r="AA976" s="79"/>
      <c r="AB976" s="79"/>
      <c r="AC976" s="79"/>
      <c r="AD976" s="79"/>
      <c r="AE976" s="79"/>
      <c r="AF976" s="79"/>
      <c r="AG976" s="79"/>
      <c r="AH976" s="79"/>
      <c r="AI976" s="79"/>
      <c r="AJ976" s="79"/>
      <c r="AK976" s="79"/>
    </row>
    <row r="977" spans="1:37" s="78" customFormat="1" ht="12" customHeight="1">
      <c r="A977" s="76"/>
      <c r="B977" s="76"/>
      <c r="C977" s="76"/>
      <c r="D977" s="76"/>
      <c r="E977" s="76"/>
      <c r="F977" s="77"/>
      <c r="G977" s="76"/>
      <c r="H977" s="76"/>
      <c r="I977" s="76"/>
      <c r="J977" s="76"/>
      <c r="K977" s="76"/>
      <c r="L977" s="76"/>
      <c r="M977" s="76"/>
      <c r="N977" s="76"/>
      <c r="O977" s="76"/>
      <c r="P977" s="76"/>
      <c r="Q977" s="76"/>
      <c r="R977" s="76"/>
      <c r="S977" s="76"/>
      <c r="T977" s="76"/>
      <c r="U977" s="76"/>
      <c r="V977" s="76"/>
      <c r="W977" s="76"/>
      <c r="X977" s="76"/>
      <c r="Y977" s="76"/>
      <c r="Z977" s="76"/>
      <c r="AA977" s="79"/>
      <c r="AB977" s="79"/>
      <c r="AC977" s="79"/>
      <c r="AD977" s="79"/>
      <c r="AE977" s="79"/>
      <c r="AF977" s="79"/>
      <c r="AG977" s="79"/>
      <c r="AH977" s="79"/>
      <c r="AI977" s="79"/>
      <c r="AJ977" s="79"/>
      <c r="AK977" s="79"/>
    </row>
    <row r="978" spans="1:37" s="78" customFormat="1" ht="12" customHeight="1">
      <c r="A978" s="76"/>
      <c r="B978" s="76"/>
      <c r="C978" s="76"/>
      <c r="D978" s="76"/>
      <c r="E978" s="76"/>
      <c r="F978" s="77"/>
      <c r="G978" s="76"/>
      <c r="H978" s="76"/>
      <c r="I978" s="76"/>
      <c r="J978" s="76"/>
      <c r="K978" s="76"/>
      <c r="L978" s="76"/>
      <c r="M978" s="76"/>
      <c r="N978" s="76"/>
      <c r="O978" s="76"/>
      <c r="P978" s="76"/>
      <c r="Q978" s="76"/>
      <c r="R978" s="76"/>
      <c r="S978" s="76"/>
      <c r="T978" s="76"/>
      <c r="U978" s="76"/>
      <c r="V978" s="76"/>
      <c r="W978" s="76"/>
      <c r="X978" s="76"/>
      <c r="Y978" s="76"/>
      <c r="Z978" s="76"/>
      <c r="AA978" s="79"/>
      <c r="AB978" s="79"/>
      <c r="AC978" s="79"/>
      <c r="AD978" s="79"/>
      <c r="AE978" s="79"/>
      <c r="AF978" s="79"/>
      <c r="AG978" s="79"/>
      <c r="AH978" s="79"/>
      <c r="AI978" s="79"/>
      <c r="AJ978" s="79"/>
      <c r="AK978" s="79"/>
    </row>
    <row r="979" spans="1:37" s="78" customFormat="1" ht="12" customHeight="1">
      <c r="A979" s="76"/>
      <c r="B979" s="76"/>
      <c r="C979" s="76"/>
      <c r="D979" s="76"/>
      <c r="E979" s="76"/>
      <c r="F979" s="77"/>
      <c r="G979" s="76"/>
      <c r="H979" s="76"/>
      <c r="I979" s="76"/>
      <c r="J979" s="76"/>
      <c r="K979" s="76"/>
      <c r="L979" s="76"/>
      <c r="M979" s="76"/>
      <c r="N979" s="76"/>
      <c r="O979" s="76"/>
      <c r="P979" s="76"/>
      <c r="Q979" s="76"/>
      <c r="R979" s="76"/>
      <c r="S979" s="76"/>
      <c r="T979" s="76"/>
      <c r="U979" s="76"/>
      <c r="V979" s="76"/>
      <c r="W979" s="76"/>
      <c r="X979" s="76"/>
      <c r="Y979" s="76"/>
      <c r="Z979" s="76"/>
      <c r="AA979" s="79"/>
      <c r="AB979" s="79"/>
      <c r="AC979" s="79"/>
      <c r="AD979" s="79"/>
      <c r="AE979" s="79"/>
      <c r="AF979" s="79"/>
      <c r="AG979" s="79"/>
      <c r="AH979" s="79"/>
      <c r="AI979" s="79"/>
      <c r="AJ979" s="79"/>
      <c r="AK979" s="79"/>
    </row>
    <row r="980" spans="1:37" s="78" customFormat="1" ht="12" customHeight="1">
      <c r="A980" s="76"/>
      <c r="B980" s="76"/>
      <c r="C980" s="76"/>
      <c r="D980" s="76"/>
      <c r="E980" s="76"/>
      <c r="F980" s="77"/>
      <c r="G980" s="76"/>
      <c r="H980" s="76"/>
      <c r="I980" s="76"/>
      <c r="J980" s="76"/>
      <c r="K980" s="76"/>
      <c r="L980" s="76"/>
      <c r="M980" s="76"/>
      <c r="N980" s="76"/>
      <c r="O980" s="76"/>
      <c r="P980" s="76"/>
      <c r="Q980" s="76"/>
      <c r="R980" s="76"/>
      <c r="S980" s="76"/>
      <c r="T980" s="76"/>
      <c r="U980" s="76"/>
      <c r="V980" s="76"/>
      <c r="W980" s="76"/>
      <c r="X980" s="76"/>
      <c r="Y980" s="76"/>
      <c r="Z980" s="76"/>
      <c r="AA980" s="79"/>
      <c r="AB980" s="79"/>
      <c r="AC980" s="79"/>
      <c r="AD980" s="79"/>
      <c r="AE980" s="79"/>
      <c r="AF980" s="79"/>
      <c r="AG980" s="79"/>
      <c r="AH980" s="79"/>
      <c r="AI980" s="79"/>
      <c r="AJ980" s="79"/>
      <c r="AK980" s="79"/>
    </row>
    <row r="981" spans="1:37" s="78" customFormat="1" ht="12" customHeight="1">
      <c r="A981" s="76"/>
      <c r="B981" s="76"/>
      <c r="C981" s="76"/>
      <c r="D981" s="76"/>
      <c r="E981" s="76"/>
      <c r="F981" s="77"/>
      <c r="G981" s="76"/>
      <c r="H981" s="76"/>
      <c r="I981" s="76"/>
      <c r="J981" s="76"/>
      <c r="K981" s="76"/>
      <c r="L981" s="76"/>
      <c r="M981" s="76"/>
      <c r="N981" s="76"/>
      <c r="O981" s="76"/>
      <c r="P981" s="76"/>
      <c r="Q981" s="76"/>
      <c r="R981" s="76"/>
      <c r="S981" s="76"/>
      <c r="T981" s="76"/>
      <c r="U981" s="76"/>
      <c r="V981" s="76"/>
      <c r="W981" s="76"/>
      <c r="X981" s="76"/>
      <c r="Y981" s="76"/>
      <c r="Z981" s="76"/>
      <c r="AA981" s="79"/>
      <c r="AB981" s="79"/>
      <c r="AC981" s="79"/>
      <c r="AD981" s="79"/>
      <c r="AE981" s="79"/>
      <c r="AF981" s="79"/>
      <c r="AG981" s="79"/>
      <c r="AH981" s="79"/>
      <c r="AI981" s="79"/>
      <c r="AJ981" s="79"/>
      <c r="AK981" s="79"/>
    </row>
    <row r="982" spans="1:37" s="78" customFormat="1" ht="12" customHeight="1">
      <c r="A982" s="76"/>
      <c r="B982" s="76"/>
      <c r="C982" s="76"/>
      <c r="D982" s="76"/>
      <c r="E982" s="76"/>
      <c r="F982" s="77"/>
      <c r="G982" s="76"/>
      <c r="H982" s="76"/>
      <c r="I982" s="76"/>
      <c r="J982" s="76"/>
      <c r="K982" s="76"/>
      <c r="L982" s="76"/>
      <c r="M982" s="76"/>
      <c r="N982" s="76"/>
      <c r="O982" s="76"/>
      <c r="P982" s="76"/>
      <c r="Q982" s="76"/>
      <c r="R982" s="76"/>
      <c r="S982" s="76"/>
      <c r="T982" s="76"/>
      <c r="U982" s="76"/>
      <c r="V982" s="76"/>
      <c r="W982" s="76"/>
      <c r="X982" s="76"/>
      <c r="Y982" s="76"/>
      <c r="Z982" s="76"/>
      <c r="AA982" s="79"/>
      <c r="AB982" s="79"/>
      <c r="AC982" s="79"/>
      <c r="AD982" s="79"/>
      <c r="AE982" s="79"/>
      <c r="AF982" s="79"/>
      <c r="AG982" s="79"/>
      <c r="AH982" s="79"/>
      <c r="AI982" s="79"/>
      <c r="AJ982" s="79"/>
      <c r="AK982" s="79"/>
    </row>
    <row r="983" spans="1:37" s="78" customFormat="1" ht="12" customHeight="1">
      <c r="A983" s="76"/>
      <c r="B983" s="76"/>
      <c r="C983" s="76"/>
      <c r="D983" s="76"/>
      <c r="E983" s="76"/>
      <c r="F983" s="77"/>
      <c r="G983" s="76"/>
      <c r="H983" s="76"/>
      <c r="I983" s="76"/>
      <c r="J983" s="76"/>
      <c r="K983" s="76"/>
      <c r="L983" s="76"/>
      <c r="M983" s="76"/>
      <c r="N983" s="76"/>
      <c r="O983" s="76"/>
      <c r="P983" s="76"/>
      <c r="Q983" s="76"/>
      <c r="R983" s="76"/>
      <c r="S983" s="76"/>
      <c r="T983" s="76"/>
      <c r="U983" s="76"/>
      <c r="V983" s="76"/>
      <c r="W983" s="76"/>
      <c r="X983" s="76"/>
      <c r="Y983" s="76"/>
      <c r="Z983" s="76"/>
      <c r="AA983" s="79"/>
      <c r="AB983" s="79"/>
      <c r="AC983" s="79"/>
      <c r="AD983" s="79"/>
      <c r="AE983" s="79"/>
      <c r="AF983" s="79"/>
      <c r="AG983" s="79"/>
      <c r="AH983" s="79"/>
      <c r="AI983" s="79"/>
      <c r="AJ983" s="79"/>
      <c r="AK983" s="79"/>
    </row>
    <row r="984" spans="1:37" s="78" customFormat="1" ht="12" customHeight="1">
      <c r="A984" s="76"/>
      <c r="B984" s="76"/>
      <c r="C984" s="76"/>
      <c r="D984" s="76"/>
      <c r="E984" s="76"/>
      <c r="F984" s="77"/>
      <c r="G984" s="76"/>
      <c r="H984" s="76"/>
      <c r="I984" s="76"/>
      <c r="J984" s="76"/>
      <c r="K984" s="76"/>
      <c r="L984" s="76"/>
      <c r="M984" s="76"/>
      <c r="N984" s="76"/>
      <c r="O984" s="76"/>
      <c r="P984" s="76"/>
      <c r="Q984" s="76"/>
      <c r="R984" s="76"/>
      <c r="S984" s="76"/>
      <c r="T984" s="76"/>
      <c r="U984" s="76"/>
      <c r="V984" s="76"/>
      <c r="W984" s="76"/>
      <c r="X984" s="76"/>
      <c r="Y984" s="76"/>
      <c r="Z984" s="76"/>
      <c r="AA984" s="79"/>
      <c r="AB984" s="79"/>
      <c r="AC984" s="79"/>
      <c r="AD984" s="79"/>
      <c r="AE984" s="79"/>
      <c r="AF984" s="79"/>
      <c r="AG984" s="79"/>
      <c r="AH984" s="79"/>
      <c r="AI984" s="79"/>
      <c r="AJ984" s="79"/>
      <c r="AK984" s="79"/>
    </row>
    <row r="985" spans="1:37" s="78" customFormat="1" ht="12" customHeight="1">
      <c r="A985" s="76"/>
      <c r="B985" s="76"/>
      <c r="C985" s="76"/>
      <c r="D985" s="76"/>
      <c r="E985" s="76"/>
      <c r="F985" s="77"/>
      <c r="G985" s="76"/>
      <c r="H985" s="76"/>
      <c r="I985" s="76"/>
      <c r="J985" s="76"/>
      <c r="K985" s="76"/>
      <c r="L985" s="76"/>
      <c r="M985" s="76"/>
      <c r="N985" s="76"/>
      <c r="O985" s="76"/>
      <c r="P985" s="76"/>
      <c r="Q985" s="76"/>
      <c r="R985" s="76"/>
      <c r="S985" s="76"/>
      <c r="T985" s="76"/>
      <c r="U985" s="76"/>
      <c r="V985" s="76"/>
      <c r="W985" s="76"/>
      <c r="X985" s="76"/>
      <c r="Y985" s="76"/>
      <c r="Z985" s="76"/>
      <c r="AA985" s="79"/>
      <c r="AB985" s="79"/>
      <c r="AC985" s="79"/>
      <c r="AD985" s="79"/>
      <c r="AE985" s="79"/>
      <c r="AF985" s="79"/>
      <c r="AG985" s="79"/>
      <c r="AH985" s="79"/>
      <c r="AI985" s="79"/>
      <c r="AJ985" s="79"/>
      <c r="AK985" s="79"/>
    </row>
    <row r="986" spans="1:37" s="78" customFormat="1" ht="12" customHeight="1">
      <c r="A986" s="76"/>
      <c r="B986" s="76"/>
      <c r="C986" s="76"/>
      <c r="D986" s="76"/>
      <c r="E986" s="76"/>
      <c r="F986" s="77"/>
      <c r="G986" s="76"/>
      <c r="H986" s="76"/>
      <c r="I986" s="76"/>
      <c r="J986" s="76"/>
      <c r="K986" s="76"/>
      <c r="L986" s="76"/>
      <c r="M986" s="76"/>
      <c r="N986" s="76"/>
      <c r="O986" s="76"/>
      <c r="P986" s="76"/>
      <c r="Q986" s="76"/>
      <c r="R986" s="76"/>
      <c r="S986" s="76"/>
      <c r="T986" s="76"/>
      <c r="U986" s="76"/>
      <c r="V986" s="76"/>
      <c r="W986" s="76"/>
      <c r="X986" s="76"/>
      <c r="Y986" s="76"/>
      <c r="Z986" s="76"/>
      <c r="AA986" s="79"/>
      <c r="AB986" s="79"/>
      <c r="AC986" s="79"/>
      <c r="AD986" s="79"/>
      <c r="AE986" s="79"/>
      <c r="AF986" s="79"/>
      <c r="AG986" s="79"/>
      <c r="AH986" s="79"/>
      <c r="AI986" s="79"/>
      <c r="AJ986" s="79"/>
      <c r="AK986" s="79"/>
    </row>
    <row r="987" spans="1:37" s="78" customFormat="1" ht="12" customHeight="1">
      <c r="A987" s="76"/>
      <c r="B987" s="76"/>
      <c r="C987" s="76"/>
      <c r="D987" s="76"/>
      <c r="E987" s="76"/>
      <c r="F987" s="77"/>
      <c r="G987" s="76"/>
      <c r="H987" s="76"/>
      <c r="I987" s="76"/>
      <c r="J987" s="76"/>
      <c r="K987" s="76"/>
      <c r="L987" s="76"/>
      <c r="M987" s="76"/>
      <c r="N987" s="76"/>
      <c r="O987" s="76"/>
      <c r="P987" s="76"/>
      <c r="Q987" s="76"/>
      <c r="R987" s="76"/>
      <c r="S987" s="76"/>
      <c r="T987" s="76"/>
      <c r="U987" s="76"/>
      <c r="V987" s="76"/>
      <c r="W987" s="76"/>
      <c r="X987" s="76"/>
      <c r="Y987" s="76"/>
      <c r="Z987" s="76"/>
      <c r="AA987" s="79"/>
      <c r="AB987" s="79"/>
      <c r="AC987" s="79"/>
      <c r="AD987" s="79"/>
      <c r="AE987" s="79"/>
      <c r="AF987" s="79"/>
      <c r="AG987" s="79"/>
      <c r="AH987" s="79"/>
      <c r="AI987" s="79"/>
      <c r="AJ987" s="79"/>
      <c r="AK987" s="79"/>
    </row>
    <row r="988" spans="1:37" s="78" customFormat="1" ht="12" customHeight="1">
      <c r="A988" s="76"/>
      <c r="B988" s="76"/>
      <c r="C988" s="76"/>
      <c r="D988" s="76"/>
      <c r="E988" s="76"/>
      <c r="F988" s="77"/>
      <c r="G988" s="76"/>
      <c r="H988" s="76"/>
      <c r="I988" s="76"/>
      <c r="J988" s="76"/>
      <c r="K988" s="76"/>
      <c r="L988" s="76"/>
      <c r="M988" s="76"/>
      <c r="N988" s="76"/>
      <c r="O988" s="76"/>
      <c r="P988" s="76"/>
      <c r="Q988" s="76"/>
      <c r="R988" s="76"/>
      <c r="S988" s="76"/>
      <c r="T988" s="76"/>
      <c r="U988" s="76"/>
      <c r="V988" s="76"/>
      <c r="W988" s="76"/>
      <c r="X988" s="76"/>
      <c r="Y988" s="76"/>
      <c r="Z988" s="76"/>
      <c r="AA988" s="79"/>
      <c r="AB988" s="79"/>
      <c r="AC988" s="79"/>
      <c r="AD988" s="79"/>
      <c r="AE988" s="79"/>
      <c r="AF988" s="79"/>
      <c r="AG988" s="79"/>
      <c r="AH988" s="79"/>
      <c r="AI988" s="79"/>
      <c r="AJ988" s="79"/>
      <c r="AK988" s="79"/>
    </row>
    <row r="989" spans="1:37" s="78" customFormat="1" ht="12" customHeight="1">
      <c r="A989" s="76"/>
      <c r="B989" s="76"/>
      <c r="C989" s="76"/>
      <c r="D989" s="76"/>
      <c r="E989" s="76"/>
      <c r="F989" s="77"/>
      <c r="G989" s="76"/>
      <c r="H989" s="76"/>
      <c r="I989" s="76"/>
      <c r="J989" s="76"/>
      <c r="K989" s="76"/>
      <c r="L989" s="76"/>
      <c r="M989" s="76"/>
      <c r="N989" s="76"/>
      <c r="O989" s="76"/>
      <c r="P989" s="76"/>
      <c r="Q989" s="76"/>
      <c r="R989" s="76"/>
      <c r="S989" s="76"/>
      <c r="T989" s="76"/>
      <c r="U989" s="76"/>
      <c r="V989" s="76"/>
      <c r="W989" s="76"/>
      <c r="X989" s="76"/>
      <c r="Y989" s="76"/>
      <c r="Z989" s="76"/>
      <c r="AA989" s="79"/>
      <c r="AB989" s="79"/>
      <c r="AC989" s="79"/>
      <c r="AD989" s="79"/>
      <c r="AE989" s="79"/>
      <c r="AF989" s="79"/>
      <c r="AG989" s="79"/>
      <c r="AH989" s="79"/>
      <c r="AI989" s="79"/>
      <c r="AJ989" s="79"/>
      <c r="AK989" s="79"/>
    </row>
    <row r="990" spans="1:37" s="78" customFormat="1" ht="12" customHeight="1">
      <c r="A990" s="76"/>
      <c r="B990" s="76"/>
      <c r="C990" s="76"/>
      <c r="D990" s="76"/>
      <c r="E990" s="76"/>
      <c r="F990" s="77"/>
      <c r="G990" s="76"/>
      <c r="H990" s="76"/>
      <c r="I990" s="76"/>
      <c r="J990" s="76"/>
      <c r="K990" s="76"/>
      <c r="L990" s="76"/>
      <c r="M990" s="76"/>
      <c r="N990" s="76"/>
      <c r="O990" s="76"/>
      <c r="P990" s="76"/>
      <c r="Q990" s="76"/>
      <c r="R990" s="76"/>
      <c r="S990" s="76"/>
      <c r="T990" s="76"/>
      <c r="U990" s="76"/>
      <c r="V990" s="76"/>
      <c r="W990" s="76"/>
      <c r="X990" s="76"/>
      <c r="Y990" s="76"/>
      <c r="Z990" s="76"/>
      <c r="AA990" s="79"/>
      <c r="AB990" s="79"/>
      <c r="AC990" s="79"/>
      <c r="AD990" s="79"/>
      <c r="AE990" s="79"/>
      <c r="AF990" s="79"/>
      <c r="AG990" s="79"/>
      <c r="AH990" s="79"/>
      <c r="AI990" s="79"/>
      <c r="AJ990" s="79"/>
      <c r="AK990" s="79"/>
    </row>
    <row r="991" spans="1:37" s="78" customFormat="1" ht="12" customHeight="1">
      <c r="A991" s="76"/>
      <c r="B991" s="76"/>
      <c r="C991" s="76"/>
      <c r="D991" s="76"/>
      <c r="E991" s="76"/>
      <c r="F991" s="77"/>
      <c r="G991" s="76"/>
      <c r="H991" s="76"/>
      <c r="I991" s="76"/>
      <c r="J991" s="76"/>
      <c r="K991" s="76"/>
      <c r="L991" s="76"/>
      <c r="M991" s="76"/>
      <c r="N991" s="76"/>
      <c r="O991" s="76"/>
      <c r="P991" s="76"/>
      <c r="Q991" s="76"/>
      <c r="R991" s="76"/>
      <c r="S991" s="76"/>
      <c r="T991" s="76"/>
      <c r="U991" s="76"/>
      <c r="V991" s="76"/>
      <c r="W991" s="76"/>
      <c r="X991" s="76"/>
      <c r="Y991" s="76"/>
      <c r="Z991" s="76"/>
      <c r="AA991" s="79"/>
      <c r="AB991" s="79"/>
      <c r="AC991" s="79"/>
      <c r="AD991" s="79"/>
      <c r="AE991" s="79"/>
      <c r="AF991" s="79"/>
      <c r="AG991" s="79"/>
      <c r="AH991" s="79"/>
      <c r="AI991" s="79"/>
      <c r="AJ991" s="79"/>
      <c r="AK991" s="79"/>
    </row>
    <row r="992" spans="1:37" s="78" customFormat="1" ht="12" customHeight="1">
      <c r="A992" s="76"/>
      <c r="B992" s="76"/>
      <c r="C992" s="76"/>
      <c r="D992" s="76"/>
      <c r="E992" s="76"/>
      <c r="F992" s="77"/>
      <c r="G992" s="76"/>
      <c r="H992" s="76"/>
      <c r="I992" s="76"/>
      <c r="J992" s="76"/>
      <c r="K992" s="76"/>
      <c r="L992" s="76"/>
      <c r="M992" s="76"/>
      <c r="N992" s="76"/>
      <c r="O992" s="76"/>
      <c r="P992" s="76"/>
      <c r="Q992" s="76"/>
      <c r="R992" s="76"/>
      <c r="S992" s="76"/>
      <c r="T992" s="76"/>
      <c r="U992" s="76"/>
      <c r="V992" s="76"/>
      <c r="W992" s="76"/>
      <c r="X992" s="76"/>
      <c r="Y992" s="76"/>
      <c r="Z992" s="76"/>
      <c r="AA992" s="79"/>
      <c r="AB992" s="79"/>
      <c r="AC992" s="79"/>
      <c r="AD992" s="79"/>
      <c r="AE992" s="79"/>
      <c r="AF992" s="79"/>
      <c r="AG992" s="79"/>
      <c r="AH992" s="79"/>
      <c r="AI992" s="79"/>
      <c r="AJ992" s="79"/>
      <c r="AK992" s="79"/>
    </row>
    <row r="993" spans="1:37" s="78" customFormat="1" ht="12" customHeight="1">
      <c r="A993" s="76"/>
      <c r="B993" s="76"/>
      <c r="C993" s="76"/>
      <c r="D993" s="76"/>
      <c r="E993" s="76"/>
      <c r="F993" s="77"/>
      <c r="G993" s="76"/>
      <c r="H993" s="76"/>
      <c r="I993" s="76"/>
      <c r="J993" s="76"/>
      <c r="K993" s="76"/>
      <c r="L993" s="76"/>
      <c r="M993" s="76"/>
      <c r="N993" s="76"/>
      <c r="O993" s="76"/>
      <c r="P993" s="76"/>
      <c r="Q993" s="76"/>
      <c r="R993" s="76"/>
      <c r="S993" s="76"/>
      <c r="T993" s="76"/>
      <c r="U993" s="76"/>
      <c r="V993" s="76"/>
      <c r="W993" s="76"/>
      <c r="X993" s="76"/>
      <c r="Y993" s="76"/>
      <c r="Z993" s="76"/>
      <c r="AA993" s="79"/>
      <c r="AB993" s="79"/>
      <c r="AC993" s="79"/>
      <c r="AD993" s="79"/>
      <c r="AE993" s="79"/>
      <c r="AF993" s="79"/>
      <c r="AG993" s="79"/>
      <c r="AH993" s="79"/>
      <c r="AI993" s="79"/>
      <c r="AJ993" s="79"/>
      <c r="AK993" s="79"/>
    </row>
    <row r="994" spans="1:37" s="78" customFormat="1" ht="12" customHeight="1">
      <c r="A994" s="76"/>
      <c r="B994" s="76"/>
      <c r="C994" s="76"/>
      <c r="D994" s="76"/>
      <c r="E994" s="76"/>
      <c r="F994" s="77"/>
      <c r="G994" s="76"/>
      <c r="H994" s="76"/>
      <c r="I994" s="76"/>
      <c r="J994" s="76"/>
      <c r="K994" s="76"/>
      <c r="L994" s="76"/>
      <c r="M994" s="76"/>
      <c r="N994" s="76"/>
      <c r="O994" s="76"/>
      <c r="P994" s="76"/>
      <c r="Q994" s="76"/>
      <c r="R994" s="76"/>
      <c r="S994" s="76"/>
      <c r="T994" s="76"/>
      <c r="U994" s="76"/>
      <c r="V994" s="76"/>
      <c r="W994" s="76"/>
      <c r="X994" s="76"/>
      <c r="Y994" s="76"/>
      <c r="Z994" s="76"/>
      <c r="AA994" s="79"/>
      <c r="AB994" s="79"/>
      <c r="AC994" s="79"/>
      <c r="AD994" s="79"/>
      <c r="AE994" s="79"/>
      <c r="AF994" s="79"/>
      <c r="AG994" s="79"/>
      <c r="AH994" s="79"/>
      <c r="AI994" s="79"/>
      <c r="AJ994" s="79"/>
      <c r="AK994" s="79"/>
    </row>
    <row r="995" spans="1:37" s="78" customFormat="1" ht="12" customHeight="1">
      <c r="A995" s="76"/>
      <c r="B995" s="76"/>
      <c r="C995" s="76"/>
      <c r="D995" s="76"/>
      <c r="E995" s="76"/>
      <c r="F995" s="77"/>
      <c r="G995" s="76"/>
      <c r="H995" s="76"/>
      <c r="I995" s="76"/>
      <c r="J995" s="76"/>
      <c r="K995" s="76"/>
      <c r="L995" s="76"/>
      <c r="M995" s="76"/>
      <c r="N995" s="76"/>
      <c r="O995" s="76"/>
      <c r="P995" s="76"/>
      <c r="Q995" s="76"/>
      <c r="R995" s="76"/>
      <c r="S995" s="76"/>
      <c r="T995" s="76"/>
      <c r="U995" s="76"/>
      <c r="V995" s="76"/>
      <c r="W995" s="76"/>
      <c r="X995" s="76"/>
      <c r="Y995" s="76"/>
      <c r="Z995" s="76"/>
      <c r="AA995" s="79"/>
      <c r="AB995" s="79"/>
      <c r="AC995" s="79"/>
      <c r="AD995" s="79"/>
      <c r="AE995" s="79"/>
      <c r="AF995" s="79"/>
      <c r="AG995" s="79"/>
      <c r="AH995" s="79"/>
      <c r="AI995" s="79"/>
      <c r="AJ995" s="79"/>
      <c r="AK995" s="79"/>
    </row>
    <row r="996" spans="1:37" s="78" customFormat="1" ht="12" customHeight="1">
      <c r="A996" s="76"/>
      <c r="B996" s="76"/>
      <c r="C996" s="76"/>
      <c r="D996" s="76"/>
      <c r="E996" s="76"/>
      <c r="F996" s="77"/>
      <c r="G996" s="76"/>
      <c r="H996" s="76"/>
      <c r="I996" s="76"/>
      <c r="J996" s="76"/>
      <c r="K996" s="76"/>
      <c r="L996" s="76"/>
      <c r="M996" s="76"/>
      <c r="N996" s="76"/>
      <c r="O996" s="76"/>
      <c r="P996" s="76"/>
      <c r="Q996" s="76"/>
      <c r="R996" s="76"/>
      <c r="S996" s="76"/>
      <c r="T996" s="76"/>
      <c r="U996" s="76"/>
      <c r="V996" s="76"/>
      <c r="W996" s="76"/>
      <c r="X996" s="76"/>
      <c r="Y996" s="76"/>
      <c r="Z996" s="76"/>
      <c r="AA996" s="79"/>
      <c r="AB996" s="79"/>
      <c r="AC996" s="79"/>
      <c r="AD996" s="79"/>
      <c r="AE996" s="79"/>
      <c r="AF996" s="79"/>
      <c r="AG996" s="79"/>
      <c r="AH996" s="79"/>
      <c r="AI996" s="79"/>
      <c r="AJ996" s="79"/>
      <c r="AK996" s="79"/>
    </row>
    <row r="997" spans="1:37" s="78" customFormat="1" ht="12" customHeight="1">
      <c r="A997" s="76"/>
      <c r="B997" s="76"/>
      <c r="C997" s="76"/>
      <c r="D997" s="76"/>
      <c r="E997" s="76"/>
      <c r="F997" s="77"/>
      <c r="G997" s="76"/>
      <c r="H997" s="76"/>
      <c r="I997" s="76"/>
      <c r="J997" s="76"/>
      <c r="K997" s="76"/>
      <c r="L997" s="76"/>
      <c r="M997" s="76"/>
      <c r="N997" s="76"/>
      <c r="O997" s="76"/>
      <c r="P997" s="76"/>
      <c r="Q997" s="76"/>
      <c r="R997" s="76"/>
      <c r="S997" s="76"/>
      <c r="T997" s="76"/>
      <c r="U997" s="76"/>
      <c r="V997" s="76"/>
      <c r="W997" s="76"/>
      <c r="X997" s="76"/>
      <c r="Y997" s="76"/>
      <c r="Z997" s="76"/>
      <c r="AA997" s="79"/>
      <c r="AB997" s="79"/>
      <c r="AC997" s="79"/>
      <c r="AD997" s="79"/>
      <c r="AE997" s="79"/>
      <c r="AF997" s="79"/>
      <c r="AG997" s="79"/>
      <c r="AH997" s="79"/>
      <c r="AI997" s="79"/>
      <c r="AJ997" s="79"/>
      <c r="AK997" s="79"/>
    </row>
    <row r="998" spans="1:37" s="78" customFormat="1" ht="12" customHeight="1">
      <c r="A998" s="76"/>
      <c r="B998" s="76"/>
      <c r="C998" s="76"/>
      <c r="D998" s="76"/>
      <c r="E998" s="76"/>
      <c r="F998" s="77"/>
      <c r="G998" s="76"/>
      <c r="H998" s="76"/>
      <c r="I998" s="76"/>
      <c r="J998" s="76"/>
      <c r="K998" s="76"/>
      <c r="L998" s="76"/>
      <c r="M998" s="76"/>
      <c r="N998" s="76"/>
      <c r="O998" s="76"/>
      <c r="P998" s="76"/>
      <c r="Q998" s="76"/>
      <c r="R998" s="76"/>
      <c r="S998" s="76"/>
      <c r="T998" s="76"/>
      <c r="U998" s="76"/>
      <c r="V998" s="76"/>
      <c r="W998" s="76"/>
      <c r="X998" s="76"/>
      <c r="Y998" s="76"/>
      <c r="Z998" s="76"/>
      <c r="AA998" s="79"/>
      <c r="AB998" s="79"/>
      <c r="AC998" s="79"/>
      <c r="AD998" s="79"/>
      <c r="AE998" s="79"/>
      <c r="AF998" s="79"/>
      <c r="AG998" s="79"/>
      <c r="AH998" s="79"/>
      <c r="AI998" s="79"/>
      <c r="AJ998" s="79"/>
      <c r="AK998" s="79"/>
    </row>
    <row r="999" spans="1:37" s="78" customFormat="1" ht="12" customHeight="1">
      <c r="A999" s="76"/>
      <c r="B999" s="76"/>
      <c r="C999" s="76"/>
      <c r="D999" s="76"/>
      <c r="E999" s="76"/>
      <c r="F999" s="77"/>
      <c r="G999" s="76"/>
      <c r="H999" s="76"/>
      <c r="I999" s="76"/>
      <c r="J999" s="76"/>
      <c r="K999" s="76"/>
      <c r="L999" s="76"/>
      <c r="M999" s="76"/>
      <c r="N999" s="76"/>
      <c r="O999" s="76"/>
      <c r="P999" s="76"/>
      <c r="Q999" s="76"/>
      <c r="R999" s="76"/>
      <c r="S999" s="76"/>
      <c r="T999" s="76"/>
      <c r="U999" s="76"/>
      <c r="V999" s="76"/>
      <c r="W999" s="76"/>
      <c r="X999" s="76"/>
      <c r="Y999" s="76"/>
      <c r="Z999" s="76"/>
      <c r="AA999" s="79"/>
      <c r="AB999" s="79"/>
      <c r="AC999" s="79"/>
      <c r="AD999" s="79"/>
      <c r="AE999" s="79"/>
      <c r="AF999" s="79"/>
      <c r="AG999" s="79"/>
      <c r="AH999" s="79"/>
      <c r="AI999" s="79"/>
      <c r="AJ999" s="79"/>
      <c r="AK999" s="79"/>
    </row>
    <row r="1000" spans="1:37" s="78" customFormat="1" ht="12" customHeight="1">
      <c r="A1000" s="76"/>
      <c r="B1000" s="76"/>
      <c r="C1000" s="76"/>
      <c r="D1000" s="76"/>
      <c r="E1000" s="76"/>
      <c r="F1000" s="77"/>
      <c r="G1000" s="76"/>
      <c r="H1000" s="76"/>
      <c r="I1000" s="76"/>
      <c r="J1000" s="76"/>
      <c r="K1000" s="76"/>
      <c r="L1000" s="76"/>
      <c r="M1000" s="76"/>
      <c r="N1000" s="76"/>
      <c r="O1000" s="76"/>
      <c r="P1000" s="76"/>
      <c r="Q1000" s="76"/>
      <c r="R1000" s="76"/>
      <c r="S1000" s="76"/>
      <c r="T1000" s="76"/>
      <c r="U1000" s="76"/>
      <c r="V1000" s="76"/>
      <c r="W1000" s="76"/>
      <c r="X1000" s="76"/>
      <c r="Y1000" s="76"/>
      <c r="Z1000" s="76"/>
      <c r="AA1000" s="79"/>
      <c r="AB1000" s="79"/>
      <c r="AC1000" s="79"/>
      <c r="AD1000" s="79"/>
      <c r="AE1000" s="79"/>
      <c r="AF1000" s="79"/>
      <c r="AG1000" s="79"/>
      <c r="AH1000" s="79"/>
      <c r="AI1000" s="79"/>
      <c r="AJ1000" s="79"/>
      <c r="AK1000" s="79"/>
    </row>
  </sheetData>
  <conditionalFormatting sqref="AS2">
    <cfRule type="cellIs" dxfId="1" priority="2" operator="greaterThan">
      <formula>$AR$2</formula>
    </cfRule>
  </conditionalFormatting>
  <conditionalFormatting sqref="AT2">
    <cfRule type="containsText" dxfId="0" priority="1" operator="containsText" text="No Pass">
      <formula>NOT(ISERROR(SEARCH("No Pass",AT2)))</formula>
    </cfRule>
  </conditionalFormatting>
  <printOptions horizontalCentered="1"/>
  <pageMargins left="0.7" right="0.7" top="0.75" bottom="0.75" header="0.3" footer="0.3"/>
  <pageSetup paperSize="9" scale="10" fitToHeight="0" orientation="landscape"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16B4F1A57D8544FA77CFB96D4969126" ma:contentTypeVersion="74" ma:contentTypeDescription="Create a new document." ma:contentTypeScope="" ma:versionID="1e43c9086e8e2be9d5fab36ba9934e93">
  <xsd:schema xmlns:xsd="http://www.w3.org/2001/XMLSchema" xmlns:xs="http://www.w3.org/2001/XMLSchema" xmlns:p="http://schemas.microsoft.com/office/2006/metadata/properties" xmlns:ns1="http://schemas.microsoft.com/sharepoint/v3" xmlns:ns2="297adb1c-e769-4fa6-a867-ec8241916bcd" xmlns:ns3="66a3cf9c-e46a-4f4c-bd07-8098afc95a77" xmlns:ns4="586de06e-62e4-44d9-88bc-040c9c328593" xmlns:ns5="5f3b2fb3-342f-4f87-9f6d-0df0cc73e0ae" xmlns:ns6="http://schemas.microsoft.com/sharepoint/v4" xmlns:ns7="a8363fa9-a3a4-4ac3-8dd4-eea1465d5fa2" targetNamespace="http://schemas.microsoft.com/office/2006/metadata/properties" ma:root="true" ma:fieldsID="5a511c995299cc6061fb223aedab9b2b" ns1:_="" ns2:_="" ns3:_="" ns4:_="" ns5:_="" ns6:_="" ns7:_="">
    <xsd:import namespace="http://schemas.microsoft.com/sharepoint/v3"/>
    <xsd:import namespace="297adb1c-e769-4fa6-a867-ec8241916bcd"/>
    <xsd:import namespace="66a3cf9c-e46a-4f4c-bd07-8098afc95a77"/>
    <xsd:import namespace="586de06e-62e4-44d9-88bc-040c9c328593"/>
    <xsd:import namespace="5f3b2fb3-342f-4f87-9f6d-0df0cc73e0ae"/>
    <xsd:import namespace="http://schemas.microsoft.com/sharepoint/v4"/>
    <xsd:import namespace="a8363fa9-a3a4-4ac3-8dd4-eea1465d5fa2"/>
    <xsd:element name="properties">
      <xsd:complexType>
        <xsd:sequence>
          <xsd:element name="documentManagement">
            <xsd:complexType>
              <xsd:all>
                <xsd:element ref="ns2:_dlc_DocId" minOccurs="0"/>
                <xsd:element ref="ns2:_dlc_DocIdUrl" minOccurs="0"/>
                <xsd:element ref="ns2:_dlc_DocIdPersistId" minOccurs="0"/>
                <xsd:element ref="ns3:etsl" minOccurs="0"/>
                <xsd:element ref="ns3:yayf" minOccurs="0"/>
                <xsd:element ref="ns3:ylci" minOccurs="0"/>
                <xsd:element ref="ns2:MMSSDLLocationNote" minOccurs="0"/>
                <xsd:element ref="ns4:TaxCatchAll" minOccurs="0"/>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Next_x0020_Review_x0020_Date" minOccurs="0"/>
                <xsd:element ref="ns3:Validity" minOccurs="0"/>
                <xsd:element ref="ns3:MediaServiceAutoTags" minOccurs="0"/>
                <xsd:element ref="ns3:MediaServiceOCR" minOccurs="0"/>
                <xsd:element ref="ns3:Validity_x0020_Start_x0020_Date" minOccurs="0"/>
                <xsd:element ref="ns3:Training_x0020_Group" minOccurs="0"/>
                <xsd:element ref="ns5:Status" minOccurs="0"/>
                <xsd:element ref="ns5:VersionToBePublished" minOccurs="0"/>
                <xsd:element ref="ns5:Quality_x0020_System" minOccurs="0"/>
                <xsd:element ref="ns5:Approver" minOccurs="0"/>
                <xsd:element ref="ns5:Process_x0020_Owner" minOccurs="0"/>
                <xsd:element ref="ns5:QMS_x0020_Notification" minOccurs="0"/>
                <xsd:element ref="ns5:PMO" minOccurs="0"/>
                <xsd:element ref="ns5:LO" minOccurs="0"/>
                <xsd:element ref="ns5:Tech_x0020_Delivery" minOccurs="0"/>
                <xsd:element ref="ns5:HR" minOccurs="0"/>
                <xsd:element ref="ns5:Supply_x0020_Chain" minOccurs="0"/>
                <xsd:element ref="ns5:IT" minOccurs="0"/>
                <xsd:element ref="ns5:Legal" minOccurs="0"/>
                <xsd:element ref="ns5:Quality" minOccurs="0"/>
                <xsd:element ref="ns5:Products" minOccurs="0"/>
                <xsd:element ref="ns5:Document_x0020_Version"/>
                <xsd:element ref="ns6:IconOverlay" minOccurs="0"/>
                <xsd:element ref="ns1:_vti_ItemDeclaredRecord" minOccurs="0"/>
                <xsd:element ref="ns1:_vti_ItemHoldRecordStatus" minOccurs="0"/>
                <xsd:element ref="ns5:StartWorkflow" minOccurs="0"/>
                <xsd:element ref="ns5:Cooments" minOccurs="0"/>
                <xsd:element ref="ns7:MediaServiceAutoKeyPoints" minOccurs="0"/>
                <xsd:element ref="ns7:MediaServiceKeyPoints" minOccurs="0"/>
                <xsd:element ref="ns7:Training_x0020_Require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vti_ItemDeclaredRecord" ma:index="48" nillable="true" ma:displayName="Declared Record" ma:hidden="true" ma:internalName="_vti_ItemDeclaredRecord" ma:readOnly="true">
      <xsd:simpleType>
        <xsd:restriction base="dms:DateTime"/>
      </xsd:simpleType>
    </xsd:element>
    <xsd:element name="_vti_ItemHoldRecordStatus" ma:index="49" nillable="true" ma:displayName="Hold and Record Status" ma:decimals="0" ma:description="" ma:hidden="true" ma:indexed="true" ma:internalName="_vti_ItemHoldRecordStatu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97adb1c-e769-4fa6-a867-ec8241916bcd"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MMSSDLLocationNote" ma:index="15" nillable="true" ma:taxonomy="true" ma:internalName="MMSSDLLocationNote" ma:taxonomyFieldName="MMSSDLLocation" ma:displayName="Location" ma:default="" ma:fieldId="{3a99227a-5074-4d69-9716-dd16f0cb035e}" ma:sspId="25dd3951-ca96-498d-a2e8-d60738a67f12" ma:termSetId="d789ed04-4ffc-41b3-882a-d6917fe87522" ma:anchorId="00000000-0000-0000-0000-000000000000" ma:open="false" ma:isKeyword="false">
      <xsd:complexType>
        <xsd:sequence>
          <xsd:element ref="pc:Terms" minOccurs="0" maxOccurs="1"/>
        </xsd:sequence>
      </xsd:complexType>
    </xsd:element>
    <xsd:element name="SharedWithUsers" ma:index="17"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description="" ma:internalName="SharedWithDetails" ma:readOnly="true">
      <xsd:simpleType>
        <xsd:restriction base="dms:Note">
          <xsd:maxLength value="255"/>
        </xsd:restriction>
      </xsd:simpleType>
    </xsd:element>
    <xsd:element name="LastSharedByUser" ma:index="19" nillable="true" ma:displayName="Last Shared By User" ma:description="" ma:internalName="LastSharedByUser" ma:readOnly="true">
      <xsd:simpleType>
        <xsd:restriction base="dms:Note">
          <xsd:maxLength value="255"/>
        </xsd:restriction>
      </xsd:simpleType>
    </xsd:element>
    <xsd:element name="LastSharedByTime" ma:index="20"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66a3cf9c-e46a-4f4c-bd07-8098afc95a77" elementFormDefault="qualified">
    <xsd:import namespace="http://schemas.microsoft.com/office/2006/documentManagement/types"/>
    <xsd:import namespace="http://schemas.microsoft.com/office/infopath/2007/PartnerControls"/>
    <xsd:element name="etsl" ma:index="11" nillable="true" ma:displayName="Standard" ma:internalName="etsl">
      <xsd:complexType>
        <xsd:complexContent>
          <xsd:extension base="dms:MultiChoice">
            <xsd:sequence>
              <xsd:element name="Value" maxOccurs="unbounded" minOccurs="0" nillable="true">
                <xsd:simpleType>
                  <xsd:restriction base="dms:Choice">
                    <xsd:enumeration value="9001"/>
                    <xsd:enumeration value="13485"/>
                    <xsd:enumeration value="14001"/>
                    <xsd:enumeration value="17100"/>
                    <xsd:enumeration value="21500"/>
                    <xsd:enumeration value="27001"/>
                    <xsd:enumeration value="18587"/>
                  </xsd:restriction>
                </xsd:simpleType>
              </xsd:element>
            </xsd:sequence>
          </xsd:extension>
        </xsd:complexContent>
      </xsd:complexType>
    </xsd:element>
    <xsd:element name="yayf" ma:index="12" nillable="true" ma:displayName="Department" ma:internalName="yayf">
      <xsd:complexType>
        <xsd:complexContent>
          <xsd:extension base="dms:MultiChoice">
            <xsd:sequence>
              <xsd:element name="Value" maxOccurs="unbounded" minOccurs="0" nillable="true">
                <xsd:simpleType>
                  <xsd:restriction base="dms:Choice">
                    <xsd:enumeration value="CE Quality"/>
                    <xsd:enumeration value="CE PMO"/>
                    <xsd:enumeration value="Data"/>
                    <xsd:enumeration value="Facilities"/>
                    <xsd:enumeration value="Group Quality"/>
                    <xsd:enumeration value="HR Training"/>
                    <xsd:enumeration value="HR Talent"/>
                    <xsd:enumeration value="HR"/>
                    <xsd:enumeration value="ISPC"/>
                    <xsd:enumeration value="IT"/>
                    <xsd:enumeration value="LDTS"/>
                    <xsd:enumeration value="Legal"/>
                    <xsd:enumeration value="LO"/>
                    <xsd:enumeration value="Products"/>
                    <xsd:enumeration value="Quality Performance"/>
                    <xsd:enumeration value="RI CRO"/>
                    <xsd:enumeration value="RI DTP"/>
                    <xsd:enumeration value="RI Eng"/>
                    <xsd:enumeration value="RI PMO"/>
                    <xsd:enumeration value="RI Quality"/>
                    <xsd:enumeration value="RI Sales Admin"/>
                    <xsd:enumeration value="Software Dev"/>
                    <xsd:enumeration value="Supply Chain"/>
                    <xsd:enumeration value="TD"/>
                    <xsd:enumeration value="TD Testing"/>
                    <xsd:enumeration value="TD Audio"/>
                  </xsd:restriction>
                </xsd:simpleType>
              </xsd:element>
            </xsd:sequence>
          </xsd:extension>
        </xsd:complexContent>
      </xsd:complexType>
    </xsd:element>
    <xsd:element name="ylci" ma:index="14" nillable="true" ma:displayName="Document Type" ma:format="Dropdown" ma:internalName="ylci">
      <xsd:simpleType>
        <xsd:restriction base="dms:Choice">
          <xsd:enumeration value="Quality Manual"/>
          <xsd:enumeration value="Policy"/>
          <xsd:enumeration value="Objectives"/>
          <xsd:enumeration value="SOP"/>
          <xsd:enumeration value="WI"/>
          <xsd:enumeration value="Form"/>
          <xsd:enumeration value="Template"/>
          <xsd:enumeration value="Reference"/>
          <xsd:enumeration value="Org Chart"/>
          <xsd:enumeration value="KPIs"/>
          <xsd:enumeration value="Uncontrolled"/>
          <xsd:enumeration value="Certificate"/>
        </xsd:restriction>
      </xsd:simpleType>
    </xsd:element>
    <xsd:element name="MediaServiceMetadata" ma:index="21" nillable="true" ma:displayName="MediaServiceMetadata" ma:description="" ma:hidden="true" ma:internalName="MediaServiceMetadata" ma:readOnly="true">
      <xsd:simpleType>
        <xsd:restriction base="dms:Note"/>
      </xsd:simpleType>
    </xsd:element>
    <xsd:element name="MediaServiceFastMetadata" ma:index="22" nillable="true" ma:displayName="MediaServiceFastMetadata" ma:description="" ma:hidden="true" ma:internalName="MediaServiceFastMetadata" ma:readOnly="true">
      <xsd:simpleType>
        <xsd:restriction base="dms:Note"/>
      </xsd:simpleType>
    </xsd:element>
    <xsd:element name="Next_x0020_Review_x0020_Date" ma:index="23" nillable="true" ma:displayName="Next Review Date" ma:format="DateOnly" ma:internalName="Next_x0020_Review_x0020_Date">
      <xsd:simpleType>
        <xsd:restriction base="dms:DateTime"/>
      </xsd:simpleType>
    </xsd:element>
    <xsd:element name="Validity" ma:index="24" nillable="true" ma:displayName="Validity" ma:format="Dropdown" ma:internalName="Validity">
      <xsd:simpleType>
        <xsd:restriction base="dms:Choice">
          <xsd:enumeration value="Active"/>
          <xsd:enumeration value="Obsolete"/>
        </xsd:restriction>
      </xsd:simpleType>
    </xsd:element>
    <xsd:element name="MediaServiceAutoTags" ma:index="25" nillable="true" ma:displayName="Tags" ma:internalName="MediaServiceAutoTags" ma:readOnly="true">
      <xsd:simpleType>
        <xsd:restriction base="dms:Text"/>
      </xsd:simpleType>
    </xsd:element>
    <xsd:element name="MediaServiceOCR" ma:index="26" nillable="true" ma:displayName="Extracted Text" ma:internalName="MediaServiceOCR" ma:readOnly="true">
      <xsd:simpleType>
        <xsd:restriction base="dms:Note">
          <xsd:maxLength value="255"/>
        </xsd:restriction>
      </xsd:simpleType>
    </xsd:element>
    <xsd:element name="Validity_x0020_Start_x0020_Date" ma:index="28" nillable="true" ma:displayName="Effective Date" ma:format="DateOnly" ma:internalName="Validity_x0020_Start_x0020_Date">
      <xsd:simpleType>
        <xsd:restriction base="dms:DateTime"/>
      </xsd:simpleType>
    </xsd:element>
    <xsd:element name="Training_x0020_Group" ma:index="29" nillable="true" ma:displayName="QMS Training Group" ma:description="List of Training Groups who need to complete this training" ma:internalName="Training_x0020_Group">
      <xsd:complexType>
        <xsd:complexContent>
          <xsd:extension base="dms:MultiChoice">
            <xsd:sequence>
              <xsd:element name="Value" maxOccurs="unbounded" minOccurs="0" nillable="true">
                <xsd:simpleType>
                  <xsd:restriction base="dms:Choice">
                    <xsd:enumeration value="CE Quality"/>
                    <xsd:enumeration value="CE PMO"/>
                    <xsd:enumeration value="Data"/>
                    <xsd:enumeration value="Facilities"/>
                    <xsd:enumeration value="Group Quality"/>
                    <xsd:enumeration value="HR Training"/>
                    <xsd:enumeration value="HR Talent"/>
                    <xsd:enumeration value="HR"/>
                    <xsd:enumeration value="ISPC"/>
                    <xsd:enumeration value="IT"/>
                    <xsd:enumeration value="LDTS"/>
                    <xsd:enumeration value="Legal"/>
                    <xsd:enumeration value="LO"/>
                    <xsd:enumeration value="Products"/>
                    <xsd:enumeration value="Quality Performance"/>
                    <xsd:enumeration value="RI CRO"/>
                    <xsd:enumeration value="RI DTP"/>
                    <xsd:enumeration value="RI Eng"/>
                    <xsd:enumeration value="RI PMO"/>
                    <xsd:enumeration value="RI Quality"/>
                    <xsd:enumeration value="RI Sales Admin"/>
                    <xsd:enumeration value="Software Dev"/>
                    <xsd:enumeration value="Supply Chain"/>
                    <xsd:enumeration value="TD"/>
                    <xsd:enumeration value="TD Testing"/>
                    <xsd:enumeration value="TD Audio"/>
                  </xsd:restriction>
                </xsd:simple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86de06e-62e4-44d9-88bc-040c9c328593" elementFormDefault="qualified">
    <xsd:import namespace="http://schemas.microsoft.com/office/2006/documentManagement/types"/>
    <xsd:import namespace="http://schemas.microsoft.com/office/infopath/2007/PartnerControls"/>
    <xsd:element name="TaxCatchAll" ma:index="16" nillable="true" ma:displayName="Taxonomy Catch All Column" ma:description="" ma:hidden="true" ma:list="{a1d49e19-63b4-438a-90cd-b56e6e54ac0e}" ma:internalName="TaxCatchAll" ma:showField="CatchAllData" ma:web="297adb1c-e769-4fa6-a867-ec8241916bc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f3b2fb3-342f-4f87-9f6d-0df0cc73e0ae" elementFormDefault="qualified">
    <xsd:import namespace="http://schemas.microsoft.com/office/2006/documentManagement/types"/>
    <xsd:import namespace="http://schemas.microsoft.com/office/infopath/2007/PartnerControls"/>
    <xsd:element name="Status" ma:index="30" nillable="true" ma:displayName="Status" ma:internalName="Status">
      <xsd:simpleType>
        <xsd:restriction base="dms:Text">
          <xsd:maxLength value="255"/>
        </xsd:restriction>
      </xsd:simpleType>
    </xsd:element>
    <xsd:element name="VersionToBePublished" ma:index="31" nillable="true" ma:displayName="VersionToBePublished" ma:format="RadioButtons" ma:internalName="VersionToBePublished">
      <xsd:simpleType>
        <xsd:restriction base="dms:Choice">
          <xsd:enumeration value="Major"/>
          <xsd:enumeration value="Minor"/>
        </xsd:restriction>
      </xsd:simpleType>
    </xsd:element>
    <xsd:element name="Quality_x0020_System" ma:index="33" nillable="true" ma:displayName="Quality System" ma:internalName="Quality_x0020_System" ma:requiredMultiChoice="true">
      <xsd:complexType>
        <xsd:complexContent>
          <xsd:extension base="dms:MultiChoiceFillIn">
            <xsd:sequence>
              <xsd:element name="Value" maxOccurs="unbounded" minOccurs="0" nillable="true">
                <xsd:simpleType>
                  <xsd:union memberTypes="dms:Text">
                    <xsd:simpleType>
                      <xsd:restriction base="dms:Choice">
                        <xsd:enumeration value="EMS"/>
                        <xsd:enumeration value="QMS"/>
                        <xsd:enumeration value="ISMS"/>
                      </xsd:restriction>
                    </xsd:simpleType>
                  </xsd:union>
                </xsd:simpleType>
              </xsd:element>
            </xsd:sequence>
          </xsd:extension>
        </xsd:complexContent>
      </xsd:complexType>
    </xsd:element>
    <xsd:element name="Approver" ma:index="34" nillable="true" ma:displayName="Approver" ma:list="UserInfo" ma:SharePointGroup="0" ma:internalName="Approv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rocess_x0020_Owner" ma:index="35" nillable="true" ma:displayName="Process Owner" ma:internalName="Process_x0020_Owner" ma:requiredMultiChoice="true">
      <xsd:complexType>
        <xsd:complexContent>
          <xsd:extension base="dms:MultiChoice">
            <xsd:sequence>
              <xsd:element name="Value" maxOccurs="unbounded" minOccurs="0" nillable="true">
                <xsd:simpleType>
                  <xsd:restriction base="dms:Choice">
                    <xsd:enumeration value="Alicia Cosh"/>
                    <xsd:enumeration value="Amanda Newton"/>
                    <xsd:enumeration value="Ana Rita Braga Cruz"/>
                    <xsd:enumeration value="Ana Santos"/>
                    <xsd:enumeration value="Andrea Stevens"/>
                    <xsd:enumeration value="Andrew Fisher"/>
                    <xsd:enumeration value="Annie Law"/>
                    <xsd:enumeration value="Arlana Sherman"/>
                    <xsd:enumeration value="Arturo Aguilar"/>
                    <xsd:enumeration value="Aurelia Gumery-Lhuillier"/>
                    <xsd:enumeration value="Beatriz Cano"/>
                    <xsd:enumeration value="Becca Fisher"/>
                    <xsd:enumeration value="Berta Espejo Vigil"/>
                    <xsd:enumeration value="Birgit Keilbach"/>
                    <xsd:enumeration value="Chiara Mantelli"/>
                    <xsd:enumeration value="Chris Burkimsher"/>
                    <xsd:enumeration value="Clair Hilton"/>
                    <xsd:enumeration value="Craig Haselden-Davies"/>
                    <xsd:enumeration value="Cristina Adrio"/>
                    <xsd:enumeration value="Darrin Lee"/>
                    <xsd:enumeration value="Diana Drogomir"/>
                    <xsd:enumeration value="Dorte Schou"/>
                    <xsd:enumeration value="Emma Healey"/>
                    <xsd:enumeration value="Emmanuelle Roudot"/>
                    <xsd:enumeration value="Erin Sandruck"/>
                    <xsd:enumeration value="Fabio Bondani"/>
                    <xsd:enumeration value="Gail Parkes"/>
                    <xsd:enumeration value="Gavin Houlihan"/>
                    <xsd:enumeration value="Harpreet Sagoo"/>
                    <xsd:enumeration value="Ion Rementeria Totorika"/>
                    <xsd:enumeration value="Isabel Vara Gonzalez"/>
                    <xsd:enumeration value="James Lister"/>
                    <xsd:enumeration value="Javier Sanchez Velasco"/>
                    <xsd:enumeration value="Joaquin Soler"/>
                    <xsd:enumeration value="Jordan Cockrell"/>
                    <xsd:enumeration value="Jose Arias Parra"/>
                    <xsd:enumeration value="Jose Fernandes"/>
                    <xsd:enumeration value="Juhee Choi"/>
                    <xsd:enumeration value="Katelyn Marchessault"/>
                    <xsd:enumeration value="Keith Biddle"/>
                    <xsd:enumeration value="Laura Nogueras Rodriguez"/>
                    <xsd:enumeration value="Maciej Horodecki"/>
                    <xsd:enumeration value="Marcin Ziembinski"/>
                    <xsd:enumeration value="Maria Schnell"/>
                    <xsd:enumeration value="Marion Guichard-Ranckk"/>
                    <xsd:enumeration value="Mark Pavlik"/>
                    <xsd:enumeration value="Marla Larrazabal"/>
                    <xsd:enumeration value="Michelle Wilson"/>
                    <xsd:enumeration value="Mike Lackey"/>
                    <xsd:enumeration value="Muriel Landragin"/>
                    <xsd:enumeration value="Nicole Hawkesford"/>
                    <xsd:enumeration value="Pablo Perez"/>
                    <xsd:enumeration value="Panjawan (Auo) Kositsakul"/>
                    <xsd:enumeration value="Patrick Klein"/>
                    <xsd:enumeration value="Phil Lilley"/>
                    <xsd:enumeration value="Rafael Zaragoza Mira"/>
                    <xsd:enumeration value="Rares Vasilescu"/>
                    <xsd:enumeration value="Rebecca Martz"/>
                    <xsd:enumeration value="Roddy Temperley"/>
                    <xsd:enumeration value="Ruben Perez Garcia"/>
                    <xsd:enumeration value="Sandra Da Costa"/>
                    <xsd:enumeration value="Sarah Boice"/>
                    <xsd:enumeration value="Sarah Druschke"/>
                    <xsd:enumeration value="Sarah Petruzziello"/>
                    <xsd:enumeration value="Simon Grieve"/>
                    <xsd:enumeration value="Simon Mabille"/>
                    <xsd:enumeration value="Sofia Patrocinio"/>
                    <xsd:enumeration value="Stacey Ferry"/>
                    <xsd:enumeration value="Stewart Weston"/>
                    <xsd:enumeration value="Stuart Carter"/>
                    <xsd:enumeration value="Susmi Rosenthal"/>
                    <xsd:enumeration value="Sylvia Splendori"/>
                    <xsd:enumeration value="Tamara Vazquez"/>
                    <xsd:enumeration value="Tatiana Gordeeva"/>
                    <xsd:enumeration value="Thomas Haeussler"/>
                    <xsd:enumeration value="Valeria Cannavina"/>
                    <xsd:enumeration value="Vanesa Bonavota"/>
                    <xsd:enumeration value="Winston Wong"/>
                  </xsd:restriction>
                </xsd:simpleType>
              </xsd:element>
            </xsd:sequence>
          </xsd:extension>
        </xsd:complexContent>
      </xsd:complexType>
    </xsd:element>
    <xsd:element name="QMS_x0020_Notification" ma:index="36" nillable="true" ma:displayName="QMS Notification" ma:internalName="QMS_x0020_Notification">
      <xsd:complexType>
        <xsd:complexContent>
          <xsd:extension base="dms:MultiChoice">
            <xsd:sequence>
              <xsd:element name="Value" maxOccurs="unbounded" minOccurs="0" nillable="true">
                <xsd:simpleType>
                  <xsd:restriction base="dms:Choice">
                    <xsd:enumeration value="CE Quality"/>
                    <xsd:enumeration value="CE PMO"/>
                    <xsd:enumeration value="Data"/>
                    <xsd:enumeration value="Facilities"/>
                    <xsd:enumeration value="Group Quality"/>
                    <xsd:enumeration value="HR Training"/>
                    <xsd:enumeration value="HR Talent"/>
                    <xsd:enumeration value="HR"/>
                    <xsd:enumeration value="ISPC"/>
                    <xsd:enumeration value="IT"/>
                    <xsd:enumeration value="LDTS"/>
                    <xsd:enumeration value="Legal"/>
                    <xsd:enumeration value="LO"/>
                    <xsd:enumeration value="Products"/>
                    <xsd:enumeration value="Quality Performance"/>
                    <xsd:enumeration value="RI CRO"/>
                    <xsd:enumeration value="RI DTP"/>
                    <xsd:enumeration value="RI Eng"/>
                    <xsd:enumeration value="RI PMO"/>
                    <xsd:enumeration value="RI Quality"/>
                    <xsd:enumeration value="RI Sales Admin"/>
                    <xsd:enumeration value="Software Dev"/>
                    <xsd:enumeration value="Supply Chain"/>
                    <xsd:enumeration value="TD"/>
                    <xsd:enumeration value="TD Testing"/>
                    <xsd:enumeration value="TD Audio"/>
                  </xsd:restriction>
                </xsd:simpleType>
              </xsd:element>
            </xsd:sequence>
          </xsd:extension>
        </xsd:complexContent>
      </xsd:complexType>
    </xsd:element>
    <xsd:element name="PMO" ma:index="37" nillable="true" ma:displayName="PMO" ma:internalName="PMO">
      <xsd:complexType>
        <xsd:complexContent>
          <xsd:extension base="dms:MultiChoice">
            <xsd:sequence>
              <xsd:element name="Value" maxOccurs="unbounded" minOccurs="0" nillable="true">
                <xsd:simpleType>
                  <xsd:restriction base="dms:Choice">
                    <xsd:enumeration value="R"/>
                    <xsd:enumeration value="A"/>
                    <xsd:enumeration value="C"/>
                    <xsd:enumeration value="I"/>
                  </xsd:restriction>
                </xsd:simpleType>
              </xsd:element>
            </xsd:sequence>
          </xsd:extension>
        </xsd:complexContent>
      </xsd:complexType>
    </xsd:element>
    <xsd:element name="LO" ma:index="38" nillable="true" ma:displayName="LO" ma:internalName="LO">
      <xsd:complexType>
        <xsd:complexContent>
          <xsd:extension base="dms:MultiChoice">
            <xsd:sequence>
              <xsd:element name="Value" maxOccurs="unbounded" minOccurs="0" nillable="true">
                <xsd:simpleType>
                  <xsd:restriction base="dms:Choice">
                    <xsd:enumeration value="R"/>
                    <xsd:enumeration value="A"/>
                    <xsd:enumeration value="C"/>
                    <xsd:enumeration value="I"/>
                  </xsd:restriction>
                </xsd:simpleType>
              </xsd:element>
            </xsd:sequence>
          </xsd:extension>
        </xsd:complexContent>
      </xsd:complexType>
    </xsd:element>
    <xsd:element name="Tech_x0020_Delivery" ma:index="39" nillable="true" ma:displayName="Tech Delivery" ma:internalName="Tech_x0020_Delivery">
      <xsd:complexType>
        <xsd:complexContent>
          <xsd:extension base="dms:MultiChoice">
            <xsd:sequence>
              <xsd:element name="Value" maxOccurs="unbounded" minOccurs="0" nillable="true">
                <xsd:simpleType>
                  <xsd:restriction base="dms:Choice">
                    <xsd:enumeration value="R"/>
                    <xsd:enumeration value="A"/>
                    <xsd:enumeration value="C"/>
                    <xsd:enumeration value="I"/>
                  </xsd:restriction>
                </xsd:simpleType>
              </xsd:element>
            </xsd:sequence>
          </xsd:extension>
        </xsd:complexContent>
      </xsd:complexType>
    </xsd:element>
    <xsd:element name="HR" ma:index="40" nillable="true" ma:displayName="HR" ma:internalName="HR">
      <xsd:complexType>
        <xsd:complexContent>
          <xsd:extension base="dms:MultiChoice">
            <xsd:sequence>
              <xsd:element name="Value" maxOccurs="unbounded" minOccurs="0" nillable="true">
                <xsd:simpleType>
                  <xsd:restriction base="dms:Choice">
                    <xsd:enumeration value="R"/>
                    <xsd:enumeration value="A"/>
                    <xsd:enumeration value="C"/>
                    <xsd:enumeration value="I"/>
                  </xsd:restriction>
                </xsd:simpleType>
              </xsd:element>
            </xsd:sequence>
          </xsd:extension>
        </xsd:complexContent>
      </xsd:complexType>
    </xsd:element>
    <xsd:element name="Supply_x0020_Chain" ma:index="41" nillable="true" ma:displayName="Supply Chain" ma:internalName="Supply_x0020_Chain">
      <xsd:complexType>
        <xsd:complexContent>
          <xsd:extension base="dms:MultiChoice">
            <xsd:sequence>
              <xsd:element name="Value" maxOccurs="unbounded" minOccurs="0" nillable="true">
                <xsd:simpleType>
                  <xsd:restriction base="dms:Choice">
                    <xsd:enumeration value="R"/>
                    <xsd:enumeration value="A"/>
                    <xsd:enumeration value="C"/>
                    <xsd:enumeration value="I"/>
                  </xsd:restriction>
                </xsd:simpleType>
              </xsd:element>
            </xsd:sequence>
          </xsd:extension>
        </xsd:complexContent>
      </xsd:complexType>
    </xsd:element>
    <xsd:element name="IT" ma:index="42" nillable="true" ma:displayName="IT" ma:internalName="IT">
      <xsd:complexType>
        <xsd:complexContent>
          <xsd:extension base="dms:MultiChoice">
            <xsd:sequence>
              <xsd:element name="Value" maxOccurs="unbounded" minOccurs="0" nillable="true">
                <xsd:simpleType>
                  <xsd:restriction base="dms:Choice">
                    <xsd:enumeration value="R"/>
                    <xsd:enumeration value="A"/>
                    <xsd:enumeration value="C"/>
                    <xsd:enumeration value="I"/>
                  </xsd:restriction>
                </xsd:simpleType>
              </xsd:element>
            </xsd:sequence>
          </xsd:extension>
        </xsd:complexContent>
      </xsd:complexType>
    </xsd:element>
    <xsd:element name="Legal" ma:index="43" nillable="true" ma:displayName="Legal" ma:internalName="Legal">
      <xsd:complexType>
        <xsd:complexContent>
          <xsd:extension base="dms:MultiChoice">
            <xsd:sequence>
              <xsd:element name="Value" maxOccurs="unbounded" minOccurs="0" nillable="true">
                <xsd:simpleType>
                  <xsd:restriction base="dms:Choice">
                    <xsd:enumeration value="R"/>
                    <xsd:enumeration value="A"/>
                    <xsd:enumeration value="C"/>
                    <xsd:enumeration value="I"/>
                  </xsd:restriction>
                </xsd:simpleType>
              </xsd:element>
            </xsd:sequence>
          </xsd:extension>
        </xsd:complexContent>
      </xsd:complexType>
    </xsd:element>
    <xsd:element name="Quality" ma:index="44" nillable="true" ma:displayName="Quality" ma:internalName="Quality">
      <xsd:complexType>
        <xsd:complexContent>
          <xsd:extension base="dms:MultiChoice">
            <xsd:sequence>
              <xsd:element name="Value" maxOccurs="unbounded" minOccurs="0" nillable="true">
                <xsd:simpleType>
                  <xsd:restriction base="dms:Choice">
                    <xsd:enumeration value="R"/>
                    <xsd:enumeration value="A"/>
                    <xsd:enumeration value="C"/>
                    <xsd:enumeration value="I"/>
                  </xsd:restriction>
                </xsd:simpleType>
              </xsd:element>
            </xsd:sequence>
          </xsd:extension>
        </xsd:complexContent>
      </xsd:complexType>
    </xsd:element>
    <xsd:element name="Products" ma:index="45" nillable="true" ma:displayName="Products" ma:internalName="Products">
      <xsd:complexType>
        <xsd:complexContent>
          <xsd:extension base="dms:MultiChoice">
            <xsd:sequence>
              <xsd:element name="Value" maxOccurs="unbounded" minOccurs="0" nillable="true">
                <xsd:simpleType>
                  <xsd:restriction base="dms:Choice">
                    <xsd:enumeration value="R"/>
                    <xsd:enumeration value="A"/>
                    <xsd:enumeration value="C"/>
                    <xsd:enumeration value="I"/>
                  </xsd:restriction>
                </xsd:simpleType>
              </xsd:element>
            </xsd:sequence>
          </xsd:extension>
        </xsd:complexContent>
      </xsd:complexType>
    </xsd:element>
    <xsd:element name="Document_x0020_Version" ma:index="46" ma:displayName="Document Version" ma:internalName="Document_x0020_Version">
      <xsd:simpleType>
        <xsd:restriction base="dms:Number"/>
      </xsd:simpleType>
    </xsd:element>
    <xsd:element name="StartWorkflow" ma:index="50" nillable="true" ma:displayName="StartWorkflow" ma:default="0" ma:internalName="StartWorkflow">
      <xsd:simpleType>
        <xsd:restriction base="dms:Boolean"/>
      </xsd:simpleType>
    </xsd:element>
    <xsd:element name="Cooments" ma:index="51" nillable="true" ma:displayName="Comments" ma:internalName="Cooments">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47"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8363fa9-a3a4-4ac3-8dd4-eea1465d5fa2" elementFormDefault="qualified">
    <xsd:import namespace="http://schemas.microsoft.com/office/2006/documentManagement/types"/>
    <xsd:import namespace="http://schemas.microsoft.com/office/infopath/2007/PartnerControls"/>
    <xsd:element name="MediaServiceAutoKeyPoints" ma:index="52" nillable="true" ma:displayName="MediaServiceAutoKeyPoints" ma:hidden="true" ma:internalName="MediaServiceAutoKeyPoints" ma:readOnly="true">
      <xsd:simpleType>
        <xsd:restriction base="dms:Note"/>
      </xsd:simpleType>
    </xsd:element>
    <xsd:element name="MediaServiceKeyPoints" ma:index="53" nillable="true" ma:displayName="KeyPoints" ma:internalName="MediaServiceKeyPoints" ma:readOnly="true">
      <xsd:simpleType>
        <xsd:restriction base="dms:Note">
          <xsd:maxLength value="255"/>
        </xsd:restriction>
      </xsd:simpleType>
    </xsd:element>
    <xsd:element name="Training_x0020_Required" ma:index="54" nillable="true" ma:displayName="Training Required" ma:default="0" ma:internalName="Training_x0020_Required">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rocess_x0020_Owner xmlns="5f3b2fb3-342f-4f87-9f6d-0df0cc73e0ae">
      <Value>Chris Burkimsher</Value>
    </Process_x0020_Owner>
    <Next_x0020_Review_x0020_Date xmlns="66a3cf9c-e46a-4f4c-bd07-8098afc95a77">2023-06-14T23:00:00+00:00</Next_x0020_Review_x0020_Date>
    <HR xmlns="5f3b2fb3-342f-4f87-9f6d-0df0cc73e0ae" xsi:nil="true"/>
    <Quality xmlns="5f3b2fb3-342f-4f87-9f6d-0df0cc73e0ae">
      <Value>R</Value>
      <Value>A</Value>
    </Quality>
    <Legal xmlns="5f3b2fb3-342f-4f87-9f6d-0df0cc73e0ae" xsi:nil="true"/>
    <yayf xmlns="66a3cf9c-e46a-4f4c-bd07-8098afc95a77">
      <Value>Quality Performance</Value>
    </yayf>
    <VersionToBePublished xmlns="5f3b2fb3-342f-4f87-9f6d-0df0cc73e0ae">Major</VersionToBePublished>
    <Products xmlns="5f3b2fb3-342f-4f87-9f6d-0df0cc73e0ae" xsi:nil="true"/>
    <TaxCatchAll xmlns="586de06e-62e4-44d9-88bc-040c9c328593" xsi:nil="true"/>
    <IconOverlay xmlns="http://schemas.microsoft.com/sharepoint/v4" xsi:nil="true"/>
    <Validity xmlns="66a3cf9c-e46a-4f4c-bd07-8098afc95a77">Active</Validity>
    <Status xmlns="5f3b2fb3-342f-4f87-9f6d-0df0cc73e0ae">Approved</Status>
    <Approver xmlns="5f3b2fb3-342f-4f87-9f6d-0df0cc73e0ae">
      <UserInfo>
        <DisplayName>Sofia Patrocinio</DisplayName>
        <AccountId>914</AccountId>
        <AccountType/>
      </UserInfo>
    </Approver>
    <Validity_x0020_Start_x0020_Date xmlns="66a3cf9c-e46a-4f4c-bd07-8098afc95a77">2022-06-14T23:00:00+00:00</Validity_x0020_Start_x0020_Date>
    <MMSSDLLocationNote xmlns="297adb1c-e769-4fa6-a867-ec8241916bcd">
      <Terms xmlns="http://schemas.microsoft.com/office/infopath/2007/PartnerControls"/>
    </MMSSDLLocationNote>
    <IT xmlns="5f3b2fb3-342f-4f87-9f6d-0df0cc73e0ae" xsi:nil="true"/>
    <PMO xmlns="5f3b2fb3-342f-4f87-9f6d-0df0cc73e0ae" xsi:nil="true"/>
    <Document_x0020_Version xmlns="5f3b2fb3-342f-4f87-9f6d-0df0cc73e0ae">1</Document_x0020_Version>
    <Training_x0020_Group xmlns="66a3cf9c-e46a-4f4c-bd07-8098afc95a77" xsi:nil="true"/>
    <QMS_x0020_Notification xmlns="5f3b2fb3-342f-4f87-9f6d-0df0cc73e0ae">
      <Value>CE Quality</Value>
      <Value>Group Quality</Value>
      <Value>LO</Value>
      <Value>Quality Performance</Value>
    </QMS_x0020_Notification>
    <StartWorkflow xmlns="5f3b2fb3-342f-4f87-9f6d-0df0cc73e0ae">false</StartWorkflow>
    <Cooments xmlns="5f3b2fb3-342f-4f87-9f6d-0df0cc73e0ae">Version 1 for approval by Sofia Patrocinio</Cooments>
    <LO xmlns="5f3b2fb3-342f-4f87-9f6d-0df0cc73e0ae">
      <Value>R</Value>
      <Value>A</Value>
    </LO>
    <Supply_x0020_Chain xmlns="5f3b2fb3-342f-4f87-9f6d-0df0cc73e0ae" xsi:nil="true"/>
    <Training_x0020_Required xmlns="a8363fa9-a3a4-4ac3-8dd4-eea1465d5fa2">true</Training_x0020_Required>
    <Quality_x0020_System xmlns="5f3b2fb3-342f-4f87-9f6d-0df0cc73e0ae">
      <Value>QMS</Value>
    </Quality_x0020_System>
    <Tech_x0020_Delivery xmlns="5f3b2fb3-342f-4f87-9f6d-0df0cc73e0ae" xsi:nil="true"/>
    <etsl xmlns="66a3cf9c-e46a-4f4c-bd07-8098afc95a77">
      <Value>9001</Value>
      <Value>17100</Value>
      <Value>18587</Value>
    </etsl>
    <ylci xmlns="66a3cf9c-e46a-4f4c-bd07-8098afc95a77">Form</ylci>
  </documentManagement>
</p:properties>
</file>

<file path=customXml/item4.xml><?xml version="1.0" encoding="utf-8"?>
<?mso-contentType ?>
<spe:Receivers xmlns:spe="http://schemas.microsoft.com/sharepoint/events"/>
</file>

<file path=customXml/itemProps1.xml><?xml version="1.0" encoding="utf-8"?>
<ds:datastoreItem xmlns:ds="http://schemas.openxmlformats.org/officeDocument/2006/customXml" ds:itemID="{6CE1E1EF-A917-4484-AD94-CE13001CE45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97adb1c-e769-4fa6-a867-ec8241916bcd"/>
    <ds:schemaRef ds:uri="66a3cf9c-e46a-4f4c-bd07-8098afc95a77"/>
    <ds:schemaRef ds:uri="586de06e-62e4-44d9-88bc-040c9c328593"/>
    <ds:schemaRef ds:uri="5f3b2fb3-342f-4f87-9f6d-0df0cc73e0ae"/>
    <ds:schemaRef ds:uri="http://schemas.microsoft.com/sharepoint/v4"/>
    <ds:schemaRef ds:uri="a8363fa9-a3a4-4ac3-8dd4-eea1465d5fa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E7301F6-9B86-4E19-9E32-D26330F52F6E}">
  <ds:schemaRefs>
    <ds:schemaRef ds:uri="http://schemas.microsoft.com/sharepoint/v3/contenttype/forms"/>
  </ds:schemaRefs>
</ds:datastoreItem>
</file>

<file path=customXml/itemProps3.xml><?xml version="1.0" encoding="utf-8"?>
<ds:datastoreItem xmlns:ds="http://schemas.openxmlformats.org/officeDocument/2006/customXml" ds:itemID="{A98E0338-ECB5-4A29-AC52-2B2E922F67A0}">
  <ds:schemaRefs>
    <ds:schemaRef ds:uri="http://schemas.microsoft.com/office/2006/documentManagement/type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827c2cb0-6299-45f7-bf0c-daba09344d59"/>
    <ds:schemaRef ds:uri="http://www.w3.org/XML/1998/namespace"/>
    <ds:schemaRef ds:uri="http://purl.org/dc/terms/"/>
    <ds:schemaRef ds:uri="5f3b2fb3-342f-4f87-9f6d-0df0cc73e0ae"/>
    <ds:schemaRef ds:uri="66a3cf9c-e46a-4f4c-bd07-8098afc95a77"/>
    <ds:schemaRef ds:uri="586de06e-62e4-44d9-88bc-040c9c328593"/>
    <ds:schemaRef ds:uri="http://schemas.microsoft.com/sharepoint/v4"/>
    <ds:schemaRef ds:uri="297adb1c-e769-4fa6-a867-ec8241916bcd"/>
    <ds:schemaRef ds:uri="a8363fa9-a3a4-4ac3-8dd4-eea1465d5fa2"/>
  </ds:schemaRefs>
</ds:datastoreItem>
</file>

<file path=customXml/itemProps4.xml><?xml version="1.0" encoding="utf-8"?>
<ds:datastoreItem xmlns:ds="http://schemas.openxmlformats.org/officeDocument/2006/customXml" ds:itemID="{40607DD6-EB60-4DAB-A783-2E61E826C213}">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21</vt:i4>
      </vt:variant>
    </vt:vector>
  </HeadingPairs>
  <TitlesOfParts>
    <vt:vector size="26" baseType="lpstr">
      <vt:lpstr>Evaluation Report_Initial</vt:lpstr>
      <vt:lpstr>Evaluation Report_Final Result</vt:lpstr>
      <vt:lpstr>Evaluation details_input</vt:lpstr>
      <vt:lpstr>Errors &amp; Weighting definitions</vt:lpstr>
      <vt:lpstr>Version History</vt:lpstr>
      <vt:lpstr>Acc</vt:lpstr>
      <vt:lpstr>Adequacy</vt:lpstr>
      <vt:lpstr>aLevel2</vt:lpstr>
      <vt:lpstr>Audience</vt:lpstr>
      <vt:lpstr>BUS_UNIT</vt:lpstr>
      <vt:lpstr>clients</vt:lpstr>
      <vt:lpstr>Conventions</vt:lpstr>
      <vt:lpstr>Design</vt:lpstr>
      <vt:lpstr>Error_categories</vt:lpstr>
      <vt:lpstr>languages</vt:lpstr>
      <vt:lpstr>Locale</vt:lpstr>
      <vt:lpstr>NotImp</vt:lpstr>
      <vt:lpstr>OFFICE</vt:lpstr>
      <vt:lpstr>Other</vt:lpstr>
      <vt:lpstr>'Errors &amp; Weighting definitions'!Print_Area</vt:lpstr>
      <vt:lpstr>'Evaluation details_input'!Print_Area</vt:lpstr>
      <vt:lpstr>Setup!Print_Area</vt:lpstr>
      <vt:lpstr>SignOff</vt:lpstr>
      <vt:lpstr>Style</vt:lpstr>
      <vt:lpstr>Terminology</vt:lpstr>
      <vt:lpstr>TRANS_TYPE</vt:lpstr>
    </vt:vector>
  </TitlesOfParts>
  <Company>SDL Limited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bbulawa@sdl.com</dc:creator>
  <cp:lastModifiedBy>Brajan Bulawa</cp:lastModifiedBy>
  <cp:lastPrinted>2022-06-15T08:47:18Z</cp:lastPrinted>
  <dcterms:created xsi:type="dcterms:W3CDTF">1999-07-14T09:26:35Z</dcterms:created>
  <dcterms:modified xsi:type="dcterms:W3CDTF">2022-07-26T12:25:55Z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0x010100516B4F1A57D8544FA77CFB96D4969126</vt:lpwstr>
  </property>
  <property fmtid="{D5CDD505-2E9C-101B-9397-08002B2CF9AE}" pid="3" name="Order">
    <vt:r8>9600</vt:r8>
  </property>
  <property fmtid="{D5CDD505-2E9C-101B-9397-08002B2CF9AE}" pid="4" name="Description0">
    <vt:lpwstr>SDL J2450 Quality Evaluation Report, incorporating SAE J2450 Translation Quality Metric. Launched 31 January 2013. Used for internal SDL quality evaluations by Network Offices and Q&amp;I Group.</vt:lpwstr>
  </property>
  <property fmtid="{D5CDD505-2E9C-101B-9397-08002B2CF9AE}" pid="5" name="SDL Divisions">
    <vt:lpwstr/>
  </property>
  <property fmtid="{D5CDD505-2E9C-101B-9397-08002B2CF9AE}" pid="6" name="SDL Departments">
    <vt:lpwstr/>
  </property>
  <property fmtid="{D5CDD505-2E9C-101B-9397-08002B2CF9AE}" pid="7" name="MMSSDLLocation">
    <vt:lpwstr/>
  </property>
  <property fmtid="{D5CDD505-2E9C-101B-9397-08002B2CF9AE}" pid="8" name="Quality Standard">
    <vt:lpwstr>159;#QMS|cfa24afb-9241-4515-8fe5-25044a2c8f2c</vt:lpwstr>
  </property>
</Properties>
</file>