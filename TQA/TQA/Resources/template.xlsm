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kpeka\Documents\Visual Studio 2015\Projects\TQA\TQA\Resources\"/>
    </mc:Choice>
  </mc:AlternateContent>
  <bookViews>
    <workbookView xWindow="60" yWindow="945" windowWidth="14115" windowHeight="10530" tabRatio="795"/>
  </bookViews>
  <sheets>
    <sheet name="Evaluation Report_Initial" sheetId="11" r:id="rId1"/>
    <sheet name="Evaluation Report_Final Result" sheetId="29" r:id="rId2"/>
    <sheet name="Evaluation details_input" sheetId="23" r:id="rId3"/>
    <sheet name="Errors &amp; Weighting definition" sheetId="25" r:id="rId4"/>
    <sheet name="More definitions with examples" sheetId="28" r:id="rId5"/>
    <sheet name="RCA form" sheetId="34" state="hidden" r:id="rId6"/>
    <sheet name="Sheet1" sheetId="26" state="hidden" r:id="rId7"/>
    <sheet name="Client-specific requirements" sheetId="30" state="hidden" r:id="rId8"/>
    <sheet name="Office mapping" sheetId="31" state="hidden" r:id="rId9"/>
    <sheet name="VLOOKUP" sheetId="32" state="hidden" r:id="rId10"/>
    <sheet name="Adequacy scoring" sheetId="33" state="hidden" r:id="rId11"/>
  </sheets>
  <definedNames>
    <definedName name="Adequacy">'Evaluation Report_Initial'!$J$10</definedName>
    <definedName name="adequacy_weight">'Adequacy scoring'!$M$9:$O$43</definedName>
    <definedName name="aLevel1">'Adequacy scoring'!$E$9:$E$17</definedName>
    <definedName name="aLevel2">'Adequacy scoring'!$B$9:$B$19</definedName>
    <definedName name="BlankList">'Adequacy scoring'!$R$11:$R$12</definedName>
    <definedName name="BUS_UNIT">Sheet1!$A$2:$A$42</definedName>
    <definedName name="clients">VLOOKUP!$A$2:$B$3063</definedName>
    <definedName name="Error_categories">Sheet1!$G$2:$G$5</definedName>
    <definedName name="LANGUAGE">Sheet1!$C$2:$C$113</definedName>
    <definedName name="languages">Sheet1!$C$2:$C$220</definedName>
    <definedName name="NotImp">Sheet1!$L$2:$L$4</definedName>
    <definedName name="OFFICE">Sheet1!$B$2:$B$34</definedName>
    <definedName name="Offices">'Office mapping'!$A$1:$B$103</definedName>
    <definedName name="_xlnm.Print_Area" localSheetId="7">'Client-specific requirements'!$A$1:$E$10</definedName>
    <definedName name="_xlnm.Print_Area" localSheetId="3">'Errors &amp; Weighting definition'!$A$1:$F$69</definedName>
    <definedName name="_xlnm.Print_Area" localSheetId="2">'Evaluation details_input'!$A$1:$N$20</definedName>
    <definedName name="_xlnm.Print_Area" localSheetId="1">'Evaluation Report_Final Result'!$A$1:$M$47</definedName>
    <definedName name="_xlnm.Print_Area" localSheetId="4">'More definitions with examples'!$A$1:$U$222</definedName>
    <definedName name="_xlnm.Print_Area" localSheetId="6">Sheet1!$A$1:$E$114</definedName>
    <definedName name="SECTOR">Sheet1!$D$2:$D$18</definedName>
    <definedName name="SignOff">Sheet1!$P$2:$P$4</definedName>
    <definedName name="TRANS_TYPE">Sheet1!$E$2:$E$3</definedName>
  </definedNames>
  <calcPr calcId="152511"/>
</workbook>
</file>

<file path=xl/calcChain.xml><?xml version="1.0" encoding="utf-8"?>
<calcChain xmlns="http://schemas.openxmlformats.org/spreadsheetml/2006/main">
  <c r="J3" i="34" l="1"/>
  <c r="P3" i="34"/>
  <c r="B3" i="11" l="1"/>
  <c r="B3" i="34" s="1"/>
  <c r="R4" i="23" l="1"/>
  <c r="S5" i="23" l="1"/>
  <c r="S6" i="23"/>
  <c r="S7" i="23"/>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R5" i="23"/>
  <c r="R6" i="23"/>
  <c r="R7" i="23"/>
  <c r="R8" i="23"/>
  <c r="R9" i="23"/>
  <c r="R10" i="23"/>
  <c r="R11" i="23"/>
  <c r="R12" i="23"/>
  <c r="R13" i="23"/>
  <c r="R14" i="23"/>
  <c r="R15" i="23"/>
  <c r="R16" i="23"/>
  <c r="R17" i="23"/>
  <c r="R18" i="23"/>
  <c r="R19" i="23"/>
  <c r="R20" i="23"/>
  <c r="R21" i="23"/>
  <c r="R22" i="23"/>
  <c r="R23" i="23"/>
  <c r="R24" i="23"/>
  <c r="R25" i="23"/>
  <c r="R26" i="23"/>
  <c r="R27" i="23"/>
  <c r="R28" i="23"/>
  <c r="R29" i="23"/>
  <c r="R30" i="23"/>
  <c r="R31" i="23"/>
  <c r="R32" i="23"/>
  <c r="R33" i="23"/>
  <c r="R34" i="23"/>
  <c r="R35" i="23"/>
  <c r="R36" i="23"/>
  <c r="R37" i="23"/>
  <c r="R38" i="23"/>
  <c r="R39" i="23"/>
  <c r="R40" i="23"/>
  <c r="R41" i="23"/>
  <c r="R42" i="23"/>
  <c r="R43" i="23"/>
  <c r="R44" i="23"/>
  <c r="R45" i="23"/>
  <c r="R46" i="23"/>
  <c r="R47" i="23"/>
  <c r="R48" i="23"/>
  <c r="R49" i="23"/>
  <c r="R50" i="23"/>
  <c r="R51" i="23"/>
  <c r="R52" i="23"/>
  <c r="R53" i="23"/>
  <c r="R54" i="23"/>
  <c r="R55" i="23"/>
  <c r="R56" i="23"/>
  <c r="R57" i="23"/>
  <c r="R58" i="23"/>
  <c r="R59" i="23"/>
  <c r="R60" i="23"/>
  <c r="R61" i="23"/>
  <c r="R62" i="23"/>
  <c r="R63" i="23"/>
  <c r="R64" i="23"/>
  <c r="R65" i="23"/>
  <c r="R66" i="23"/>
  <c r="R67" i="23"/>
  <c r="R68" i="23"/>
  <c r="R69" i="23"/>
  <c r="R70" i="23"/>
  <c r="R71" i="23"/>
  <c r="R72" i="23"/>
  <c r="R73" i="23"/>
  <c r="R74" i="23"/>
  <c r="R75" i="23"/>
  <c r="R76" i="23"/>
  <c r="R77" i="23"/>
  <c r="R78" i="23"/>
  <c r="R79" i="23"/>
  <c r="R80" i="23"/>
  <c r="R81" i="23"/>
  <c r="R82" i="23"/>
  <c r="R83" i="23"/>
  <c r="R84" i="23"/>
  <c r="R85" i="23"/>
  <c r="R86" i="23"/>
  <c r="R87" i="23"/>
  <c r="R88" i="23"/>
  <c r="R89" i="23"/>
  <c r="R90" i="23"/>
  <c r="R91" i="23"/>
  <c r="R92" i="23"/>
  <c r="R93" i="23"/>
  <c r="R94" i="23"/>
  <c r="R95" i="23"/>
  <c r="R96" i="23"/>
  <c r="R97" i="23"/>
  <c r="R98" i="23"/>
  <c r="R99" i="23"/>
  <c r="R100" i="23"/>
  <c r="S4" i="23"/>
  <c r="L22" i="29" l="1"/>
  <c r="F22" i="29"/>
  <c r="M18" i="33" l="1"/>
  <c r="M19" i="33"/>
  <c r="M20" i="33"/>
  <c r="M21" i="33"/>
  <c r="M22" i="33"/>
  <c r="M23" i="33"/>
  <c r="M24" i="33"/>
  <c r="M17" i="33"/>
  <c r="M10" i="33"/>
  <c r="M11" i="33"/>
  <c r="M12" i="33"/>
  <c r="M13" i="33"/>
  <c r="M14" i="33"/>
  <c r="M15" i="33"/>
  <c r="M16" i="33"/>
  <c r="M9" i="33"/>
  <c r="N39" i="11" l="1"/>
  <c r="N38" i="11"/>
  <c r="T17" i="29" l="1"/>
  <c r="P17" i="29"/>
  <c r="T14" i="29"/>
  <c r="P14" i="29"/>
  <c r="R28" i="29"/>
  <c r="R27" i="29"/>
  <c r="R26" i="29"/>
  <c r="T20" i="29" l="1"/>
  <c r="P20" i="29"/>
  <c r="S30" i="29"/>
  <c r="S31" i="29" s="1"/>
  <c r="J9" i="29"/>
  <c r="J10" i="29"/>
  <c r="B8" i="29" l="1"/>
  <c r="J3" i="11" l="1"/>
  <c r="B10" i="29"/>
  <c r="A39" i="29" l="1"/>
  <c r="B9" i="29"/>
  <c r="J6" i="29"/>
  <c r="J5" i="29"/>
  <c r="B3" i="29"/>
  <c r="J4" i="29"/>
  <c r="J7" i="29"/>
  <c r="J8" i="29"/>
  <c r="J3" i="29"/>
  <c r="B4" i="29"/>
  <c r="B5" i="29"/>
  <c r="B6" i="29"/>
  <c r="B7" i="29"/>
  <c r="L38" i="29" l="1"/>
  <c r="D13" i="11" l="1"/>
  <c r="D13" i="29" s="1"/>
  <c r="F13" i="11" l="1"/>
  <c r="F13" i="29"/>
  <c r="S3" i="23"/>
  <c r="B28" i="29"/>
  <c r="D19" i="11" l="1"/>
  <c r="F19" i="11" s="1"/>
  <c r="D18" i="11"/>
  <c r="F18" i="11" s="1"/>
  <c r="B28" i="11"/>
  <c r="L22" i="11"/>
  <c r="F22" i="11"/>
  <c r="H20" i="11"/>
  <c r="J20" i="11" s="1"/>
  <c r="H19" i="11"/>
  <c r="J19" i="11" s="1"/>
  <c r="H18" i="11"/>
  <c r="J18" i="11" s="1"/>
  <c r="H17" i="11"/>
  <c r="J17" i="11" s="1"/>
  <c r="H16" i="11"/>
  <c r="J16" i="11" s="1"/>
  <c r="H15" i="11"/>
  <c r="J15" i="11" s="1"/>
  <c r="H14" i="11"/>
  <c r="J14" i="11" s="1"/>
  <c r="H13" i="11"/>
  <c r="J13" i="11" s="1"/>
  <c r="D16" i="11"/>
  <c r="F16" i="11" s="1"/>
  <c r="D15" i="11"/>
  <c r="F15" i="11" s="1"/>
  <c r="D14" i="11"/>
  <c r="F14" i="11" s="1"/>
  <c r="D20" i="11"/>
  <c r="F20" i="11" s="1"/>
  <c r="D17" i="11"/>
  <c r="F17" i="11" s="1"/>
  <c r="D15" i="29" l="1"/>
  <c r="F15" i="29" s="1"/>
  <c r="D20" i="29"/>
  <c r="F20" i="29" s="1"/>
  <c r="D14" i="29"/>
  <c r="F14" i="29" s="1"/>
  <c r="D16" i="29"/>
  <c r="F16" i="29" s="1"/>
  <c r="H14" i="29"/>
  <c r="J14" i="29" s="1"/>
  <c r="H16" i="29"/>
  <c r="J16" i="29" s="1"/>
  <c r="H18" i="29"/>
  <c r="J18" i="29" s="1"/>
  <c r="H20" i="29"/>
  <c r="J20" i="29" s="1"/>
  <c r="D18" i="29"/>
  <c r="F18" i="29" s="1"/>
  <c r="D17" i="29"/>
  <c r="F17" i="29" s="1"/>
  <c r="L13" i="11"/>
  <c r="H13" i="29"/>
  <c r="H15" i="29"/>
  <c r="J15" i="29" s="1"/>
  <c r="H17" i="29"/>
  <c r="J17" i="29" s="1"/>
  <c r="H19" i="29"/>
  <c r="J19" i="29" s="1"/>
  <c r="D19" i="29"/>
  <c r="F19" i="29" s="1"/>
  <c r="J13" i="29" l="1"/>
  <c r="L13" i="29" s="1"/>
  <c r="L19" i="29"/>
  <c r="L17" i="11"/>
  <c r="L19" i="11"/>
  <c r="L18" i="29"/>
  <c r="L18" i="11"/>
  <c r="L14" i="11"/>
  <c r="L16" i="11"/>
  <c r="L20" i="11"/>
  <c r="L15" i="11"/>
  <c r="L15" i="29"/>
  <c r="L20" i="29"/>
  <c r="L14" i="29"/>
  <c r="L17" i="29"/>
  <c r="L16" i="29"/>
  <c r="E28" i="11" l="1"/>
  <c r="J30" i="11" s="1"/>
  <c r="H30" i="11" s="1"/>
  <c r="E28" i="29"/>
  <c r="I28" i="29" s="1"/>
  <c r="I28" i="11" l="1"/>
  <c r="J30" i="29"/>
  <c r="H30" i="29" s="1"/>
</calcChain>
</file>

<file path=xl/comments1.xml><?xml version="1.0" encoding="utf-8"?>
<comments xmlns="http://schemas.openxmlformats.org/spreadsheetml/2006/main">
  <authors>
    <author>Justyna Kruk</author>
    <author>Chris Burkimsher</author>
  </authors>
  <commentList>
    <comment ref="A3" authorId="0" shapeId="0">
      <text>
        <r>
          <rPr>
            <sz val="8"/>
            <color indexed="81"/>
            <rFont val="Tahoma"/>
            <family val="2"/>
            <charset val="238"/>
          </rPr>
          <t>This field will populate automatically after the full SDL project code has been entered below</t>
        </r>
        <r>
          <rPr>
            <sz val="9"/>
            <color indexed="81"/>
            <rFont val="Tahoma"/>
            <family val="2"/>
            <charset val="238"/>
          </rPr>
          <t xml:space="preserve">
</t>
        </r>
      </text>
    </comment>
    <comment ref="F3" authorId="0" shapeId="0">
      <text>
        <r>
          <rPr>
            <sz val="8"/>
            <color indexed="81"/>
            <rFont val="Tahoma"/>
            <family val="2"/>
            <charset val="238"/>
          </rPr>
          <t>This field will populate automatically after the full SDL project code has been entered</t>
        </r>
        <r>
          <rPr>
            <sz val="9"/>
            <color indexed="81"/>
            <rFont val="Tahoma"/>
            <family val="2"/>
            <charset val="238"/>
          </rPr>
          <t xml:space="preserve">
</t>
        </r>
      </text>
    </comment>
    <comment ref="A4" authorId="1" shapeId="0">
      <text>
        <r>
          <rPr>
            <sz val="8"/>
            <color indexed="81"/>
            <rFont val="Tahoma"/>
            <family val="2"/>
          </rPr>
          <t>Insert the project code as supplied by the SDL Project Manager</t>
        </r>
      </text>
    </comment>
    <comment ref="A6" authorId="1" shapeId="0">
      <text>
        <r>
          <rPr>
            <sz val="9"/>
            <color indexed="81"/>
            <rFont val="Tahoma"/>
            <family val="2"/>
          </rPr>
          <t xml:space="preserve">Select either 'Conventional' for standard 'human translation' or 'iMT post-edit' if the translation was produced by post-editing Machine Translation output
</t>
        </r>
      </text>
    </comment>
    <comment ref="F8" authorId="1" shapeId="0">
      <text>
        <r>
          <rPr>
            <sz val="8"/>
            <color indexed="81"/>
            <rFont val="Tahoma"/>
            <family val="2"/>
          </rPr>
          <t>Software, help, doc, script, etc.</t>
        </r>
      </text>
    </comment>
    <comment ref="F9" authorId="1" shapeId="0">
      <text>
        <r>
          <rPr>
            <sz val="8"/>
            <color indexed="81"/>
            <rFont val="Tahoma"/>
            <family val="2"/>
          </rPr>
          <t>Enter word count</t>
        </r>
      </text>
    </comment>
  </commentList>
</comments>
</file>

<file path=xl/comments2.xml><?xml version="1.0" encoding="utf-8"?>
<comments xmlns="http://schemas.openxmlformats.org/spreadsheetml/2006/main">
  <authors>
    <author>Chris Burkimsher</author>
  </authors>
  <commentList>
    <comment ref="A4" authorId="0" shapeId="0">
      <text>
        <r>
          <rPr>
            <sz val="8"/>
            <color indexed="81"/>
            <rFont val="Tahoma"/>
            <family val="2"/>
          </rPr>
          <t xml:space="preserve">Insert the project code as supplied by the SDL Project Manager
</t>
        </r>
      </text>
    </comment>
    <comment ref="A6" authorId="0" shapeId="0">
      <text>
        <r>
          <rPr>
            <sz val="9"/>
            <color indexed="81"/>
            <rFont val="Tahoma"/>
            <family val="2"/>
          </rPr>
          <t xml:space="preserve">Select either 'Conventional' for standard 'human translation' or 'iMT post-edit' if the translation was produced by post-editing Machine Translation output
</t>
        </r>
      </text>
    </comment>
    <comment ref="F8" authorId="0" shapeId="0">
      <text>
        <r>
          <rPr>
            <sz val="8"/>
            <color indexed="81"/>
            <rFont val="Tahoma"/>
            <family val="2"/>
          </rPr>
          <t>Software, help, doc, script, etc.</t>
        </r>
      </text>
    </comment>
    <comment ref="F9" authorId="0" shapeId="0">
      <text>
        <r>
          <rPr>
            <sz val="8"/>
            <color indexed="81"/>
            <rFont val="Tahoma"/>
            <family val="2"/>
          </rPr>
          <t>Enter word count</t>
        </r>
      </text>
    </comment>
  </commentList>
</comments>
</file>

<file path=xl/sharedStrings.xml><?xml version="1.0" encoding="utf-8"?>
<sst xmlns="http://schemas.openxmlformats.org/spreadsheetml/2006/main" count="7153" uniqueCount="6901">
  <si>
    <t>Client name</t>
  </si>
  <si>
    <t>Date</t>
  </si>
  <si>
    <t>Section evaluated</t>
  </si>
  <si>
    <t>Word count</t>
  </si>
  <si>
    <t>Quality Scoring Matrix</t>
  </si>
  <si>
    <t>Style</t>
  </si>
  <si>
    <t>Component type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</si>
  <si>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</si>
  <si>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</si>
  <si>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</si>
  <si>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</si>
  <si>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</si>
  <si>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</si>
  <si>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</si>
  <si>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</si>
  <si>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</si>
  <si>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</si>
  <si>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</si>
  <si>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</si>
  <si>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</si>
  <si>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</si>
  <si>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</si>
  <si>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</si>
  <si>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</si>
  <si>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</si>
  <si>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</si>
  <si>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</si>
  <si>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</si>
  <si>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</si>
  <si>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</si>
  <si>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</si>
  <si>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</si>
  <si>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</si>
  <si>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</si>
  <si>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</si>
  <si>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Enter any additional comments to explain error corrections or revisions, as necessary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</si>
  <si>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</si>
  <si>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</si>
  <si>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</si>
  <si>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</si>
  <si>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</si>
  <si>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</si>
  <si>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</si>
  <si>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</si>
  <si>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</si>
  <si>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</si>
  <si>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</si>
  <si>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</si>
  <si>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</si>
  <si>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</si>
  <si>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</si>
  <si>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WT</t>
  </si>
  <si>
    <t>WM</t>
  </si>
  <si>
    <t>OM</t>
  </si>
  <si>
    <t>SE</t>
  </si>
  <si>
    <t>SP</t>
  </si>
  <si>
    <t>PE</t>
  </si>
  <si>
    <t>ST</t>
  </si>
  <si>
    <t>ME</t>
  </si>
  <si>
    <t>Minor Error</t>
  </si>
  <si>
    <t>Serious Errors</t>
  </si>
  <si>
    <t>Abbrev.</t>
  </si>
  <si>
    <t>Serious Error</t>
  </si>
  <si>
    <t>Legacy Data Error</t>
  </si>
  <si>
    <t>Miscellaneous</t>
  </si>
  <si>
    <t>Source Text Errors</t>
  </si>
  <si>
    <t>SDL cost code</t>
  </si>
  <si>
    <t>META RULES</t>
  </si>
  <si>
    <t>DEFINITIONS OF CATEGORIES</t>
  </si>
  <si>
    <t>a. violates a client term glossary;</t>
  </si>
  <si>
    <t>c. is inconsistent with other translations of the source language term in the same document or type of document</t>
  </si>
  <si>
    <t>unless the context for the source language term justifies the use of a different target language term, for example</t>
  </si>
  <si>
    <t>Serious weight: 5; Minor weight: 2; Legacy Data error: 0; Source Language Text error: 0.</t>
  </si>
  <si>
    <t>is clearly and significantly different from the concept denoted by the source language term, resulting in an incorrect</t>
  </si>
  <si>
    <t>meaning in the target text.</t>
  </si>
  <si>
    <t>a. a continuous block of text in the source language has no counterpart in the target language text and, as a result,</t>
  </si>
  <si>
    <t>the semantics of the source text is absent in the translation;</t>
  </si>
  <si>
    <t>b. a graphic that contains source language text has been deleted from the target language deliverable.</t>
  </si>
  <si>
    <t>Serious weight: 4; Minor weight: 2; Legacy Data error: 0; Source Language Text error: 0.</t>
  </si>
  <si>
    <t>agreement:</t>
  </si>
  <si>
    <t>c. the target language words are correct, but in the wrong linear order according to the syntactic rules of the target</t>
  </si>
  <si>
    <t>d. an otherwise correct target language word (or term) is expressed in an incorrect morphological form, e.g. case,</t>
  </si>
  <si>
    <t>e. when two or more target language words disagree in any form of inflection as would be required by the</t>
  </si>
  <si>
    <t>c. is written in an incorrect or inappropriate writing system for the target language.</t>
  </si>
  <si>
    <t>Serious weight: 3; Minor weight: 1; Legacy Data error: 0; Source Language Text error: 0.</t>
  </si>
  <si>
    <t>Serious weight: 2; Minor weight: 1; Legacy Data error: 0; Source Language Text error: 0.</t>
  </si>
  <si>
    <t>attributable to the other categories listed above should be classified as a miscellaneous error.</t>
  </si>
  <si>
    <t>When an error in the target language text can be clearly attributed to an error in the source, select Source Text Error.</t>
  </si>
  <si>
    <t>The scoring system does not take into account Source Text Errors or Legacy Text Errors.</t>
  </si>
  <si>
    <r>
      <rPr>
        <b/>
        <sz val="10"/>
        <rFont val="Arial"/>
        <family val="2"/>
      </rPr>
      <t xml:space="preserve">A. </t>
    </r>
    <r>
      <rPr>
        <b/>
        <u/>
        <sz val="10"/>
        <rFont val="Arial"/>
        <family val="2"/>
      </rPr>
      <t>Wrong Term (WT)</t>
    </r>
    <r>
      <rPr>
        <sz val="10"/>
        <rFont val="Arial"/>
        <family val="2"/>
      </rPr>
      <t>:</t>
    </r>
    <r>
      <rPr>
        <sz val="10"/>
        <rFont val="Arial"/>
        <family val="2"/>
        <charset val="238"/>
      </rPr>
      <t xml:space="preserve"> A ‘wrong term’ is any target language term (word or words) that</t>
    </r>
  </si>
  <si>
    <r>
      <rPr>
        <b/>
        <sz val="10"/>
        <rFont val="Arial"/>
        <family val="2"/>
      </rPr>
      <t xml:space="preserve">B. </t>
    </r>
    <r>
      <rPr>
        <b/>
        <u/>
        <sz val="10"/>
        <rFont val="Arial"/>
        <family val="2"/>
      </rPr>
      <t>Wrong Meaning (WM)</t>
    </r>
    <r>
      <rPr>
        <sz val="10"/>
        <rFont val="Arial"/>
        <family val="2"/>
      </rPr>
      <t>:</t>
    </r>
    <r>
      <rPr>
        <b/>
        <sz val="10"/>
        <rFont val="Arial"/>
        <family val="2"/>
      </rPr>
      <t xml:space="preserve"> </t>
    </r>
    <r>
      <rPr>
        <sz val="10"/>
        <rFont val="Arial"/>
        <family val="2"/>
        <charset val="238"/>
      </rPr>
      <t>A term or expression that denotes a concept in the target language that</t>
    </r>
  </si>
  <si>
    <r>
      <rPr>
        <b/>
        <sz val="10"/>
        <rFont val="Arial"/>
        <family val="2"/>
      </rPr>
      <t xml:space="preserve">C. </t>
    </r>
    <r>
      <rPr>
        <b/>
        <u/>
        <sz val="10"/>
        <rFont val="Arial"/>
        <family val="2"/>
      </rPr>
      <t>Omission (OM)</t>
    </r>
    <r>
      <rPr>
        <sz val="10"/>
        <rFont val="Arial"/>
        <family val="2"/>
        <charset val="238"/>
      </rPr>
      <t>: An error of omission has occurred if:</t>
    </r>
  </si>
  <si>
    <t>Error Category</t>
  </si>
  <si>
    <r>
      <rPr>
        <b/>
        <sz val="10"/>
        <rFont val="Arial"/>
        <family val="2"/>
      </rPr>
      <t xml:space="preserve">D. </t>
    </r>
    <r>
      <rPr>
        <b/>
        <u/>
        <sz val="10"/>
        <rFont val="Arial"/>
        <family val="2"/>
      </rPr>
      <t>Structural Error (SE)</t>
    </r>
    <r>
      <rPr>
        <sz val="10"/>
        <rFont val="Arial"/>
        <family val="2"/>
        <charset val="238"/>
      </rPr>
      <t>: A grammatical error comprises the following errors of syntax, word order or</t>
    </r>
  </si>
  <si>
    <r>
      <rPr>
        <b/>
        <sz val="10"/>
        <rFont val="Arial"/>
        <family val="2"/>
      </rPr>
      <t xml:space="preserve">E. </t>
    </r>
    <r>
      <rPr>
        <b/>
        <u/>
        <sz val="10"/>
        <rFont val="Arial"/>
        <family val="2"/>
      </rPr>
      <t>Misspelling (SP)</t>
    </r>
    <r>
      <rPr>
        <sz val="10"/>
        <rFont val="Arial"/>
        <family val="2"/>
      </rPr>
      <t>:</t>
    </r>
    <r>
      <rPr>
        <sz val="10"/>
        <rFont val="Arial"/>
        <family val="2"/>
        <charset val="238"/>
      </rPr>
      <t xml:space="preserve"> A misspelling has occurred if a target language term:</t>
    </r>
  </si>
  <si>
    <t>J2450 Quality Evaluation Report</t>
  </si>
  <si>
    <t>Weighted
Error Points</t>
  </si>
  <si>
    <t>Error Points Allowed</t>
  </si>
  <si>
    <t>SDL Business Unit</t>
  </si>
  <si>
    <t>SDL Network Office</t>
  </si>
  <si>
    <t>SDL Quality Indicator</t>
  </si>
  <si>
    <t>SDL Quality Indicator Scale</t>
  </si>
  <si>
    <t>Max 7.0</t>
  </si>
  <si>
    <r>
      <rPr>
        <b/>
        <sz val="10"/>
        <rFont val="Arial"/>
        <family val="2"/>
      </rPr>
      <t xml:space="preserve">H. </t>
    </r>
    <r>
      <rPr>
        <b/>
        <u/>
        <sz val="10"/>
        <rFont val="Arial"/>
        <family val="2"/>
      </rPr>
      <t>Miscellaneous Error (ME)</t>
    </r>
    <r>
      <rPr>
        <sz val="10"/>
        <rFont val="Arial"/>
        <family val="2"/>
        <charset val="238"/>
      </rPr>
      <t>: Any linguistic error related to the target language text which is not clearly</t>
    </r>
  </si>
  <si>
    <r>
      <rPr>
        <b/>
        <sz val="10"/>
        <rFont val="Arial"/>
        <family val="2"/>
      </rPr>
      <t xml:space="preserve">F. </t>
    </r>
    <r>
      <rPr>
        <b/>
        <u/>
        <sz val="10"/>
        <rFont val="Arial"/>
        <family val="2"/>
      </rPr>
      <t>Punctuation Error (PE)</t>
    </r>
    <r>
      <rPr>
        <sz val="10"/>
        <rFont val="Arial"/>
        <family val="2"/>
        <charset val="238"/>
      </rPr>
      <t>: The target language text contains an error according to the punctuation rules for that language.</t>
    </r>
  </si>
  <si>
    <t>b. is in clear conflict with de facto standard translation(s) of the source language term in the subject field;</t>
  </si>
  <si>
    <r>
      <rPr>
        <b/>
        <sz val="10"/>
        <rFont val="Arial"/>
        <family val="2"/>
      </rPr>
      <t xml:space="preserve">G. </t>
    </r>
    <r>
      <rPr>
        <b/>
        <u/>
        <sz val="10"/>
        <rFont val="Arial"/>
        <family val="2"/>
      </rPr>
      <t>Style Error (ST)</t>
    </r>
    <r>
      <rPr>
        <sz val="10"/>
        <rFont val="Arial"/>
        <family val="2"/>
        <charset val="238"/>
      </rPr>
      <t>: A style error is applicable if:</t>
    </r>
  </si>
  <si>
    <t>b. specified style guidelines have not been followed as required.</t>
  </si>
  <si>
    <t>grammatical rules of that language e.g. feminine noun + adjective.</t>
  </si>
  <si>
    <t>due to ambiguity of the source language term.</t>
  </si>
  <si>
    <t>a. a source term is assigned the wrong part of speech in its target language counterpart;</t>
  </si>
  <si>
    <t>b. the target text contains an incorrect phrase structure, e.g. a relative clause when a verb phrase is needed;</t>
  </si>
  <si>
    <t>language;</t>
  </si>
  <si>
    <t>gender, number, tense, prefix, suffix, infix, or any other inflection;</t>
  </si>
  <si>
    <t>a. violates the spelling as stated in a client glossary;</t>
  </si>
  <si>
    <t>b. violates the accepted norms for spelling in the target language;</t>
  </si>
  <si>
    <t>a. the register or tone has not been adapted appropriately for the target audience;</t>
  </si>
  <si>
    <t>select Legacy Text Error.</t>
  </si>
  <si>
    <t xml:space="preserve">When an error in the target language text can be clearly attributed to an error in the legacy data (translation memory or glossary), </t>
  </si>
  <si>
    <t>See 'Errors &amp; Weighting Definition' sheet for explanation of error categories.</t>
  </si>
  <si>
    <t>Category Error Points</t>
  </si>
  <si>
    <t>Total Category Error Points</t>
  </si>
  <si>
    <t>&lt; 3.9</t>
  </si>
  <si>
    <t>Brazil</t>
  </si>
  <si>
    <t>Amharic</t>
  </si>
  <si>
    <t>Automotive</t>
  </si>
  <si>
    <t>Chile</t>
  </si>
  <si>
    <t>Arabic</t>
  </si>
  <si>
    <t>Consumer Electronics</t>
  </si>
  <si>
    <t>China</t>
  </si>
  <si>
    <t>Assamese</t>
  </si>
  <si>
    <t>Energy &amp; Utilities</t>
  </si>
  <si>
    <t>Croatia</t>
  </si>
  <si>
    <t>Basque</t>
  </si>
  <si>
    <t>Finance</t>
  </si>
  <si>
    <t>Czech Republic</t>
  </si>
  <si>
    <t>Bengali</t>
  </si>
  <si>
    <t>Games</t>
  </si>
  <si>
    <t>Denmark</t>
  </si>
  <si>
    <t>Bosnian</t>
  </si>
  <si>
    <t>IT</t>
  </si>
  <si>
    <t>English Network</t>
  </si>
  <si>
    <t>Bulgarian</t>
  </si>
  <si>
    <t>Legal</t>
  </si>
  <si>
    <t>Finland</t>
  </si>
  <si>
    <t>Burmese</t>
  </si>
  <si>
    <t>Life Sciences</t>
  </si>
  <si>
    <t>Flatiron</t>
  </si>
  <si>
    <t>France</t>
  </si>
  <si>
    <t>Catalan</t>
  </si>
  <si>
    <t>Manufacturing</t>
  </si>
  <si>
    <t>German Network</t>
  </si>
  <si>
    <t>Chinese - Simplified</t>
  </si>
  <si>
    <t>Mechanical Engineering</t>
  </si>
  <si>
    <t>Gemini</t>
  </si>
  <si>
    <t>Greece</t>
  </si>
  <si>
    <t>Chinese - Traditional</t>
  </si>
  <si>
    <t>Telecommunications</t>
  </si>
  <si>
    <t>Hengelo Network</t>
  </si>
  <si>
    <t>Croatian</t>
  </si>
  <si>
    <t>Travel &amp; Tourism</t>
  </si>
  <si>
    <t>Germany Multilingual Services</t>
  </si>
  <si>
    <t>Hungary</t>
  </si>
  <si>
    <t>Czech</t>
  </si>
  <si>
    <t>Goldsmith</t>
  </si>
  <si>
    <t>India</t>
  </si>
  <si>
    <t>Danish</t>
  </si>
  <si>
    <t>Italy</t>
  </si>
  <si>
    <t>Dutch - Netherlands</t>
  </si>
  <si>
    <t>Hengelo Multilingual Services</t>
  </si>
  <si>
    <t>Japan</t>
  </si>
  <si>
    <t>Korea</t>
  </si>
  <si>
    <t>English - UK</t>
  </si>
  <si>
    <t>Horizon</t>
  </si>
  <si>
    <t>Lebanon</t>
  </si>
  <si>
    <t>English - US</t>
  </si>
  <si>
    <t>Montreal Network</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</si>
  <si>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</si>
  <si>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</si>
  <si>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</si>
  <si>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</si>
  <si>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</si>
  <si>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</si>
  <si>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</si>
  <si>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</si>
  <si>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</si>
  <si>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</si>
  <si>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</si>
  <si>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</si>
  <si>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</si>
  <si>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</si>
  <si>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</si>
  <si>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</si>
  <si>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</si>
  <si>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</si>
  <si>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</si>
  <si>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Orion</t>
  </si>
  <si>
    <t>Thailand</t>
  </si>
  <si>
    <t>Gujarati</t>
  </si>
  <si>
    <t>Phoenix</t>
  </si>
  <si>
    <t>Turkey</t>
  </si>
  <si>
    <t>Hebrew</t>
  </si>
  <si>
    <t>Hindi</t>
  </si>
  <si>
    <t>Hungarian</t>
  </si>
  <si>
    <t>Icelandic</t>
  </si>
  <si>
    <t>Indonesian</t>
  </si>
  <si>
    <t>Italian</t>
  </si>
  <si>
    <t>Japanese</t>
  </si>
  <si>
    <t>St Lawrence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</si>
  <si>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</si>
  <si>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</si>
  <si>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</si>
  <si>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</si>
  <si>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</si>
  <si>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</si>
  <si>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</si>
  <si>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</si>
  <si>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</si>
  <si>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</si>
  <si>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</si>
  <si>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</si>
  <si>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</si>
  <si>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</si>
  <si>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</si>
  <si>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</si>
  <si>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</si>
  <si>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</si>
  <si>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</si>
  <si>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</si>
  <si>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</si>
  <si>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</si>
  <si>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</si>
  <si>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</si>
  <si>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</si>
  <si>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</si>
  <si>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</si>
  <si>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</si>
  <si>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</si>
  <si>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</si>
  <si>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</si>
  <si>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</si>
  <si>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</si>
  <si>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</si>
  <si>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</si>
  <si>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</si>
  <si>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</si>
  <si>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</si>
  <si>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</si>
  <si>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</si>
  <si>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</si>
  <si>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</si>
  <si>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</si>
  <si>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</si>
  <si>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</si>
  <si>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</si>
  <si>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</si>
  <si>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</si>
  <si>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</si>
  <si>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</si>
  <si>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</si>
  <si>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</si>
  <si>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</si>
  <si>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</si>
  <si>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</si>
  <si>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</si>
  <si>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</si>
  <si>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</si>
  <si>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</si>
  <si>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</si>
  <si>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</si>
  <si>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</si>
  <si>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</si>
  <si>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</si>
  <si>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</si>
  <si>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</si>
  <si>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</si>
  <si>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</si>
  <si>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</si>
  <si>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Given the definition of term, we define a ‘wrong term’ to be any target language term that</t>
  </si>
  <si>
    <t>a. Violates a client term glossary;</t>
  </si>
  <si>
    <t>Serious weight: 5</t>
  </si>
  <si>
    <t>Minor weight: 2</t>
  </si>
  <si>
    <t>Error Categories</t>
  </si>
  <si>
    <t>An example of (b) would be ‘Parking Brake” translated as ”Parkbremse” (aircraft term) in German rather than “Handbremse” (automotive domain).</t>
  </si>
  <si>
    <t>In Dutch, the equivalent error would be the use of ‘parkeerrem’ (aircraft) rather than ‘handrem’ (automotive).</t>
  </si>
  <si>
    <t>unless the context for the source language term justifies the use of a different target language term, for example due to ambiguity of the source language term.</t>
  </si>
  <si>
    <t>c. Is inconsistent with other translations of the source language term in the same document or type of document,</t>
  </si>
  <si>
    <t xml:space="preserve">Clause (c) is important because it captures the error of inconsistency of terminology, which is a frequent error. </t>
  </si>
  <si>
    <t>An example of (c) would be a translation of English ‘accelerator’ into French that sometimes uses ‘accélérateur’ and sometimes ‘pédale des gaz’.</t>
  </si>
  <si>
    <t>In German, an inconsistency might be to translate ‘odometer’ sometimes as “Odometer” or sometimes as “Kilometerzähler”.</t>
  </si>
  <si>
    <t>a. Denotes a concept in the target language that is different from the concept denoted by the source language.</t>
  </si>
  <si>
    <t>b. A translation that contradicts the meaning of the original.</t>
  </si>
  <si>
    <t>Taking English as the target language, an example of (a) would be ‘Install the new hub nut in order to drive the shaft’ instead of ‘Install the new hub nut to the drive shaft.’</t>
  </si>
  <si>
    <t>An example of (b) would be ‘Do not engage the brake’ instead of ‘Engage the brake.’</t>
  </si>
  <si>
    <t>b. A graphic which contains source language text has been deleted from the target language deliverable.</t>
  </si>
  <si>
    <t>In Spanish, it would be an omission to translate “Remove the wheelnuts and the wheel” as  “Desmonte la rueda” (Remove the wheel).</t>
  </si>
  <si>
    <t>Serious weight: 4</t>
  </si>
  <si>
    <t>This category cannot be defined until the concept of ‘term’ has been defined. We define a term as any:</t>
  </si>
  <si>
    <t>An error of omission has occurred if:</t>
  </si>
  <si>
    <t xml:space="preserve">By a ‘continuous block of text’ is meant anything from a word to a phrase to a sentence. The corresponding missing text in the target language may or may not need to be continuous. </t>
  </si>
  <si>
    <t>For example, a verb in English may translate to a so-called separable verb in German (where the verb is supposed to appear first, followed later in the sentence by a preposition)</t>
  </si>
  <si>
    <t xml:space="preserve">and that preposition is then missing in the German. For example, the German ‘ablesen’ is such a verb that is a translation of the English ‘to read off (instruments)”, </t>
  </si>
  <si>
    <t>where the verb ‘lesen’ would normally appear, then be followed by the direct object, and finally by the preposition ‘ab’.</t>
  </si>
  <si>
    <t xml:space="preserve">Part (b) of the definition implies that if the missing graphic does NOT contain any source language text, then there is NO occurrence of an error with respect to SAE J2450. </t>
  </si>
  <si>
    <r>
      <t xml:space="preserve">Note that </t>
    </r>
    <r>
      <rPr>
        <i/>
        <sz val="10"/>
        <rFont val="Arial"/>
        <family val="2"/>
      </rPr>
      <t xml:space="preserve">omission </t>
    </r>
    <r>
      <rPr>
        <sz val="10"/>
        <rFont val="Arial"/>
        <family val="2"/>
      </rPr>
      <t>does not imply that the source and target language words must be in a 1:1 correspondence.</t>
    </r>
  </si>
  <si>
    <t xml:space="preserve">This would still be, of course, an error and a problem that needs to be rectified by the translation supplier. </t>
  </si>
  <si>
    <t>But the point is that SAE J2450 is limited to linguistic errors, and does not therefore encompass all potential problems with a translation deliverable.</t>
  </si>
  <si>
    <t>WRONG MEANING (WM)</t>
  </si>
  <si>
    <t>WRONG TERM (WT)</t>
  </si>
  <si>
    <t>OMISSION (OM)</t>
  </si>
  <si>
    <r>
      <t>a.</t>
    </r>
    <r>
      <rPr>
        <sz val="7"/>
        <rFont val="Times New Roman"/>
        <family val="1"/>
      </rPr>
      <t xml:space="preserve">     </t>
    </r>
    <r>
      <rPr>
        <sz val="9.5"/>
        <rFont val="Arial"/>
        <family val="2"/>
      </rPr>
      <t>A source term is assigned the wrong part of speech in its target language counterpart.</t>
    </r>
  </si>
  <si>
    <r>
      <t>b.</t>
    </r>
    <r>
      <rPr>
        <sz val="7"/>
        <rFont val="Times New Roman"/>
        <family val="1"/>
      </rPr>
      <t xml:space="preserve">    </t>
    </r>
    <r>
      <rPr>
        <sz val="9.5"/>
        <rFont val="Arial"/>
        <family val="2"/>
      </rPr>
      <t>The target text contains an incorrect phrase structure, e.g., a relative clause when a verb phrase is needed.</t>
    </r>
  </si>
  <si>
    <r>
      <t>c.</t>
    </r>
    <r>
      <rPr>
        <sz val="7"/>
        <rFont val="Times New Roman"/>
        <family val="1"/>
      </rPr>
      <t xml:space="preserve">     </t>
    </r>
    <r>
      <rPr>
        <sz val="9.5"/>
        <rFont val="Arial"/>
        <family val="2"/>
      </rPr>
      <t>The target language words are correct, but in the wrong linear order according to the syntactic rules of the target language.</t>
    </r>
  </si>
  <si>
    <r>
      <t>d.</t>
    </r>
    <r>
      <rPr>
        <sz val="7"/>
        <rFont val="Times New Roman"/>
        <family val="1"/>
      </rPr>
      <t xml:space="preserve">    </t>
    </r>
    <r>
      <rPr>
        <sz val="9.5"/>
        <rFont val="Arial"/>
        <family val="2"/>
      </rPr>
      <t>An otherwise correct target language word (or term) is expressed in an incorrect morphological form, e.g., case, gender, number, tense, prefix, suffix, infix, or any other inflection.</t>
    </r>
  </si>
  <si>
    <r>
      <t>e.</t>
    </r>
    <r>
      <rPr>
        <sz val="7"/>
        <rFont val="Times New Roman"/>
        <family val="1"/>
      </rPr>
      <t xml:space="preserve">     </t>
    </r>
    <r>
      <rPr>
        <sz val="9.5"/>
        <rFont val="Arial"/>
        <family val="2"/>
      </rPr>
      <t>Two or more target language words disagree in any form of inflection as would be required by the grammatical rules of that language.</t>
    </r>
  </si>
  <si>
    <t>An English to German example of this error would be “This car was built in Germany” translated into German as “Dieses Auto wurde gebaut in Deutschland.”</t>
  </si>
  <si>
    <r>
      <t>Another example of (e) would be the English ‘the following steps’ translated into French as ‘les étapes suivants’ rather than ‘les étapes suivantes.</t>
    </r>
    <r>
      <rPr>
        <sz val="9.5"/>
        <color indexed="12"/>
        <rFont val="Arial"/>
        <family val="2"/>
      </rPr>
      <t>’</t>
    </r>
  </si>
  <si>
    <t>A structural error comprises the following instances of syntactic errors, incorrect word structure, or agreement errors:</t>
  </si>
  <si>
    <t>STRUCTURAL ERROR (SE)</t>
  </si>
  <si>
    <t>To show an example of a clause (a) error, the English sentence ‘The throttle valve connects to the accelerator pedal’ could be mistranslated into French as</t>
  </si>
  <si>
    <t>‘Le papillon des gaz connecte à la pédale d’accélérateur.’ In this example, the French verb ‘connecter’ is transitive and should take a direct object, not a prepositional phrase complement.</t>
  </si>
  <si>
    <t xml:space="preserve">Note that clause (d) implies that an article of the wrong gender/number/case would be tagged in this category, and not as a Wrong Term error. </t>
  </si>
  <si>
    <t xml:space="preserve">An example of (e) would be German ‘Der Motor läuft” translated to English “The motors is running” or “The motor are running” rather than “The motor is running.” </t>
  </si>
  <si>
    <t>In Spanish, “fog lights” should be translated as “luces antiniebla” rather than “luces antinieblas”.</t>
  </si>
  <si>
    <t xml:space="preserve">This is to recognize that the error is a single error in the mind of the translator and that this error simply manifests itself in several words. </t>
  </si>
  <si>
    <t>c. Is written in an incorrect or inappropriate writing system for the target language.</t>
  </si>
  <si>
    <t>Clause (a) of course assumes that the client glossary is correct.</t>
  </si>
  <si>
    <t>Serious weight: 3</t>
  </si>
  <si>
    <t>Minor weight: 1</t>
  </si>
  <si>
    <t>Serious weight: 2</t>
  </si>
  <si>
    <t>MISSPELLING (SP)</t>
  </si>
  <si>
    <t>A misspelling has occurred if a target language term:</t>
  </si>
  <si>
    <t>The target language text contains an error according to the punctuation rules for that language.</t>
  </si>
  <si>
    <t>PUNCTUATION ERROR (PE)</t>
  </si>
  <si>
    <t xml:space="preserve">For example, in German “Am 2 Zylinder” for “On the 2nd cylinder” there should be a period following the ‘2’ to indicate an ordinal number. </t>
  </si>
  <si>
    <t>A serious punctuation error could involve a missing decimal point or comma according to the target language, e.g., “116” instead of “11.6” or “11,6”.</t>
  </si>
  <si>
    <t>An example in German of a misspelling could be in the compound “Stromkreis Kraftstofffreigabe Bereich” for “Fuel Enable Circuit Range” where the sequence of 3 f’s</t>
  </si>
  <si>
    <t>should have been reduced to just 2 consecutive f’s. The English “Screw on” could be misspelled in Portuguese as “Atarrachar” instead of “Atarraxar”.</t>
  </si>
  <si>
    <t xml:space="preserve">Clause (c) is intended to flag as an error words in target languages such as Japanese that use more than one writing system, and the word in question was written with the wrong writing system, </t>
  </si>
  <si>
    <t xml:space="preserve">even though it may have been spelled correctly in that (wrong) system. For example in Japanese if a foreign term, normally written in Katakana, were instead written in Hiragana, </t>
  </si>
  <si>
    <t>albeit with the correct syllabic symbols in Hiragana for that word’s pronunciation.</t>
  </si>
  <si>
    <t xml:space="preserve">In Dutch and other languages, there could be a missing concatenation mark for implied compounds, such as the translation of “particle separators and filters” </t>
  </si>
  <si>
    <t>as “partikelafscheiders en filters” instead of “partikelafscheiders en -filters”.</t>
  </si>
  <si>
    <t>STYLE ERROR (ST)</t>
  </si>
  <si>
    <t>A style error is applicable if:</t>
  </si>
  <si>
    <t>a. Single word;</t>
  </si>
  <si>
    <t>c. Abbreviation;</t>
  </si>
  <si>
    <t>d. Acronym;</t>
  </si>
  <si>
    <t>e. Number or numeral;</t>
  </si>
  <si>
    <t>a. Violates the spelling as stated in a client glossary;</t>
  </si>
  <si>
    <t>b. Violates the accepted norms for spelling in the target language;</t>
  </si>
  <si>
    <t>a. The register or tone has not been adapted appropriately for the target audience;</t>
  </si>
  <si>
    <t>b. Specified style guidelines have not been followed as required.</t>
  </si>
  <si>
    <t>Examples of miscellaneous errors include (but are not limited to):</t>
  </si>
  <si>
    <t>a. A literal translation of an idiom, e.g., the English idiom ‘to push the envelope’ meaning ‘to perform beyond existing boundaries.’</t>
  </si>
  <si>
    <t>MISCELLANEOUS ERROR (ME)</t>
  </si>
  <si>
    <t>An example of a style error according to clause (a) would be if it is appropriate to adopt formal language to address the target audience, such as 'Vous' in French or 'Sie' in German,</t>
  </si>
  <si>
    <t>but the translation uses the informal level of address ('Tu' or 'Du').</t>
  </si>
  <si>
    <t>Another example is use of slang when it is inappropriate for the target audience, or conversely not using slang when it is genuinely appropriate for the context as may be the case in video games.</t>
  </si>
  <si>
    <t xml:space="preserve">This rule recognizes that not all errors fall neatly into the other seven error categories, and that some evaluators may proofread a translation and recognize it as clearly wrong, </t>
  </si>
  <si>
    <t>yet not be able to say precisely what it is that is wrong.</t>
  </si>
  <si>
    <t xml:space="preserve">An example of an error not easily categorized in any preceding category could be the French l’usage (“the usage”) appearing as l’ usage. </t>
  </si>
  <si>
    <t>Here a space appears after the apostrophe, which could have occurred as a typo, for instance.</t>
  </si>
  <si>
    <t>only to forget to do so, leaving both terms in the delivered translation. Thus, in a translation to French the English term ‘relay box’ may show up as “bôite de relais / bôite à relais”.</t>
  </si>
  <si>
    <t xml:space="preserve">Generally the process of translation is performed as part of the process of localization, which makes a product culturally appropriate for the target audience as well as linguistically correct. </t>
  </si>
  <si>
    <t xml:space="preserve">With this in mind, a translator may be perfectly justified in adding text to a translation in order to explain some cultural reference that may not be familiar to the target audience of the translation. </t>
  </si>
  <si>
    <t>Such additions should not be regarded as superfluous, and no error should be marked.</t>
  </si>
  <si>
    <t>of style or emphasis. For example, the English “Check gauge lamp” could be mistranslated into Portuguese as “Luz dos indicadores de verificação” instead of “Luz de verificação dos indicadores”.</t>
  </si>
  <si>
    <t>Clause (c) could occur, for example, in Romance languages if an adjective that was supposed to follow its noun were instead placed in front of the noun and this placement was not driven by reasons</t>
  </si>
  <si>
    <t xml:space="preserve">Superfluous additional text could occur where the translator includes two synonyms in a text, perhaps intending to check with the client for the preferred term, </t>
  </si>
  <si>
    <t>b. A superfluous addition or ‘extra’ block of text that has no relevance to the source text.</t>
  </si>
  <si>
    <t>Meta Rules</t>
  </si>
  <si>
    <t>For example, if a term is translated incorrectly and also misspelled, classify the error in category 'Wrong Term' because it is earlier in the list than 'Misspelling'.</t>
  </si>
  <si>
    <t>Both the primary (category) and the secondary (serious/minor) classification are judgment calls by the evaluator.</t>
  </si>
  <si>
    <t xml:space="preserve">After its primary category has been identified, the evaluator should indicate if it is a ‘serious’ or a ‘minor’ error, according to how severe the evaluator considers the error. </t>
  </si>
  <si>
    <t>In using SAE J2450 each error found by the evaluator should be marked in two ways. First, it should be classified into one of the eight categories described below, e.g., ‘wrong term’.</t>
  </si>
  <si>
    <t xml:space="preserve">The secondary classification of an error as either ‘serious’ or ‘minor’ is always a judgment call by the evaluator, and necessarily so. </t>
  </si>
  <si>
    <t>For Meta Rule 2:</t>
  </si>
  <si>
    <t xml:space="preserve">For Meta Rule 1: </t>
  </si>
  <si>
    <t>2. When in doubt, choose ‘serious’ over ‘minor’.</t>
  </si>
  <si>
    <t>While it is virtually impossible to define the notion of a serious or minor error, as a general guideline if an error is clearly serious in its consequences, especially in the context of safety,</t>
  </si>
  <si>
    <t xml:space="preserve">for the user of the translation (for example, a technician) or its effect on the meaning of the translation, then it should be marked as ‘serious’. If not, then it should be sub-classified as ‘minor’. </t>
  </si>
  <si>
    <t>The error contradicts an important instruction, which has been given clearly and unambiguously, and which the translator has acknowledged openly in advance.</t>
  </si>
  <si>
    <t>The error seriously misleads or confuses the user, and may cause significant risk to user safety.</t>
  </si>
  <si>
    <t>The error seriously misleads or confuses the user, and may cause significant risk to the user's safety.</t>
  </si>
  <si>
    <t>The intent of part (e) of this rule is to assure that even though more than one word may be wrong, there is only one occurrence of the error, rather than one for each word with the incorrect inflection.</t>
  </si>
  <si>
    <t>An example of (d) could be the use of the wrong Dutch article ‘De (rather than: het) gekozen voertuig wordt niet ondersteund’.</t>
  </si>
  <si>
    <t>An example would be English ‘The vehicle selected is not supported’ translated to ‘Gewählte Fahrzeug wird nicht unterstützt’ instead of the correct German 'Gewähltes Fahrzeug wird nicht unterstützt'.</t>
  </si>
  <si>
    <t>Enter error details in the 'Evaluation details_input' sheet (yellow tab).</t>
  </si>
  <si>
    <t>What to do if an error is accepted following evaluation</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</si>
  <si>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</si>
  <si>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</si>
  <si>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J2450 Quick Reference</t>
  </si>
  <si>
    <t>More guidelines for serious errors:</t>
  </si>
  <si>
    <t>b. Is in clear conflict with de facto standard translation(s) of the source language term in the subject domain;</t>
  </si>
  <si>
    <t>a. A continuous block of text in the source language has no counterpart in the target language text and, as a result, the meaning of the source text is absent in the translation;</t>
  </si>
  <si>
    <t>Any linguistic error related to the target language text which is not clearly attributable to the other categories listed previously, should be classified as a miscellaneous error.</t>
  </si>
  <si>
    <t>f. Proper name, including trade names, brand names, registered trademarks, place names;</t>
  </si>
  <si>
    <t>g. Personal names.</t>
  </si>
  <si>
    <t>b. Multi-word phrase used as a single term;</t>
  </si>
  <si>
    <t>1. When more than one category is possible to classify an error, choose the earliest primary category.</t>
  </si>
  <si>
    <t>d. Failure to adapt country standards (time and date formats, units of measurement, currency, number formats, sorting order etc.).</t>
  </si>
  <si>
    <t>e. Inadequate localization of scenarios, examples and images appearing in the source text that are inappropriate in their source state for the target audience.</t>
  </si>
  <si>
    <t>c. An extra space, introduced by the translator, that is redundant in the target language.</t>
  </si>
  <si>
    <t>Repeated Errors</t>
  </si>
  <si>
    <t>If the same, identical error recurs, record the 2nd occurrence onwards as 'Repeated' in the Severity column of the 'Evaluation details_input' sheet.</t>
  </si>
  <si>
    <r>
      <t xml:space="preserve">       </t>
    </r>
    <r>
      <rPr>
        <i/>
        <sz val="10"/>
        <rFont val="Arial"/>
        <family val="2"/>
      </rPr>
      <t>Note</t>
    </r>
    <r>
      <rPr>
        <sz val="10"/>
        <rFont val="Arial"/>
        <family val="2"/>
        <charset val="238"/>
      </rPr>
      <t xml:space="preserve">: Repeated errors are applicable only if the error is </t>
    </r>
    <r>
      <rPr>
        <b/>
        <sz val="10"/>
        <rFont val="Arial"/>
        <family val="2"/>
      </rPr>
      <t>exactly identical</t>
    </r>
    <r>
      <rPr>
        <sz val="10"/>
        <rFont val="Arial"/>
        <family val="2"/>
        <charset val="238"/>
      </rPr>
      <t xml:space="preserve"> to 1st occurrence of the error.</t>
    </r>
  </si>
  <si>
    <t>this is a 'Repeated' error, because it is exactly identical.</t>
  </si>
  <si>
    <t>The evaluator may mistakenly think this is a repeated occurrence of incorrect hyphen usage, but these errors should be classified as two separate misspellings of two separate words,</t>
  </si>
  <si>
    <t>For example, if the English translation is incorrectly written 'black-out' (with a hyphen) rather than 'blackout', and then there is a 2nd occurrence of the incorrect 'black-out',</t>
  </si>
  <si>
    <r>
      <t xml:space="preserve">However, if there is also an occurrence in the same translation of the incorrectly written 'black-smith' (with a hyphen), this </t>
    </r>
    <r>
      <rPr>
        <b/>
        <sz val="10"/>
        <rFont val="Arial"/>
        <family val="2"/>
      </rPr>
      <t>cannot</t>
    </r>
    <r>
      <rPr>
        <sz val="10"/>
        <rFont val="Arial"/>
        <family val="2"/>
      </rPr>
      <t xml:space="preserve"> be classified as a repeated error.</t>
    </r>
  </si>
  <si>
    <t xml:space="preserve"> 'blackout' and 'blacksmith'.</t>
  </si>
  <si>
    <t>Sector</t>
  </si>
  <si>
    <t>Translation type</t>
  </si>
  <si>
    <t>Conventional</t>
  </si>
  <si>
    <t>i-MT post-edit</t>
  </si>
  <si>
    <t>(even though the initial translation is not classified as a binary error), with the aim of continuously pushing up the quality base for future translations.</t>
  </si>
  <si>
    <t xml:space="preserve">If the error is classified as a 'Preferential improvement' and accepted by the translator, in principle the same actions as listed above should be carried out, </t>
  </si>
  <si>
    <t>Note: 'Preferential improvement' errors are not counted in the scoring system.</t>
  </si>
  <si>
    <r>
      <t xml:space="preserve">What to do if an error is </t>
    </r>
    <r>
      <rPr>
        <b/>
        <i/>
        <sz val="12"/>
        <color theme="0"/>
        <rFont val="Arial"/>
        <family val="2"/>
      </rPr>
      <t xml:space="preserve">not </t>
    </r>
    <r>
      <rPr>
        <b/>
        <sz val="12"/>
        <color theme="0"/>
        <rFont val="Arial"/>
        <family val="2"/>
      </rPr>
      <t>accepted following evaluation</t>
    </r>
  </si>
  <si>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</si>
  <si>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</si>
  <si>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If this is the case, the translator should select the 'Not Accepted' option in column I in the 'Evaluation details_input' sheet.</t>
  </si>
  <si>
    <t xml:space="preserve">Thus, ‘automotive’ is a single word; ‘powertrain control module’ is a multi-word term; ‘Hz’ is an abbreviation; ‘ABS’ is an acronym; ‘3.14’ is a numeral; </t>
  </si>
  <si>
    <t xml:space="preserve"> ‘three’ is a number, and ‘Society of Automotive Engineers’ is a name. All are terms, as are function words such as prepositions, conjunctions, determiners and articles.</t>
  </si>
  <si>
    <t>Following evaluation, in the course of analysing the errors identified by the evaluator, the translator may take the decision not to accept the error itself or the error classification or its severity level.</t>
  </si>
  <si>
    <t>Then, in the next column (J), the translator must enter the reasons for not accepting. It is compulsory to provide full details as justification, and it is not permissible to enter no information.</t>
  </si>
  <si>
    <t>Reason for decision</t>
  </si>
  <si>
    <t>Aerospace</t>
  </si>
  <si>
    <t>Commercial</t>
  </si>
  <si>
    <t>Defence</t>
  </si>
  <si>
    <t>General</t>
  </si>
  <si>
    <t>Patents</t>
  </si>
  <si>
    <t>What to do if any adjustment to the acceptable threshold is requested for a specific client</t>
  </si>
  <si>
    <t>What to do if there is a request for customisation for any other aspect of this Quality Evaluation Report for a specific client</t>
  </si>
  <si>
    <t>Client-specific requirements</t>
  </si>
  <si>
    <t>Client name:</t>
  </si>
  <si>
    <t>Identifier</t>
  </si>
  <si>
    <t>CostCenter</t>
  </si>
  <si>
    <t>AL</t>
  </si>
  <si>
    <t>Alliance</t>
  </si>
  <si>
    <t>AN</t>
  </si>
  <si>
    <t>Alterian General</t>
  </si>
  <si>
    <t>BG</t>
  </si>
  <si>
    <t>Bray General</t>
  </si>
  <si>
    <t>BR</t>
  </si>
  <si>
    <t>CM</t>
  </si>
  <si>
    <t>Campaign Management and Analytics</t>
  </si>
  <si>
    <t>CE</t>
  </si>
  <si>
    <t>Central Europe General</t>
  </si>
  <si>
    <t>CL</t>
  </si>
  <si>
    <t>CG</t>
  </si>
  <si>
    <t>China General</t>
  </si>
  <si>
    <t>CC</t>
  </si>
  <si>
    <t>China MLS</t>
  </si>
  <si>
    <t>CH</t>
  </si>
  <si>
    <t>China Network</t>
  </si>
  <si>
    <t>CT</t>
  </si>
  <si>
    <t>Click2Translate</t>
  </si>
  <si>
    <t>CO</t>
  </si>
  <si>
    <t>Consultancy</t>
  </si>
  <si>
    <t>CR</t>
  </si>
  <si>
    <t>CZ</t>
  </si>
  <si>
    <t>DK</t>
  </si>
  <si>
    <t>SX</t>
  </si>
  <si>
    <t>Desktop</t>
  </si>
  <si>
    <t>EN</t>
  </si>
  <si>
    <t>EP</t>
  </si>
  <si>
    <t>Enterprise Products</t>
  </si>
  <si>
    <t>EE</t>
  </si>
  <si>
    <t>European Sales General</t>
  </si>
  <si>
    <t>FI</t>
  </si>
  <si>
    <t>FL</t>
  </si>
  <si>
    <t>FD</t>
  </si>
  <si>
    <t>Florida</t>
  </si>
  <si>
    <t>FR</t>
  </si>
  <si>
    <t>FH</t>
  </si>
  <si>
    <t>Fredhopper</t>
  </si>
  <si>
    <t>FT</t>
  </si>
  <si>
    <t>FreeTranslation</t>
  </si>
  <si>
    <t>GM</t>
  </si>
  <si>
    <t>GN</t>
  </si>
  <si>
    <t>GS</t>
  </si>
  <si>
    <t>Germany General</t>
  </si>
  <si>
    <t>GE</t>
  </si>
  <si>
    <t>GO</t>
  </si>
  <si>
    <t>GK</t>
  </si>
  <si>
    <t>GG</t>
  </si>
  <si>
    <t>Group General</t>
  </si>
  <si>
    <t>HG</t>
  </si>
  <si>
    <t>Hengelo General</t>
  </si>
  <si>
    <t>HE</t>
  </si>
  <si>
    <t>HN</t>
  </si>
  <si>
    <t>HO</t>
  </si>
  <si>
    <t>HU</t>
  </si>
  <si>
    <t>KB</t>
  </si>
  <si>
    <t>IN</t>
  </si>
  <si>
    <t>IE</t>
  </si>
  <si>
    <t>India Express</t>
  </si>
  <si>
    <t>JG</t>
  </si>
  <si>
    <t>Japan General</t>
  </si>
  <si>
    <t>JJ</t>
  </si>
  <si>
    <t>Japan MLS</t>
  </si>
  <si>
    <t>JP</t>
  </si>
  <si>
    <t>Japan Network</t>
  </si>
  <si>
    <t>KG</t>
  </si>
  <si>
    <t>Korea General</t>
  </si>
  <si>
    <t>KK</t>
  </si>
  <si>
    <t>Korea MLS</t>
  </si>
  <si>
    <t>KO</t>
  </si>
  <si>
    <t>Korea Network</t>
  </si>
  <si>
    <t>GW</t>
  </si>
  <si>
    <t>Language Gateway</t>
  </si>
  <si>
    <t>LS</t>
  </si>
  <si>
    <t>Language Services General</t>
  </si>
  <si>
    <t>LU</t>
  </si>
  <si>
    <t>Language Services USA General</t>
  </si>
  <si>
    <t>LT</t>
  </si>
  <si>
    <t>Language Technology General</t>
  </si>
  <si>
    <t>LB</t>
  </si>
  <si>
    <t>LE</t>
  </si>
  <si>
    <t>Leuven</t>
  </si>
  <si>
    <t>LG</t>
  </si>
  <si>
    <t>Leuven General</t>
  </si>
  <si>
    <t>MG</t>
  </si>
  <si>
    <t>Maidenhead General</t>
  </si>
  <si>
    <t>MO</t>
  </si>
  <si>
    <t>Montreal General</t>
  </si>
  <si>
    <t>MI</t>
  </si>
  <si>
    <t>Montreal Interpretation</t>
  </si>
  <si>
    <t>MN</t>
  </si>
  <si>
    <t>NG</t>
  </si>
  <si>
    <t>Nordic General</t>
  </si>
  <si>
    <t>NW</t>
  </si>
  <si>
    <t>OR</t>
  </si>
  <si>
    <t>PH</t>
  </si>
  <si>
    <t>PL</t>
  </si>
  <si>
    <t>QT</t>
  </si>
  <si>
    <t>Quatron</t>
  </si>
  <si>
    <t>RO</t>
  </si>
  <si>
    <t>RU</t>
  </si>
  <si>
    <t>LW</t>
  </si>
  <si>
    <t>SDL Language Weaver</t>
  </si>
  <si>
    <t>SH</t>
  </si>
  <si>
    <t>Sheffield General</t>
  </si>
  <si>
    <t>SG</t>
  </si>
  <si>
    <t>SL</t>
  </si>
  <si>
    <t>SO</t>
  </si>
  <si>
    <t>Social Intelligence</t>
  </si>
  <si>
    <t>MM</t>
  </si>
  <si>
    <t>XY</t>
  </si>
  <si>
    <t>Structured Content Technologies</t>
  </si>
  <si>
    <t>SW</t>
  </si>
  <si>
    <t>TA</t>
  </si>
  <si>
    <t>TH</t>
  </si>
  <si>
    <t>TU</t>
  </si>
  <si>
    <t>ES</t>
  </si>
  <si>
    <t>UK Service Sales</t>
  </si>
  <si>
    <t>US</t>
  </si>
  <si>
    <t>US Service Sales</t>
  </si>
  <si>
    <t>UG</t>
  </si>
  <si>
    <t>USA General</t>
  </si>
  <si>
    <t>VN</t>
  </si>
  <si>
    <t>Vietnam</t>
  </si>
  <si>
    <t>WC</t>
  </si>
  <si>
    <t>Web Content Management - Alterian</t>
  </si>
  <si>
    <t>TR</t>
  </si>
  <si>
    <t>Web Content Management - Tridion</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</si>
  <si>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</si>
  <si>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</si>
  <si>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</si>
  <si>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</si>
  <si>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</si>
  <si>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</si>
  <si>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</si>
  <si>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</si>
  <si>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</si>
  <si>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</si>
  <si>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</si>
  <si>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</si>
  <si>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</si>
  <si>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</si>
  <si>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</si>
  <si>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</si>
  <si>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</si>
  <si>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</si>
  <si>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</si>
  <si>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</si>
  <si>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</si>
  <si>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</si>
  <si>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</si>
  <si>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</si>
  <si>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</si>
  <si>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</si>
  <si>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</si>
  <si>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</si>
  <si>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</si>
  <si>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</si>
  <si>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</si>
  <si>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</si>
  <si>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</si>
  <si>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</si>
  <si>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</si>
  <si>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</si>
  <si>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</si>
  <si>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</si>
  <si>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</si>
  <si>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</si>
  <si>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</si>
  <si>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</si>
  <si>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</si>
  <si>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</si>
  <si>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</si>
  <si>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</si>
  <si>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</si>
  <si>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</si>
  <si>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</si>
  <si>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</si>
  <si>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</si>
  <si>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</si>
  <si>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</si>
  <si>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</si>
  <si>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</si>
  <si>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</si>
  <si>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</si>
  <si>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</si>
  <si>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</si>
  <si>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</si>
  <si>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</si>
  <si>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</si>
  <si>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</si>
  <si>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</si>
  <si>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</si>
  <si>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</si>
  <si>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</si>
  <si>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</si>
  <si>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</si>
  <si>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</si>
  <si>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</si>
  <si>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</si>
  <si>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</si>
  <si>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</si>
  <si>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</si>
  <si>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</si>
  <si>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</si>
  <si>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</si>
  <si>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</si>
  <si>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</si>
  <si>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</si>
  <si>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</si>
  <si>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</si>
  <si>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</si>
  <si>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</si>
  <si>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</si>
  <si>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</si>
  <si>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</si>
  <si>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</si>
  <si>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</si>
  <si>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</si>
  <si>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</si>
  <si>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</si>
  <si>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</si>
  <si>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</si>
  <si>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</si>
  <si>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</si>
  <si>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</si>
  <si>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</si>
  <si>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</si>
  <si>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</si>
  <si>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</si>
  <si>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</si>
  <si>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</si>
  <si>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</si>
  <si>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</si>
  <si>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</si>
  <si>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</si>
  <si>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</si>
  <si>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</si>
  <si>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</si>
  <si>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ClientPrefix</t>
  </si>
  <si>
    <t>Qihoo 360 Technology Co. Ltd.</t>
  </si>
  <si>
    <t>3PR</t>
  </si>
  <si>
    <t>3PAR Inc.</t>
  </si>
  <si>
    <t>3SI</t>
  </si>
  <si>
    <t>3 Suisses International Group</t>
  </si>
  <si>
    <t>A24</t>
  </si>
  <si>
    <t>Visma AS</t>
  </si>
  <si>
    <t>A2Z</t>
  </si>
  <si>
    <t>A2Z GLOBAL, L.L.C.</t>
  </si>
  <si>
    <t>AAA</t>
  </si>
  <si>
    <t>AAA Language Services Inc</t>
  </si>
  <si>
    <t>AAB</t>
  </si>
  <si>
    <t>A+A boundless Communication</t>
  </si>
  <si>
    <t>AAC</t>
  </si>
  <si>
    <t>Acre CR, spol. Ltd.</t>
  </si>
  <si>
    <t>AAH</t>
  </si>
  <si>
    <t>Alameda Alliance for Health</t>
  </si>
  <si>
    <t>AAI</t>
  </si>
  <si>
    <t>American Airlines</t>
  </si>
  <si>
    <t>AAM</t>
  </si>
  <si>
    <t>American Automobile Association, Inc</t>
  </si>
  <si>
    <t>AAO</t>
  </si>
  <si>
    <t>The American Academy of Orthopaedic Surgeons</t>
  </si>
  <si>
    <t>AAP</t>
  </si>
  <si>
    <t>Apg Algemene Pensioen Groep N V</t>
  </si>
  <si>
    <t>AAR</t>
  </si>
  <si>
    <t>AARP</t>
  </si>
  <si>
    <t>AAS</t>
  </si>
  <si>
    <t>Avolar Aerolineas, S.A. de C.V.</t>
  </si>
  <si>
    <t>AAT</t>
  </si>
  <si>
    <t xml:space="preserve">AVG Technologies </t>
  </si>
  <si>
    <t>AAV</t>
  </si>
  <si>
    <t>Amersfoortse Algemene Verzekering Maatschappij</t>
  </si>
  <si>
    <t>ABA</t>
  </si>
  <si>
    <t>aba z&amp;b Schleifmaschinen GmbH</t>
  </si>
  <si>
    <t>ABB</t>
  </si>
  <si>
    <t>ABB Ltd</t>
  </si>
  <si>
    <t>ABE</t>
  </si>
  <si>
    <t>Abeism Corporation</t>
  </si>
  <si>
    <t>ABH</t>
  </si>
  <si>
    <t>Autobar Group Ltd</t>
  </si>
  <si>
    <t>ABI</t>
  </si>
  <si>
    <t>Abitibi-Consolidated Inc.</t>
  </si>
  <si>
    <t>ABN</t>
  </si>
  <si>
    <t>ABN AMRO Holding N.V.</t>
  </si>
  <si>
    <t>ABS</t>
  </si>
  <si>
    <t>Anheuser-Busch InBev SA/NV</t>
  </si>
  <si>
    <t>ABU</t>
  </si>
  <si>
    <t>Abu Dhabi Commercial Bank</t>
  </si>
  <si>
    <t>ABY</t>
  </si>
  <si>
    <t>Abbey Entertainment Limited</t>
  </si>
  <si>
    <t>AC0</t>
  </si>
  <si>
    <t>ACN, Inc</t>
  </si>
  <si>
    <t>AC1</t>
  </si>
  <si>
    <t>American Chemical Society</t>
  </si>
  <si>
    <t>ACA</t>
  </si>
  <si>
    <t>ACE Aviation Holdings Inc</t>
  </si>
  <si>
    <t>ACC</t>
  </si>
  <si>
    <t>Accenture Ltd</t>
  </si>
  <si>
    <t>ACD</t>
  </si>
  <si>
    <t>Eyeti B.V</t>
  </si>
  <si>
    <t>ACE</t>
  </si>
  <si>
    <t>Acer Corporation</t>
  </si>
  <si>
    <t>ACF</t>
  </si>
  <si>
    <t>Alameda Children and Families Commission</t>
  </si>
  <si>
    <t>ACG</t>
  </si>
  <si>
    <t>Agori Communications GmbH</t>
  </si>
  <si>
    <t>ACH</t>
  </si>
  <si>
    <t>Archant Holdings Ltd</t>
  </si>
  <si>
    <t>ACI</t>
  </si>
  <si>
    <t>aci DV-Organisation</t>
  </si>
  <si>
    <t>ACL</t>
  </si>
  <si>
    <t>Acclaro Inc.</t>
  </si>
  <si>
    <t>ACM</t>
  </si>
  <si>
    <t xml:space="preserve">ACASS </t>
  </si>
  <si>
    <t>ACN</t>
  </si>
  <si>
    <t>Alcon Inc.</t>
  </si>
  <si>
    <t>ACO</t>
  </si>
  <si>
    <t>Acronis Inc.</t>
  </si>
  <si>
    <t>ACP</t>
  </si>
  <si>
    <t>American Institute of Certified Public Accountants</t>
  </si>
  <si>
    <t>ACQ</t>
  </si>
  <si>
    <t>Acme Packet</t>
  </si>
  <si>
    <t>ACR</t>
  </si>
  <si>
    <t>Accor</t>
  </si>
  <si>
    <t>ACS</t>
  </si>
  <si>
    <t>Affiliated Computer Services Inc.</t>
  </si>
  <si>
    <t>ACT</t>
  </si>
  <si>
    <t>Activision Inc</t>
  </si>
  <si>
    <t>ACU</t>
  </si>
  <si>
    <t>Actuate Corporation</t>
  </si>
  <si>
    <t>ACV</t>
  </si>
  <si>
    <t>ACV-CSC</t>
  </si>
  <si>
    <t>ACW</t>
  </si>
  <si>
    <t>ACI Worldwide Inc</t>
  </si>
  <si>
    <t>AD0</t>
  </si>
  <si>
    <t>Alliance Data Systems, Inc.</t>
  </si>
  <si>
    <t>AD1</t>
  </si>
  <si>
    <t>Avery Dennison Corporation</t>
  </si>
  <si>
    <t>AD3</t>
  </si>
  <si>
    <t>ADP</t>
  </si>
  <si>
    <t>ADA</t>
  </si>
  <si>
    <t>AdaQuest Inc.</t>
  </si>
  <si>
    <t>ADB</t>
  </si>
  <si>
    <t>Adobe Systems Incorporated</t>
  </si>
  <si>
    <t>ADC</t>
  </si>
  <si>
    <t>A.D.I.C.A. S.r.l.</t>
  </si>
  <si>
    <t>ADD</t>
  </si>
  <si>
    <t>adidas AG</t>
  </si>
  <si>
    <t>ADE</t>
  </si>
  <si>
    <t>Advanced Energy Industries, Inc.</t>
  </si>
  <si>
    <t>ADH</t>
  </si>
  <si>
    <t>Adam Hall GmbH</t>
  </si>
  <si>
    <t>ADI</t>
  </si>
  <si>
    <t>Avid Technology, Inc</t>
  </si>
  <si>
    <t>ADK</t>
  </si>
  <si>
    <t>Autodesk Inc</t>
  </si>
  <si>
    <t>ADN</t>
  </si>
  <si>
    <t>Adnovate Nederland BV</t>
  </si>
  <si>
    <t>Automatic Data Processing, Inc.</t>
  </si>
  <si>
    <t>ADQ</t>
  </si>
  <si>
    <t>Abu Dhabi Airports Company</t>
  </si>
  <si>
    <t>ADS</t>
  </si>
  <si>
    <t>Applied Digital Solutions</t>
  </si>
  <si>
    <t>ADT</t>
  </si>
  <si>
    <t>Adtran, Inc.</t>
  </si>
  <si>
    <t>ADU</t>
  </si>
  <si>
    <t>ADABUS GmbH</t>
  </si>
  <si>
    <t>ADV</t>
  </si>
  <si>
    <t>Advantex Marketing International Inc</t>
  </si>
  <si>
    <t>AEC</t>
  </si>
  <si>
    <t>AECOM Technology Corporation</t>
  </si>
  <si>
    <t>AEG</t>
  </si>
  <si>
    <t>Aegis Group plc</t>
  </si>
  <si>
    <t>AEN</t>
  </si>
  <si>
    <t>Aegon N.V.</t>
  </si>
  <si>
    <t>AEO</t>
  </si>
  <si>
    <t>American Eagle Outfitters Inc</t>
  </si>
  <si>
    <t>AER</t>
  </si>
  <si>
    <t>Consorcio Aeromexico S.A.B. de C.V</t>
  </si>
  <si>
    <t>AET</t>
  </si>
  <si>
    <t>AETNA</t>
  </si>
  <si>
    <t>AFG</t>
  </si>
  <si>
    <t>Affinia Group Holdings Inc.</t>
  </si>
  <si>
    <t>AFN</t>
  </si>
  <si>
    <t>AFNOR</t>
  </si>
  <si>
    <t>AFP</t>
  </si>
  <si>
    <t>AMERICAN FINANCIAL PRINTING, Inc</t>
  </si>
  <si>
    <t>AFR</t>
  </si>
  <si>
    <t>Africalia</t>
  </si>
  <si>
    <t>AFS</t>
  </si>
  <si>
    <t>Alexander Finke Services</t>
  </si>
  <si>
    <t>AFX</t>
  </si>
  <si>
    <t>Afexa Life Sciences Inc.</t>
  </si>
  <si>
    <t>AGA</t>
  </si>
  <si>
    <t>AGF Management Limited</t>
  </si>
  <si>
    <t>AGC</t>
  </si>
  <si>
    <t>AGCO Corporation</t>
  </si>
  <si>
    <t>AGE</t>
  </si>
  <si>
    <t>AGA Interactive</t>
  </si>
  <si>
    <t>AGF</t>
  </si>
  <si>
    <t>Agfa-Gevaert NV</t>
  </si>
  <si>
    <t>AGG</t>
  </si>
  <si>
    <t>APG Group</t>
  </si>
  <si>
    <t>AGI</t>
  </si>
  <si>
    <t>Agilent Technologies Inc</t>
  </si>
  <si>
    <t>AGJ</t>
  </si>
  <si>
    <t>Aksel G Johansen</t>
  </si>
  <si>
    <t>AGL</t>
  </si>
  <si>
    <t>All Languages Ltd.</t>
  </si>
  <si>
    <t>AGO</t>
  </si>
  <si>
    <t>Avago Technologies, Inc.</t>
  </si>
  <si>
    <t>AGR</t>
  </si>
  <si>
    <t>Unit 4 Agresso N.V</t>
  </si>
  <si>
    <t>AGS</t>
  </si>
  <si>
    <t>Agere Systems Inc</t>
  </si>
  <si>
    <t>AGY</t>
  </si>
  <si>
    <t>Agilisys Inc.</t>
  </si>
  <si>
    <t>AHA</t>
  </si>
  <si>
    <t>American Heart Association, Inc.</t>
  </si>
  <si>
    <t>AHB</t>
  </si>
  <si>
    <t>Alfresco Software Inc.</t>
  </si>
  <si>
    <t>AHO</t>
  </si>
  <si>
    <t>Koninklijke Ahold N.V</t>
  </si>
  <si>
    <t>AHS</t>
  </si>
  <si>
    <t>Ahead Software GMBH</t>
  </si>
  <si>
    <t>AHT</t>
  </si>
  <si>
    <t>AIB</t>
  </si>
  <si>
    <t>Bureau Economique de la Province de Namur</t>
  </si>
  <si>
    <t>AIG</t>
  </si>
  <si>
    <t>American International Group, Inc.</t>
  </si>
  <si>
    <t>AIL</t>
  </si>
  <si>
    <t>AIC Limited</t>
  </si>
  <si>
    <t>AIO</t>
  </si>
  <si>
    <t>Abbott Laboratories</t>
  </si>
  <si>
    <t>AIP</t>
  </si>
  <si>
    <t>American Institute Of Physics Incorporated</t>
  </si>
  <si>
    <t>AKA</t>
  </si>
  <si>
    <t>Akal UK Limited</t>
  </si>
  <si>
    <t>AKD</t>
  </si>
  <si>
    <t>The Aga Khan Development Network</t>
  </si>
  <si>
    <t>AKN</t>
  </si>
  <si>
    <t>ARKADIN</t>
  </si>
  <si>
    <t>AKQ</t>
  </si>
  <si>
    <t>AKQA Inc</t>
  </si>
  <si>
    <t>AKZ</t>
  </si>
  <si>
    <t>Akzo Nobel NV</t>
  </si>
  <si>
    <t>AL0</t>
  </si>
  <si>
    <t>Alitalia - Compagnia Aerea Italiana S.p.A.</t>
  </si>
  <si>
    <t>AL1</t>
  </si>
  <si>
    <t>Altana Chemie AG</t>
  </si>
  <si>
    <t>AL4</t>
  </si>
  <si>
    <t>Aldebaran Robotics</t>
  </si>
  <si>
    <t>ALA</t>
  </si>
  <si>
    <t>Alliander NV</t>
  </si>
  <si>
    <t>ALB</t>
  </si>
  <si>
    <t>AlphaBlox Corporation</t>
  </si>
  <si>
    <t>ALD</t>
  </si>
  <si>
    <t>Alder Hey IMAGINE Appeal</t>
  </si>
  <si>
    <t>ALE</t>
  </si>
  <si>
    <t>Laboratorios Almirall, S.A.</t>
  </si>
  <si>
    <t>ALF</t>
  </si>
  <si>
    <t>Alfabase-Publikatie Processors B.V.</t>
  </si>
  <si>
    <t>ALG</t>
  </si>
  <si>
    <t>Align Technology Inc.</t>
  </si>
  <si>
    <t>ALI</t>
  </si>
  <si>
    <t>Alpha Intro</t>
  </si>
  <si>
    <t>ALK</t>
  </si>
  <si>
    <t>ALK Technologies Inc</t>
  </si>
  <si>
    <t>ALL</t>
  </si>
  <si>
    <t>Allianz SE</t>
  </si>
  <si>
    <t>ALM</t>
  </si>
  <si>
    <t>Allianz Madvac Inc</t>
  </si>
  <si>
    <t>ALN</t>
  </si>
  <si>
    <t>Allergan, Inc.</t>
  </si>
  <si>
    <t>ALP</t>
  </si>
  <si>
    <t>AllPosters.com Inc.</t>
  </si>
  <si>
    <t>ALQ</t>
  </si>
  <si>
    <t>Alpiq Holding Ltd</t>
  </si>
  <si>
    <t>ALS</t>
  </si>
  <si>
    <t>ALSTOM</t>
  </si>
  <si>
    <t>ALT</t>
  </si>
  <si>
    <t>Compagnie Financière Alcatel</t>
  </si>
  <si>
    <t>ALU</t>
  </si>
  <si>
    <t>Alutiiq, LLC</t>
  </si>
  <si>
    <t>ALV</t>
  </si>
  <si>
    <t>Alfa Laval Corporate AB</t>
  </si>
  <si>
    <t>ALX</t>
  </si>
  <si>
    <t>Advanced Language Translation Inc</t>
  </si>
  <si>
    <t>ALY</t>
  </si>
  <si>
    <t>ALAYA INC.</t>
  </si>
  <si>
    <t>AMA</t>
  </si>
  <si>
    <t>Amazys Holding AG</t>
  </si>
  <si>
    <t>AMB</t>
  </si>
  <si>
    <t>The Amateur Boxing Association of England Ltd.</t>
  </si>
  <si>
    <t>AMC</t>
  </si>
  <si>
    <t>Art Technology Group Inc</t>
  </si>
  <si>
    <t>AMD</t>
  </si>
  <si>
    <t>Advanced Micro Devices Inc</t>
  </si>
  <si>
    <t>AME</t>
  </si>
  <si>
    <t>Amersham plc</t>
  </si>
  <si>
    <t>AMG</t>
  </si>
  <si>
    <t>Access Meeting</t>
  </si>
  <si>
    <t>AMH</t>
  </si>
  <si>
    <t>AMBIO Helse AS</t>
  </si>
  <si>
    <t>AMI</t>
  </si>
  <si>
    <t>Astral Media Inc.</t>
  </si>
  <si>
    <t>AML</t>
  </si>
  <si>
    <t>AM General, LLC</t>
  </si>
  <si>
    <t>AMN</t>
  </si>
  <si>
    <t>AMERICAN MEDICAL ASSOCIATION</t>
  </si>
  <si>
    <t>AMO</t>
  </si>
  <si>
    <t>Amoi Electronics Co. Ltd.</t>
  </si>
  <si>
    <t>AMP</t>
  </si>
  <si>
    <t>Amplexor Nv</t>
  </si>
  <si>
    <t>AMQ</t>
  </si>
  <si>
    <t>AMR Corporation</t>
  </si>
  <si>
    <t>AMR</t>
  </si>
  <si>
    <t>Amer Sports Corporation</t>
  </si>
  <si>
    <t>AMS</t>
  </si>
  <si>
    <t>American Specialty Health, Inc</t>
  </si>
  <si>
    <t>AMW</t>
  </si>
  <si>
    <t>Alticor, Inc.</t>
  </si>
  <si>
    <t>AMX</t>
  </si>
  <si>
    <t>American Express Company</t>
  </si>
  <si>
    <t>AMZ</t>
  </si>
  <si>
    <t>Amazon.Com Inc</t>
  </si>
  <si>
    <t>ANA</t>
  </si>
  <si>
    <t>ANE</t>
  </si>
  <si>
    <t>Action Engine Corporation</t>
  </si>
  <si>
    <t>ANL</t>
  </si>
  <si>
    <t>All Nippon Airways Co., Ltd.</t>
  </si>
  <si>
    <t>ANR</t>
  </si>
  <si>
    <t>Anvir Software</t>
  </si>
  <si>
    <t>ANT</t>
  </si>
  <si>
    <t>Antech Systems, Inc.</t>
  </si>
  <si>
    <t>ANV</t>
  </si>
  <si>
    <t>Atradius NV</t>
  </si>
  <si>
    <t>ANW</t>
  </si>
  <si>
    <t>ANWB B.V.</t>
  </si>
  <si>
    <t>ANZ</t>
  </si>
  <si>
    <t>St Antonius Ziekenhuis</t>
  </si>
  <si>
    <t>AOL</t>
  </si>
  <si>
    <t>AOL LLC.</t>
  </si>
  <si>
    <t>AON</t>
  </si>
  <si>
    <t xml:space="preserve">Asia Online PTE Ltd </t>
  </si>
  <si>
    <t>AOO</t>
  </si>
  <si>
    <t>ATOS Origin</t>
  </si>
  <si>
    <t>AOP</t>
  </si>
  <si>
    <t>Aopen Inc</t>
  </si>
  <si>
    <t>AOS</t>
  </si>
  <si>
    <t>Actino Software GmbH</t>
  </si>
  <si>
    <t>AP0</t>
  </si>
  <si>
    <t>The Associated Press</t>
  </si>
  <si>
    <t>APA</t>
  </si>
  <si>
    <t>American Psychological Association</t>
  </si>
  <si>
    <t>APC</t>
  </si>
  <si>
    <t>Aptalis Pharma Canada Inc.</t>
  </si>
  <si>
    <t>APD</t>
  </si>
  <si>
    <t>Applied Language Solutions Llc</t>
  </si>
  <si>
    <t>APG</t>
  </si>
  <si>
    <t>Apicil Gestion</t>
  </si>
  <si>
    <t>APH</t>
  </si>
  <si>
    <t>Alpha CRC</t>
  </si>
  <si>
    <t>API</t>
  </si>
  <si>
    <t>Apicius</t>
  </si>
  <si>
    <t>APL</t>
  </si>
  <si>
    <t>Appleton Papers Inc</t>
  </si>
  <si>
    <t>APM</t>
  </si>
  <si>
    <t>Applied Materials, Inc.</t>
  </si>
  <si>
    <t>APO</t>
  </si>
  <si>
    <t xml:space="preserve">Apotex Inc. </t>
  </si>
  <si>
    <t>APP</t>
  </si>
  <si>
    <t>Applix Inc</t>
  </si>
  <si>
    <t>APR</t>
  </si>
  <si>
    <t>Air Products</t>
  </si>
  <si>
    <t>APS</t>
  </si>
  <si>
    <t>groupe Apsys SAS</t>
  </si>
  <si>
    <t>APT</t>
  </si>
  <si>
    <t>Aptas, Inc.</t>
  </si>
  <si>
    <t>APV</t>
  </si>
  <si>
    <t>Apollo Tyres Ltd</t>
  </si>
  <si>
    <t>APX</t>
  </si>
  <si>
    <t>Apple Inc.</t>
  </si>
  <si>
    <t>AQL</t>
  </si>
  <si>
    <t>ACAL plc</t>
  </si>
  <si>
    <t>AQR</t>
  </si>
  <si>
    <t>Aquire, Inc.</t>
  </si>
  <si>
    <t>ARB</t>
  </si>
  <si>
    <t>Arbetsmiljoverket (Av)</t>
  </si>
  <si>
    <t>ARC</t>
  </si>
  <si>
    <t>American Red Cross</t>
  </si>
  <si>
    <t>ARD</t>
  </si>
  <si>
    <t>Arriva Coöperatie W.A.</t>
  </si>
  <si>
    <t>ARE</t>
  </si>
  <si>
    <t>Carlyle Partners IV, L.P</t>
  </si>
  <si>
    <t>ARG</t>
  </si>
  <si>
    <t>Argenta Groep Nv</t>
  </si>
  <si>
    <t>ARI</t>
  </si>
  <si>
    <t>ARI Network Services, Inc</t>
  </si>
  <si>
    <t>ARK</t>
  </si>
  <si>
    <t>Air France-KLM S.A.</t>
  </si>
  <si>
    <t>ARL</t>
  </si>
  <si>
    <t>ArcelorMittal</t>
  </si>
  <si>
    <t>ARM</t>
  </si>
  <si>
    <t>ARM Holdings PLC</t>
  </si>
  <si>
    <t>ARN</t>
  </si>
  <si>
    <t>Arithnea GmbH</t>
  </si>
  <si>
    <t>ARR</t>
  </si>
  <si>
    <t>AMR Research, Inc</t>
  </si>
  <si>
    <t>ART</t>
  </si>
  <si>
    <t>Art.com, Inc</t>
  </si>
  <si>
    <t>ARV</t>
  </si>
  <si>
    <t>AREVA</t>
  </si>
  <si>
    <t>ARW</t>
  </si>
  <si>
    <t>AROUND THE WORD</t>
  </si>
  <si>
    <t>ARX</t>
  </si>
  <si>
    <t>Arthrex Inc</t>
  </si>
  <si>
    <t>AS1</t>
  </si>
  <si>
    <t>Alion Science &amp; Technology</t>
  </si>
  <si>
    <t>ASA</t>
  </si>
  <si>
    <t>Asahi Kasei Corporation</t>
  </si>
  <si>
    <t>ASC</t>
  </si>
  <si>
    <t>Agile Software Corporation</t>
  </si>
  <si>
    <t>ASD</t>
  </si>
  <si>
    <t>Aspect Education UK Ltd.</t>
  </si>
  <si>
    <t>ASG</t>
  </si>
  <si>
    <t>Artwork Systems Group NV</t>
  </si>
  <si>
    <t>ASH</t>
  </si>
  <si>
    <t>K. K. Ashisuto</t>
  </si>
  <si>
    <t>ASI</t>
  </si>
  <si>
    <t>Aspect Software, Inc.</t>
  </si>
  <si>
    <t>ASL</t>
  </si>
  <si>
    <t>A1 Sports Ltd</t>
  </si>
  <si>
    <t>ASM</t>
  </si>
  <si>
    <t>ASTM International</t>
  </si>
  <si>
    <t>ASO</t>
  </si>
  <si>
    <t>ASOS plc</t>
  </si>
  <si>
    <t>ASR</t>
  </si>
  <si>
    <t>ASR Verzekeringsgroep N.V.</t>
  </si>
  <si>
    <t>ASS</t>
  </si>
  <si>
    <t>Astute Inc.</t>
  </si>
  <si>
    <t>AST</t>
  </si>
  <si>
    <t>Aspen Technology, Inc.</t>
  </si>
  <si>
    <t>ASU</t>
  </si>
  <si>
    <t>ASUSTeK COMPUTER Inc.</t>
  </si>
  <si>
    <t>ASZ</t>
  </si>
  <si>
    <t>AstraZeneca PLC</t>
  </si>
  <si>
    <t>AT0</t>
  </si>
  <si>
    <t>Atmel Corporation</t>
  </si>
  <si>
    <t>AT1</t>
  </si>
  <si>
    <t>Atlas Technologies Inc</t>
  </si>
  <si>
    <t>ATA</t>
  </si>
  <si>
    <t>AT&amp;T Inc.</t>
  </si>
  <si>
    <t>ATC</t>
  </si>
  <si>
    <t>Atlas Copco AB</t>
  </si>
  <si>
    <t>ATD</t>
  </si>
  <si>
    <t>TOURISM AUSTRALIA</t>
  </si>
  <si>
    <t>ATG</t>
  </si>
  <si>
    <t>Al Tayer Group</t>
  </si>
  <si>
    <t>ATH</t>
  </si>
  <si>
    <t>Athena Automation Ltd</t>
  </si>
  <si>
    <t>ATI</t>
  </si>
  <si>
    <t>ATI Technologies Inc.</t>
  </si>
  <si>
    <t>ATK</t>
  </si>
  <si>
    <t>Atkins Global</t>
  </si>
  <si>
    <t>ATL</t>
  </si>
  <si>
    <t>Association of Teachers &amp; Lecturers</t>
  </si>
  <si>
    <t>ATM</t>
  </si>
  <si>
    <t>AttachmateWRQ</t>
  </si>
  <si>
    <t>ATN</t>
  </si>
  <si>
    <t>Activision Publishing</t>
  </si>
  <si>
    <t>ATO</t>
  </si>
  <si>
    <t>A.L.T.O</t>
  </si>
  <si>
    <t>ATP</t>
  </si>
  <si>
    <t>Atempo S.A.</t>
  </si>
  <si>
    <t>ATQ</t>
  </si>
  <si>
    <t>Autoquake Ltd</t>
  </si>
  <si>
    <t>ATS</t>
  </si>
  <si>
    <t>ATS Automation Tooling Systems Inc.</t>
  </si>
  <si>
    <t>ATU</t>
  </si>
  <si>
    <t>A.T.U Auto-Teile-Unger Investment GmbH &amp; Co. KG</t>
  </si>
  <si>
    <t>ATW</t>
  </si>
  <si>
    <t>Attraction World Ltd</t>
  </si>
  <si>
    <t>ATY</t>
  </si>
  <si>
    <t>Autonomy Corporation plc</t>
  </si>
  <si>
    <t>AUC</t>
  </si>
  <si>
    <t>Groupe Auchan S.A.</t>
  </si>
  <si>
    <t>AUG</t>
  </si>
  <si>
    <t>Australian Government</t>
  </si>
  <si>
    <t>AUM</t>
  </si>
  <si>
    <t>AUMA Riester GmbH &amp; Co. KG</t>
  </si>
  <si>
    <t>AUR</t>
  </si>
  <si>
    <t>Aurelius A.G.</t>
  </si>
  <si>
    <t>AUS</t>
  </si>
  <si>
    <t>Austro Control</t>
  </si>
  <si>
    <t>AV0</t>
  </si>
  <si>
    <t>Algemene Omroepvereniging AVRO</t>
  </si>
  <si>
    <t>AVA</t>
  </si>
  <si>
    <t>Avaya Inc</t>
  </si>
  <si>
    <t>AVC</t>
  </si>
  <si>
    <t>Acclivus Corporation</t>
  </si>
  <si>
    <t>AVD</t>
  </si>
  <si>
    <t>Avanade Inc</t>
  </si>
  <si>
    <t>AVE</t>
  </si>
  <si>
    <t>Sanofi-Aventis S.A.</t>
  </si>
  <si>
    <t>AVI</t>
  </si>
  <si>
    <t>Aviva plc</t>
  </si>
  <si>
    <t>AVL</t>
  </si>
  <si>
    <t>AVL List GmbH</t>
  </si>
  <si>
    <t>AVM</t>
  </si>
  <si>
    <t>AVM Computersysteme Vertriebs GmbH</t>
  </si>
  <si>
    <t>AVN</t>
  </si>
  <si>
    <t>Avnet Inc</t>
  </si>
  <si>
    <t>AVO</t>
  </si>
  <si>
    <t>Avinor AS</t>
  </si>
  <si>
    <t>AVQ</t>
  </si>
  <si>
    <t>Avanquest Software</t>
  </si>
  <si>
    <t>AVR</t>
  </si>
  <si>
    <t>Active Risk Group plc</t>
  </si>
  <si>
    <t>AVT</t>
  </si>
  <si>
    <t>Aventail Corporation</t>
  </si>
  <si>
    <t>AVU</t>
  </si>
  <si>
    <t>A.S.Adventure n.v.</t>
  </si>
  <si>
    <t>AVZ</t>
  </si>
  <si>
    <t>The Avanza Group, LLC</t>
  </si>
  <si>
    <t>AWE</t>
  </si>
  <si>
    <t>AWE plc</t>
  </si>
  <si>
    <t>AWI</t>
  </si>
  <si>
    <t>Armstrong Holdings, Inc</t>
  </si>
  <si>
    <t>AWL</t>
  </si>
  <si>
    <t>AWL Techniek BV</t>
  </si>
  <si>
    <t>AWM</t>
  </si>
  <si>
    <t>Advantage West Midlands</t>
  </si>
  <si>
    <t>AXA</t>
  </si>
  <si>
    <t>AXS</t>
  </si>
  <si>
    <t>AXS-One, Inc.</t>
  </si>
  <si>
    <t>AZE</t>
  </si>
  <si>
    <t xml:space="preserve">The Hasgrove Group </t>
  </si>
  <si>
    <t>B1S</t>
  </si>
  <si>
    <t>Bank for International Settlements</t>
  </si>
  <si>
    <t>B2X</t>
  </si>
  <si>
    <t>B2X Corporation</t>
  </si>
  <si>
    <t>B4N</t>
  </si>
  <si>
    <t>Buy4Now Ltd.</t>
  </si>
  <si>
    <t>BA0</t>
  </si>
  <si>
    <t>BAE SYSTEMS plc</t>
  </si>
  <si>
    <t>BAB</t>
  </si>
  <si>
    <t>Babcock International Group PLC</t>
  </si>
  <si>
    <t>BAC</t>
  </si>
  <si>
    <t>Barcelona Activa</t>
  </si>
  <si>
    <t>BAE</t>
  </si>
  <si>
    <t>Bain &amp; Company, Inc.</t>
  </si>
  <si>
    <t>BAF</t>
  </si>
  <si>
    <t>BASF Aktiengesellschaft</t>
  </si>
  <si>
    <t>BAI</t>
  </si>
  <si>
    <t>Business Architects Inc.</t>
  </si>
  <si>
    <t>BAJ</t>
  </si>
  <si>
    <t>Baja Mining Corporation</t>
  </si>
  <si>
    <t>BAK</t>
  </si>
  <si>
    <t>Bankrate, Inc</t>
  </si>
  <si>
    <t>BAL</t>
  </si>
  <si>
    <t>Bausch &amp; Lomb Incorporated</t>
  </si>
  <si>
    <t>BAM</t>
  </si>
  <si>
    <t>British American Tobacco plc</t>
  </si>
  <si>
    <t>BAN</t>
  </si>
  <si>
    <t>Bartanex NV</t>
  </si>
  <si>
    <t>BAR</t>
  </si>
  <si>
    <t>Barclays PLC</t>
  </si>
  <si>
    <t>BAS</t>
  </si>
  <si>
    <t>Basware Corporation</t>
  </si>
  <si>
    <t>BAT</t>
  </si>
  <si>
    <t>Baltimore Technologies plc.</t>
  </si>
  <si>
    <t>BAX</t>
  </si>
  <si>
    <t>Baxter International Inc</t>
  </si>
  <si>
    <t>BAY</t>
  </si>
  <si>
    <t>Bayer AG</t>
  </si>
  <si>
    <t>BAZ</t>
  </si>
  <si>
    <t>BazaarVoice, Inc.</t>
  </si>
  <si>
    <t>BBC</t>
  </si>
  <si>
    <t>British Broadcasting Corporation</t>
  </si>
  <si>
    <t>BBD</t>
  </si>
  <si>
    <t>DAVID CLARK (DESIGN GROUP) LTD</t>
  </si>
  <si>
    <t>BBL</t>
  </si>
  <si>
    <t>Building Blocks (UK) Ltd</t>
  </si>
  <si>
    <t>BBM</t>
  </si>
  <si>
    <t>Babel Media Ltd</t>
  </si>
  <si>
    <t>BBR</t>
  </si>
  <si>
    <t>Boroughbridge Limited</t>
  </si>
  <si>
    <t>BBS</t>
  </si>
  <si>
    <t>Buffalo Brothers Studios East Inc</t>
  </si>
  <si>
    <t>BBV</t>
  </si>
  <si>
    <t>Banco Bilbao Vizcaya Argentaria, S.A.</t>
  </si>
  <si>
    <t>BBY</t>
  </si>
  <si>
    <t>Best Buy Co., Inc</t>
  </si>
  <si>
    <t>BCA</t>
  </si>
  <si>
    <t>Breastcancer.org</t>
  </si>
  <si>
    <t>BCB</t>
  </si>
  <si>
    <t>Blue Cross and Blue Shield Association</t>
  </si>
  <si>
    <t>BCC</t>
  </si>
  <si>
    <t>Breakfast Cereal Manufacturers of Canada</t>
  </si>
  <si>
    <t>BCD</t>
  </si>
  <si>
    <t>Brocade Communications Systems, Inc.</t>
  </si>
  <si>
    <t>BCG</t>
  </si>
  <si>
    <t>The Boston Consulting Group Inc</t>
  </si>
  <si>
    <t>BCL</t>
  </si>
  <si>
    <t>Bob Carr Consulting, Inc.</t>
  </si>
  <si>
    <t>BCM</t>
  </si>
  <si>
    <t>Belgacom NV/SA</t>
  </si>
  <si>
    <t>BCO</t>
  </si>
  <si>
    <t>Beckman Coulter, Inc.</t>
  </si>
  <si>
    <t>BDA</t>
  </si>
  <si>
    <t>British Dental Association</t>
  </si>
  <si>
    <t>BDC</t>
  </si>
  <si>
    <t>Becton, Dickinson and Company</t>
  </si>
  <si>
    <t>BDE</t>
  </si>
  <si>
    <t>Black &amp; Decker Corporation</t>
  </si>
  <si>
    <t>BDF</t>
  </si>
  <si>
    <t>Beiersdorf Group</t>
  </si>
  <si>
    <t>BDH</t>
  </si>
  <si>
    <t>Brewin Dolphin Holdings PLC</t>
  </si>
  <si>
    <t>BDR</t>
  </si>
  <si>
    <t>BDR Thermea</t>
  </si>
  <si>
    <t>BEA</t>
  </si>
  <si>
    <t>Bearings New Media Direction BV</t>
  </si>
  <si>
    <t>BEB</t>
  </si>
  <si>
    <t>Bechtle AG</t>
  </si>
  <si>
    <t>BEC</t>
  </si>
  <si>
    <t>Buka Entertainment Company</t>
  </si>
  <si>
    <t>BEE</t>
  </si>
  <si>
    <t>BEBEO</t>
  </si>
  <si>
    <t>BEH</t>
  </si>
  <si>
    <t>Bente Helstrøm</t>
  </si>
  <si>
    <t>BEI</t>
  </si>
  <si>
    <t>Bennett Environmental Inc.</t>
  </si>
  <si>
    <t>BEJ</t>
  </si>
  <si>
    <t>Beljan Ltd Inc</t>
  </si>
  <si>
    <t>BEL</t>
  </si>
  <si>
    <t>Belga Press Agency</t>
  </si>
  <si>
    <t>BEN</t>
  </si>
  <si>
    <t>Bentley Systems Inc.</t>
  </si>
  <si>
    <t>BEO</t>
  </si>
  <si>
    <t xml:space="preserve">Betsson AB </t>
  </si>
  <si>
    <t>BER</t>
  </si>
  <si>
    <t>Beru AG</t>
  </si>
  <si>
    <t>BES</t>
  </si>
  <si>
    <t>BEA Systems Inc</t>
  </si>
  <si>
    <t>BET</t>
  </si>
  <si>
    <t>bet365 Group Limited</t>
  </si>
  <si>
    <t>BEW</t>
  </si>
  <si>
    <t>Bewator Holdings AB</t>
  </si>
  <si>
    <t>BEX</t>
  </si>
  <si>
    <t>Bechtel Group, Inc.</t>
  </si>
  <si>
    <t>BEY</t>
  </si>
  <si>
    <t>Business Events Sydney Limited</t>
  </si>
  <si>
    <t>BFA</t>
  </si>
  <si>
    <t>Best Friends Animal Society</t>
  </si>
  <si>
    <t>BFB</t>
  </si>
  <si>
    <t>B &amp; F Beteiligungs GmbH</t>
  </si>
  <si>
    <t>BFS</t>
  </si>
  <si>
    <t>BFS Finance GmbH</t>
  </si>
  <si>
    <t>BFT</t>
  </si>
  <si>
    <t>BFST</t>
  </si>
  <si>
    <t>BGG</t>
  </si>
  <si>
    <t>BG Group plc</t>
  </si>
  <si>
    <t>BGH</t>
  </si>
  <si>
    <t>Barcelo Gestion Hotelera S.L.</t>
  </si>
  <si>
    <t>BGR</t>
  </si>
  <si>
    <t>Behringer International GmbH</t>
  </si>
  <si>
    <t>BHA</t>
  </si>
  <si>
    <t>Bigby, Havis &amp; Associates, Inc</t>
  </si>
  <si>
    <t>BHC</t>
  </si>
  <si>
    <t>Textron Inc.</t>
  </si>
  <si>
    <t>BHH</t>
  </si>
  <si>
    <t>Behringer Holdings  (Pte) Ltd.</t>
  </si>
  <si>
    <t>BHI</t>
  </si>
  <si>
    <t>Baker Hughes Inc</t>
  </si>
  <si>
    <t>BHO</t>
  </si>
  <si>
    <t>Blokker Holding B.V.</t>
  </si>
  <si>
    <t>BHW</t>
  </si>
  <si>
    <t>Berkshire Hathaway Inc</t>
  </si>
  <si>
    <t>BIA</t>
  </si>
  <si>
    <t>Biltema Sweden AB</t>
  </si>
  <si>
    <t>BIB</t>
  </si>
  <si>
    <t>Biblica US, Inc.</t>
  </si>
  <si>
    <t>BIC</t>
  </si>
  <si>
    <t>Business Innovation Consultants B.V.</t>
  </si>
  <si>
    <t>BII</t>
  </si>
  <si>
    <t>Beaufour Ipsen International</t>
  </si>
  <si>
    <t>BIL</t>
  </si>
  <si>
    <t>Brother Industries, Ltd</t>
  </si>
  <si>
    <t>BIM</t>
  </si>
  <si>
    <t>bioMerieux SA</t>
  </si>
  <si>
    <t>BIO</t>
  </si>
  <si>
    <t>Biomni</t>
  </si>
  <si>
    <t>BIR</t>
  </si>
  <si>
    <t>Birks and Mayors Inc.</t>
  </si>
  <si>
    <t>BIS</t>
  </si>
  <si>
    <t>Bank of International Settlements</t>
  </si>
  <si>
    <t>BIT</t>
  </si>
  <si>
    <t>Biotonix, Inc.</t>
  </si>
  <si>
    <t>BIZ</t>
  </si>
  <si>
    <t>Bizerba GmbH &amp; Co. KG</t>
  </si>
  <si>
    <t>BJB</t>
  </si>
  <si>
    <t>Bank J. Van Breda &amp; Co NV</t>
  </si>
  <si>
    <t>BJG</t>
  </si>
  <si>
    <t>BrainJuicer Group plc</t>
  </si>
  <si>
    <t>BKA</t>
  </si>
  <si>
    <t>Bank of America Corporation</t>
  </si>
  <si>
    <t>BKG</t>
  </si>
  <si>
    <t>Burger King Holdings Inc.</t>
  </si>
  <si>
    <t>BKI</t>
  </si>
  <si>
    <t>Blackboard Inc,</t>
  </si>
  <si>
    <t>BKK</t>
  </si>
  <si>
    <t>BKK Group</t>
  </si>
  <si>
    <t>BKR</t>
  </si>
  <si>
    <t>Berker GmbH &amp; Co. KG</t>
  </si>
  <si>
    <t>BKT</t>
  </si>
  <si>
    <t>Bickerton &amp;</t>
  </si>
  <si>
    <t>BLA</t>
  </si>
  <si>
    <t>Belanor as</t>
  </si>
  <si>
    <t>BLB</t>
  </si>
  <si>
    <t>Bluebeam Software, Inc.</t>
  </si>
  <si>
    <t>BLC</t>
  </si>
  <si>
    <t>Banque Laurentienne du Canada</t>
  </si>
  <si>
    <t>BLD</t>
  </si>
  <si>
    <t>Bluedesk Groep B.V.</t>
  </si>
  <si>
    <t>BLF</t>
  </si>
  <si>
    <t>Belfius Bank</t>
  </si>
  <si>
    <t>BLG</t>
  </si>
  <si>
    <t>Bourne Leisure Group</t>
  </si>
  <si>
    <t>BLH</t>
  </si>
  <si>
    <t>Stichting Bloemenbureau Holland</t>
  </si>
  <si>
    <t>BLK</t>
  </si>
  <si>
    <t>Belkin International, Inc.</t>
  </si>
  <si>
    <t>BLL</t>
  </si>
  <si>
    <t>Boart Longyear Limited</t>
  </si>
  <si>
    <t>BLN</t>
  </si>
  <si>
    <t>Blondé NV</t>
  </si>
  <si>
    <t>BLO</t>
  </si>
  <si>
    <t>Bloomberg L.P.</t>
  </si>
  <si>
    <t>BLR</t>
  </si>
  <si>
    <t>Blue Rider Design</t>
  </si>
  <si>
    <t>BLS</t>
  </si>
  <si>
    <t>The Blackstone Group L.P.</t>
  </si>
  <si>
    <t>BLT</t>
  </si>
  <si>
    <t>Bluetooth SIG Inc.</t>
  </si>
  <si>
    <t>BLU</t>
  </si>
  <si>
    <t>Bluewin AG</t>
  </si>
  <si>
    <t>BLZ</t>
  </si>
  <si>
    <t>Blitz Digital Studios</t>
  </si>
  <si>
    <t>BMA</t>
  </si>
  <si>
    <t>British Medical Association</t>
  </si>
  <si>
    <t>BMC</t>
  </si>
  <si>
    <t>BMC Software Inc</t>
  </si>
  <si>
    <t>BMG</t>
  </si>
  <si>
    <t>Bill &amp; Melinda Gates Foundation</t>
  </si>
  <si>
    <t>BMN</t>
  </si>
  <si>
    <t>Buhrmann NV</t>
  </si>
  <si>
    <t>BMS</t>
  </si>
  <si>
    <t>Bristol-Myers Squibb Company</t>
  </si>
  <si>
    <t>BMW</t>
  </si>
  <si>
    <t>BMW AG</t>
  </si>
  <si>
    <t>BNA</t>
  </si>
  <si>
    <t>The Bureau of National Affairs, Inc.</t>
  </si>
  <si>
    <t>BNB</t>
  </si>
  <si>
    <t>Barnes &amp; Noble Inc</t>
  </si>
  <si>
    <t>BNC</t>
  </si>
  <si>
    <t>Banque Nationale du Canada</t>
  </si>
  <si>
    <t>BNF</t>
  </si>
  <si>
    <t>Bernafon AG</t>
  </si>
  <si>
    <t>BNN</t>
  </si>
  <si>
    <t>Banner Engineering Corp</t>
  </si>
  <si>
    <t>BNP</t>
  </si>
  <si>
    <t>BNP Paribas SA</t>
  </si>
  <si>
    <t>BNQ</t>
  </si>
  <si>
    <t>BenQ Corporation</t>
  </si>
  <si>
    <t>BNS</t>
  </si>
  <si>
    <t>The Bank of Nova Scotia</t>
  </si>
  <si>
    <t>BNU</t>
  </si>
  <si>
    <t>Buckinghamshire New University</t>
  </si>
  <si>
    <t>BOB</t>
  </si>
  <si>
    <t>Business Objects S.A.</t>
  </si>
  <si>
    <t>BOE</t>
  </si>
  <si>
    <t>The Boeing Company</t>
  </si>
  <si>
    <t>BOH</t>
  </si>
  <si>
    <t>Boehringer Ingelheim GmbH</t>
  </si>
  <si>
    <t>BOI</t>
  </si>
  <si>
    <t>Bank of Ireland</t>
  </si>
  <si>
    <t>BOM</t>
  </si>
  <si>
    <t>Bombardier Inc</t>
  </si>
  <si>
    <t>BOO</t>
  </si>
  <si>
    <t>Koninklijke Boom Uitgevers B.V.</t>
  </si>
  <si>
    <t>BOR</t>
  </si>
  <si>
    <t>Bourne</t>
  </si>
  <si>
    <t>BOS</t>
  </si>
  <si>
    <t>Robert Bosch GmbH</t>
  </si>
  <si>
    <t>BOU</t>
  </si>
  <si>
    <t>Bouvet ASA</t>
  </si>
  <si>
    <t>BOX</t>
  </si>
  <si>
    <t>Box Inc.</t>
  </si>
  <si>
    <t>BOY</t>
  </si>
  <si>
    <t>Boyner Holding A.S.</t>
  </si>
  <si>
    <t>BPI</t>
  </si>
  <si>
    <t>Big Picture Interactive</t>
  </si>
  <si>
    <t>BPP</t>
  </si>
  <si>
    <t>BP Plc</t>
  </si>
  <si>
    <t>BPS</t>
  </si>
  <si>
    <t>Blue Pumpkin Software Inc</t>
  </si>
  <si>
    <t>BPT</t>
  </si>
  <si>
    <t>BOOKPARTNER A/S</t>
  </si>
  <si>
    <t>BRA</t>
  </si>
  <si>
    <t>Brady Corporation</t>
  </si>
  <si>
    <t>BRB</t>
  </si>
  <si>
    <t>Brambles Limited</t>
  </si>
  <si>
    <t>BRD</t>
  </si>
  <si>
    <t>Broadcom Corporation</t>
  </si>
  <si>
    <t>BRE</t>
  </si>
  <si>
    <t>E. Breuninger GmbH &amp; Co.</t>
  </si>
  <si>
    <t>BRI</t>
  </si>
  <si>
    <t>Brita GmbH</t>
  </si>
  <si>
    <t>BRL</t>
  </si>
  <si>
    <t>Brill Gartengeräte GmbH</t>
  </si>
  <si>
    <t>BRM</t>
  </si>
  <si>
    <t>Brandbox Media Pty Ltd</t>
  </si>
  <si>
    <t>BRN</t>
  </si>
  <si>
    <t>Brainnet B.V.</t>
  </si>
  <si>
    <t>BRT</t>
  </si>
  <si>
    <t>Britax Child Safety Inc.</t>
  </si>
  <si>
    <t>BRU</t>
  </si>
  <si>
    <t>Brussels Airlines</t>
  </si>
  <si>
    <t>BSC</t>
  </si>
  <si>
    <t>Boston Scientific Corporation</t>
  </si>
  <si>
    <t>BSE</t>
  </si>
  <si>
    <t>Bose Corporation</t>
  </si>
  <si>
    <t>BSH</t>
  </si>
  <si>
    <t>BSH Bosch und Siemens Hausgeräte GmbH</t>
  </si>
  <si>
    <t>BSL</t>
  </si>
  <si>
    <t>Basler Insurance Group</t>
  </si>
  <si>
    <t>BTA</t>
  </si>
  <si>
    <t xml:space="preserve">BRITISH TRANSPORT POLICE AUTHORITY </t>
  </si>
  <si>
    <t>BTC</t>
  </si>
  <si>
    <t>Basis Technology Corporation</t>
  </si>
  <si>
    <t>BTG</t>
  </si>
  <si>
    <t>Bancroft Technology Group, Inc</t>
  </si>
  <si>
    <t>BTI</t>
  </si>
  <si>
    <t>BioTie Therapies Oyj</t>
  </si>
  <si>
    <t>BTL</t>
  </si>
  <si>
    <t>Bertelsmann AG</t>
  </si>
  <si>
    <t>BTP</t>
  </si>
  <si>
    <t>BT Group plc</t>
  </si>
  <si>
    <t>BTS</t>
  </si>
  <si>
    <t>Betstone Ltd</t>
  </si>
  <si>
    <t>BTT</t>
  </si>
  <si>
    <t>Beat It B.V.</t>
  </si>
  <si>
    <t>BTX</t>
  </si>
  <si>
    <t>Britax Excelsior Ltd</t>
  </si>
  <si>
    <t>BTZ</t>
  </si>
  <si>
    <t>Blitz Games</t>
  </si>
  <si>
    <t>BUM</t>
  </si>
  <si>
    <t>Bottomline Technologies (de) Inc</t>
  </si>
  <si>
    <t>BUR</t>
  </si>
  <si>
    <t>Burgopak Ltd</t>
  </si>
  <si>
    <t>BVG</t>
  </si>
  <si>
    <t>Bureau Véritas Group</t>
  </si>
  <si>
    <t>BVI</t>
  </si>
  <si>
    <t>BusinessVision Sp. z o.o.</t>
  </si>
  <si>
    <t>BWA</t>
  </si>
  <si>
    <t>Baywa AG</t>
  </si>
  <si>
    <t>BWI</t>
  </si>
  <si>
    <t>Best Western International, Inc.</t>
  </si>
  <si>
    <t>BWN</t>
  </si>
  <si>
    <t>Electraworks Limited</t>
  </si>
  <si>
    <t>BYD</t>
  </si>
  <si>
    <t>BYD Company Limited</t>
  </si>
  <si>
    <t>BYN</t>
  </si>
  <si>
    <t>Babylon Ltd.</t>
  </si>
  <si>
    <t>BYT</t>
  </si>
  <si>
    <t>Bytes Technology Group Ltd</t>
  </si>
  <si>
    <t>BZD</t>
  </si>
  <si>
    <t>Blizzard Entertainment, Inc.</t>
  </si>
  <si>
    <t>BZT</t>
  </si>
  <si>
    <t>BIZIText GmbH</t>
  </si>
  <si>
    <t>BZZ</t>
  </si>
  <si>
    <t>Bizz Travel B.V.</t>
  </si>
  <si>
    <t>C&amp;C</t>
  </si>
  <si>
    <t>C&amp;COM Advertising s.r.o.</t>
  </si>
  <si>
    <t>C0P</t>
  </si>
  <si>
    <t>Coop</t>
  </si>
  <si>
    <t>C2C</t>
  </si>
  <si>
    <t>ITOCHU Techno-Solutions Corporations</t>
  </si>
  <si>
    <t>CA0</t>
  </si>
  <si>
    <t>Cascades Inc.</t>
  </si>
  <si>
    <t>CA1</t>
  </si>
  <si>
    <t xml:space="preserve">Campbell Soup Company </t>
  </si>
  <si>
    <t>CA2</t>
  </si>
  <si>
    <t>Commercial Aircraft Corporation of China, Ltd.</t>
  </si>
  <si>
    <t>CAA</t>
  </si>
  <si>
    <t>Cognita Asia Holdings Pte Ltd</t>
  </si>
  <si>
    <t>CAB</t>
  </si>
  <si>
    <t>CAPEB</t>
  </si>
  <si>
    <t>CAC</t>
  </si>
  <si>
    <t>CAD</t>
  </si>
  <si>
    <t>Canada Direct</t>
  </si>
  <si>
    <t>CAF</t>
  </si>
  <si>
    <t>La Capitale Financial Group</t>
  </si>
  <si>
    <t>CAG</t>
  </si>
  <si>
    <t>Continental AG</t>
  </si>
  <si>
    <t>CAH</t>
  </si>
  <si>
    <t>Cardinal Health, Inc.</t>
  </si>
  <si>
    <t>CAI</t>
  </si>
  <si>
    <t>CA, Inc.</t>
  </si>
  <si>
    <t>CAJ</t>
  </si>
  <si>
    <t>Caja España</t>
  </si>
  <si>
    <t>CAN</t>
  </si>
  <si>
    <t>Canon Inc</t>
  </si>
  <si>
    <t>CAO</t>
  </si>
  <si>
    <t xml:space="preserve">California Association of Realtors, Inc. </t>
  </si>
  <si>
    <t>CAP</t>
  </si>
  <si>
    <t>Capcom USA Inc</t>
  </si>
  <si>
    <t>CAR</t>
  </si>
  <si>
    <t>Care 1st</t>
  </si>
  <si>
    <t>CAS</t>
  </si>
  <si>
    <t>Casio Computer Co., Ltd</t>
  </si>
  <si>
    <t>CAT</t>
  </si>
  <si>
    <t>Caterpillar Inc.</t>
  </si>
  <si>
    <t>CAX</t>
  </si>
  <si>
    <t>Capax Global Ltd</t>
  </si>
  <si>
    <t>CBC</t>
  </si>
  <si>
    <t>CB CONSULTORIA E INTEGRACION INFORMATICA S.L.</t>
  </si>
  <si>
    <t>CBD</t>
  </si>
  <si>
    <t>Baidu, Inc.</t>
  </si>
  <si>
    <t>CBF</t>
  </si>
  <si>
    <t>CBF (Commissie Voor Het Bank)</t>
  </si>
  <si>
    <t>CBH</t>
  </si>
  <si>
    <t>Centraal Boekhuis B.V.</t>
  </si>
  <si>
    <t>CBK</t>
  </si>
  <si>
    <t>Central Bank of Kuwait</t>
  </si>
  <si>
    <t>CBL</t>
  </si>
  <si>
    <t>Cold Brew Labs Inc</t>
  </si>
  <si>
    <t>CBT</t>
  </si>
  <si>
    <t>CfBT Education Trust</t>
  </si>
  <si>
    <t>CCA</t>
  </si>
  <si>
    <t>Celerant Consulting Limited</t>
  </si>
  <si>
    <t>CCC</t>
  </si>
  <si>
    <t>The Coca Cola Company</t>
  </si>
  <si>
    <t>CCL</t>
  </si>
  <si>
    <t>Center for Creative Leadership</t>
  </si>
  <si>
    <t>CCM</t>
  </si>
  <si>
    <t>Chambre de commerce du Montreal metro</t>
  </si>
  <si>
    <t>CCP</t>
  </si>
  <si>
    <t>CCP Systems AG</t>
  </si>
  <si>
    <t>CCS</t>
  </si>
  <si>
    <t>CCS Compact Computer Systeme GmbH</t>
  </si>
  <si>
    <t>CCT</t>
  </si>
  <si>
    <t>Conceptual Systems Inc.</t>
  </si>
  <si>
    <t>CDA</t>
  </si>
  <si>
    <t xml:space="preserve">ANALYSIS &amp; DESIGN APPLICATION CO. LTD. </t>
  </si>
  <si>
    <t>CDC</t>
  </si>
  <si>
    <t>CDC Solutions Ltd</t>
  </si>
  <si>
    <t>CDF</t>
  </si>
  <si>
    <t>Cardiff Software Inc</t>
  </si>
  <si>
    <t>CDI</t>
  </si>
  <si>
    <t>CDI Corporation</t>
  </si>
  <si>
    <t>CDL</t>
  </si>
  <si>
    <t>Circulo De Lectores Sa</t>
  </si>
  <si>
    <t>CDP</t>
  </si>
  <si>
    <t>Cardo Pump AB</t>
  </si>
  <si>
    <t>CDR</t>
  </si>
  <si>
    <t>Clayton, Dubilier &amp; Rice Inc.</t>
  </si>
  <si>
    <t>CDS</t>
  </si>
  <si>
    <t>CDS Ltd</t>
  </si>
  <si>
    <t>CDT</t>
  </si>
  <si>
    <t>Cendant Corporation</t>
  </si>
  <si>
    <t>CEA</t>
  </si>
  <si>
    <t>Clear Graphics Ltd</t>
  </si>
  <si>
    <t>CEB</t>
  </si>
  <si>
    <t>University of California</t>
  </si>
  <si>
    <t>CEC</t>
  </si>
  <si>
    <t>Cerberus Capital Management, L.P.</t>
  </si>
  <si>
    <t>CED</t>
  </si>
  <si>
    <t>Cedar Point Communications, Inc.</t>
  </si>
  <si>
    <t>CEF</t>
  </si>
  <si>
    <t>CeFormT d.o.o.</t>
  </si>
  <si>
    <t>CEG</t>
  </si>
  <si>
    <t>CONRAD Holding</t>
  </si>
  <si>
    <t>CEH</t>
  </si>
  <si>
    <t>Consejería de Economía y Hacienda</t>
  </si>
  <si>
    <t>CEI</t>
  </si>
  <si>
    <t>Cenveo, Inc</t>
  </si>
  <si>
    <t>CEL</t>
  </si>
  <si>
    <t>CENGAGE LEARNING</t>
  </si>
  <si>
    <t>CEN</t>
  </si>
  <si>
    <t>Centrinity Ltd</t>
  </si>
  <si>
    <t>CEP</t>
  </si>
  <si>
    <t>China Eastern Air Holding Company</t>
  </si>
  <si>
    <t>CER</t>
  </si>
  <si>
    <t>Cerner Corporation</t>
  </si>
  <si>
    <t>CEV</t>
  </si>
  <si>
    <t>Centrum voor Werk en Inkomen</t>
  </si>
  <si>
    <t>CFI</t>
  </si>
  <si>
    <t>Centrale Financiën Instellingen</t>
  </si>
  <si>
    <t>CFN</t>
  </si>
  <si>
    <t>CareFusion Corporation</t>
  </si>
  <si>
    <t>CFR</t>
  </si>
  <si>
    <t>Carrefour SA</t>
  </si>
  <si>
    <t>CFS</t>
  </si>
  <si>
    <t>Convenience Food Systems BV</t>
  </si>
  <si>
    <t>CGA</t>
  </si>
  <si>
    <t>Capgemini</t>
  </si>
  <si>
    <t>CGC</t>
  </si>
  <si>
    <t>Certified General Accountants Association of Canada</t>
  </si>
  <si>
    <t>CGI</t>
  </si>
  <si>
    <t>CGI Group Inc.</t>
  </si>
  <si>
    <t>CGL</t>
  </si>
  <si>
    <t>Cargill Incorporated</t>
  </si>
  <si>
    <t>CGN</t>
  </si>
  <si>
    <t>Cognitas GmbH</t>
  </si>
  <si>
    <t>CGS</t>
  </si>
  <si>
    <t>Cegos Group</t>
  </si>
  <si>
    <t>CHA</t>
  </si>
  <si>
    <t>Chaos Systems AB</t>
  </si>
  <si>
    <t>CHC</t>
  </si>
  <si>
    <t>Cherry Corporation</t>
  </si>
  <si>
    <t>CHE</t>
  </si>
  <si>
    <t>Chello broadband nv</t>
  </si>
  <si>
    <t>CHG</t>
  </si>
  <si>
    <t>Chugach Industries, Inc</t>
  </si>
  <si>
    <t>CHH</t>
  </si>
  <si>
    <t>Compare Holdings B.V.</t>
  </si>
  <si>
    <t>CHI</t>
  </si>
  <si>
    <t>Chi Mei Communication Systems, Inc</t>
  </si>
  <si>
    <t>CHK</t>
  </si>
  <si>
    <t>Cheung Kong (Holdings) Ltd</t>
  </si>
  <si>
    <t>CHL</t>
  </si>
  <si>
    <t>Chartwell Master Care LP</t>
  </si>
  <si>
    <t>CHM</t>
  </si>
  <si>
    <t>Chemtura Corporation</t>
  </si>
  <si>
    <t>CHN</t>
  </si>
  <si>
    <t>Chanel S.A.S.</t>
  </si>
  <si>
    <t>CHO</t>
  </si>
  <si>
    <t>Choice Translating</t>
  </si>
  <si>
    <t>CHR</t>
  </si>
  <si>
    <t>Chrono24.com GmbH</t>
  </si>
  <si>
    <t>CHS</t>
  </si>
  <si>
    <t>Check Point Software Technologies Ltd.</t>
  </si>
  <si>
    <t>CHT</t>
  </si>
  <si>
    <t>Christian Aid Trading Ltd</t>
  </si>
  <si>
    <t>CHU</t>
  </si>
  <si>
    <t>Church Of Scientology International</t>
  </si>
  <si>
    <t>CHV</t>
  </si>
  <si>
    <t>Chevron Corp</t>
  </si>
  <si>
    <t>CHY</t>
  </si>
  <si>
    <t>Changyou.com Limited</t>
  </si>
  <si>
    <t>CI0</t>
  </si>
  <si>
    <t xml:space="preserve">Canadian Institute of Mining, Metallurgy and Petroleum </t>
  </si>
  <si>
    <t>CIB</t>
  </si>
  <si>
    <t>Canadian Imperial Bank of Commerce</t>
  </si>
  <si>
    <t>CIC</t>
  </si>
  <si>
    <t>Consejería de Industria Comercio y Nuevas Tec</t>
  </si>
  <si>
    <t>CID</t>
  </si>
  <si>
    <t>CIPD Chartered Institute for Personnel and Development</t>
  </si>
  <si>
    <t>CIE</t>
  </si>
  <si>
    <t>Consultatie Implementatie Technisch beheer bv</t>
  </si>
  <si>
    <t>CIG</t>
  </si>
  <si>
    <t>CitiGroup Inc</t>
  </si>
  <si>
    <t>CIH</t>
  </si>
  <si>
    <t>CIHI</t>
  </si>
  <si>
    <t>CII</t>
  </si>
  <si>
    <t>CIM</t>
  </si>
  <si>
    <t>Cimmetry Systems Inc</t>
  </si>
  <si>
    <t>CIN</t>
  </si>
  <si>
    <t>Compassion International</t>
  </si>
  <si>
    <t>CIP</t>
  </si>
  <si>
    <t>Cipal-ICA Telepolis VZW</t>
  </si>
  <si>
    <t>CIQ</t>
  </si>
  <si>
    <t>The McGraw-Hill Companies, Inc.</t>
  </si>
  <si>
    <t>CIS</t>
  </si>
  <si>
    <t>Cisco Systems Inc.</t>
  </si>
  <si>
    <t>CIT</t>
  </si>
  <si>
    <t>Citrix Systems Inc</t>
  </si>
  <si>
    <t>CIV</t>
  </si>
  <si>
    <t>Consortio Invest AB</t>
  </si>
  <si>
    <t>CIY</t>
  </si>
  <si>
    <t>Comercio Industria Y Distribucion S L</t>
  </si>
  <si>
    <t>CJC</t>
  </si>
  <si>
    <t>C &amp; J Clark Ltd</t>
  </si>
  <si>
    <t>CJI</t>
  </si>
  <si>
    <t>Centraal Justitieel Incasso Bureau</t>
  </si>
  <si>
    <t>CLA</t>
  </si>
  <si>
    <t>Clarus Corporation</t>
  </si>
  <si>
    <t>CLC</t>
  </si>
  <si>
    <t>Canada Lands Company Limited</t>
  </si>
  <si>
    <t>CLD</t>
  </si>
  <si>
    <t>ClearEdge Power</t>
  </si>
  <si>
    <t>CLE</t>
  </si>
  <si>
    <t>Cleo Communications</t>
  </si>
  <si>
    <t>CLF</t>
  </si>
  <si>
    <t>Canada Life Assurance Company</t>
  </si>
  <si>
    <t>CLI</t>
  </si>
  <si>
    <t>CLO</t>
  </si>
  <si>
    <t>Cloudera, Inc.</t>
  </si>
  <si>
    <t>CLP</t>
  </si>
  <si>
    <t>ClearPoint Learning Systems</t>
  </si>
  <si>
    <t>CLR</t>
  </si>
  <si>
    <t>Clorox Company</t>
  </si>
  <si>
    <t>CLS</t>
  </si>
  <si>
    <t>Claire's Inc.</t>
  </si>
  <si>
    <t>CLT</t>
  </si>
  <si>
    <t>COLT Telecommunications</t>
  </si>
  <si>
    <t>CLX</t>
  </si>
  <si>
    <t>CILEx (Chartered Institute of Legal Executives)</t>
  </si>
  <si>
    <t>CMB</t>
  </si>
  <si>
    <t>Compass Bank</t>
  </si>
  <si>
    <t>CMC</t>
  </si>
  <si>
    <t>Children's Medical Center</t>
  </si>
  <si>
    <t>CMD</t>
  </si>
  <si>
    <t>CONMED Corporation</t>
  </si>
  <si>
    <t>CMG</t>
  </si>
  <si>
    <t>California Casualty Management Company</t>
  </si>
  <si>
    <t>CMI</t>
  </si>
  <si>
    <t>Curiosity Media, Inc.</t>
  </si>
  <si>
    <t>CML</t>
  </si>
  <si>
    <t>Comelit Group SpA</t>
  </si>
  <si>
    <t>CMP</t>
  </si>
  <si>
    <t>Compuware Corporation</t>
  </si>
  <si>
    <t>CMS</t>
  </si>
  <si>
    <t>The CUMIS Group Limited</t>
  </si>
  <si>
    <t>CMV</t>
  </si>
  <si>
    <t>Comverse Technology Inc.</t>
  </si>
  <si>
    <t>CNC</t>
  </si>
  <si>
    <t>Concurrent Technologies Corporation</t>
  </si>
  <si>
    <t>CNE</t>
  </si>
  <si>
    <t>Celanese Corporation</t>
  </si>
  <si>
    <t>CNG</t>
  </si>
  <si>
    <t>ConAgra Foods, Inc.</t>
  </si>
  <si>
    <t>CNH</t>
  </si>
  <si>
    <t>CNH Global N.V.</t>
  </si>
  <si>
    <t>CNI</t>
  </si>
  <si>
    <t>CNIM SA</t>
  </si>
  <si>
    <t>CNL</t>
  </si>
  <si>
    <t>Cornell University</t>
  </si>
  <si>
    <t>CNP</t>
  </si>
  <si>
    <t>China National Nuclear Corporation</t>
  </si>
  <si>
    <t>CNS</t>
  </si>
  <si>
    <t>Cronos Nv</t>
  </si>
  <si>
    <t>CNT</t>
  </si>
  <si>
    <t>Centennial UK Limited</t>
  </si>
  <si>
    <t>CNX</t>
  </si>
  <si>
    <t>China National Institute of Standardization</t>
  </si>
  <si>
    <t>CO0</t>
  </si>
  <si>
    <t>Comcast Corporation</t>
  </si>
  <si>
    <t>CO2</t>
  </si>
  <si>
    <t>COLUMNS DESIGN LTD</t>
  </si>
  <si>
    <t>CO8</t>
  </si>
  <si>
    <t>Cochlear Limited</t>
  </si>
  <si>
    <t>COA</t>
  </si>
  <si>
    <t>Continental Airlines Inc.</t>
  </si>
  <si>
    <t>COB</t>
  </si>
  <si>
    <t>The Co-operative Bank p.l.c.</t>
  </si>
  <si>
    <t>COC</t>
  </si>
  <si>
    <t>Clear One Communications Inc.</t>
  </si>
  <si>
    <t>COD</t>
  </si>
  <si>
    <t>Codemasters Software Company Ltd (The)</t>
  </si>
  <si>
    <t>COE</t>
  </si>
  <si>
    <t>Cox Enterprises, Inc</t>
  </si>
  <si>
    <t>COG</t>
  </si>
  <si>
    <t>Cognos Inc</t>
  </si>
  <si>
    <t>COH</t>
  </si>
  <si>
    <t>Conzzeta Holding AG</t>
  </si>
  <si>
    <t>COI</t>
  </si>
  <si>
    <t>COI Consulting für Office und Information GmbH</t>
  </si>
  <si>
    <t>COL</t>
  </si>
  <si>
    <t>Colgate Palmolive</t>
  </si>
  <si>
    <t>COM</t>
  </si>
  <si>
    <t>3Com Corporation</t>
  </si>
  <si>
    <t>CON</t>
  </si>
  <si>
    <t>Concord Communications Inc</t>
  </si>
  <si>
    <t>COO</t>
  </si>
  <si>
    <t>Cooper Industries Inc</t>
  </si>
  <si>
    <t>COP</t>
  </si>
  <si>
    <t>The Co-operators Group Limited</t>
  </si>
  <si>
    <t>COQ</t>
  </si>
  <si>
    <t>Congressional Quarterly Inc</t>
  </si>
  <si>
    <t>COR</t>
  </si>
  <si>
    <t>Corel Corporation</t>
  </si>
  <si>
    <t>COS</t>
  </si>
  <si>
    <t>Costco Wholesale Corporation</t>
  </si>
  <si>
    <t>COT</t>
  </si>
  <si>
    <t>CommonTime Limited</t>
  </si>
  <si>
    <t>COU</t>
  </si>
  <si>
    <t>Council of Europe</t>
  </si>
  <si>
    <t>COX</t>
  </si>
  <si>
    <t>Colinx LLC</t>
  </si>
  <si>
    <t>CPA</t>
  </si>
  <si>
    <t>The Capita Group Plc</t>
  </si>
  <si>
    <t>CPD</t>
  </si>
  <si>
    <t>Compendium Group BV</t>
  </si>
  <si>
    <t>CPI</t>
  </si>
  <si>
    <t>ChoicePoint Inc.</t>
  </si>
  <si>
    <t>CPL</t>
  </si>
  <si>
    <t>CPA Global Limited</t>
  </si>
  <si>
    <t>CPS</t>
  </si>
  <si>
    <t>Computershare Limited</t>
  </si>
  <si>
    <t>CPT</t>
  </si>
  <si>
    <t>Captiva Software Corporation</t>
  </si>
  <si>
    <t>CPX</t>
  </si>
  <si>
    <t>Raiffeisen Informatik GmbH</t>
  </si>
  <si>
    <t>CQT</t>
  </si>
  <si>
    <t>Cumquat Information Technology B.V.</t>
  </si>
  <si>
    <t>CR0</t>
  </si>
  <si>
    <t>Crown Partners</t>
  </si>
  <si>
    <t>CR1</t>
  </si>
  <si>
    <t>CREDANT Technologies, Inc.</t>
  </si>
  <si>
    <t>CRA</t>
  </si>
  <si>
    <t>Cramer Systems Europe Ltd</t>
  </si>
  <si>
    <t>CRB</t>
  </si>
  <si>
    <t>Corbis Corporation</t>
  </si>
  <si>
    <t>CRC</t>
  </si>
  <si>
    <t>Coretronic Corporation</t>
  </si>
  <si>
    <t>CRD</t>
  </si>
  <si>
    <t>CaridianBCT Inc</t>
  </si>
  <si>
    <t>CRE</t>
  </si>
  <si>
    <t>Cresson SARL</t>
  </si>
  <si>
    <t>CRG</t>
  </si>
  <si>
    <t>Credit Agricole SA</t>
  </si>
  <si>
    <t>CRH</t>
  </si>
  <si>
    <t>Conseil Régional de Haute-Normandie</t>
  </si>
  <si>
    <t>CRI</t>
  </si>
  <si>
    <t>Critical Path Software Inc</t>
  </si>
  <si>
    <t>CRL</t>
  </si>
  <si>
    <t>Cross Language n.v.</t>
  </si>
  <si>
    <t>CRM</t>
  </si>
  <si>
    <t>CREDA COMMUNICATIONS LTD</t>
  </si>
  <si>
    <t>CRN</t>
  </si>
  <si>
    <t>Corning Inc.</t>
  </si>
  <si>
    <t>CRO</t>
  </si>
  <si>
    <t>Crown Holdings Inc</t>
  </si>
  <si>
    <t>CRP</t>
  </si>
  <si>
    <t>Corpedia, Inc.</t>
  </si>
  <si>
    <t>CRS</t>
  </si>
  <si>
    <t>Corsair Memory, Inc</t>
  </si>
  <si>
    <t>CRT</t>
  </si>
  <si>
    <t>Crest Engineering B.V.</t>
  </si>
  <si>
    <t>CRU</t>
  </si>
  <si>
    <t>CREATA (AUST) PTY LIMITED</t>
  </si>
  <si>
    <t>CRW</t>
  </si>
  <si>
    <t>CROW Innovatie en Beheer B.V.</t>
  </si>
  <si>
    <t>CRY</t>
  </si>
  <si>
    <t>Cryo Interactive</t>
  </si>
  <si>
    <t>CSA</t>
  </si>
  <si>
    <t>Consumer Source, Inc</t>
  </si>
  <si>
    <t>CSC</t>
  </si>
  <si>
    <t>The Charles Schwab Corporation</t>
  </si>
  <si>
    <t>CSE</t>
  </si>
  <si>
    <t>OPTO CIRCUITS (INDIA) LIMITED</t>
  </si>
  <si>
    <t>CSG</t>
  </si>
  <si>
    <t>Credit Suisse Group</t>
  </si>
  <si>
    <t>CSH</t>
  </si>
  <si>
    <t>Carestream Health Inc</t>
  </si>
  <si>
    <t>CSI</t>
  </si>
  <si>
    <t>Concerto Software, Incorporated</t>
  </si>
  <si>
    <t>CSL</t>
  </si>
  <si>
    <t>CSSS de Lac-Saint-Jean-Est</t>
  </si>
  <si>
    <t>CSO</t>
  </si>
  <si>
    <t>Cirque du Soleil Inc</t>
  </si>
  <si>
    <t>CSP</t>
  </si>
  <si>
    <t>CommScope Inc</t>
  </si>
  <si>
    <t>CSS</t>
  </si>
  <si>
    <t>Computer Sciences Canada Inc</t>
  </si>
  <si>
    <t>CST</t>
  </si>
  <si>
    <t>Computer Sciences Corporation</t>
  </si>
  <si>
    <t>CSW</t>
  </si>
  <si>
    <t>CaseWare International Inc</t>
  </si>
  <si>
    <t>CSX</t>
  </si>
  <si>
    <t>cScape Group plc</t>
  </si>
  <si>
    <t>CSY</t>
  </si>
  <si>
    <t>Cypress Semiconductor Corporation</t>
  </si>
  <si>
    <t>CTB</t>
  </si>
  <si>
    <t>ConstructionSkills</t>
  </si>
  <si>
    <t>CTC</t>
  </si>
  <si>
    <t>con.train consulting + training GmbH</t>
  </si>
  <si>
    <t>CTD</t>
  </si>
  <si>
    <t>Alimentation Couche-Tard Inc.</t>
  </si>
  <si>
    <t>CTG</t>
  </si>
  <si>
    <t>Com Text Group AS</t>
  </si>
  <si>
    <t>CTH</t>
  </si>
  <si>
    <t>C.T.C. Dealer Holdings</t>
  </si>
  <si>
    <t>CTI</t>
  </si>
  <si>
    <t>Canadian Tire Corporation, Limited</t>
  </si>
  <si>
    <t>CTN</t>
  </si>
  <si>
    <t>Parallax Capital Partners, LLC</t>
  </si>
  <si>
    <t>CTO</t>
  </si>
  <si>
    <t>Canadian Tourism Commission</t>
  </si>
  <si>
    <t>CTP</t>
  </si>
  <si>
    <t>Coats Group Limited</t>
  </si>
  <si>
    <t>CTR</t>
  </si>
  <si>
    <t>Centrepoint Technologies Inc</t>
  </si>
  <si>
    <t>CTS</t>
  </si>
  <si>
    <t>Columbus Technologies And Services, Inc</t>
  </si>
  <si>
    <t>CTT</t>
  </si>
  <si>
    <t>Creative Technology Ltd</t>
  </si>
  <si>
    <t>CTY</t>
  </si>
  <si>
    <t>Charles Tyrwhitt LLP</t>
  </si>
  <si>
    <t>CUA</t>
  </si>
  <si>
    <t>Carahsoft Technology Corp.</t>
  </si>
  <si>
    <t>CUB</t>
  </si>
  <si>
    <t>Cuba Bidco Ltd</t>
  </si>
  <si>
    <t>CUL</t>
  </si>
  <si>
    <t>Culligan International Company</t>
  </si>
  <si>
    <t>CUM</t>
  </si>
  <si>
    <t>Cummins Inc</t>
  </si>
  <si>
    <t>CUN</t>
  </si>
  <si>
    <t>Cundari Group Ltd.</t>
  </si>
  <si>
    <t>CUP</t>
  </si>
  <si>
    <t>Cupid Media Pty</t>
  </si>
  <si>
    <t>CUR</t>
  </si>
  <si>
    <t>Curetis AG</t>
  </si>
  <si>
    <t>CVD</t>
  </si>
  <si>
    <t>Covidien plc</t>
  </si>
  <si>
    <t>CVN</t>
  </si>
  <si>
    <t>Executive Conversation Inc.</t>
  </si>
  <si>
    <t>CVZ</t>
  </si>
  <si>
    <t>College Voor Zorgverzekeringen</t>
  </si>
  <si>
    <t>CWV</t>
  </si>
  <si>
    <t>ConWeaver</t>
  </si>
  <si>
    <t>CYB</t>
  </si>
  <si>
    <t>Cyberonics Europe S.A.</t>
  </si>
  <si>
    <t>CYM</t>
  </si>
  <si>
    <t>Cymer, Inc.</t>
  </si>
  <si>
    <t>CYO</t>
  </si>
  <si>
    <t>CryoCath Technologies Inc.</t>
  </si>
  <si>
    <t>CYS</t>
  </si>
  <si>
    <t>CyberShift, Inc.</t>
  </si>
  <si>
    <t>CYT</t>
  </si>
  <si>
    <t>Cytyc Corporation</t>
  </si>
  <si>
    <t>CZM</t>
  </si>
  <si>
    <t>CZMNED</t>
  </si>
  <si>
    <t>CZT</t>
  </si>
  <si>
    <t>Cognizant Technology Solutions Corporation</t>
  </si>
  <si>
    <t>D2L</t>
  </si>
  <si>
    <t>Desire2Learn Incorporated</t>
  </si>
  <si>
    <t>DA0</t>
  </si>
  <si>
    <t>DAISO Industries Co., Ltd.</t>
  </si>
  <si>
    <t>DAA</t>
  </si>
  <si>
    <t>Daiichi Sankyo Company Limited</t>
  </si>
  <si>
    <t>DAC</t>
  </si>
  <si>
    <t>ADAC Verlag GmbH</t>
  </si>
  <si>
    <t>DAD</t>
  </si>
  <si>
    <t xml:space="preserve">Dako Denmark A/S </t>
  </si>
  <si>
    <t>DAE</t>
  </si>
  <si>
    <t>Daikin Europe N V Nv</t>
  </si>
  <si>
    <t>DAG</t>
  </si>
  <si>
    <t>Danger Inc</t>
  </si>
  <si>
    <t>DAJ</t>
  </si>
  <si>
    <t xml:space="preserve">Daikin Industries, Ltd. </t>
  </si>
  <si>
    <t>DAK</t>
  </si>
  <si>
    <t>Dakota Editions</t>
  </si>
  <si>
    <t>DAL</t>
  </si>
  <si>
    <t>Daleen Technologies, Inc.</t>
  </si>
  <si>
    <t>DAM</t>
  </si>
  <si>
    <t>Daimler AG</t>
  </si>
  <si>
    <t>DAN</t>
  </si>
  <si>
    <t>Dana Corporation</t>
  </si>
  <si>
    <t>DAS</t>
  </si>
  <si>
    <t>Dassault Systemes SA</t>
  </si>
  <si>
    <t>DAT</t>
  </si>
  <si>
    <t>Datamation Limited</t>
  </si>
  <si>
    <t>DAU</t>
  </si>
  <si>
    <t>Dako USA</t>
  </si>
  <si>
    <t>DAW</t>
  </si>
  <si>
    <t>DATAWORDS DATASIA</t>
  </si>
  <si>
    <t>DBC</t>
  </si>
  <si>
    <t>Debica</t>
  </si>
  <si>
    <t>DBH</t>
  </si>
  <si>
    <t>Debenhams plc</t>
  </si>
  <si>
    <t>DBU</t>
  </si>
  <si>
    <t>Deutsche Bundesbank</t>
  </si>
  <si>
    <t>DCA</t>
  </si>
  <si>
    <t>Data Conversion Center Bvba</t>
  </si>
  <si>
    <t>DCB</t>
  </si>
  <si>
    <t>Descours et Cabaud Benelux S.A.</t>
  </si>
  <si>
    <t>DCL</t>
  </si>
  <si>
    <t>Deecal International Ltd</t>
  </si>
  <si>
    <t>DCO</t>
  </si>
  <si>
    <t>Deluxe Corporation</t>
  </si>
  <si>
    <t>DCS</t>
  </si>
  <si>
    <t>DCS AsiaPac Ltd</t>
  </si>
  <si>
    <t>DCU</t>
  </si>
  <si>
    <t>DocuSign, Inc</t>
  </si>
  <si>
    <t>DDE</t>
  </si>
  <si>
    <t>De Dierenbescherming</t>
  </si>
  <si>
    <t>DDG</t>
  </si>
  <si>
    <t>DDG BV</t>
  </si>
  <si>
    <t>DDH</t>
  </si>
  <si>
    <t>Dimension Data Holdings plc</t>
  </si>
  <si>
    <t>DDI</t>
  </si>
  <si>
    <t>Document Dialog BV</t>
  </si>
  <si>
    <t>DDT</t>
  </si>
  <si>
    <t>DataDirect Technologies Inc</t>
  </si>
  <si>
    <t>DEB</t>
  </si>
  <si>
    <t>DEC</t>
  </si>
  <si>
    <t>Digital Electronic Corporation</t>
  </si>
  <si>
    <t>DEE</t>
  </si>
  <si>
    <t>Deere &amp; Company</t>
  </si>
  <si>
    <t>DEF</t>
  </si>
  <si>
    <t>De Friesland Zorgverzekeraar</t>
  </si>
  <si>
    <t>DEG</t>
  </si>
  <si>
    <t>De Goudse Verzekeringen</t>
  </si>
  <si>
    <t>DEH</t>
  </si>
  <si>
    <t>Deltahage B V</t>
  </si>
  <si>
    <t>DEI</t>
  </si>
  <si>
    <t>The Designory Inc.</t>
  </si>
  <si>
    <t>DEL</t>
  </si>
  <si>
    <t>Dell Incorporated</t>
  </si>
  <si>
    <t>DEN</t>
  </si>
  <si>
    <t>Dentalmatic Technologies Inc</t>
  </si>
  <si>
    <t>DEP</t>
  </si>
  <si>
    <t>Delphi Corporation</t>
  </si>
  <si>
    <t>DER</t>
  </si>
  <si>
    <t>Derivco (Pty) Ltd</t>
  </si>
  <si>
    <t>DES</t>
  </si>
  <si>
    <t>Design Science, Inc.</t>
  </si>
  <si>
    <t>DET</t>
  </si>
  <si>
    <t>Delta NV</t>
  </si>
  <si>
    <t>DEV</t>
  </si>
  <si>
    <t>De Vlijt NV</t>
  </si>
  <si>
    <t>DEX</t>
  </si>
  <si>
    <t>Dexia SA</t>
  </si>
  <si>
    <t>DFD</t>
  </si>
  <si>
    <t>DFDS A/S</t>
  </si>
  <si>
    <t>DFE</t>
  </si>
  <si>
    <t>Datamation LTD SDN BHD</t>
  </si>
  <si>
    <t>DFG</t>
  </si>
  <si>
    <t>Dollar Financial Group</t>
  </si>
  <si>
    <t>DFL</t>
  </si>
  <si>
    <t>Dress-for-less GmbH</t>
  </si>
  <si>
    <t>DFX</t>
  </si>
  <si>
    <t>DigitalFX International, Inc.</t>
  </si>
  <si>
    <t>DGG</t>
  </si>
  <si>
    <t>Domestic &amp; General Group plc</t>
  </si>
  <si>
    <t>DGM</t>
  </si>
  <si>
    <t>Digimaker AS</t>
  </si>
  <si>
    <t>DGP</t>
  </si>
  <si>
    <t>Dogan Portal ve Elektronik Ticaret A.S.</t>
  </si>
  <si>
    <t>DHI</t>
  </si>
  <si>
    <t>DHI Group</t>
  </si>
  <si>
    <t>DHL</t>
  </si>
  <si>
    <t>Deutsche Post DHL</t>
  </si>
  <si>
    <t>DHR</t>
  </si>
  <si>
    <t>Danaher Corporation</t>
  </si>
  <si>
    <t>DHS</t>
  </si>
  <si>
    <t>Département des Hauts-de-Seine</t>
  </si>
  <si>
    <t>DIB</t>
  </si>
  <si>
    <t>DO IT BEST CORP.</t>
  </si>
  <si>
    <t>DIE</t>
  </si>
  <si>
    <t>Diebold Inc</t>
  </si>
  <si>
    <t>DIF</t>
  </si>
  <si>
    <t>Difko A/S</t>
  </si>
  <si>
    <t>DIG</t>
  </si>
  <si>
    <t>Digital Bridges Ltd</t>
  </si>
  <si>
    <t>DIJ</t>
  </si>
  <si>
    <t>digitalPersona</t>
  </si>
  <si>
    <t>DIO</t>
  </si>
  <si>
    <t>Diotek</t>
  </si>
  <si>
    <t>DIP</t>
  </si>
  <si>
    <t>DIGITAL PUBLISHING SOLUTIONS</t>
  </si>
  <si>
    <t>DIS</t>
  </si>
  <si>
    <t>Dätwyler Führungs AG</t>
  </si>
  <si>
    <t>DIT</t>
  </si>
  <si>
    <t>Digirati</t>
  </si>
  <si>
    <t>DJS</t>
  </si>
  <si>
    <t>Dartmouth Journal Services Inc</t>
  </si>
  <si>
    <t>DKG</t>
  </si>
  <si>
    <t>Danish Government</t>
  </si>
  <si>
    <t>DLA</t>
  </si>
  <si>
    <t>Dela</t>
  </si>
  <si>
    <t>DLB</t>
  </si>
  <si>
    <t>Dolby Laboratories Inc</t>
  </si>
  <si>
    <t>DLG</t>
  </si>
  <si>
    <t>Delta Lloyd Groep</t>
  </si>
  <si>
    <t>DLI</t>
  </si>
  <si>
    <t>Dutch Lion Coöperatief U.A.</t>
  </si>
  <si>
    <t>DLK</t>
  </si>
  <si>
    <t>Deltek, Inc.</t>
  </si>
  <si>
    <t>DLR</t>
  </si>
  <si>
    <t>De La Rue plc</t>
  </si>
  <si>
    <t>DLT</t>
  </si>
  <si>
    <t>Deloitte Touche Tohmatsu</t>
  </si>
  <si>
    <t>DMD</t>
  </si>
  <si>
    <t>Demand Solutions</t>
  </si>
  <si>
    <t>DMG</t>
  </si>
  <si>
    <t>Deilmann-Montan Group</t>
  </si>
  <si>
    <t>DMN</t>
  </si>
  <si>
    <t>Damen Shipyards Group</t>
  </si>
  <si>
    <t>DMT</t>
  </si>
  <si>
    <t>Domtar Corporation</t>
  </si>
  <si>
    <t>DMU</t>
  </si>
  <si>
    <t>De Montfort University</t>
  </si>
  <si>
    <t>DNB</t>
  </si>
  <si>
    <t>De Nederlandsche Bank</t>
  </si>
  <si>
    <t>DNL</t>
  </si>
  <si>
    <t>Danier Leather Inc.</t>
  </si>
  <si>
    <t>DNP</t>
  </si>
  <si>
    <t>Dai Nippon Printing Co Ltd</t>
  </si>
  <si>
    <t>DNV</t>
  </si>
  <si>
    <t>Det Norske Veritas</t>
  </si>
  <si>
    <t>DOC</t>
  </si>
  <si>
    <t>NTT DoCoMo, Inc</t>
  </si>
  <si>
    <t>DOE</t>
  </si>
  <si>
    <t>Dong Energy</t>
  </si>
  <si>
    <t>DOG</t>
  </si>
  <si>
    <t>Dokumentation ohne Grenzen GmbH</t>
  </si>
  <si>
    <t>DON</t>
  </si>
  <si>
    <t>Done Solutions Oyj</t>
  </si>
  <si>
    <t>DOR</t>
  </si>
  <si>
    <t>dotOrange</t>
  </si>
  <si>
    <t>DOV</t>
  </si>
  <si>
    <t>DoveBid Inc.</t>
  </si>
  <si>
    <t>DPA</t>
  </si>
  <si>
    <t>DePauli AG</t>
  </si>
  <si>
    <t>DPL</t>
  </si>
  <si>
    <t>Deploy Solutions, Inc.</t>
  </si>
  <si>
    <t>DPS</t>
  </si>
  <si>
    <t>Deutsche Post Selekt Mail Nederland C V</t>
  </si>
  <si>
    <t>DRA</t>
  </si>
  <si>
    <t>DRC</t>
  </si>
  <si>
    <t>Data Recognition Corporation</t>
  </si>
  <si>
    <t>DRL</t>
  </si>
  <si>
    <t>DRT</t>
  </si>
  <si>
    <t>Darty Plc</t>
  </si>
  <si>
    <t>DSC</t>
  </si>
  <si>
    <t>Royal DSM N.V.</t>
  </si>
  <si>
    <t>DSM</t>
  </si>
  <si>
    <t>Docstream AS</t>
  </si>
  <si>
    <t>DSO</t>
  </si>
  <si>
    <t>Denso Corporation</t>
  </si>
  <si>
    <t>DSP</t>
  </si>
  <si>
    <t>dSPACE GmbH</t>
  </si>
  <si>
    <t>DSS</t>
  </si>
  <si>
    <t>Dessau Inc</t>
  </si>
  <si>
    <t>DST</t>
  </si>
  <si>
    <t>DST Media Technology Co., Ltd</t>
  </si>
  <si>
    <t>DSU</t>
  </si>
  <si>
    <t>Dentsu Inc</t>
  </si>
  <si>
    <t>DTA</t>
  </si>
  <si>
    <t xml:space="preserve">Detica Group plc </t>
  </si>
  <si>
    <t>DTB</t>
  </si>
  <si>
    <t>DATA BECKER Corporation</t>
  </si>
  <si>
    <t>DTC</t>
  </si>
  <si>
    <t>Deutsche Telekom AG</t>
  </si>
  <si>
    <t>DTT</t>
  </si>
  <si>
    <t>The Depository Trust &amp; Clearing Corporation</t>
  </si>
  <si>
    <t>DTV</t>
  </si>
  <si>
    <t>The DIRECTV Group, Inc.</t>
  </si>
  <si>
    <t>DUA</t>
  </si>
  <si>
    <t>Dienst Uitvoering Onderwijs</t>
  </si>
  <si>
    <t>DUK</t>
  </si>
  <si>
    <t>Duke University</t>
  </si>
  <si>
    <t>DUM</t>
  </si>
  <si>
    <t>Daum Communications Corp</t>
  </si>
  <si>
    <t>DUO</t>
  </si>
  <si>
    <t>Duo Communication Design, Inc</t>
  </si>
  <si>
    <t>DUP</t>
  </si>
  <si>
    <t>E.I. du Pont Canada Company</t>
  </si>
  <si>
    <t>DVI</t>
  </si>
  <si>
    <t>Dataviz Inc.</t>
  </si>
  <si>
    <t>DVM</t>
  </si>
  <si>
    <t>DeviceVM Inc</t>
  </si>
  <si>
    <t>DVX</t>
  </si>
  <si>
    <t>DivXNetworks Inc</t>
  </si>
  <si>
    <t>DYS</t>
  </si>
  <si>
    <t>Walt Disney Company (The)</t>
  </si>
  <si>
    <t>DYX</t>
  </si>
  <si>
    <t>Dyax Corporation</t>
  </si>
  <si>
    <t>EAA</t>
  </si>
  <si>
    <t>eDOC Aviation AG</t>
  </si>
  <si>
    <t>EAD</t>
  </si>
  <si>
    <t>EADS N.V.</t>
  </si>
  <si>
    <t>EAE</t>
  </si>
  <si>
    <t>EAE group Germany</t>
  </si>
  <si>
    <t>EAG</t>
  </si>
  <si>
    <t>Eagle International Institute Inc</t>
  </si>
  <si>
    <t>EAH</t>
  </si>
  <si>
    <t>Eaton Corporation</t>
  </si>
  <si>
    <t>EAL</t>
  </si>
  <si>
    <t>Education Australia Limited</t>
  </si>
  <si>
    <t>EAT</t>
  </si>
  <si>
    <t>Electronic Arts Inc</t>
  </si>
  <si>
    <t>EBA</t>
  </si>
  <si>
    <t>eBags Inc</t>
  </si>
  <si>
    <t>EBI</t>
  </si>
  <si>
    <t>Encyclopaedia Britannica Inc</t>
  </si>
  <si>
    <t>EBR</t>
  </si>
  <si>
    <t>Ebrand Worldwide</t>
  </si>
  <si>
    <t>EBS</t>
  </si>
  <si>
    <t>Ebsco Industries Inc</t>
  </si>
  <si>
    <t>EBU</t>
  </si>
  <si>
    <t>European Broadcasting Union</t>
  </si>
  <si>
    <t>EBY</t>
  </si>
  <si>
    <t>eBay Inc</t>
  </si>
  <si>
    <t>EC1</t>
  </si>
  <si>
    <t>Electronics Industry Citizenship Coalition</t>
  </si>
  <si>
    <t>ECC</t>
  </si>
  <si>
    <t>EchoStar Corporation</t>
  </si>
  <si>
    <t>ECG</t>
  </si>
  <si>
    <t>eCOGRA</t>
  </si>
  <si>
    <t>ECH</t>
  </si>
  <si>
    <t>EC Harris</t>
  </si>
  <si>
    <t>ECI</t>
  </si>
  <si>
    <t>E.C.I. Voor Boeken &amp; Platen B.V.</t>
  </si>
  <si>
    <t>ECL</t>
  </si>
  <si>
    <t>ACTIVE EVANS INVESTMENT LP</t>
  </si>
  <si>
    <t>ECO</t>
  </si>
  <si>
    <t>eCollege</t>
  </si>
  <si>
    <t>ECT</t>
  </si>
  <si>
    <t>Exact Holding N.V.</t>
  </si>
  <si>
    <t>EDG</t>
  </si>
  <si>
    <t>Elastic Digital</t>
  </si>
  <si>
    <t>EDI</t>
  </si>
  <si>
    <t>Madrigall</t>
  </si>
  <si>
    <t>EDJ</t>
  </si>
  <si>
    <t>The Jones Financial Companies, L.L.L.P.</t>
  </si>
  <si>
    <t>EDL</t>
  </si>
  <si>
    <t>Edwards Lifesciences</t>
  </si>
  <si>
    <t>EDN</t>
  </si>
  <si>
    <t>Edan Instruments, Inc.</t>
  </si>
  <si>
    <t>EDO</t>
  </si>
  <si>
    <t>Eisenrieth Dokumentations GmbH</t>
  </si>
  <si>
    <t>EDP</t>
  </si>
  <si>
    <t>EDITA PRIMA OY</t>
  </si>
  <si>
    <t>EDS</t>
  </si>
  <si>
    <t>Electronic Data Systems Corporation</t>
  </si>
  <si>
    <t>EDU</t>
  </si>
  <si>
    <t>EduCap Inc.</t>
  </si>
  <si>
    <t>EDW</t>
  </si>
  <si>
    <t>everydayWINE Co. Ltd</t>
  </si>
  <si>
    <t>EEA</t>
  </si>
  <si>
    <t>Extron Electronics</t>
  </si>
  <si>
    <t>EEB</t>
  </si>
  <si>
    <t>Embraer-Empresa Brasileira de Aeronáutica S.A.</t>
  </si>
  <si>
    <t>EEC</t>
  </si>
  <si>
    <t>Emerson Electric Co</t>
  </si>
  <si>
    <t>EEE</t>
  </si>
  <si>
    <t>888 Holding plc</t>
  </si>
  <si>
    <t>EES</t>
  </si>
  <si>
    <t>Energy Enterprise Solutions Llc</t>
  </si>
  <si>
    <t>EFC</t>
  </si>
  <si>
    <t>E*Trade Financial Corporation</t>
  </si>
  <si>
    <t>EFF</t>
  </si>
  <si>
    <t>Effectory B.V.</t>
  </si>
  <si>
    <t>EFI</t>
  </si>
  <si>
    <t>e frontier inc</t>
  </si>
  <si>
    <t>EGG</t>
  </si>
  <si>
    <t>ESG Group</t>
  </si>
  <si>
    <t>EHR</t>
  </si>
  <si>
    <t>Expo Hoteles &amp; Resorts S.L.</t>
  </si>
  <si>
    <t>EIC</t>
  </si>
  <si>
    <t>Eicom ApS</t>
  </si>
  <si>
    <t>EIF</t>
  </si>
  <si>
    <t>Eiffage SA</t>
  </si>
  <si>
    <t>EIG</t>
  </si>
  <si>
    <t>Ecclesiastical Insurance Group</t>
  </si>
  <si>
    <t>EIR</t>
  </si>
  <si>
    <t>Eircom Group Ltd</t>
  </si>
  <si>
    <t>ELA</t>
  </si>
  <si>
    <t>Elan Corporation plc</t>
  </si>
  <si>
    <t>ELC</t>
  </si>
  <si>
    <t>Electrocomponents plc</t>
  </si>
  <si>
    <t>ELD</t>
  </si>
  <si>
    <t>Eldon Holding Aktiebolag</t>
  </si>
  <si>
    <t>ELE</t>
  </si>
  <si>
    <t>Elekta AB</t>
  </si>
  <si>
    <t>ELI</t>
  </si>
  <si>
    <t>Electronics for Imaging, Inc.</t>
  </si>
  <si>
    <t>ELK</t>
  </si>
  <si>
    <t>Element K LLC</t>
  </si>
  <si>
    <t>ELN</t>
  </si>
  <si>
    <t>Elanders Anymedia News Ab</t>
  </si>
  <si>
    <t>ELR</t>
  </si>
  <si>
    <t>Elring Klinger AG</t>
  </si>
  <si>
    <t>ELT</t>
  </si>
  <si>
    <t>Electude B.V.</t>
  </si>
  <si>
    <t>ELU</t>
  </si>
  <si>
    <t>Elluminate</t>
  </si>
  <si>
    <t>ELX</t>
  </si>
  <si>
    <t>AB Electrolux</t>
  </si>
  <si>
    <t>EMA</t>
  </si>
  <si>
    <t>EMB</t>
  </si>
  <si>
    <t>Emakina Group S.A.</t>
  </si>
  <si>
    <t>EMC</t>
  </si>
  <si>
    <t>EMC Corporation</t>
  </si>
  <si>
    <t>EMD</t>
  </si>
  <si>
    <t>eMind AS</t>
  </si>
  <si>
    <t>EME</t>
  </si>
  <si>
    <t>EMP Merchandising GmbH</t>
  </si>
  <si>
    <t>EMG</t>
  </si>
  <si>
    <t>EMAG Holding GmbH</t>
  </si>
  <si>
    <t>EMI</t>
  </si>
  <si>
    <t>The Emirates Group</t>
  </si>
  <si>
    <t>EMP</t>
  </si>
  <si>
    <t>Emaar Properties PJSC</t>
  </si>
  <si>
    <t>ENB</t>
  </si>
  <si>
    <t>Enbridge Inc.</t>
  </si>
  <si>
    <t>END</t>
  </si>
  <si>
    <t>Eniro Danmark A/S</t>
  </si>
  <si>
    <t>ENI</t>
  </si>
  <si>
    <t>Enterprise Ireland</t>
  </si>
  <si>
    <t>ENL</t>
  </si>
  <si>
    <t>Enlighten</t>
  </si>
  <si>
    <t>ENP</t>
  </si>
  <si>
    <t>Enterprise Rent-A-Car Company</t>
  </si>
  <si>
    <t>ENR</t>
  </si>
  <si>
    <t>ENERCON GmbH</t>
  </si>
  <si>
    <t>ENS</t>
  </si>
  <si>
    <t>Enspire Learning, Inc</t>
  </si>
  <si>
    <t>ENT</t>
  </si>
  <si>
    <t>Entrust Inc</t>
  </si>
  <si>
    <t>ENV</t>
  </si>
  <si>
    <t>Envision Applied Systems Ltd.</t>
  </si>
  <si>
    <t>EPA</t>
  </si>
  <si>
    <t>European Patent Office</t>
  </si>
  <si>
    <t>EPF</t>
  </si>
  <si>
    <t>European Parliament_France</t>
  </si>
  <si>
    <t>EPI</t>
  </si>
  <si>
    <t>Eagle Topco LP</t>
  </si>
  <si>
    <t>EPM</t>
  </si>
  <si>
    <t>EPAM Systems, Inc</t>
  </si>
  <si>
    <t>EPO</t>
  </si>
  <si>
    <t>Epocal, Inc.</t>
  </si>
  <si>
    <t>EPP</t>
  </si>
  <si>
    <t>Eppendorf AG</t>
  </si>
  <si>
    <t>EPR</t>
  </si>
  <si>
    <t>ePredix Inc</t>
  </si>
  <si>
    <t>EPS</t>
  </si>
  <si>
    <t>e-pro solutions GmbH</t>
  </si>
  <si>
    <t>EPT</t>
  </si>
  <si>
    <t>Esprinet SpA</t>
  </si>
  <si>
    <t>EPV</t>
  </si>
  <si>
    <t>Espace pour la Vie</t>
  </si>
  <si>
    <t>EQN</t>
  </si>
  <si>
    <t>Equens NV</t>
  </si>
  <si>
    <t>EQU</t>
  </si>
  <si>
    <t>Equator (Scotland) Ltd</t>
  </si>
  <si>
    <t>ERA</t>
  </si>
  <si>
    <t>Erasmus University Rotterdam</t>
  </si>
  <si>
    <t>ERC</t>
  </si>
  <si>
    <t>Euroclear</t>
  </si>
  <si>
    <t>ERI</t>
  </si>
  <si>
    <t>Telefonaktiebolaget LM Ericsson</t>
  </si>
  <si>
    <t>ERL</t>
  </si>
  <si>
    <t>Eurail.Com B.V.</t>
  </si>
  <si>
    <t>ERN</t>
  </si>
  <si>
    <t>Earnest (London) LTD</t>
  </si>
  <si>
    <t>ERS</t>
  </si>
  <si>
    <t>Erste Group Bank AG</t>
  </si>
  <si>
    <t>ERY</t>
  </si>
  <si>
    <t>Ernst &amp; Young Global Limited</t>
  </si>
  <si>
    <t>ESB</t>
  </si>
  <si>
    <t>ESAB, Inc.</t>
  </si>
  <si>
    <t>ESD</t>
  </si>
  <si>
    <t>Esdégé - Rijgersdaal</t>
  </si>
  <si>
    <t>ESG</t>
  </si>
  <si>
    <t>Espresso GmbH</t>
  </si>
  <si>
    <t>ESI</t>
  </si>
  <si>
    <t>Extended Systems Inc</t>
  </si>
  <si>
    <t>ESK</t>
  </si>
  <si>
    <t>Esko-Graphics</t>
  </si>
  <si>
    <t>ESM</t>
  </si>
  <si>
    <t>Ensim Corporation</t>
  </si>
  <si>
    <t>ESP</t>
  </si>
  <si>
    <t>Espial Group Inc.</t>
  </si>
  <si>
    <t>ESR</t>
  </si>
  <si>
    <t>Environmental Systems Research Institute, Inc.</t>
  </si>
  <si>
    <t>ESS</t>
  </si>
  <si>
    <t>Essent NV</t>
  </si>
  <si>
    <t>EST</t>
  </si>
  <si>
    <t>The Estee Lauder Companies, Inc.</t>
  </si>
  <si>
    <t>ETA</t>
  </si>
  <si>
    <t>Etisalat</t>
  </si>
  <si>
    <t>ETH</t>
  </si>
  <si>
    <t>Ethics Point, Inc</t>
  </si>
  <si>
    <t>ETI</t>
  </si>
  <si>
    <t xml:space="preserve">Etihad Airways P.J.S.C. </t>
  </si>
  <si>
    <t>ETL</t>
  </si>
  <si>
    <t>Eyretel plc</t>
  </si>
  <si>
    <t>ETM</t>
  </si>
  <si>
    <t>Miss Etam BV</t>
  </si>
  <si>
    <t>ETN</t>
  </si>
  <si>
    <t>ETNA Group b.v.</t>
  </si>
  <si>
    <t>ETR</t>
  </si>
  <si>
    <t>Etrasoft n.v.</t>
  </si>
  <si>
    <t>ETS</t>
  </si>
  <si>
    <t>EDUCATIONAL TESTING SERVICE</t>
  </si>
  <si>
    <t>EUC</t>
  </si>
  <si>
    <t>European Commission</t>
  </si>
  <si>
    <t>EUI</t>
  </si>
  <si>
    <t>Euroscript International SA</t>
  </si>
  <si>
    <t>EUK</t>
  </si>
  <si>
    <t>Eureko B.V.</t>
  </si>
  <si>
    <t>EUP</t>
  </si>
  <si>
    <t>European Parliament</t>
  </si>
  <si>
    <t>EUR</t>
  </si>
  <si>
    <t>European Union</t>
  </si>
  <si>
    <t>EUS</t>
  </si>
  <si>
    <t>EUS Holdings LTD</t>
  </si>
  <si>
    <t>EUT</t>
  </si>
  <si>
    <t>Eurotext Translations Limited</t>
  </si>
  <si>
    <t>EVE</t>
  </si>
  <si>
    <t>Everis Spain S L</t>
  </si>
  <si>
    <t>EVG</t>
  </si>
  <si>
    <t>Evergreen Group</t>
  </si>
  <si>
    <t>EVN</t>
  </si>
  <si>
    <t>Evanston Northwestern Healthcare Corp</t>
  </si>
  <si>
    <t>EVO</t>
  </si>
  <si>
    <t>Evolve24 LLC</t>
  </si>
  <si>
    <t>EVT</t>
  </si>
  <si>
    <t>Evant Incorporated</t>
  </si>
  <si>
    <t>EXA</t>
  </si>
  <si>
    <t>Exabyte Corporation</t>
  </si>
  <si>
    <t>EXD</t>
  </si>
  <si>
    <t>Expedia, Inc.</t>
  </si>
  <si>
    <t>EXI</t>
  </si>
  <si>
    <t>ExitCare LLC</t>
  </si>
  <si>
    <t>EXN</t>
  </si>
  <si>
    <t>Experian</t>
  </si>
  <si>
    <t>EXP</t>
  </si>
  <si>
    <t>Experian plc.</t>
  </si>
  <si>
    <t>EXQ</t>
  </si>
  <si>
    <t>Exapaq</t>
  </si>
  <si>
    <t>EXS</t>
  </si>
  <si>
    <t>Expert Systems</t>
  </si>
  <si>
    <t>EXX</t>
  </si>
  <si>
    <t>Exxon Mobil Corporation</t>
  </si>
  <si>
    <t>EYE</t>
  </si>
  <si>
    <t>EYE-D Creative Limited</t>
  </si>
  <si>
    <t>EZB</t>
  </si>
  <si>
    <t>Enza Zaden Beheer B V</t>
  </si>
  <si>
    <t>EZI</t>
  </si>
  <si>
    <t>Ezibuy Limited</t>
  </si>
  <si>
    <t>FAC</t>
  </si>
  <si>
    <t>Facebook, Inc.</t>
  </si>
  <si>
    <t>FAF</t>
  </si>
  <si>
    <t>Financial Accounting Foundation, Inc.</t>
  </si>
  <si>
    <t>FAI</t>
  </si>
  <si>
    <t>Fair Isaac Corporation</t>
  </si>
  <si>
    <t>FAL</t>
  </si>
  <si>
    <t>Falk eSolutions AG</t>
  </si>
  <si>
    <t>FAN</t>
  </si>
  <si>
    <t>Fannie May Holdings Inc.</t>
  </si>
  <si>
    <t>FAR</t>
  </si>
  <si>
    <t>Fairpoint Communications, Inc</t>
  </si>
  <si>
    <t>FAS</t>
  </si>
  <si>
    <t>Fasthosts Internet Limited</t>
  </si>
  <si>
    <t>FAT</t>
  </si>
  <si>
    <t>FatWire Corporation</t>
  </si>
  <si>
    <t>FAY</t>
  </si>
  <si>
    <t>Factonomy Ltd</t>
  </si>
  <si>
    <t>FCD</t>
  </si>
  <si>
    <t>Fédération des caisses Desjardins du Québec</t>
  </si>
  <si>
    <t>FCM</t>
  </si>
  <si>
    <t>Forex Capital Markets LLC</t>
  </si>
  <si>
    <t>FCS</t>
  </si>
  <si>
    <t>Fecron Consulting Services S.L.</t>
  </si>
  <si>
    <t>FDC</t>
  </si>
  <si>
    <t>Fukuda Denshi Co., Ltd.</t>
  </si>
  <si>
    <t>FDE</t>
  </si>
  <si>
    <t>First Derivatives plc</t>
  </si>
  <si>
    <t>FDI</t>
  </si>
  <si>
    <t>Naspers Limited</t>
  </si>
  <si>
    <t>FDL</t>
  </si>
  <si>
    <t xml:space="preserve">Firstright Developments Limited </t>
  </si>
  <si>
    <t>FED</t>
  </si>
  <si>
    <t>Fedex Corporation</t>
  </si>
  <si>
    <t>FEL</t>
  </si>
  <si>
    <t>Fellowes Inc</t>
  </si>
  <si>
    <t>FEN</t>
  </si>
  <si>
    <t>Fenwal Inc</t>
  </si>
  <si>
    <t>FEP</t>
  </si>
  <si>
    <t>Fedict Et D'util Pub</t>
  </si>
  <si>
    <t>FER</t>
  </si>
  <si>
    <t>Fernbach Software AG</t>
  </si>
  <si>
    <t>FES</t>
  </si>
  <si>
    <t>Forrester Research Inc.</t>
  </si>
  <si>
    <t>FFG</t>
  </si>
  <si>
    <t>FFG Flensburger Fahrzeugbau GmbH</t>
  </si>
  <si>
    <t>FFS</t>
  </si>
  <si>
    <t>Family Assurance Friendly Society Ltd</t>
  </si>
  <si>
    <t>FFV</t>
  </si>
  <si>
    <t>F5 Networks</t>
  </si>
  <si>
    <t>FGB</t>
  </si>
  <si>
    <t>First Gulf Bank</t>
  </si>
  <si>
    <t>FGC</t>
  </si>
  <si>
    <t>Fortuna Groupe Conseil</t>
  </si>
  <si>
    <t>FHI</t>
  </si>
  <si>
    <t>Fuji Heavy Industries Ltd.</t>
  </si>
  <si>
    <t>FHO</t>
  </si>
  <si>
    <t>F Hoffman - La Roche Ltd</t>
  </si>
  <si>
    <t>FIA</t>
  </si>
  <si>
    <t>FIAF Air Materiel Command</t>
  </si>
  <si>
    <t>FIC</t>
  </si>
  <si>
    <t>Fintecs Corporation</t>
  </si>
  <si>
    <t>FID</t>
  </si>
  <si>
    <t>Fidelity National Information Services, Inc</t>
  </si>
  <si>
    <t>FIL</t>
  </si>
  <si>
    <t>FileNet Corporation</t>
  </si>
  <si>
    <t>FIM</t>
  </si>
  <si>
    <t>Fimalac</t>
  </si>
  <si>
    <t>FIN</t>
  </si>
  <si>
    <t>Finaref S.A.</t>
  </si>
  <si>
    <t>FIR</t>
  </si>
  <si>
    <t>First Data Corp</t>
  </si>
  <si>
    <t>FIS</t>
  </si>
  <si>
    <t>Thermo Fisher Scientific Inc</t>
  </si>
  <si>
    <t>FIT</t>
  </si>
  <si>
    <t>Fiat Group</t>
  </si>
  <si>
    <t>FIV</t>
  </si>
  <si>
    <t>Five Guys Enterprises, LLC</t>
  </si>
  <si>
    <t>FL1</t>
  </si>
  <si>
    <t>FLE SINGAPORE PTE LTD</t>
  </si>
  <si>
    <t>FLA</t>
  </si>
  <si>
    <t>FLD</t>
  </si>
  <si>
    <t>FieldGlass, Inc.</t>
  </si>
  <si>
    <t>FLE</t>
  </si>
  <si>
    <t>Flexlink</t>
  </si>
  <si>
    <t>FLG</t>
  </si>
  <si>
    <t>Friends Life Group plc</t>
  </si>
  <si>
    <t>FLH</t>
  </si>
  <si>
    <t>The Football League Limited</t>
  </si>
  <si>
    <t>FLI</t>
  </si>
  <si>
    <t>FLIR Systems, Inc.</t>
  </si>
  <si>
    <t>FLL</t>
  </si>
  <si>
    <t>Foley &amp; Lardner LLP</t>
  </si>
  <si>
    <t>FLO</t>
  </si>
  <si>
    <t>Flow Europe GmbH</t>
  </si>
  <si>
    <t>FLR</t>
  </si>
  <si>
    <t>Follett Library Resources, Inc</t>
  </si>
  <si>
    <t>FLS</t>
  </si>
  <si>
    <t>FLSmidth A/S</t>
  </si>
  <si>
    <t>FLT</t>
  </si>
  <si>
    <t>FILTER, LLC</t>
  </si>
  <si>
    <t>FLW</t>
  </si>
  <si>
    <t>Flowserve Corporation</t>
  </si>
  <si>
    <t>FLX</t>
  </si>
  <si>
    <t>Flexera Software, Inc.</t>
  </si>
  <si>
    <t>FLY</t>
  </si>
  <si>
    <t>Go Fly Ltd</t>
  </si>
  <si>
    <t>FMC</t>
  </si>
  <si>
    <t>Fondation des maladies du coeur du Canada</t>
  </si>
  <si>
    <t>FMG</t>
  </si>
  <si>
    <t>Factory Mutual Insurance Company</t>
  </si>
  <si>
    <t>FML</t>
  </si>
  <si>
    <t>Forum Muhendislik Ltd. STI</t>
  </si>
  <si>
    <t>FMV</t>
  </si>
  <si>
    <t>Manulife Financial Corp (Financière Manuvie)</t>
  </si>
  <si>
    <t>FNB</t>
  </si>
  <si>
    <t>Banque de France</t>
  </si>
  <si>
    <t>FND</t>
  </si>
  <si>
    <t>Findel plc</t>
  </si>
  <si>
    <t>FNN</t>
  </si>
  <si>
    <t>Finnair Oyj</t>
  </si>
  <si>
    <t>FNP</t>
  </si>
  <si>
    <t>Prima Industrie Spa</t>
  </si>
  <si>
    <t>FNV</t>
  </si>
  <si>
    <t>FNV Vakcentrale</t>
  </si>
  <si>
    <t>FO9</t>
  </si>
  <si>
    <t>Foundry9 LLC</t>
  </si>
  <si>
    <t>FOB</t>
  </si>
  <si>
    <t>Forbo Holding AG</t>
  </si>
  <si>
    <t>FOG</t>
  </si>
  <si>
    <t>Foremost Graphics, Llc</t>
  </si>
  <si>
    <t>FOR</t>
  </si>
  <si>
    <t>Fortis Group</t>
  </si>
  <si>
    <t>FOS</t>
  </si>
  <si>
    <t>Foster Wheeler Ltd.</t>
  </si>
  <si>
    <t>FOX</t>
  </si>
  <si>
    <t>FOXBORO ECKARDT</t>
  </si>
  <si>
    <t>FPH</t>
  </si>
  <si>
    <t>Fox Parrack Hirsch Communications</t>
  </si>
  <si>
    <t>FRA</t>
  </si>
  <si>
    <t>Fraunhofer Gesellschaft e.V.</t>
  </si>
  <si>
    <t>FRC</t>
  </si>
  <si>
    <t>Force Management, LLC</t>
  </si>
  <si>
    <t>FRD</t>
  </si>
  <si>
    <t>Ford Motor Co</t>
  </si>
  <si>
    <t>FRE</t>
  </si>
  <si>
    <t>Fresenius Group</t>
  </si>
  <si>
    <t>FRH</t>
  </si>
  <si>
    <t>Free Record Shop Holding B.V.</t>
  </si>
  <si>
    <t>FRM</t>
  </si>
  <si>
    <t>Formel D GmbH</t>
  </si>
  <si>
    <t>FRO</t>
  </si>
  <si>
    <t>1stFrontstore A/S</t>
  </si>
  <si>
    <t>FRP</t>
  </si>
  <si>
    <t>Francotyp Postalia Group</t>
  </si>
  <si>
    <t>FRS</t>
  </si>
  <si>
    <t>Frontrange Solutions Inc</t>
  </si>
  <si>
    <t>FRU</t>
  </si>
  <si>
    <t>Fruugo Limited</t>
  </si>
  <si>
    <t>FRV</t>
  </si>
  <si>
    <t>Freever SA</t>
  </si>
  <si>
    <t>FRX</t>
  </si>
  <si>
    <t>FRx Software Corporation</t>
  </si>
  <si>
    <t>FRY</t>
  </si>
  <si>
    <t>Fry Communications, Inc.</t>
  </si>
  <si>
    <t>FSA</t>
  </si>
  <si>
    <t>Fast Search &amp; Transfer ASA</t>
  </si>
  <si>
    <t>FSC</t>
  </si>
  <si>
    <t>F-Secure Corporation</t>
  </si>
  <si>
    <t>FSE</t>
  </si>
  <si>
    <t>Freescale Semiconductor, Inc</t>
  </si>
  <si>
    <t>FSH</t>
  </si>
  <si>
    <t>Four Seasons Hotels, Inc</t>
  </si>
  <si>
    <t>FSI</t>
  </si>
  <si>
    <t>Freudenberg Simrit KG</t>
  </si>
  <si>
    <t>FSK</t>
  </si>
  <si>
    <t>Fiskars Corporation</t>
  </si>
  <si>
    <t>FSS</t>
  </si>
  <si>
    <t>FS Invest SARL</t>
  </si>
  <si>
    <t>FST</t>
  </si>
  <si>
    <t>Festo AG &amp; Co. KG</t>
  </si>
  <si>
    <t>FTC</t>
  </si>
  <si>
    <t>Fortum Corporation</t>
  </si>
  <si>
    <t>FTD</t>
  </si>
  <si>
    <t>FTD Inc.</t>
  </si>
  <si>
    <t>FTG</t>
  </si>
  <si>
    <t>France Telecom SA</t>
  </si>
  <si>
    <t>FUA</t>
  </si>
  <si>
    <t>Future Electronics, Inc</t>
  </si>
  <si>
    <t>FUD</t>
  </si>
  <si>
    <t>Fuddruckers Inc.</t>
  </si>
  <si>
    <t>FUF</t>
  </si>
  <si>
    <t>FUJIFILM Holding Corporation</t>
  </si>
  <si>
    <t>FUH</t>
  </si>
  <si>
    <t xml:space="preserve">FUHU, Inc </t>
  </si>
  <si>
    <t>FUJ</t>
  </si>
  <si>
    <t>Fujitsu Limited</t>
  </si>
  <si>
    <t>FWD</t>
  </si>
  <si>
    <t>ForwardSlash</t>
  </si>
  <si>
    <t>FWG</t>
  </si>
  <si>
    <t>The Finance Wales Group</t>
  </si>
  <si>
    <t>FWL</t>
  </si>
  <si>
    <t>Fusion Workshop Ltd.</t>
  </si>
  <si>
    <t>FWM</t>
  </si>
  <si>
    <t>Flake-Wilkerson Market Insights LLC</t>
  </si>
  <si>
    <t>FWS</t>
  </si>
  <si>
    <t>Foster Web Solutions &amp; Consulting</t>
  </si>
  <si>
    <t>FXT</t>
  </si>
  <si>
    <t xml:space="preserve">FreestyleXtreme Trading Ltd </t>
  </si>
  <si>
    <t>FZA</t>
  </si>
  <si>
    <t>The Forzani Group Ltd.</t>
  </si>
  <si>
    <t>GAA</t>
  </si>
  <si>
    <t>General Atomic Technologies Corporation</t>
  </si>
  <si>
    <t>GAC</t>
  </si>
  <si>
    <t>Generalitat de Catalunya</t>
  </si>
  <si>
    <t>GAG</t>
  </si>
  <si>
    <t>Gaggle.Net, Inc</t>
  </si>
  <si>
    <t>GAM</t>
  </si>
  <si>
    <t>Galderma Pharma SA</t>
  </si>
  <si>
    <t>GAP</t>
  </si>
  <si>
    <t>Gap Inc</t>
  </si>
  <si>
    <t>GAR</t>
  </si>
  <si>
    <t>Gartner Inc</t>
  </si>
  <si>
    <t>GB1</t>
  </si>
  <si>
    <t>GBP Group</t>
  </si>
  <si>
    <t>GBC</t>
  </si>
  <si>
    <t>Groupe Beauchemin</t>
  </si>
  <si>
    <t>GBG</t>
  </si>
  <si>
    <t>Global Graphics S.A.</t>
  </si>
  <si>
    <t>GBL</t>
  </si>
  <si>
    <t>Groupe Bruxelles Lambert</t>
  </si>
  <si>
    <t>GCC</t>
  </si>
  <si>
    <t>Grand Circle Corporation</t>
  </si>
  <si>
    <t>GCO</t>
  </si>
  <si>
    <t>GOCOMPARE.COM LTD</t>
  </si>
  <si>
    <t>GDC</t>
  </si>
  <si>
    <t>General Dynamics Corporation</t>
  </si>
  <si>
    <t>GDG</t>
  </si>
  <si>
    <t>Giesecke &amp; Devrient GmbH</t>
  </si>
  <si>
    <t>GEA</t>
  </si>
  <si>
    <t>Geac Computer Corporation Limited</t>
  </si>
  <si>
    <t>GEB</t>
  </si>
  <si>
    <t>GENBAND Inc.</t>
  </si>
  <si>
    <t>GEC</t>
  </si>
  <si>
    <t>GlobalEnglish Corporation</t>
  </si>
  <si>
    <t>GEI</t>
  </si>
  <si>
    <t>GEIE SI 3SI</t>
  </si>
  <si>
    <t>GEK</t>
  </si>
  <si>
    <t>GeDok Kurztusch e.K.</t>
  </si>
  <si>
    <t>GEM</t>
  </si>
  <si>
    <t>Gemalto N.V.</t>
  </si>
  <si>
    <t>GEN</t>
  </si>
  <si>
    <t>General Electric Company</t>
  </si>
  <si>
    <t>GER</t>
  </si>
  <si>
    <t>General Register Office for England and Wales</t>
  </si>
  <si>
    <t>GET</t>
  </si>
  <si>
    <t>Getty Images, inc</t>
  </si>
  <si>
    <t>GFC</t>
  </si>
  <si>
    <t>GFD</t>
  </si>
  <si>
    <t>GrafiData Holding B.V.</t>
  </si>
  <si>
    <t>GGG</t>
  </si>
  <si>
    <t>Grey Global Group Inc</t>
  </si>
  <si>
    <t>GGL</t>
  </si>
  <si>
    <t>Google Inc.</t>
  </si>
  <si>
    <t>GGR</t>
  </si>
  <si>
    <t>Globe Group SRL</t>
  </si>
  <si>
    <t>GHA</t>
  </si>
  <si>
    <t>Genesis Housing Association</t>
  </si>
  <si>
    <t>GHC</t>
  </si>
  <si>
    <t>GE Healthcare China</t>
  </si>
  <si>
    <t>GHR</t>
  </si>
  <si>
    <t>Greenland Home Rule Government</t>
  </si>
  <si>
    <t>GIE</t>
  </si>
  <si>
    <t>GIE Arcade Services</t>
  </si>
  <si>
    <t>GIG</t>
  </si>
  <si>
    <t>Giganews, Inc</t>
  </si>
  <si>
    <t>GIL</t>
  </si>
  <si>
    <t>Gilson Graphics</t>
  </si>
  <si>
    <t>GLA</t>
  </si>
  <si>
    <t>GALA Incorporated</t>
  </si>
  <si>
    <t>GLD</t>
  </si>
  <si>
    <t>Genelabs Technologies Inc</t>
  </si>
  <si>
    <t>GLF</t>
  </si>
  <si>
    <t>Goldleaf Financial Solutions, Inc</t>
  </si>
  <si>
    <t>GLG</t>
  </si>
  <si>
    <t>Gallant Leaman Green Communications Inc.</t>
  </si>
  <si>
    <t>GLK</t>
  </si>
  <si>
    <t>Global Knowledge Training LLC</t>
  </si>
  <si>
    <t>GLL</t>
  </si>
  <si>
    <t>Gallup Inc</t>
  </si>
  <si>
    <t>GLO</t>
  </si>
  <si>
    <t>Taliance</t>
  </si>
  <si>
    <t>GLP</t>
  </si>
  <si>
    <t>Global Payments Inc.</t>
  </si>
  <si>
    <t>GMA</t>
  </si>
  <si>
    <t>Ally Financial</t>
  </si>
  <si>
    <t>GMC</t>
  </si>
  <si>
    <t>General Motors Corporation</t>
  </si>
  <si>
    <t>GMI</t>
  </si>
  <si>
    <t>Global Market Insite, Inc.</t>
  </si>
  <si>
    <t>GML</t>
  </si>
  <si>
    <t>General Mills, Inc.</t>
  </si>
  <si>
    <t>GMR</t>
  </si>
  <si>
    <t>GMCR Inc.</t>
  </si>
  <si>
    <t>GMT</t>
  </si>
  <si>
    <t>Groupe Matelsom S.A.</t>
  </si>
  <si>
    <t>GNI</t>
  </si>
  <si>
    <t>GEA Group Aktiengesellschaft</t>
  </si>
  <si>
    <t>GNL</t>
  </si>
  <si>
    <t>Government of the Netherlands</t>
  </si>
  <si>
    <t>GNS</t>
  </si>
  <si>
    <t>Genesys SA</t>
  </si>
  <si>
    <t>GNZ</t>
  </si>
  <si>
    <t>Government of New Zealand</t>
  </si>
  <si>
    <t>GOB</t>
  </si>
  <si>
    <t>GOVERNMENT OF ISRAEL</t>
  </si>
  <si>
    <t>GOC</t>
  </si>
  <si>
    <t>Gobierno de Canarias</t>
  </si>
  <si>
    <t>GOD</t>
  </si>
  <si>
    <t>Gordano Ltd</t>
  </si>
  <si>
    <t>GOI</t>
  </si>
  <si>
    <t>Government of Ireland - Department of Justice (Goldsmith)</t>
  </si>
  <si>
    <t>GOL</t>
  </si>
  <si>
    <t>GOAL/QPC Inc</t>
  </si>
  <si>
    <t>GOO</t>
  </si>
  <si>
    <t>Government of Ontario</t>
  </si>
  <si>
    <t>GOP</t>
  </si>
  <si>
    <t>Govpartner Com, Inc</t>
  </si>
  <si>
    <t>GPB</t>
  </si>
  <si>
    <t>GPL</t>
  </si>
  <si>
    <t>Getting Personal (UK) Ltd</t>
  </si>
  <si>
    <t>GPR</t>
  </si>
  <si>
    <t>Go Project srl</t>
  </si>
  <si>
    <t>GPS</t>
  </si>
  <si>
    <t>GP Strategies Corporation</t>
  </si>
  <si>
    <t>GR0</t>
  </si>
  <si>
    <t>GREE, Inc.</t>
  </si>
  <si>
    <t>GRA</t>
  </si>
  <si>
    <t>Graphisoft</t>
  </si>
  <si>
    <t>GRB</t>
  </si>
  <si>
    <t>Grenzebach  Maschinenbau GmbH</t>
  </si>
  <si>
    <t>GRD</t>
  </si>
  <si>
    <t>Gardena Holding AG</t>
  </si>
  <si>
    <t>GRE</t>
  </si>
  <si>
    <t>Greenheck Fan Corporation</t>
  </si>
  <si>
    <t>GRF</t>
  </si>
  <si>
    <t>Grafikon Nv</t>
  </si>
  <si>
    <t>GRH</t>
  </si>
  <si>
    <t>Greenbank Holidays Ltd</t>
  </si>
  <si>
    <t>GRM</t>
  </si>
  <si>
    <t>Garmin Ltd</t>
  </si>
  <si>
    <t>GRO</t>
  </si>
  <si>
    <t>Grolsche Bierbrouwerij BV</t>
  </si>
  <si>
    <t>GRP</t>
  </si>
  <si>
    <t xml:space="preserve">Groupama SA </t>
  </si>
  <si>
    <t>GRW</t>
  </si>
  <si>
    <t>Graphic World Incorporated</t>
  </si>
  <si>
    <t>GRY</t>
  </si>
  <si>
    <t>Gryphon Technologies</t>
  </si>
  <si>
    <t>GSC</t>
  </si>
  <si>
    <t>Gerber Scientific, Inc</t>
  </si>
  <si>
    <t>GSI</t>
  </si>
  <si>
    <t>GSI Group Inc.</t>
  </si>
  <si>
    <t>GSK</t>
  </si>
  <si>
    <t>GlaxoSmithKline plc</t>
  </si>
  <si>
    <t>GSR</t>
  </si>
  <si>
    <t>G-Star</t>
  </si>
  <si>
    <t>GST</t>
  </si>
  <si>
    <t>GameStop Group</t>
  </si>
  <si>
    <t>GTC</t>
  </si>
  <si>
    <t>Garr Tool Company</t>
  </si>
  <si>
    <t>GTE</t>
  </si>
  <si>
    <t>The Goodyear Tire &amp; Rubber Company</t>
  </si>
  <si>
    <t>GTG</t>
  </si>
  <si>
    <t>Getinge Group</t>
  </si>
  <si>
    <t>GTI</t>
  </si>
  <si>
    <t>Good Technology, Inc.</t>
  </si>
  <si>
    <t>GTR</t>
  </si>
  <si>
    <t>Getronics N.V.</t>
  </si>
  <si>
    <t>GUB</t>
  </si>
  <si>
    <t>Gulf Bank</t>
  </si>
  <si>
    <t>GUE</t>
  </si>
  <si>
    <t>Guestlogic</t>
  </si>
  <si>
    <t>GUI</t>
  </si>
  <si>
    <t>Guideworks, Llc</t>
  </si>
  <si>
    <t>GUL</t>
  </si>
  <si>
    <t>Donvand Ltd</t>
  </si>
  <si>
    <t>GUN</t>
  </si>
  <si>
    <t>Gunt Gerätebau GmbH</t>
  </si>
  <si>
    <t>GUS</t>
  </si>
  <si>
    <t>GUS plc</t>
  </si>
  <si>
    <t>GVA</t>
  </si>
  <si>
    <t>Austrian Government</t>
  </si>
  <si>
    <t>GVC</t>
  </si>
  <si>
    <t>Government of Canada</t>
  </si>
  <si>
    <t>GWS</t>
  </si>
  <si>
    <t>Guidewire Software Inc.</t>
  </si>
  <si>
    <t>GYR</t>
  </si>
  <si>
    <t>GyroGroup plc.</t>
  </si>
  <si>
    <t>GZM</t>
  </si>
  <si>
    <t>Genzyme Corporation</t>
  </si>
  <si>
    <t>HAA</t>
  </si>
  <si>
    <t>Hasgrove plc</t>
  </si>
  <si>
    <t>HAE</t>
  </si>
  <si>
    <t>Haier Group Company</t>
  </si>
  <si>
    <t>HAF</t>
  </si>
  <si>
    <t>H&amp;F Bridge Partnership Ltd.</t>
  </si>
  <si>
    <t>HAG</t>
  </si>
  <si>
    <t>Gemeente Den Haag</t>
  </si>
  <si>
    <t>HAI</t>
  </si>
  <si>
    <t>Excel Industries</t>
  </si>
  <si>
    <t>HAL</t>
  </si>
  <si>
    <t>Hallmaker AS</t>
  </si>
  <si>
    <t>HAM</t>
  </si>
  <si>
    <t>Hamad Medical Corporation</t>
  </si>
  <si>
    <t>HAN</t>
  </si>
  <si>
    <t>Handango Inc</t>
  </si>
  <si>
    <t>HAP</t>
  </si>
  <si>
    <t>Het Apostolisch Genootschap</t>
  </si>
  <si>
    <t>HAR</t>
  </si>
  <si>
    <t>Harris Corporation</t>
  </si>
  <si>
    <t>HAS</t>
  </si>
  <si>
    <t>Hasbro, Inc.</t>
  </si>
  <si>
    <t>HAU</t>
  </si>
  <si>
    <t>Hauni LNI Electronics S.A.</t>
  </si>
  <si>
    <t>HAV</t>
  </si>
  <si>
    <t>Havas</t>
  </si>
  <si>
    <t>HAW</t>
  </si>
  <si>
    <t>Hansa Metallwerke AG</t>
  </si>
  <si>
    <t>HAY</t>
  </si>
  <si>
    <t>Hays plc</t>
  </si>
  <si>
    <t>HBA</t>
  </si>
  <si>
    <t>Horiba, Ltd</t>
  </si>
  <si>
    <t>HBC</t>
  </si>
  <si>
    <t>Hudson's Bay Company</t>
  </si>
  <si>
    <t>HBM</t>
  </si>
  <si>
    <t>Home Buyers Marketing Inc</t>
  </si>
  <si>
    <t>HBO</t>
  </si>
  <si>
    <t>HBOS plc</t>
  </si>
  <si>
    <t>HBT</t>
  </si>
  <si>
    <t>HOLDAG Beteiligungsgesellschaft m.b.H.</t>
  </si>
  <si>
    <t>HBU</t>
  </si>
  <si>
    <t>HB Uitgevers</t>
  </si>
  <si>
    <t>HCA</t>
  </si>
  <si>
    <t>Hoteles Catalonia S A</t>
  </si>
  <si>
    <t>HCC</t>
  </si>
  <si>
    <t>Hc3 Communications</t>
  </si>
  <si>
    <t>HCL</t>
  </si>
  <si>
    <t>HCL Technologies Limited</t>
  </si>
  <si>
    <t>HCT</t>
  </si>
  <si>
    <t>Hutchison Telecom</t>
  </si>
  <si>
    <t>HDA</t>
  </si>
  <si>
    <t>Honda Motor Co. Ltd</t>
  </si>
  <si>
    <t>HDE</t>
  </si>
  <si>
    <t>Hotel.de AG</t>
  </si>
  <si>
    <t>HDL</t>
  </si>
  <si>
    <t>Headline.TV ApS</t>
  </si>
  <si>
    <t>HDS</t>
  </si>
  <si>
    <t>HD Supply Holdings Llc</t>
  </si>
  <si>
    <t>HEA</t>
  </si>
  <si>
    <t>Healy Hudson AG</t>
  </si>
  <si>
    <t>HEF</t>
  </si>
  <si>
    <t>Headfirst B.V.</t>
  </si>
  <si>
    <t>HEG</t>
  </si>
  <si>
    <t>Hegla Group Beverungen</t>
  </si>
  <si>
    <t>HEH</t>
  </si>
  <si>
    <t>Helly Hansen Group AS</t>
  </si>
  <si>
    <t>HEI</t>
  </si>
  <si>
    <t>Dr. Johannes Heidenhain GmbH</t>
  </si>
  <si>
    <t>HEL</t>
  </si>
  <si>
    <t>Healthwise Incorporated</t>
  </si>
  <si>
    <t>HEM</t>
  </si>
  <si>
    <t>Smiths Group plc</t>
  </si>
  <si>
    <t>HEN</t>
  </si>
  <si>
    <t>Henkel KGaA</t>
  </si>
  <si>
    <t>HEP</t>
  </si>
  <si>
    <t>Hewlett-Packard Company</t>
  </si>
  <si>
    <t>HER</t>
  </si>
  <si>
    <t>The Hearst Corporation</t>
  </si>
  <si>
    <t>HES</t>
  </si>
  <si>
    <t>Henry Schein, Inc.</t>
  </si>
  <si>
    <t>HFC</t>
  </si>
  <si>
    <t>House Foods Corporation</t>
  </si>
  <si>
    <t>HFG</t>
  </si>
  <si>
    <t>Halfords Group plc.</t>
  </si>
  <si>
    <t>HFH</t>
  </si>
  <si>
    <t>Head for Heights Ltd</t>
  </si>
  <si>
    <t>HGI</t>
  </si>
  <si>
    <t>Health Grades, Inc</t>
  </si>
  <si>
    <t>HGR</t>
  </si>
  <si>
    <t>Helgeland Reiseliv AS</t>
  </si>
  <si>
    <t>HHE</t>
  </si>
  <si>
    <t>Hoteles Hesperia, S.A.</t>
  </si>
  <si>
    <t>HHI</t>
  </si>
  <si>
    <t>Harte-Hanks, Inc.</t>
  </si>
  <si>
    <t>HHL</t>
  </si>
  <si>
    <t>Holidaybreak plc</t>
  </si>
  <si>
    <t>HHO</t>
  </si>
  <si>
    <t>Happy Home International B.V.</t>
  </si>
  <si>
    <t>HIC</t>
  </si>
  <si>
    <t>Hico Group</t>
  </si>
  <si>
    <t>HIH</t>
  </si>
  <si>
    <t>Stichting Hoger Onderwijs Nederland</t>
  </si>
  <si>
    <t>HIL</t>
  </si>
  <si>
    <t>Hilton Hotels Corporation</t>
  </si>
  <si>
    <t>HIS</t>
  </si>
  <si>
    <t>hiSoft Corporation.</t>
  </si>
  <si>
    <t>HIT</t>
  </si>
  <si>
    <t>Hitachi Ltd.</t>
  </si>
  <si>
    <t>HKC</t>
  </si>
  <si>
    <t>Hans Kemna Casting BV</t>
  </si>
  <si>
    <t>HLC</t>
  </si>
  <si>
    <t>Holcim Ltd</t>
  </si>
  <si>
    <t>HLL</t>
  </si>
  <si>
    <t>Henry Ling Limited</t>
  </si>
  <si>
    <t>HLP</t>
  </si>
  <si>
    <t>WPW Wirtschaftsprüfungsgesellschaft Holup KG</t>
  </si>
  <si>
    <t>HLR</t>
  </si>
  <si>
    <t>Heiler Software AG</t>
  </si>
  <si>
    <t>HMB</t>
  </si>
  <si>
    <t>Hummingbird Ltd.</t>
  </si>
  <si>
    <t>HMC</t>
  </si>
  <si>
    <t>Hyundai Corporation</t>
  </si>
  <si>
    <t>HML</t>
  </si>
  <si>
    <t>Horizon Milling G.P.</t>
  </si>
  <si>
    <t>HMN</t>
  </si>
  <si>
    <t>Hyundai Mnsoft, Inc.</t>
  </si>
  <si>
    <t>HMP</t>
  </si>
  <si>
    <t>Hempel Fonden</t>
  </si>
  <si>
    <t>HMW</t>
  </si>
  <si>
    <t>Hommelwerke GmbH</t>
  </si>
  <si>
    <t>HNC</t>
  </si>
  <si>
    <t>Headache Network Canada</t>
  </si>
  <si>
    <t>HNI</t>
  </si>
  <si>
    <t>HealthNotes Inc</t>
  </si>
  <si>
    <t>HNK</t>
  </si>
  <si>
    <t>Heineken Holding N.V.</t>
  </si>
  <si>
    <t>HNS</t>
  </si>
  <si>
    <t>Hughes Electronic Corporation</t>
  </si>
  <si>
    <t>HOB</t>
  </si>
  <si>
    <t>Homebase Ltd</t>
  </si>
  <si>
    <t>HOF</t>
  </si>
  <si>
    <t>Hoffmann Group</t>
  </si>
  <si>
    <t>HOH</t>
  </si>
  <si>
    <t>Holec Holland N.V.</t>
  </si>
  <si>
    <t>HOM</t>
  </si>
  <si>
    <t>Homag Holzbearbeitungssysteme AG</t>
  </si>
  <si>
    <t>HON</t>
  </si>
  <si>
    <t>Honeywell International Inc.</t>
  </si>
  <si>
    <t>HOR</t>
  </si>
  <si>
    <t>Hoerbiger Holding  AG</t>
  </si>
  <si>
    <t>HOS</t>
  </si>
  <si>
    <t>Hospira Inc</t>
  </si>
  <si>
    <t>HPE</t>
  </si>
  <si>
    <t>Hidden Path Entertainment Llc</t>
  </si>
  <si>
    <t>HPT</t>
  </si>
  <si>
    <t>Grupo Hispatec Informática Empresarial, S.A.</t>
  </si>
  <si>
    <t>HRD</t>
  </si>
  <si>
    <t>HOTEL RESERVATION SERVICE Robert Ragge GmbH</t>
  </si>
  <si>
    <t>HRE</t>
  </si>
  <si>
    <t>Hotel Room eXchange</t>
  </si>
  <si>
    <t>HRG</t>
  </si>
  <si>
    <t>Home Retail Group plc</t>
  </si>
  <si>
    <t>HRH</t>
  </si>
  <si>
    <t>Heinrich Heine GmbH</t>
  </si>
  <si>
    <t>HRM</t>
  </si>
  <si>
    <t>Harman International Industries, Inc.</t>
  </si>
  <si>
    <t>HRO</t>
  </si>
  <si>
    <t>Hill-Rom Holdings, Inc.</t>
  </si>
  <si>
    <t>HRS</t>
  </si>
  <si>
    <t>HEARIS</t>
  </si>
  <si>
    <t>HRT</t>
  </si>
  <si>
    <t>Heartsome Holdings Pte. Ltd</t>
  </si>
  <si>
    <t>HSB</t>
  </si>
  <si>
    <t>HSBC Holdings plc</t>
  </si>
  <si>
    <t>HSC</t>
  </si>
  <si>
    <t>K.K. Human Science</t>
  </si>
  <si>
    <t>HSI</t>
  </si>
  <si>
    <t xml:space="preserve">Hosteling International </t>
  </si>
  <si>
    <t>HSK</t>
  </si>
  <si>
    <t>Husky Injection Molding Systems Ltd.</t>
  </si>
  <si>
    <t>HSL</t>
  </si>
  <si>
    <t>Hunter Straker Limited</t>
  </si>
  <si>
    <t>HST</t>
  </si>
  <si>
    <t>Haansoft, Inc</t>
  </si>
  <si>
    <t>HTC</t>
  </si>
  <si>
    <t>High Tech Computer Corp</t>
  </si>
  <si>
    <t>HTI</t>
  </si>
  <si>
    <t>Hughes Telematics, Inc</t>
  </si>
  <si>
    <t>HTK</t>
  </si>
  <si>
    <t>Huhtamaki Oyj</t>
  </si>
  <si>
    <t>HTT</t>
  </si>
  <si>
    <t>Hinttech B.V.</t>
  </si>
  <si>
    <t>HU0</t>
  </si>
  <si>
    <t>Huneed Technologies</t>
  </si>
  <si>
    <t>HUA</t>
  </si>
  <si>
    <t>Huawei Technologies Co., Ltd</t>
  </si>
  <si>
    <t>HUL</t>
  </si>
  <si>
    <t>Hulskamp Beheer B.V.</t>
  </si>
  <si>
    <t>HUM</t>
  </si>
  <si>
    <t>Humax Corporation</t>
  </si>
  <si>
    <t>HUN</t>
  </si>
  <si>
    <t>Hunter Engineering Company</t>
  </si>
  <si>
    <t>HUS</t>
  </si>
  <si>
    <t>Husqvarna AB</t>
  </si>
  <si>
    <t>HUT</t>
  </si>
  <si>
    <t>Hutchinson Leek</t>
  </si>
  <si>
    <t>HVM</t>
  </si>
  <si>
    <t>University of Washington</t>
  </si>
  <si>
    <t>HVY</t>
  </si>
  <si>
    <t>Harvey's - Cara Operations</t>
  </si>
  <si>
    <t>HWO</t>
  </si>
  <si>
    <t>Hanley Wood, LLC</t>
  </si>
  <si>
    <t>HWY</t>
  </si>
  <si>
    <t>Hawkeye</t>
  </si>
  <si>
    <t>HYA</t>
  </si>
  <si>
    <t>Global Hyatt Corporation</t>
  </si>
  <si>
    <t>HYL</t>
  </si>
  <si>
    <t>Hyland Software Inc.</t>
  </si>
  <si>
    <t>HYP</t>
  </si>
  <si>
    <t>Hyperion Solutions Corporation</t>
  </si>
  <si>
    <t>HYS</t>
  </si>
  <si>
    <t>Hays AG</t>
  </si>
  <si>
    <t>HYU</t>
  </si>
  <si>
    <t>Hyundai Motor Company</t>
  </si>
  <si>
    <t>HYW</t>
  </si>
  <si>
    <t>Hyperwave AG</t>
  </si>
  <si>
    <t>I2T</t>
  </si>
  <si>
    <t>I2 Technologies Inc</t>
  </si>
  <si>
    <t>IAC</t>
  </si>
  <si>
    <t>IAC/InterActiveCorp</t>
  </si>
  <si>
    <t>IAG</t>
  </si>
  <si>
    <t>Gestion Iamgold</t>
  </si>
  <si>
    <t>IAI</t>
  </si>
  <si>
    <t>Intrinsic Assets, Inc.</t>
  </si>
  <si>
    <t>IAP</t>
  </si>
  <si>
    <t>Intrawelt di Alessandro Potalivo &amp; C.Sas</t>
  </si>
  <si>
    <t>IAS</t>
  </si>
  <si>
    <t>International Accounting Stds Committee Foundation</t>
  </si>
  <si>
    <t>IAT</t>
  </si>
  <si>
    <t>Inter@ctive</t>
  </si>
  <si>
    <t>IAU</t>
  </si>
  <si>
    <t>IP Australia</t>
  </si>
  <si>
    <t>IB1</t>
  </si>
  <si>
    <t>Ion Beam Applications S.A.</t>
  </si>
  <si>
    <t>IBA</t>
  </si>
  <si>
    <t>Haver &amp; Boeker</t>
  </si>
  <si>
    <t>IBD</t>
  </si>
  <si>
    <t>Iberdrola Group</t>
  </si>
  <si>
    <t>IBG</t>
  </si>
  <si>
    <t>Informatie Beheer Groep</t>
  </si>
  <si>
    <t>IBM</t>
  </si>
  <si>
    <t>IBM Corporation</t>
  </si>
  <si>
    <t>IBO</t>
  </si>
  <si>
    <t>Isabella Oliver Ltd</t>
  </si>
  <si>
    <t>IBR</t>
  </si>
  <si>
    <t>IBR Computertechnik GmbH</t>
  </si>
  <si>
    <t>IBS</t>
  </si>
  <si>
    <t>International Business Systems AB</t>
  </si>
  <si>
    <t>IBX</t>
  </si>
  <si>
    <t>IBX Integrated Business Exchange AB</t>
  </si>
  <si>
    <t>ICA</t>
  </si>
  <si>
    <t>The International Civil Aviation Organization</t>
  </si>
  <si>
    <t>ICG</t>
  </si>
  <si>
    <t>IC Group</t>
  </si>
  <si>
    <t>ICI</t>
  </si>
  <si>
    <t>Institut canadien d'information sur la santé</t>
  </si>
  <si>
    <t>ICL</t>
  </si>
  <si>
    <t>International Customer Loyalty Programmes Pte Ltd</t>
  </si>
  <si>
    <t>ICO</t>
  </si>
  <si>
    <t>IconNicholson NY LLC</t>
  </si>
  <si>
    <t>ICR</t>
  </si>
  <si>
    <t>iCtrl</t>
  </si>
  <si>
    <t>ICS</t>
  </si>
  <si>
    <t>icon Systemhaus GmbH</t>
  </si>
  <si>
    <t>ICT</t>
  </si>
  <si>
    <t>ICTI</t>
  </si>
  <si>
    <t>IDA</t>
  </si>
  <si>
    <t>ID Group SA</t>
  </si>
  <si>
    <t>IDE</t>
  </si>
  <si>
    <t>Intelligent Decision Systems, Inc</t>
  </si>
  <si>
    <t>IDG</t>
  </si>
  <si>
    <t>International Data Group (IDG)</t>
  </si>
  <si>
    <t>IDI</t>
  </si>
  <si>
    <t>Idion Technology Holdings</t>
  </si>
  <si>
    <t>IDS</t>
  </si>
  <si>
    <t>IDS Scheer AG</t>
  </si>
  <si>
    <t>IDX</t>
  </si>
  <si>
    <t>Idex Corporation</t>
  </si>
  <si>
    <t>IES</t>
  </si>
  <si>
    <t>IESE Business School - University of Navarra</t>
  </si>
  <si>
    <t>IF0</t>
  </si>
  <si>
    <t>Info.com Ltd</t>
  </si>
  <si>
    <t>IFA</t>
  </si>
  <si>
    <t>Icelandic Ministry for Foreign Affairs</t>
  </si>
  <si>
    <t>IFB</t>
  </si>
  <si>
    <t>Information Builders Inc.</t>
  </si>
  <si>
    <t>IFL</t>
  </si>
  <si>
    <t>Infopro Learning, Inc.</t>
  </si>
  <si>
    <t>IFN</t>
  </si>
  <si>
    <t>IFN Financial Press Limited</t>
  </si>
  <si>
    <t>IFO</t>
  </si>
  <si>
    <t>Infosys Technologies Ltd</t>
  </si>
  <si>
    <t>IFS</t>
  </si>
  <si>
    <t>IFS AB</t>
  </si>
  <si>
    <t>IGC</t>
  </si>
  <si>
    <t>Inter Group Corporation</t>
  </si>
  <si>
    <t>IGG</t>
  </si>
  <si>
    <t>ING Groep N.V.</t>
  </si>
  <si>
    <t>IGI</t>
  </si>
  <si>
    <t>Intel-GE Care Innovations LLC</t>
  </si>
  <si>
    <t>IGM</t>
  </si>
  <si>
    <t>Intergamma B.V.</t>
  </si>
  <si>
    <t>IGN</t>
  </si>
  <si>
    <t>Ignis Asset Management Limited Group</t>
  </si>
  <si>
    <t>IGO</t>
  </si>
  <si>
    <t>Indigo Books and Music Inc.</t>
  </si>
  <si>
    <t>IGR</t>
  </si>
  <si>
    <t>ID Group</t>
  </si>
  <si>
    <t>IGS</t>
  </si>
  <si>
    <t>Infor Global Solutions</t>
  </si>
  <si>
    <t>IGV</t>
  </si>
  <si>
    <t>Indigo Vision</t>
  </si>
  <si>
    <t>IHC</t>
  </si>
  <si>
    <t>IHC Caland N.V.</t>
  </si>
  <si>
    <t>IHG</t>
  </si>
  <si>
    <t>InterContinental Hotels Group PLC</t>
  </si>
  <si>
    <t>IHI</t>
  </si>
  <si>
    <t>EQT Partners AB</t>
  </si>
  <si>
    <t>IHO</t>
  </si>
  <si>
    <t>Information Holdings Inc.</t>
  </si>
  <si>
    <t>IHS</t>
  </si>
  <si>
    <t>IHS Inc.</t>
  </si>
  <si>
    <t>IKB</t>
  </si>
  <si>
    <t>IKB Deutsche Industriebank AG</t>
  </si>
  <si>
    <t>IKE</t>
  </si>
  <si>
    <t>Stichting INGKA Foundation</t>
  </si>
  <si>
    <t>ILG</t>
  </si>
  <si>
    <t>Interlingua Language Services GmbH</t>
  </si>
  <si>
    <t>ILT</t>
  </si>
  <si>
    <t>ILTE</t>
  </si>
  <si>
    <t>ILX</t>
  </si>
  <si>
    <t>ILEX Computing Ltd</t>
  </si>
  <si>
    <t>IM0</t>
  </si>
  <si>
    <t>Ingram Micro Inc</t>
  </si>
  <si>
    <t>IMA</t>
  </si>
  <si>
    <t>Imation Corp</t>
  </si>
  <si>
    <t>IMC</t>
  </si>
  <si>
    <t>International Multifoods Corporation</t>
  </si>
  <si>
    <t>IME</t>
  </si>
  <si>
    <t>Image Metrology A/S</t>
  </si>
  <si>
    <t>IMI</t>
  </si>
  <si>
    <t>Industri-Matematik International Corp</t>
  </si>
  <si>
    <t>IMM</t>
  </si>
  <si>
    <t>Immunicon Corporation</t>
  </si>
  <si>
    <t>IMP</t>
  </si>
  <si>
    <t>Ideal Medical Products SA</t>
  </si>
  <si>
    <t>IMS</t>
  </si>
  <si>
    <t>International Microcomputer Software Inc</t>
  </si>
  <si>
    <t>IMT</t>
  </si>
  <si>
    <t>Imtech N.V.</t>
  </si>
  <si>
    <t>IN0</t>
  </si>
  <si>
    <t>Ingång Reklambyrå AB</t>
  </si>
  <si>
    <t>IN1</t>
  </si>
  <si>
    <t>Infineon Technologies AG</t>
  </si>
  <si>
    <t>IN2</t>
  </si>
  <si>
    <t>Intact Insurance Company</t>
  </si>
  <si>
    <t>INA</t>
  </si>
  <si>
    <t>Informatica Corporation</t>
  </si>
  <si>
    <t>INB</t>
  </si>
  <si>
    <t>Indivirtual B.V</t>
  </si>
  <si>
    <t>INC</t>
  </si>
  <si>
    <t>Invacare Corporation</t>
  </si>
  <si>
    <t>IND</t>
  </si>
  <si>
    <t>Indus International Inc</t>
  </si>
  <si>
    <t>INF</t>
  </si>
  <si>
    <t>InfiniT e.V.</t>
  </si>
  <si>
    <t>ING</t>
  </si>
  <si>
    <t>Intergraph Corporation</t>
  </si>
  <si>
    <t>INI</t>
  </si>
  <si>
    <t>Insight Investments</t>
  </si>
  <si>
    <t>INL</t>
  </si>
  <si>
    <t>Investis Ltd</t>
  </si>
  <si>
    <t>INM</t>
  </si>
  <si>
    <t>Inverness Medical Innovations, Inc.</t>
  </si>
  <si>
    <t>INO</t>
  </si>
  <si>
    <t>Incentro</t>
  </si>
  <si>
    <t>INP</t>
  </si>
  <si>
    <t>International Paper Co.</t>
  </si>
  <si>
    <t>INQ</t>
  </si>
  <si>
    <t>Internal - Gateway</t>
  </si>
  <si>
    <t>INR</t>
  </si>
  <si>
    <t>Indra Sistemas S.A.</t>
  </si>
  <si>
    <t>INS</t>
  </si>
  <si>
    <t>Info-Satz Stuttgart GmbH</t>
  </si>
  <si>
    <t>INT</t>
  </si>
  <si>
    <t>Intentia R&amp;D AB</t>
  </si>
  <si>
    <t>INV</t>
  </si>
  <si>
    <t>Invivo Corporation</t>
  </si>
  <si>
    <t>INW</t>
  </si>
  <si>
    <t>iWin</t>
  </si>
  <si>
    <t>INX</t>
  </si>
  <si>
    <t>All Interpreting Services Projects - 2011</t>
  </si>
  <si>
    <t>IOM</t>
  </si>
  <si>
    <t>Iomega Corporation</t>
  </si>
  <si>
    <t>IP1</t>
  </si>
  <si>
    <t>IPC Systems Inc</t>
  </si>
  <si>
    <t>IPA</t>
  </si>
  <si>
    <t>iPass Inc</t>
  </si>
  <si>
    <t>IPC</t>
  </si>
  <si>
    <t>Infopro Corporation</t>
  </si>
  <si>
    <t>IPD</t>
  </si>
  <si>
    <t>iParadigms, LLC</t>
  </si>
  <si>
    <t>IPG</t>
  </si>
  <si>
    <t>Interpublic Group of Companies Inc</t>
  </si>
  <si>
    <t>IPK</t>
  </si>
  <si>
    <t>Interparcs B.V.</t>
  </si>
  <si>
    <t>IPL</t>
  </si>
  <si>
    <t>iPlanet E-Commerce Solutions- A Sun | Netscape All</t>
  </si>
  <si>
    <t>IPN</t>
  </si>
  <si>
    <t>Intelliplan  AB</t>
  </si>
  <si>
    <t>IPO</t>
  </si>
  <si>
    <t>IPL Group Ltd</t>
  </si>
  <si>
    <t>IPS</t>
  </si>
  <si>
    <t>Impetus UK Ltd</t>
  </si>
  <si>
    <t>IRN</t>
  </si>
  <si>
    <t>Iron Mountain Incorporated</t>
  </si>
  <si>
    <t>IRP</t>
  </si>
  <si>
    <t>Institut de Radioprotection et de Sûreté Nucléaire</t>
  </si>
  <si>
    <t>IS0</t>
  </si>
  <si>
    <t>ISI China</t>
  </si>
  <si>
    <t>ISA</t>
  </si>
  <si>
    <t>ISABEL</t>
  </si>
  <si>
    <t>ISC</t>
  </si>
  <si>
    <t>Inforoute Santé du Canada Inc</t>
  </si>
  <si>
    <t>ISF</t>
  </si>
  <si>
    <t>ISS Management AS</t>
  </si>
  <si>
    <t>ISI</t>
  </si>
  <si>
    <t>Imprimerie Solisco Inc</t>
  </si>
  <si>
    <t>ISO</t>
  </si>
  <si>
    <t>Ipsos S.A.</t>
  </si>
  <si>
    <t>ISP</t>
  </si>
  <si>
    <t>ISC Politie</t>
  </si>
  <si>
    <t>ISR</t>
  </si>
  <si>
    <t>Towers Watson</t>
  </si>
  <si>
    <t>ISS</t>
  </si>
  <si>
    <t>iSoftStone Holdings ltd</t>
  </si>
  <si>
    <t>ITA</t>
  </si>
  <si>
    <t>IT.expert Sp.z.o.o.</t>
  </si>
  <si>
    <t>ITB</t>
  </si>
  <si>
    <t>Interbrew n.v.</t>
  </si>
  <si>
    <t>ITC</t>
  </si>
  <si>
    <t>Interfacing Technologies Corp</t>
  </si>
  <si>
    <t>ITE</t>
  </si>
  <si>
    <t>Itedo Software GmbH</t>
  </si>
  <si>
    <t>ITH</t>
  </si>
  <si>
    <t>IT Holdings Corporation</t>
  </si>
  <si>
    <t>ITL</t>
  </si>
  <si>
    <t>Intel Corporation</t>
  </si>
  <si>
    <t>ITN</t>
  </si>
  <si>
    <t>Interactions Corporation</t>
  </si>
  <si>
    <t>ITP</t>
  </si>
  <si>
    <t>Asseco Denmark A/S</t>
  </si>
  <si>
    <t>ITR</t>
  </si>
  <si>
    <t>Interactive Ltd</t>
  </si>
  <si>
    <t>ITS</t>
  </si>
  <si>
    <t>Industrial Tools Supplies (London) Ltd</t>
  </si>
  <si>
    <t>ITT</t>
  </si>
  <si>
    <t>ITT Corporation</t>
  </si>
  <si>
    <t>ITU</t>
  </si>
  <si>
    <t>Intuit Inc.</t>
  </si>
  <si>
    <t>IVB</t>
  </si>
  <si>
    <t>Interverbum Holdings AB</t>
  </si>
  <si>
    <t>IVN</t>
  </si>
  <si>
    <t>IVS NV/SA</t>
  </si>
  <si>
    <t>IVS</t>
  </si>
  <si>
    <t>Invensys Plc</t>
  </si>
  <si>
    <t>IXA</t>
  </si>
  <si>
    <t>Ixia</t>
  </si>
  <si>
    <t>IZO</t>
  </si>
  <si>
    <t>Izodia plc</t>
  </si>
  <si>
    <t>J2I</t>
  </si>
  <si>
    <t>J2 Interactive</t>
  </si>
  <si>
    <t>JAK</t>
  </si>
  <si>
    <t>Jakob Hatteland Holdings AS</t>
  </si>
  <si>
    <t>JAL</t>
  </si>
  <si>
    <t>Japan Airlines Co., Ltd.</t>
  </si>
  <si>
    <t>JAM</t>
  </si>
  <si>
    <t>JBA</t>
  </si>
  <si>
    <t>Jyske Bank</t>
  </si>
  <si>
    <t>JCB</t>
  </si>
  <si>
    <t>J C Bamford Excavators Ltd.</t>
  </si>
  <si>
    <t>JCC</t>
  </si>
  <si>
    <t>Jovian Capital Corporation</t>
  </si>
  <si>
    <t>JEN</t>
  </si>
  <si>
    <t>Jensen Group</t>
  </si>
  <si>
    <t>JGB</t>
  </si>
  <si>
    <t>Joy Global Inc</t>
  </si>
  <si>
    <t>JJK</t>
  </si>
  <si>
    <t>J.J. Keller &amp; Associates, Inc</t>
  </si>
  <si>
    <t>JLP</t>
  </si>
  <si>
    <t>John Lewis plc</t>
  </si>
  <si>
    <t>JLR</t>
  </si>
  <si>
    <t>Tata Motors Limited</t>
  </si>
  <si>
    <t>JMC</t>
  </si>
  <si>
    <t>Jones McClure Publishing, Inc</t>
  </si>
  <si>
    <t>JMG</t>
  </si>
  <si>
    <t>John McGivney Children's Centre</t>
  </si>
  <si>
    <t>JMS</t>
  </si>
  <si>
    <t>The J. M. Smucker Company</t>
  </si>
  <si>
    <t>JNJ</t>
  </si>
  <si>
    <t>Johnson &amp; Johnson</t>
  </si>
  <si>
    <t>JOH</t>
  </si>
  <si>
    <t>Johnson Controls Inc</t>
  </si>
  <si>
    <t>JOT</t>
  </si>
  <si>
    <t>Jotun A/S</t>
  </si>
  <si>
    <t>JOU</t>
  </si>
  <si>
    <t>Jouve</t>
  </si>
  <si>
    <t>JPM</t>
  </si>
  <si>
    <t>JP Morgan Chase &amp; Co</t>
  </si>
  <si>
    <t>JRT</t>
  </si>
  <si>
    <t>J.R. Thompson Company</t>
  </si>
  <si>
    <t>JTB</t>
  </si>
  <si>
    <t>Jordan Tourism Board</t>
  </si>
  <si>
    <t>JTC</t>
  </si>
  <si>
    <t>Juta and Company</t>
  </si>
  <si>
    <t>JUL</t>
  </si>
  <si>
    <t>Julianus Kft.</t>
  </si>
  <si>
    <t>JUN</t>
  </si>
  <si>
    <t>Juniper Networks Inc.</t>
  </si>
  <si>
    <t>JUS</t>
  </si>
  <si>
    <t>Justsystems Inc.</t>
  </si>
  <si>
    <t>JUW</t>
  </si>
  <si>
    <t>Juwi MacMillan Group GmbH</t>
  </si>
  <si>
    <t>JYN</t>
  </si>
  <si>
    <t>Joyn - It Informationstechnologie Gmbh</t>
  </si>
  <si>
    <t>KAA</t>
  </si>
  <si>
    <t>Kaak Group</t>
  </si>
  <si>
    <t>KAE</t>
  </si>
  <si>
    <t>KAESER Kompressoren SE</t>
  </si>
  <si>
    <t>KAI</t>
  </si>
  <si>
    <t>Kaiser GmbH &amp; Co. KG</t>
  </si>
  <si>
    <t>KAK</t>
  </si>
  <si>
    <t>Kenyon &amp; Kenyon LLP</t>
  </si>
  <si>
    <t>KAL</t>
  </si>
  <si>
    <t>Kaleidoscope Communications Solutions GmbH</t>
  </si>
  <si>
    <t>KAP</t>
  </si>
  <si>
    <t>Kaplan, Inc</t>
  </si>
  <si>
    <t>KAR</t>
  </si>
  <si>
    <t>Edelman</t>
  </si>
  <si>
    <t>KAS</t>
  </si>
  <si>
    <t>Kawaju Akashi Service K.K.</t>
  </si>
  <si>
    <t>KAU</t>
  </si>
  <si>
    <t>Kaupthing Bank</t>
  </si>
  <si>
    <t>KAW</t>
  </si>
  <si>
    <t>Kawasaki Motors Corporation</t>
  </si>
  <si>
    <t>KBA</t>
  </si>
  <si>
    <t>Knorr-Bremse AG</t>
  </si>
  <si>
    <t>KBC</t>
  </si>
  <si>
    <t>KBC Bank and Insurance Holding Company nv</t>
  </si>
  <si>
    <t>KBP</t>
  </si>
  <si>
    <t>KBS+P Canada Inc</t>
  </si>
  <si>
    <t>KBT</t>
  </si>
  <si>
    <t>KBA Training Centre Pte Ltd</t>
  </si>
  <si>
    <t>KBU</t>
  </si>
  <si>
    <t>KircherBurkhardt GMBH</t>
  </si>
  <si>
    <t>KCC</t>
  </si>
  <si>
    <t>Kimberly-Clark Corporation</t>
  </si>
  <si>
    <t>KCI</t>
  </si>
  <si>
    <t>Kinetic Concepts, Inc.</t>
  </si>
  <si>
    <t>KCL</t>
  </si>
  <si>
    <t>Kosan Crisplant</t>
  </si>
  <si>
    <t>KCP</t>
  </si>
  <si>
    <t>KC Lux SARL</t>
  </si>
  <si>
    <t>KDK</t>
  </si>
  <si>
    <t>Eastman Kodak Company</t>
  </si>
  <si>
    <t>KE0</t>
  </si>
  <si>
    <t>Keyence Corporation.</t>
  </si>
  <si>
    <t>KEG</t>
  </si>
  <si>
    <t>Kind en Gezin</t>
  </si>
  <si>
    <t>KEL</t>
  </si>
  <si>
    <t>Kent Lyons Ltd</t>
  </si>
  <si>
    <t>KEM</t>
  </si>
  <si>
    <t>KEMA</t>
  </si>
  <si>
    <t>KEN</t>
  </si>
  <si>
    <t>Blanchard Training &amp; Development, Inc</t>
  </si>
  <si>
    <t>KER</t>
  </si>
  <si>
    <t>Kern AG</t>
  </si>
  <si>
    <t>KEX</t>
  </si>
  <si>
    <t>Kenexa Corporation</t>
  </si>
  <si>
    <t>KEY</t>
  </si>
  <si>
    <t>KeyCorp</t>
  </si>
  <si>
    <t>KFC</t>
  </si>
  <si>
    <t>Kofax plc</t>
  </si>
  <si>
    <t>KGF</t>
  </si>
  <si>
    <t>Kingfisher plc</t>
  </si>
  <si>
    <t>KHY</t>
  </si>
  <si>
    <t>Khayal Consultants</t>
  </si>
  <si>
    <t>KIA</t>
  </si>
  <si>
    <t>Kia Canada</t>
  </si>
  <si>
    <t>KIN</t>
  </si>
  <si>
    <t>Kinko's Inc</t>
  </si>
  <si>
    <t>KIO</t>
  </si>
  <si>
    <t>Kion Group GmbH</t>
  </si>
  <si>
    <t>KIS</t>
  </si>
  <si>
    <t>Kinnser Software</t>
  </si>
  <si>
    <t>KIZ</t>
  </si>
  <si>
    <t>Kioritz Corporation</t>
  </si>
  <si>
    <t>KLA</t>
  </si>
  <si>
    <t>Koninklijke Landmacht</t>
  </si>
  <si>
    <t>KLC</t>
  </si>
  <si>
    <t>Klöckner-Werke AG</t>
  </si>
  <si>
    <t>KLE</t>
  </si>
  <si>
    <t>Kleertjes.com B.V.</t>
  </si>
  <si>
    <t>KLG</t>
  </si>
  <si>
    <t>Kellogg Company</t>
  </si>
  <si>
    <t>KLI</t>
  </si>
  <si>
    <t>Klingelnberg AG</t>
  </si>
  <si>
    <t>KLR</t>
  </si>
  <si>
    <t>Klarna AB</t>
  </si>
  <si>
    <t>KLS</t>
  </si>
  <si>
    <t>KLS Nederland BV</t>
  </si>
  <si>
    <t>KMI</t>
  </si>
  <si>
    <t>Konica Minolta, Inc</t>
  </si>
  <si>
    <t>KMU</t>
  </si>
  <si>
    <t>Komatsu Ltd</t>
  </si>
  <si>
    <t>KNF</t>
  </si>
  <si>
    <t>Komisja Nadzoru Finansowego</t>
  </si>
  <si>
    <t>KNI</t>
  </si>
  <si>
    <t>KNI A/S</t>
  </si>
  <si>
    <t>KNT</t>
  </si>
  <si>
    <t>Koninklijke Nooteboom Trailers BV</t>
  </si>
  <si>
    <t>KOB</t>
  </si>
  <si>
    <t>Kobe Steel, Ltd.</t>
  </si>
  <si>
    <t>KOC</t>
  </si>
  <si>
    <t>Kone Corporation</t>
  </si>
  <si>
    <t>KOG</t>
  </si>
  <si>
    <t>Kongsberg Gruppen ASA</t>
  </si>
  <si>
    <t>KOH</t>
  </si>
  <si>
    <t>Kohler Co</t>
  </si>
  <si>
    <t>KOK</t>
  </si>
  <si>
    <t>Dansk Landbrugs Grovvareselskab A.M.B.A</t>
  </si>
  <si>
    <t>KOM</t>
  </si>
  <si>
    <t>Komercni Banka AS</t>
  </si>
  <si>
    <t>KON</t>
  </si>
  <si>
    <t>Konami</t>
  </si>
  <si>
    <t>KOO</t>
  </si>
  <si>
    <t>GOLDEN EGG COMMUNICATION PTY. LTD.</t>
  </si>
  <si>
    <t>KPC</t>
  </si>
  <si>
    <t>Kuwait Petroleum Corporation</t>
  </si>
  <si>
    <t>KPM</t>
  </si>
  <si>
    <t>Kaiser Permanente</t>
  </si>
  <si>
    <t>KPN</t>
  </si>
  <si>
    <t>Koninklijke KPN N.V</t>
  </si>
  <si>
    <t>KRA</t>
  </si>
  <si>
    <t>Kramp Groep B.V.</t>
  </si>
  <si>
    <t>KRC</t>
  </si>
  <si>
    <t>Kairos Commodities A/S</t>
  </si>
  <si>
    <t>KRE</t>
  </si>
  <si>
    <t>Koninklijke Reesink N.V.</t>
  </si>
  <si>
    <t>KRO</t>
  </si>
  <si>
    <t>Krones AG</t>
  </si>
  <si>
    <t>KRY</t>
  </si>
  <si>
    <t>Kroymans Corporation B.V.</t>
  </si>
  <si>
    <t>KSB</t>
  </si>
  <si>
    <t>KSB AG</t>
  </si>
  <si>
    <t>KSC</t>
  </si>
  <si>
    <t>keller-sports.com GmbH</t>
  </si>
  <si>
    <t>KSP</t>
  </si>
  <si>
    <t>Kaspersky Lab</t>
  </si>
  <si>
    <t>KST</t>
  </si>
  <si>
    <t>Karl Storz GmbH</t>
  </si>
  <si>
    <t>KSW</t>
  </si>
  <si>
    <t>Kawasaki Heavy Industries, Ltd.</t>
  </si>
  <si>
    <t>KTG</t>
  </si>
  <si>
    <t>Kensington Technology Group</t>
  </si>
  <si>
    <t>KTM</t>
  </si>
  <si>
    <t>KTM-Sportmotorcycle AG</t>
  </si>
  <si>
    <t>KUB</t>
  </si>
  <si>
    <t>Kubota Corporation</t>
  </si>
  <si>
    <t>KUK</t>
  </si>
  <si>
    <t>KUKA AG</t>
  </si>
  <si>
    <t>KUS</t>
  </si>
  <si>
    <t>Khalifa University of Science, Techn. &amp; Research</t>
  </si>
  <si>
    <t>KVH</t>
  </si>
  <si>
    <t>KVH Co., Ltd</t>
  </si>
  <si>
    <t>KYO</t>
  </si>
  <si>
    <t>Kyocera Corporation</t>
  </si>
  <si>
    <t>LAB</t>
  </si>
  <si>
    <t xml:space="preserve">Lord, Abbett &amp; Co. LLC </t>
  </si>
  <si>
    <t>LAC</t>
  </si>
  <si>
    <t>LA Care</t>
  </si>
  <si>
    <t>LAD</t>
  </si>
  <si>
    <t>Ladbrokes Plc</t>
  </si>
  <si>
    <t>LAE</t>
  </si>
  <si>
    <t>Laerdal Medical AS</t>
  </si>
  <si>
    <t>LAG</t>
  </si>
  <si>
    <t>Linde AG</t>
  </si>
  <si>
    <t>LAI</t>
  </si>
  <si>
    <t>Laitram Corporation</t>
  </si>
  <si>
    <t>LAL</t>
  </si>
  <si>
    <t>L&amp;L BV</t>
  </si>
  <si>
    <t>LAM</t>
  </si>
  <si>
    <t>Lam Research Corporation</t>
  </si>
  <si>
    <t>LAN</t>
  </si>
  <si>
    <t>LANDWIND INTERNATIONAL MEDICAL SCIENCE PTE. LTD.</t>
  </si>
  <si>
    <t>LAP</t>
  </si>
  <si>
    <t>Lapp Holding AG</t>
  </si>
  <si>
    <t>LAS</t>
  </si>
  <si>
    <t>Lason, Inc.</t>
  </si>
  <si>
    <t>LAW</t>
  </si>
  <si>
    <t>Lawson Software Inc</t>
  </si>
  <si>
    <t>LAZ</t>
  </si>
  <si>
    <t>Lazard Ltd</t>
  </si>
  <si>
    <t>LBI</t>
  </si>
  <si>
    <t>LBI International AB</t>
  </si>
  <si>
    <t>LBP</t>
  </si>
  <si>
    <t>Law Bulletin Publishing Co Inc</t>
  </si>
  <si>
    <t>LCG</t>
  </si>
  <si>
    <t>Loders Croklaan Group B V</t>
  </si>
  <si>
    <t>LCH</t>
  </si>
  <si>
    <t>Los Angeles County Department of Health Services</t>
  </si>
  <si>
    <t>LCM</t>
  </si>
  <si>
    <t>Landsbond der Christelijke Mutualiteiten</t>
  </si>
  <si>
    <t>LCP</t>
  </si>
  <si>
    <t>Loblaw Companies Limited</t>
  </si>
  <si>
    <t>LCS</t>
  </si>
  <si>
    <t>LocaSoft GmbH</t>
  </si>
  <si>
    <t>LDN</t>
  </si>
  <si>
    <t>LINKdotNET</t>
  </si>
  <si>
    <t>LDS</t>
  </si>
  <si>
    <t>LDS Church</t>
  </si>
  <si>
    <t>LEA</t>
  </si>
  <si>
    <t>Hexagon AB</t>
  </si>
  <si>
    <t>LEB</t>
  </si>
  <si>
    <t>Lebhar-Friedman, Inc.</t>
  </si>
  <si>
    <t>LEC</t>
  </si>
  <si>
    <t>Leica Camera AG</t>
  </si>
  <si>
    <t>LEG</t>
  </si>
  <si>
    <t>Lego Group (The)</t>
  </si>
  <si>
    <t>LEI</t>
  </si>
  <si>
    <t>Leica Vectronix AG</t>
  </si>
  <si>
    <t>LEN</t>
  </si>
  <si>
    <t>Lenhardt Maschinenbau GmbH</t>
  </si>
  <si>
    <t>LEO</t>
  </si>
  <si>
    <t>Ledermann GmbH</t>
  </si>
  <si>
    <t>LEP</t>
  </si>
  <si>
    <t>Letterpart Ltd</t>
  </si>
  <si>
    <t>LES</t>
  </si>
  <si>
    <t>@Leisure-NH B.V.</t>
  </si>
  <si>
    <t>LET</t>
  </si>
  <si>
    <t>Leitner AG</t>
  </si>
  <si>
    <t>LEV</t>
  </si>
  <si>
    <t>Level 3 Communications Inc</t>
  </si>
  <si>
    <t>LEX</t>
  </si>
  <si>
    <t>Lexmark International Inc.</t>
  </si>
  <si>
    <t>LFG</t>
  </si>
  <si>
    <t>Les Frogs</t>
  </si>
  <si>
    <t>LFW</t>
  </si>
  <si>
    <t>Loftwork Inc</t>
  </si>
  <si>
    <t>LGA</t>
  </si>
  <si>
    <t>Les Gemmologistes associés OCYM Inc.</t>
  </si>
  <si>
    <t>LGE</t>
  </si>
  <si>
    <t>LG Group</t>
  </si>
  <si>
    <t>LGN</t>
  </si>
  <si>
    <t>Lexign Inc</t>
  </si>
  <si>
    <t>LGS</t>
  </si>
  <si>
    <t>Logrus International Corp.</t>
  </si>
  <si>
    <t>LGT</t>
  </si>
  <si>
    <t>LG-Nortel Co. Ltd.</t>
  </si>
  <si>
    <t>LHN</t>
  </si>
  <si>
    <t>LeftHand Networks Inc</t>
  </si>
  <si>
    <t>LHO</t>
  </si>
  <si>
    <t>Louvre Hotels</t>
  </si>
  <si>
    <t>LIB</t>
  </si>
  <si>
    <t>Liberate</t>
  </si>
  <si>
    <t>LID</t>
  </si>
  <si>
    <t>SBG Lidl GmbH &amp; Co. KG</t>
  </si>
  <si>
    <t>LIE</t>
  </si>
  <si>
    <t>Lorien plc</t>
  </si>
  <si>
    <t>LIF</t>
  </si>
  <si>
    <t>Life Technologies Corp</t>
  </si>
  <si>
    <t>LIM</t>
  </si>
  <si>
    <t>Linamar Corporation Inc.</t>
  </si>
  <si>
    <t>LIQ</t>
  </si>
  <si>
    <t>Liquent Inc.</t>
  </si>
  <si>
    <t>LIT</t>
  </si>
  <si>
    <t>LUSCHER ITALIA SRL</t>
  </si>
  <si>
    <t>LIX</t>
  </si>
  <si>
    <t>L-3 Communications Holdings, Inc.</t>
  </si>
  <si>
    <t>LKD</t>
  </si>
  <si>
    <t>Logo GmbH &amp; Co. KG, a GretagMacBeth Group Company</t>
  </si>
  <si>
    <t>LKE</t>
  </si>
  <si>
    <t>Luckie &amp; Company</t>
  </si>
  <si>
    <t>LL1</t>
  </si>
  <si>
    <t>The Leukemia &amp; Lymphoma Society</t>
  </si>
  <si>
    <t>LLI</t>
  </si>
  <si>
    <t>Lunar Logic, Inc.</t>
  </si>
  <si>
    <t>LLO</t>
  </si>
  <si>
    <t>Lloyd International Ltd.</t>
  </si>
  <si>
    <t>LLS</t>
  </si>
  <si>
    <t>LinguaLinx Language Solutions, Inc.</t>
  </si>
  <si>
    <t>LMC</t>
  </si>
  <si>
    <t>Lockheed Martin Corporation</t>
  </si>
  <si>
    <t>LMI</t>
  </si>
  <si>
    <t>Liberty Mutual Insurance Company</t>
  </si>
  <si>
    <t>LMX</t>
  </si>
  <si>
    <t>Luminex Corporation</t>
  </si>
  <si>
    <t>LNC</t>
  </si>
  <si>
    <t>Lincoln National Corporation</t>
  </si>
  <si>
    <t>LNG</t>
  </si>
  <si>
    <t>Linguanet Inc</t>
  </si>
  <si>
    <t>LNK</t>
  </si>
  <si>
    <t>LinkedIn Corporation</t>
  </si>
  <si>
    <t>LNS</t>
  </si>
  <si>
    <t>Lions Club International Inc</t>
  </si>
  <si>
    <t>LOC</t>
  </si>
  <si>
    <t>Local Matters, Inc.</t>
  </si>
  <si>
    <t>LOG</t>
  </si>
  <si>
    <t>LogicaCMG plc</t>
  </si>
  <si>
    <t>LOI</t>
  </si>
  <si>
    <t>Lomac, Inc.</t>
  </si>
  <si>
    <t>LOR</t>
  </si>
  <si>
    <t>L'Oréal SA</t>
  </si>
  <si>
    <t>LOT</t>
  </si>
  <si>
    <t>Logitrade SAS</t>
  </si>
  <si>
    <t>LOW</t>
  </si>
  <si>
    <t>Lowrance Electronics, Inc</t>
  </si>
  <si>
    <t>LPG</t>
  </si>
  <si>
    <t>La Poste Group</t>
  </si>
  <si>
    <t>LPH</t>
  </si>
  <si>
    <t>LEO Pharma Denmark</t>
  </si>
  <si>
    <t>LPL</t>
  </si>
  <si>
    <t>Little Planet Learning, Inc</t>
  </si>
  <si>
    <t>LRG</t>
  </si>
  <si>
    <t>Lloyd's Register Group</t>
  </si>
  <si>
    <t>LRN</t>
  </si>
  <si>
    <t>LRN Corporation</t>
  </si>
  <si>
    <t>LSA</t>
  </si>
  <si>
    <t>Language Service Associates</t>
  </si>
  <si>
    <t>LSC</t>
  </si>
  <si>
    <t>Learning and Teaching Scotland</t>
  </si>
  <si>
    <t>LSG</t>
  </si>
  <si>
    <t>Leder &amp; Schuh Group</t>
  </si>
  <si>
    <t>LSZ</t>
  </si>
  <si>
    <t>Limited Brands, Inc.</t>
  </si>
  <si>
    <t>LTA</t>
  </si>
  <si>
    <t>Lectra S.A.</t>
  </si>
  <si>
    <t>LTC</t>
  </si>
  <si>
    <t>Logitech International S.A.</t>
  </si>
  <si>
    <t>LUC</t>
  </si>
  <si>
    <t>Alcatel-Lucent</t>
  </si>
  <si>
    <t>LUK</t>
  </si>
  <si>
    <t>Luk Group</t>
  </si>
  <si>
    <t>LUL</t>
  </si>
  <si>
    <t>Lulu Enterprises, Inc.</t>
  </si>
  <si>
    <t>LUM</t>
  </si>
  <si>
    <t>Leids Universitair Medisch Centrum</t>
  </si>
  <si>
    <t>LUS</t>
  </si>
  <si>
    <t>Lust Antriebstechnik GmbH</t>
  </si>
  <si>
    <t>LUT</t>
  </si>
  <si>
    <t>LUTO Research Ltd.</t>
  </si>
  <si>
    <t>LUX</t>
  </si>
  <si>
    <t>Luxus Advertising</t>
  </si>
  <si>
    <t>LUZ</t>
  </si>
  <si>
    <t>LUZ Inc.</t>
  </si>
  <si>
    <t>LVM</t>
  </si>
  <si>
    <t>LVMH Moët Hennessy Louis Vuitton S.A.</t>
  </si>
  <si>
    <t>LVO</t>
  </si>
  <si>
    <t>Lenovo Group Limited</t>
  </si>
  <si>
    <t>LWR</t>
  </si>
  <si>
    <t>Language Weaver Inc.</t>
  </si>
  <si>
    <t>LXM</t>
  </si>
  <si>
    <t>Lexar Media, Inc.</t>
  </si>
  <si>
    <t>LYC</t>
  </si>
  <si>
    <t>Loyalist College</t>
  </si>
  <si>
    <t>LYN</t>
  </si>
  <si>
    <t>Lynx Group plc</t>
  </si>
  <si>
    <t>M&amp;C</t>
  </si>
  <si>
    <t>Martel et Compagnie</t>
  </si>
  <si>
    <t>M8S</t>
  </si>
  <si>
    <t>Marks &amp; Spencer plc</t>
  </si>
  <si>
    <t>MA0</t>
  </si>
  <si>
    <t>Marosel B.V.</t>
  </si>
  <si>
    <t>MAA</t>
  </si>
  <si>
    <t>General Assembly, Maryland</t>
  </si>
  <si>
    <t>MAB</t>
  </si>
  <si>
    <t>MCB Bank Ltd</t>
  </si>
  <si>
    <t>MAC</t>
  </si>
  <si>
    <t>McDonald's Corporation</t>
  </si>
  <si>
    <t>MÆL</t>
  </si>
  <si>
    <t xml:space="preserve">A.P. Møller - Mærsk A/S </t>
  </si>
  <si>
    <t>MAG</t>
  </si>
  <si>
    <t>Magneti Marelli GmbH</t>
  </si>
  <si>
    <t>MAH</t>
  </si>
  <si>
    <t>Mashreqbank PSC</t>
  </si>
  <si>
    <t>MAI</t>
  </si>
  <si>
    <t>Manutan International</t>
  </si>
  <si>
    <t>MAJ</t>
  </si>
  <si>
    <t>Majestic Wine PLC</t>
  </si>
  <si>
    <t>MAK</t>
  </si>
  <si>
    <t>Maximuscle Ltd</t>
  </si>
  <si>
    <t>MAL</t>
  </si>
  <si>
    <t>Maple Leaf Foods</t>
  </si>
  <si>
    <t>MAM</t>
  </si>
  <si>
    <t>Mammoet Holding B.V.</t>
  </si>
  <si>
    <t>MAN</t>
  </si>
  <si>
    <t>Manipulation A/S</t>
  </si>
  <si>
    <t>MAP</t>
  </si>
  <si>
    <t>MAPA</t>
  </si>
  <si>
    <t>MAR</t>
  </si>
  <si>
    <t>Maritz Inc.</t>
  </si>
  <si>
    <t>MAS</t>
  </si>
  <si>
    <t>MasterCard Inc.</t>
  </si>
  <si>
    <t>MAT</t>
  </si>
  <si>
    <t>MathSoft Engineering &amp; Education Inc</t>
  </si>
  <si>
    <t>MAU</t>
  </si>
  <si>
    <t>Maury Imprimeur Sa</t>
  </si>
  <si>
    <t>MAW</t>
  </si>
  <si>
    <t>Make-A-Wish Foundation UK</t>
  </si>
  <si>
    <t>MAX</t>
  </si>
  <si>
    <t>Maxager Technology Inc</t>
  </si>
  <si>
    <t>MAZ</t>
  </si>
  <si>
    <t>Mazda Motor Corporation</t>
  </si>
  <si>
    <t>MBA</t>
  </si>
  <si>
    <t>Martin-Baker Aircraft Company Ltd</t>
  </si>
  <si>
    <t>MBI</t>
  </si>
  <si>
    <t>MEGA Brands Inc</t>
  </si>
  <si>
    <t>MBS</t>
  </si>
  <si>
    <t>Mobius Management Systems Inc</t>
  </si>
  <si>
    <t>MC0</t>
  </si>
  <si>
    <t>Municipal Code Corporation</t>
  </si>
  <si>
    <t>MC1</t>
  </si>
  <si>
    <t>Macmillan Cancer Support</t>
  </si>
  <si>
    <t>MCA</t>
  </si>
  <si>
    <t>McAfee Inc</t>
  </si>
  <si>
    <t>MCB</t>
  </si>
  <si>
    <t>Morgan Crucible Company plc</t>
  </si>
  <si>
    <t>MCC</t>
  </si>
  <si>
    <t>McCann-Erikson Worldwide inc</t>
  </si>
  <si>
    <t>MCE</t>
  </si>
  <si>
    <t>MICE Group plc</t>
  </si>
  <si>
    <t>MCH</t>
  </si>
  <si>
    <t>March Networks Corporation</t>
  </si>
  <si>
    <t>MCI</t>
  </si>
  <si>
    <t>MSC  Crociere S.A.</t>
  </si>
  <si>
    <t>MCK</t>
  </si>
  <si>
    <t>McKinsey &amp; Company</t>
  </si>
  <si>
    <t>MCL</t>
  </si>
  <si>
    <t>Mincom Limited</t>
  </si>
  <si>
    <t>MCM</t>
  </si>
  <si>
    <t>Macromedia Inc</t>
  </si>
  <si>
    <t>MCN</t>
  </si>
  <si>
    <t>MusicNet, Inc.</t>
  </si>
  <si>
    <t>MCO</t>
  </si>
  <si>
    <t>Emco Specialty Products Inc</t>
  </si>
  <si>
    <t>MCR</t>
  </si>
  <si>
    <t>Macrovision Corporation</t>
  </si>
  <si>
    <t>MCS</t>
  </si>
  <si>
    <t>Marcom Service Klein</t>
  </si>
  <si>
    <t>MCU</t>
  </si>
  <si>
    <t>Marie Curie Cancer Care</t>
  </si>
  <si>
    <t>MCW</t>
  </si>
  <si>
    <t>Macaw Technologies B.V.</t>
  </si>
  <si>
    <t>MDA</t>
  </si>
  <si>
    <t>Miami Dade College</t>
  </si>
  <si>
    <t>MDC</t>
  </si>
  <si>
    <t>M.D.C. Holdings, Inc.</t>
  </si>
  <si>
    <t>MDL</t>
  </si>
  <si>
    <t>Medline</t>
  </si>
  <si>
    <t>MDN</t>
  </si>
  <si>
    <t>Made in Design SAS</t>
  </si>
  <si>
    <t>MDS</t>
  </si>
  <si>
    <t xml:space="preserve">Mindways Software, Inc. </t>
  </si>
  <si>
    <t>MDT</t>
  </si>
  <si>
    <t>McDATA Corporation</t>
  </si>
  <si>
    <t>MEA</t>
  </si>
  <si>
    <t>Meadwell Ltd</t>
  </si>
  <si>
    <t>MED</t>
  </si>
  <si>
    <t>Medtronic Inc.</t>
  </si>
  <si>
    <t>MEG</t>
  </si>
  <si>
    <t>Makheia Group</t>
  </si>
  <si>
    <t>MEK</t>
  </si>
  <si>
    <t>Mekon Ltd.</t>
  </si>
  <si>
    <t>MEL</t>
  </si>
  <si>
    <t>Melco Holdings Inc</t>
  </si>
  <si>
    <t>MEM</t>
  </si>
  <si>
    <t>Medi Ambient</t>
  </si>
  <si>
    <t>MEN</t>
  </si>
  <si>
    <t>Mensante Corporation</t>
  </si>
  <si>
    <t>MEO</t>
  </si>
  <si>
    <t>Medinor A/S</t>
  </si>
  <si>
    <t>MEP</t>
  </si>
  <si>
    <t>ALM Media Properties, LLC</t>
  </si>
  <si>
    <t>MER</t>
  </si>
  <si>
    <t>Mercury Interactive Corporation</t>
  </si>
  <si>
    <t>MES</t>
  </si>
  <si>
    <t>MESA</t>
  </si>
  <si>
    <t>MET</t>
  </si>
  <si>
    <t>Mettler - Toledo International Inc.</t>
  </si>
  <si>
    <t>MFC</t>
  </si>
  <si>
    <t>Micro Focus International plc</t>
  </si>
  <si>
    <t>MFG</t>
  </si>
  <si>
    <t>MFG.com, Inc</t>
  </si>
  <si>
    <t>MFI</t>
  </si>
  <si>
    <t>MINEFI</t>
  </si>
  <si>
    <t>MFR</t>
  </si>
  <si>
    <t>Maus Frères S.A.</t>
  </si>
  <si>
    <t>MGA</t>
  </si>
  <si>
    <t>MGM</t>
  </si>
  <si>
    <t>MGB</t>
  </si>
  <si>
    <t>Motion Global Ltd</t>
  </si>
  <si>
    <t>MGL</t>
  </si>
  <si>
    <t>McLaren Group Ltd.</t>
  </si>
  <si>
    <t>MGM Mirage Inc</t>
  </si>
  <si>
    <t>MHC</t>
  </si>
  <si>
    <t>Mitsubishi Chemical Holdings Corporation</t>
  </si>
  <si>
    <t>MHE</t>
  </si>
  <si>
    <t>MHR</t>
  </si>
  <si>
    <t>Le Meridien Hotels &amp; Resorts Limited</t>
  </si>
  <si>
    <t>MIA</t>
  </si>
  <si>
    <t>Moving Interactive LLC</t>
  </si>
  <si>
    <t>MIB</t>
  </si>
  <si>
    <t>Mirabeau B.V.</t>
  </si>
  <si>
    <t>MIC</t>
  </si>
  <si>
    <t>Microsoft Corporation</t>
  </si>
  <si>
    <t>MID</t>
  </si>
  <si>
    <t>Midasplayer.com Ltd</t>
  </si>
  <si>
    <t>MIE</t>
  </si>
  <si>
    <t>Miele &amp; Cie KG</t>
  </si>
  <si>
    <t>MIF</t>
  </si>
  <si>
    <t>Mitsubishi UFJ Financial Group, Inc.</t>
  </si>
  <si>
    <t>MIG</t>
  </si>
  <si>
    <t>Migros Group</t>
  </si>
  <si>
    <t>MII</t>
  </si>
  <si>
    <t>Mib, Inc</t>
  </si>
  <si>
    <t>MIL</t>
  </si>
  <si>
    <t>Compagnie Générale des Établissements Michelin</t>
  </si>
  <si>
    <t>MIN</t>
  </si>
  <si>
    <t>Mindscape</t>
  </si>
  <si>
    <t>MIO</t>
  </si>
  <si>
    <t>MapInfo Corporation</t>
  </si>
  <si>
    <t>MIR</t>
  </si>
  <si>
    <t>Mirapoint, Inc.</t>
  </si>
  <si>
    <t>MIS</t>
  </si>
  <si>
    <t>MISE Corporation</t>
  </si>
  <si>
    <t>MIT</t>
  </si>
  <si>
    <t>Mitsubishi Electric Corporation</t>
  </si>
  <si>
    <t>MIU</t>
  </si>
  <si>
    <t>Middlesex University</t>
  </si>
  <si>
    <t>MIV</t>
  </si>
  <si>
    <t>Ministeriet for Forskning, Innovation og Videregående Uddannelser</t>
  </si>
  <si>
    <t>MIX</t>
  </si>
  <si>
    <t>Mix Logistik GmbH</t>
  </si>
  <si>
    <t>MKC</t>
  </si>
  <si>
    <t>McKing Consulting Corporation</t>
  </si>
  <si>
    <t>MKH</t>
  </si>
  <si>
    <t>Marrakech Ltd</t>
  </si>
  <si>
    <t>MKN</t>
  </si>
  <si>
    <t>McKesson Corporation</t>
  </si>
  <si>
    <t>MKT</t>
  </si>
  <si>
    <t>MarketTools, Inc.</t>
  </si>
  <si>
    <t>MKV</t>
  </si>
  <si>
    <t>Marking Services, Inc.</t>
  </si>
  <si>
    <t>MLC</t>
  </si>
  <si>
    <t>MLF</t>
  </si>
  <si>
    <t>MetLife, Inc.</t>
  </si>
  <si>
    <t>MLL</t>
  </si>
  <si>
    <t>Merrill Corporation</t>
  </si>
  <si>
    <t>MLN</t>
  </si>
  <si>
    <t>Milliken &amp; Company</t>
  </si>
  <si>
    <t>MLS</t>
  </si>
  <si>
    <t>Milestone Systems A/S</t>
  </si>
  <si>
    <t>MMA</t>
  </si>
  <si>
    <t>Müller Martini AG</t>
  </si>
  <si>
    <t>MMC</t>
  </si>
  <si>
    <t>Marsh &amp; McLennan Companies, Inc.</t>
  </si>
  <si>
    <t>MMI</t>
  </si>
  <si>
    <t>Master International A/S</t>
  </si>
  <si>
    <t>MML</t>
  </si>
  <si>
    <t>Momail AB</t>
  </si>
  <si>
    <t>MMM</t>
  </si>
  <si>
    <t>McMaster-Carr Supply Company</t>
  </si>
  <si>
    <t>MMO</t>
  </si>
  <si>
    <t>Masimo Corporation</t>
  </si>
  <si>
    <t>MMU</t>
  </si>
  <si>
    <t>The Metropolitan Museum of Art</t>
  </si>
  <si>
    <t>MNB</t>
  </si>
  <si>
    <t>Minube.Com</t>
  </si>
  <si>
    <t>MNC</t>
  </si>
  <si>
    <t>Mitel Networks Corporation</t>
  </si>
  <si>
    <t>MND</t>
  </si>
  <si>
    <t>Mindware Co Ltd</t>
  </si>
  <si>
    <t>MNF</t>
  </si>
  <si>
    <t>MAN AG</t>
  </si>
  <si>
    <t>MNM</t>
  </si>
  <si>
    <t>Mitchell &amp; McCue</t>
  </si>
  <si>
    <t>MNS</t>
  </si>
  <si>
    <t>Mn Services N.V.</t>
  </si>
  <si>
    <t>MNT</t>
  </si>
  <si>
    <t>Mentor Graphics Corporation</t>
  </si>
  <si>
    <t>MOB</t>
  </si>
  <si>
    <t>Mobivia Groupe</t>
  </si>
  <si>
    <t>MOG</t>
  </si>
  <si>
    <t xml:space="preserve">Mandarin Oriental International Limited </t>
  </si>
  <si>
    <t>MOH</t>
  </si>
  <si>
    <t>Mohawk Industries, Inc.</t>
  </si>
  <si>
    <t>MON</t>
  </si>
  <si>
    <t>Montréal International</t>
  </si>
  <si>
    <t>MOR</t>
  </si>
  <si>
    <t>Morgan Stanley</t>
  </si>
  <si>
    <t>MOS</t>
  </si>
  <si>
    <t>Hyundai Mobis</t>
  </si>
  <si>
    <t>MOT</t>
  </si>
  <si>
    <t>Motive Communication Inc.</t>
  </si>
  <si>
    <t>MOU</t>
  </si>
  <si>
    <t>Mouchel Group plc</t>
  </si>
  <si>
    <t>MOV</t>
  </si>
  <si>
    <t>Move, Inc</t>
  </si>
  <si>
    <t>MP3</t>
  </si>
  <si>
    <t>MP3.com Inc</t>
  </si>
  <si>
    <t>MPC</t>
  </si>
  <si>
    <t>Mitsumura Printing Company Ltd</t>
  </si>
  <si>
    <t>MPI</t>
  </si>
  <si>
    <t>MAPI Research Institute</t>
  </si>
  <si>
    <t>MPO</t>
  </si>
  <si>
    <t>Manpower Inc.</t>
  </si>
  <si>
    <t>MPR</t>
  </si>
  <si>
    <t>Millipore Corporation</t>
  </si>
  <si>
    <t>MPS</t>
  </si>
  <si>
    <t>Montgomery Public Schools</t>
  </si>
  <si>
    <t>MRA</t>
  </si>
  <si>
    <t>Matra</t>
  </si>
  <si>
    <t>MRB</t>
  </si>
  <si>
    <t>Maruboshi Co., Ltd</t>
  </si>
  <si>
    <t>MRC</t>
  </si>
  <si>
    <t>Merck &amp; Co, Inc.</t>
  </si>
  <si>
    <t>MRD</t>
  </si>
  <si>
    <t>Marshad Enterprises Inc</t>
  </si>
  <si>
    <t>MRE</t>
  </si>
  <si>
    <t>Macintosh Retail Group N.V.</t>
  </si>
  <si>
    <t>MRG</t>
  </si>
  <si>
    <t>Münchener Rückversicherungs-Gesellschaft AG</t>
  </si>
  <si>
    <t>MRK</t>
  </si>
  <si>
    <t>Merck KGaA</t>
  </si>
  <si>
    <t>MRL</t>
  </si>
  <si>
    <t>Motorola Inc.</t>
  </si>
  <si>
    <t>MRM</t>
  </si>
  <si>
    <t>Mindray Medical International Limited</t>
  </si>
  <si>
    <t>MRN</t>
  </si>
  <si>
    <t>Merten GmbH &amp; Co.</t>
  </si>
  <si>
    <t>MRS</t>
  </si>
  <si>
    <t>MicroStrategy Inc</t>
  </si>
  <si>
    <t>MRT</t>
  </si>
  <si>
    <t>Marriott International, Inc</t>
  </si>
  <si>
    <t>MSB</t>
  </si>
  <si>
    <t>Mid and South Bedfordshire District Councils</t>
  </si>
  <si>
    <t>MSD</t>
  </si>
  <si>
    <t>marketing solutions direkt</t>
  </si>
  <si>
    <t>MSF</t>
  </si>
  <si>
    <t>Medecins Sans Frontieres</t>
  </si>
  <si>
    <t>MSG</t>
  </si>
  <si>
    <t>Music Sales Group Ltd</t>
  </si>
  <si>
    <t>MSI</t>
  </si>
  <si>
    <t>MSI Informatique</t>
  </si>
  <si>
    <t>MSL</t>
  </si>
  <si>
    <t>Médisolution Ltée</t>
  </si>
  <si>
    <t>MSM</t>
  </si>
  <si>
    <t>Misumi Group Inc</t>
  </si>
  <si>
    <t>MSS</t>
  </si>
  <si>
    <t>Message Systems, Inc.</t>
  </si>
  <si>
    <t>MSY</t>
  </si>
  <si>
    <t>Misys plc</t>
  </si>
  <si>
    <t>MTA</t>
  </si>
  <si>
    <t>MetaSolv Software Inc</t>
  </si>
  <si>
    <t>MTC</t>
  </si>
  <si>
    <t>Metso Corporation</t>
  </si>
  <si>
    <t>MTD</t>
  </si>
  <si>
    <t>Mindtree Limited</t>
  </si>
  <si>
    <t>MTG</t>
  </si>
  <si>
    <t>Metro AG</t>
  </si>
  <si>
    <t>MTK</t>
  </si>
  <si>
    <t>Mediatek Inc.</t>
  </si>
  <si>
    <t>MTL</t>
  </si>
  <si>
    <t>Mattel Inc</t>
  </si>
  <si>
    <t>MTN</t>
  </si>
  <si>
    <t>Martin GmbH</t>
  </si>
  <si>
    <t>MTO</t>
  </si>
  <si>
    <t>N.V. Mettler-Toledo S.A.</t>
  </si>
  <si>
    <t>MTR</t>
  </si>
  <si>
    <t>Matrisen AB</t>
  </si>
  <si>
    <t>MTS</t>
  </si>
  <si>
    <t>Mitsubishi Motors Corporation</t>
  </si>
  <si>
    <t>MTV</t>
  </si>
  <si>
    <t>Viacom Inc.</t>
  </si>
  <si>
    <t>MVL</t>
  </si>
  <si>
    <t>Marvellous Entertainment Inc</t>
  </si>
  <si>
    <t>MVP</t>
  </si>
  <si>
    <t>MVP Collaborative, Inc</t>
  </si>
  <si>
    <t>MVV</t>
  </si>
  <si>
    <t>Ministerie van Verkeer en Waterstaat</t>
  </si>
  <si>
    <t>MXC</t>
  </si>
  <si>
    <t>Matrix Communications AG</t>
  </si>
  <si>
    <t>MXD</t>
  </si>
  <si>
    <t>Maxeda B.V.</t>
  </si>
  <si>
    <t>MYM</t>
  </si>
  <si>
    <t>MY Marketing</t>
  </si>
  <si>
    <t>MZW</t>
  </si>
  <si>
    <t>Markzware Inc</t>
  </si>
  <si>
    <t>NAC</t>
  </si>
  <si>
    <t>Nacco Industries Inc</t>
  </si>
  <si>
    <t>NAI</t>
  </si>
  <si>
    <t>Network AssociatesTecnology, Inc</t>
  </si>
  <si>
    <t>NAM</t>
  </si>
  <si>
    <t>National Amusements Inc.</t>
  </si>
  <si>
    <t>NAP</t>
  </si>
  <si>
    <t>Network Appliance, Inc.</t>
  </si>
  <si>
    <t>NAQ</t>
  </si>
  <si>
    <t>NASDAQ OMX</t>
  </si>
  <si>
    <t>NAR</t>
  </si>
  <si>
    <t>Nationaal Archief</t>
  </si>
  <si>
    <t>NAS</t>
  </si>
  <si>
    <t>Naval Air Systems Command</t>
  </si>
  <si>
    <t>NAT</t>
  </si>
  <si>
    <t>NATO</t>
  </si>
  <si>
    <t>NAU</t>
  </si>
  <si>
    <t>Nautilus, Inc</t>
  </si>
  <si>
    <t>NAV</t>
  </si>
  <si>
    <t xml:space="preserve">Navico Holding A.S. </t>
  </si>
  <si>
    <t>NAX</t>
  </si>
  <si>
    <t>Nataxis</t>
  </si>
  <si>
    <t>NBC</t>
  </si>
  <si>
    <t>NBC Universal, Inc.</t>
  </si>
  <si>
    <t>NBH</t>
  </si>
  <si>
    <t>Nobel Biocare Holding AG</t>
  </si>
  <si>
    <t>NBP</t>
  </si>
  <si>
    <t>NBP National Bank of Poland</t>
  </si>
  <si>
    <t>NBR</t>
  </si>
  <si>
    <t>National Bank Of Ras Al Khaima</t>
  </si>
  <si>
    <t>NBS</t>
  </si>
  <si>
    <t>Nisbets Plc</t>
  </si>
  <si>
    <t>NBT</t>
  </si>
  <si>
    <t>NBTC</t>
  </si>
  <si>
    <t>NCC</t>
  </si>
  <si>
    <t>The Nature Conservancy of Canada</t>
  </si>
  <si>
    <t>NCR</t>
  </si>
  <si>
    <t>NCR Corporation</t>
  </si>
  <si>
    <t>NCS</t>
  </si>
  <si>
    <t>Midtronics Inc.</t>
  </si>
  <si>
    <t>NDB</t>
  </si>
  <si>
    <t>Nederlandse Boek Onderneming B.V.</t>
  </si>
  <si>
    <t>NDC</t>
  </si>
  <si>
    <t>Ndc International Holding B V</t>
  </si>
  <si>
    <t>NDN</t>
  </si>
  <si>
    <t>Nitto Denko Corporation</t>
  </si>
  <si>
    <t>NE0</t>
  </si>
  <si>
    <t>NEC Corporation</t>
  </si>
  <si>
    <t>NEC</t>
  </si>
  <si>
    <t>neckermann.de GmbH</t>
  </si>
  <si>
    <t>NEF</t>
  </si>
  <si>
    <t>Net Effect Holding BV</t>
  </si>
  <si>
    <t>NEG</t>
  </si>
  <si>
    <t>Natural England</t>
  </si>
  <si>
    <t>NEL</t>
  </si>
  <si>
    <t>Nelnet, Inc.</t>
  </si>
  <si>
    <t>NEM</t>
  </si>
  <si>
    <t>Nuclear Engineering Services Ltd</t>
  </si>
  <si>
    <t>NEN</t>
  </si>
  <si>
    <t>Neschen AG</t>
  </si>
  <si>
    <t>NER</t>
  </si>
  <si>
    <t>Natural Environment Research Council</t>
  </si>
  <si>
    <t>NES</t>
  </si>
  <si>
    <t>Nestle S.A.</t>
  </si>
  <si>
    <t>NET</t>
  </si>
  <si>
    <t>Netegrity, Inc</t>
  </si>
  <si>
    <t>NEV</t>
  </si>
  <si>
    <t>Netviewer AG</t>
  </si>
  <si>
    <t>NEW</t>
  </si>
  <si>
    <t>NewsGator Technologies, Inc.</t>
  </si>
  <si>
    <t>NEX</t>
  </si>
  <si>
    <t>Nexway Co. LTD</t>
  </si>
  <si>
    <t>NFP</t>
  </si>
  <si>
    <t>National Fire Protection Association</t>
  </si>
  <si>
    <t>NGA</t>
  </si>
  <si>
    <t>NorthgateArinso</t>
  </si>
  <si>
    <t>NGM</t>
  </si>
  <si>
    <t>ngmoco, LLC</t>
  </si>
  <si>
    <t>NGR</t>
  </si>
  <si>
    <t>NETGEAR, Inc.</t>
  </si>
  <si>
    <t>NHA</t>
  </si>
  <si>
    <t>Nederlandse Hartstichting</t>
  </si>
  <si>
    <t>NHE</t>
  </si>
  <si>
    <t>NHO</t>
  </si>
  <si>
    <t>NHP</t>
  </si>
  <si>
    <t>NHS</t>
  </si>
  <si>
    <t>National Health Service</t>
  </si>
  <si>
    <t>NIC</t>
  </si>
  <si>
    <t>Nice Systems Limited</t>
  </si>
  <si>
    <t>NIG</t>
  </si>
  <si>
    <t>Noor Investement Group LLC</t>
  </si>
  <si>
    <t>NIH</t>
  </si>
  <si>
    <t>National Instruments Corporation</t>
  </si>
  <si>
    <t>NIJ</t>
  </si>
  <si>
    <t>Nijmegen</t>
  </si>
  <si>
    <t>NIK</t>
  </si>
  <si>
    <t>Nike, Inc.</t>
  </si>
  <si>
    <t>NIM</t>
  </si>
  <si>
    <t>Networks In Motion, Inc</t>
  </si>
  <si>
    <t>NIN</t>
  </si>
  <si>
    <t>Net-Inspect LLC</t>
  </si>
  <si>
    <t>NIO</t>
  </si>
  <si>
    <t>Nionex GmbH</t>
  </si>
  <si>
    <t>NIP</t>
  </si>
  <si>
    <t>Nippon Telegraph &amp; Telephone Corporation</t>
  </si>
  <si>
    <t>NIS</t>
  </si>
  <si>
    <t>Northgate Information Solutions plc</t>
  </si>
  <si>
    <t>NIT</t>
  </si>
  <si>
    <t>NIIT</t>
  </si>
  <si>
    <t>NKA</t>
  </si>
  <si>
    <t>Advista SA</t>
  </si>
  <si>
    <t>NKL</t>
  </si>
  <si>
    <t>Lee Enterprises, Inc.</t>
  </si>
  <si>
    <t>NKM</t>
  </si>
  <si>
    <t>Norkom Technologies Ltd.</t>
  </si>
  <si>
    <t>NKN</t>
  </si>
  <si>
    <t>Nikon Corporation</t>
  </si>
  <si>
    <t>NLI</t>
  </si>
  <si>
    <t>National Life Insurance Company</t>
  </si>
  <si>
    <t>NLJ</t>
  </si>
  <si>
    <t>Nationale Loterij</t>
  </si>
  <si>
    <t>NLY</t>
  </si>
  <si>
    <t>Nlyte Software Ltd</t>
  </si>
  <si>
    <t>NMA</t>
  </si>
  <si>
    <t>NMA - Dutch Competition Authority</t>
  </si>
  <si>
    <t>NMC</t>
  </si>
  <si>
    <t>Nissan Motor Co., Ltd.</t>
  </si>
  <si>
    <t>NMG</t>
  </si>
  <si>
    <t>NetManage Inc</t>
  </si>
  <si>
    <t>NMN</t>
  </si>
  <si>
    <t>New Moon Systems</t>
  </si>
  <si>
    <t>NMT</t>
  </si>
  <si>
    <t>New Market Translations</t>
  </si>
  <si>
    <t>NNR</t>
  </si>
  <si>
    <t>Nordnorsk Reiseliv AS</t>
  </si>
  <si>
    <t>NOD</t>
  </si>
  <si>
    <t>Nordic Odds Ltd.</t>
  </si>
  <si>
    <t>NOG</t>
  </si>
  <si>
    <t>NogginLabs Inc</t>
  </si>
  <si>
    <t>NOK</t>
  </si>
  <si>
    <t>Nokia Corporation</t>
  </si>
  <si>
    <t>NOL</t>
  </si>
  <si>
    <t>Ted Baker PLC</t>
  </si>
  <si>
    <t>NOM</t>
  </si>
  <si>
    <t>New Orleans Tourism Marketing Corporation</t>
  </si>
  <si>
    <t>NOR</t>
  </si>
  <si>
    <t>IMI plc</t>
  </si>
  <si>
    <t>NOS</t>
  </si>
  <si>
    <t>Nederlandse Omroep Stichting</t>
  </si>
  <si>
    <t>NOT</t>
  </si>
  <si>
    <t>Notarius Inc</t>
  </si>
  <si>
    <t>NOU</t>
  </si>
  <si>
    <t>Noordhoff Uitgevers B V</t>
  </si>
  <si>
    <t>NOV</t>
  </si>
  <si>
    <t>Novellus Systems Inc</t>
  </si>
  <si>
    <t>NOW</t>
  </si>
  <si>
    <t>National Oilwell Varco, Inc.</t>
  </si>
  <si>
    <t>NOX</t>
  </si>
  <si>
    <t>Novitex Enterprise Solutions, Inc.</t>
  </si>
  <si>
    <t>NP1</t>
  </si>
  <si>
    <t>Npc International Holdings, Inc.</t>
  </si>
  <si>
    <t>NPO</t>
  </si>
  <si>
    <t>INPOST Co. Ltd</t>
  </si>
  <si>
    <t>NRA</t>
  </si>
  <si>
    <t>National Restaurant Association</t>
  </si>
  <si>
    <t>NRB</t>
  </si>
  <si>
    <t>Nordea Bank AB</t>
  </si>
  <si>
    <t>NRD</t>
  </si>
  <si>
    <t>Nordstrom, Inc.</t>
  </si>
  <si>
    <t>NRG</t>
  </si>
  <si>
    <t>NRG Group</t>
  </si>
  <si>
    <t>NRL</t>
  </si>
  <si>
    <t>NorLense AS</t>
  </si>
  <si>
    <t>NRR</t>
  </si>
  <si>
    <t>NRG Energy Inc</t>
  </si>
  <si>
    <t>NRS</t>
  </si>
  <si>
    <t>New Revenue Solutions</t>
  </si>
  <si>
    <t>NRW</t>
  </si>
  <si>
    <t>Norwegian Air Shuttle ASA</t>
  </si>
  <si>
    <t>NSA</t>
  </si>
  <si>
    <t>National Standards Authority of Ireland</t>
  </si>
  <si>
    <t>NSB</t>
  </si>
  <si>
    <t>Norges Statsbaner AS</t>
  </si>
  <si>
    <t>NSD</t>
  </si>
  <si>
    <t>NSD CO., LTD.</t>
  </si>
  <si>
    <t>NSF</t>
  </si>
  <si>
    <t>Norsafe AS</t>
  </si>
  <si>
    <t>NSG</t>
  </si>
  <si>
    <t>Neusoft Group Ltd.</t>
  </si>
  <si>
    <t>NSI</t>
  </si>
  <si>
    <t>Notable Solutions Inc</t>
  </si>
  <si>
    <t>NST</t>
  </si>
  <si>
    <t>Newgen Software Technologies Limited</t>
  </si>
  <si>
    <t>NSW</t>
  </si>
  <si>
    <t>Naval Surface Warfare Center</t>
  </si>
  <si>
    <t>NSY</t>
  </si>
  <si>
    <t>Norsys SAS</t>
  </si>
  <si>
    <t>NT1</t>
  </si>
  <si>
    <t>NETWORTH</t>
  </si>
  <si>
    <t>NTC</t>
  </si>
  <si>
    <t>Next IT Corporation</t>
  </si>
  <si>
    <t>NTD</t>
  </si>
  <si>
    <t>Nintendo Co., Ltd</t>
  </si>
  <si>
    <t>NTG</t>
  </si>
  <si>
    <t>Northrop Grumman Corporation</t>
  </si>
  <si>
    <t>NTL</t>
  </si>
  <si>
    <t>Nortel Networks Corporation</t>
  </si>
  <si>
    <t>NTS</t>
  </si>
  <si>
    <t>NTS Group</t>
  </si>
  <si>
    <t>NTT</t>
  </si>
  <si>
    <t>Net Translators Ltd</t>
  </si>
  <si>
    <t>NUA</t>
  </si>
  <si>
    <t>Nualight</t>
  </si>
  <si>
    <t>NUC</t>
  </si>
  <si>
    <t>Naval Underwater Warfare Center</t>
  </si>
  <si>
    <t>NUH</t>
  </si>
  <si>
    <t xml:space="preserve">International Medical Press </t>
  </si>
  <si>
    <t>NUK</t>
  </si>
  <si>
    <t>Hutchinson S.A.</t>
  </si>
  <si>
    <t>NUN</t>
  </si>
  <si>
    <t>Northumbria University</t>
  </si>
  <si>
    <t>NUO</t>
  </si>
  <si>
    <t>n.v. Nuon</t>
  </si>
  <si>
    <t>NUR</t>
  </si>
  <si>
    <t xml:space="preserve">Quebecor Media Inc. </t>
  </si>
  <si>
    <t>NUX</t>
  </si>
  <si>
    <t>NumeriX LLC</t>
  </si>
  <si>
    <t>NVA</t>
  </si>
  <si>
    <t>Novartis AG</t>
  </si>
  <si>
    <t>NVC</t>
  </si>
  <si>
    <t>Navistar International Corporation</t>
  </si>
  <si>
    <t>NVE</t>
  </si>
  <si>
    <t>nVentive</t>
  </si>
  <si>
    <t>NVI</t>
  </si>
  <si>
    <t>nVidia Corporation</t>
  </si>
  <si>
    <t>NVL</t>
  </si>
  <si>
    <t>Novell Inc</t>
  </si>
  <si>
    <t>NVO</t>
  </si>
  <si>
    <t xml:space="preserve">Novo Nordisk A/S </t>
  </si>
  <si>
    <t>NVV</t>
  </si>
  <si>
    <t>Novio NV</t>
  </si>
  <si>
    <t>NWF</t>
  </si>
  <si>
    <t>Newforma Inc</t>
  </si>
  <si>
    <t>NWI</t>
  </si>
  <si>
    <t>NWX</t>
  </si>
  <si>
    <t>Nurseryworks</t>
  </si>
  <si>
    <t>NXA</t>
  </si>
  <si>
    <t>Nexon America Inc.</t>
  </si>
  <si>
    <t>NXP</t>
  </si>
  <si>
    <t>NXP Semiconductors Netherlands B.V.</t>
  </si>
  <si>
    <t>NXS</t>
  </si>
  <si>
    <t>Nexenta Systems, Inc.</t>
  </si>
  <si>
    <t>NXT</t>
  </si>
  <si>
    <t>Next plc</t>
  </si>
  <si>
    <t>OAC</t>
  </si>
  <si>
    <t>Oxford &amp; Cambridge International Assessment Svces</t>
  </si>
  <si>
    <t>OAG</t>
  </si>
  <si>
    <t>OAG Holdings</t>
  </si>
  <si>
    <t>OAS</t>
  </si>
  <si>
    <t>Organization of American States</t>
  </si>
  <si>
    <t>OBJ</t>
  </si>
  <si>
    <t>Itera Consulting Group</t>
  </si>
  <si>
    <t>OBL</t>
  </si>
  <si>
    <t>Objectif Lune Inc</t>
  </si>
  <si>
    <t>OBM</t>
  </si>
  <si>
    <t>Oberon Media, Inc.</t>
  </si>
  <si>
    <t>OCE</t>
  </si>
  <si>
    <t>Oce NV</t>
  </si>
  <si>
    <t>OED</t>
  </si>
  <si>
    <t>Oregon Employment Department</t>
  </si>
  <si>
    <t>OEH</t>
  </si>
  <si>
    <t>Orient-Express Hotels Ltd</t>
  </si>
  <si>
    <t>OFC</t>
  </si>
  <si>
    <t>Ofcom</t>
  </si>
  <si>
    <t>OGI</t>
  </si>
  <si>
    <t>Omnicom Group Inc.</t>
  </si>
  <si>
    <t>OGT</t>
  </si>
  <si>
    <t>Oger Telecom</t>
  </si>
  <si>
    <t>OHI</t>
  </si>
  <si>
    <t>Office for Harmonization in the Internal Market (OHIM)</t>
  </si>
  <si>
    <t>OHM</t>
  </si>
  <si>
    <t>Schmidt-Ohm + Partner Werbeagentur GmbH</t>
  </si>
  <si>
    <t>OKI</t>
  </si>
  <si>
    <t>Oki Electric Industry Company, Limited</t>
  </si>
  <si>
    <t>OLS</t>
  </si>
  <si>
    <t>Ols AS</t>
  </si>
  <si>
    <t>OLY</t>
  </si>
  <si>
    <t>Olympus Corporation</t>
  </si>
  <si>
    <t>OM1</t>
  </si>
  <si>
    <t>Omnia S.r.l</t>
  </si>
  <si>
    <t>OMA</t>
  </si>
  <si>
    <t>Modena</t>
  </si>
  <si>
    <t>OME</t>
  </si>
  <si>
    <t>OMEGA PERFORMANCE CORPORATION</t>
  </si>
  <si>
    <t>OMG</t>
  </si>
  <si>
    <t>OMG plc</t>
  </si>
  <si>
    <t>OMI</t>
  </si>
  <si>
    <t>OMICRON Electronics</t>
  </si>
  <si>
    <t>OML</t>
  </si>
  <si>
    <t>Old Mills Interiors LLC</t>
  </si>
  <si>
    <t>OMN</t>
  </si>
  <si>
    <t>Omnicell Inc</t>
  </si>
  <si>
    <t>OMR</t>
  </si>
  <si>
    <t>Omron Corporation</t>
  </si>
  <si>
    <t>OMU</t>
  </si>
  <si>
    <t>Old Mutual plc</t>
  </si>
  <si>
    <t>OMX</t>
  </si>
  <si>
    <t>OfficeMax Inc</t>
  </si>
  <si>
    <t>ONC</t>
  </si>
  <si>
    <t>Onex Corporation</t>
  </si>
  <si>
    <t>OND</t>
  </si>
  <si>
    <t>OnDemand Software</t>
  </si>
  <si>
    <t>ONL</t>
  </si>
  <si>
    <t>Online Development Inc</t>
  </si>
  <si>
    <t>OPA</t>
  </si>
  <si>
    <t>OPO Oeschger Holding AG</t>
  </si>
  <si>
    <t>OPD</t>
  </si>
  <si>
    <t>Open Doors</t>
  </si>
  <si>
    <t>OPE</t>
  </si>
  <si>
    <t>Opera Software ASA</t>
  </si>
  <si>
    <t>OPI</t>
  </si>
  <si>
    <t>Marketing Improvements Optimi Limited</t>
  </si>
  <si>
    <t>OPO</t>
  </si>
  <si>
    <t>OP-Pohjola Group</t>
  </si>
  <si>
    <t>OPP</t>
  </si>
  <si>
    <t>Optimer Pharmaceuticals, Inc</t>
  </si>
  <si>
    <t>OPR</t>
  </si>
  <si>
    <t>Opera21 Holding S.p.A</t>
  </si>
  <si>
    <t>OPT</t>
  </si>
  <si>
    <t>OpenText Corporation</t>
  </si>
  <si>
    <t>OPW</t>
  </si>
  <si>
    <t>Openwave Systems Inc</t>
  </si>
  <si>
    <t>ORA</t>
  </si>
  <si>
    <t>Oracle Corporation</t>
  </si>
  <si>
    <t>ORD</t>
  </si>
  <si>
    <t>Ordina Nederland B.V.</t>
  </si>
  <si>
    <t>ORT</t>
  </si>
  <si>
    <t>O/R/T Studios GmbH</t>
  </si>
  <si>
    <t>OSC</t>
  </si>
  <si>
    <t>OSCE</t>
  </si>
  <si>
    <t>OSI</t>
  </si>
  <si>
    <t>Osiris Trading (Pty) Ltd</t>
  </si>
  <si>
    <t>OSS</t>
  </si>
  <si>
    <t>OSIsoft, LLC</t>
  </si>
  <si>
    <t>OTB</t>
  </si>
  <si>
    <t>Otterbine Barebo Inc</t>
  </si>
  <si>
    <t>OTC</t>
  </si>
  <si>
    <t>CITY OF OTTAWA</t>
  </si>
  <si>
    <t>OTH</t>
  </si>
  <si>
    <t>Others</t>
  </si>
  <si>
    <t>OTO</t>
  </si>
  <si>
    <t>Otologics, LLC</t>
  </si>
  <si>
    <t>OTS</t>
  </si>
  <si>
    <t>One Touch Systems Inc</t>
  </si>
  <si>
    <t>OTT</t>
  </si>
  <si>
    <t>Otto GmbH &amp; Co KG</t>
  </si>
  <si>
    <t>OUT</t>
  </si>
  <si>
    <t>Outback Power Systems, Inc.</t>
  </si>
  <si>
    <t>OVS</t>
  </si>
  <si>
    <t>Overland Storage, Inc.</t>
  </si>
  <si>
    <t>OWL</t>
  </si>
  <si>
    <t>Open World Limited</t>
  </si>
  <si>
    <t>OXF</t>
  </si>
  <si>
    <t>Oxford University Press</t>
  </si>
  <si>
    <t>OZI</t>
  </si>
  <si>
    <t>OZ Communications, Inc.</t>
  </si>
  <si>
    <t>PAA</t>
  </si>
  <si>
    <t>Parmalat Spa</t>
  </si>
  <si>
    <t>PAB</t>
  </si>
  <si>
    <t>Pallas Athena Solutions BV</t>
  </si>
  <si>
    <t>PAC</t>
  </si>
  <si>
    <t>Paccar Inc</t>
  </si>
  <si>
    <t>PAF</t>
  </si>
  <si>
    <t>The Paf Group</t>
  </si>
  <si>
    <t>PAG</t>
  </si>
  <si>
    <t>Procter &amp; Gamble Company (The)</t>
  </si>
  <si>
    <t>PAH</t>
  </si>
  <si>
    <t>Pfister Arco Holding A.G.</t>
  </si>
  <si>
    <t>PAI</t>
  </si>
  <si>
    <t>P.A.R.T.s Inc</t>
  </si>
  <si>
    <t>PAK</t>
  </si>
  <si>
    <t>Palo Alto Networks Inc.</t>
  </si>
  <si>
    <t>PAL</t>
  </si>
  <si>
    <t>Palm, Inc.</t>
  </si>
  <si>
    <t>PAM</t>
  </si>
  <si>
    <t>Parametric Technology Corporation</t>
  </si>
  <si>
    <t>PAN</t>
  </si>
  <si>
    <t>Panduit Corporation</t>
  </si>
  <si>
    <t>PAO</t>
  </si>
  <si>
    <t>Panoptic NV</t>
  </si>
  <si>
    <t>PAR</t>
  </si>
  <si>
    <t>PARI GmbH</t>
  </si>
  <si>
    <t>PAS</t>
  </si>
  <si>
    <t>Panasonic Corporation</t>
  </si>
  <si>
    <t>PAT</t>
  </si>
  <si>
    <t>Pathtrace PLC</t>
  </si>
  <si>
    <t>PCA</t>
  </si>
  <si>
    <t>iPCS, Inc.</t>
  </si>
  <si>
    <t>PCB</t>
  </si>
  <si>
    <t>Persis Consulting Co.</t>
  </si>
  <si>
    <t>PCC</t>
  </si>
  <si>
    <t>PCCW Japan Co. Ltd</t>
  </si>
  <si>
    <t>PCI</t>
  </si>
  <si>
    <t>Pictet et Cie</t>
  </si>
  <si>
    <t>PCK</t>
  </si>
  <si>
    <t>Pocket Communications Corp.</t>
  </si>
  <si>
    <t>PCO</t>
  </si>
  <si>
    <t>PepsiCo. Inc.</t>
  </si>
  <si>
    <t>PCR</t>
  </si>
  <si>
    <t>Precor</t>
  </si>
  <si>
    <t>PCS</t>
  </si>
  <si>
    <t>PMC-Sierra Inc</t>
  </si>
  <si>
    <t>PCU</t>
  </si>
  <si>
    <t>Prostate Cancer UK</t>
  </si>
  <si>
    <t>PD1</t>
  </si>
  <si>
    <t>Pendragon PLC</t>
  </si>
  <si>
    <t>PDA</t>
  </si>
  <si>
    <t>Phildar S.A.</t>
  </si>
  <si>
    <t>PDI</t>
  </si>
  <si>
    <t>Packet Design, Inc.</t>
  </si>
  <si>
    <t>PDW</t>
  </si>
  <si>
    <t>Publicis Groupe S.A.</t>
  </si>
  <si>
    <t>PEA</t>
  </si>
  <si>
    <t>Peacock Group plc</t>
  </si>
  <si>
    <t>PEI</t>
  </si>
  <si>
    <t>Pasternack Enterprises, Inc.</t>
  </si>
  <si>
    <t>PEJ</t>
  </si>
  <si>
    <t>Joachim Petersen</t>
  </si>
  <si>
    <t>PEN</t>
  </si>
  <si>
    <t>Penguin Books Ltd</t>
  </si>
  <si>
    <t>PEO</t>
  </si>
  <si>
    <t>Peopleclick Inc</t>
  </si>
  <si>
    <t>PEP</t>
  </si>
  <si>
    <t>The Pepper Corporation Limited</t>
  </si>
  <si>
    <t>PER</t>
  </si>
  <si>
    <t>Peregrine Systems Inc</t>
  </si>
  <si>
    <t>PFG</t>
  </si>
  <si>
    <t>Premier Farnell plc</t>
  </si>
  <si>
    <t>PFI</t>
  </si>
  <si>
    <t>Pfizer Inc</t>
  </si>
  <si>
    <t>PGE</t>
  </si>
  <si>
    <t>Perigee</t>
  </si>
  <si>
    <t>PGG</t>
  </si>
  <si>
    <t>PGGM</t>
  </si>
  <si>
    <t>PGP</t>
  </si>
  <si>
    <t>PartyGaming Plc</t>
  </si>
  <si>
    <t>PH0</t>
  </si>
  <si>
    <t>Photon Infotech Private Limited</t>
  </si>
  <si>
    <t>PHH</t>
  </si>
  <si>
    <t>PHH Corporation</t>
  </si>
  <si>
    <t>PHI</t>
  </si>
  <si>
    <t>PHM</t>
  </si>
  <si>
    <t>P&amp;H Mining Equipment Inc.</t>
  </si>
  <si>
    <t>PHN</t>
  </si>
  <si>
    <t>Parker Hannifin Corporation</t>
  </si>
  <si>
    <t>PHO</t>
  </si>
  <si>
    <t>Phonzo AS</t>
  </si>
  <si>
    <t>PHS</t>
  </si>
  <si>
    <t>Parliamentary and Health Service Ombudsman</t>
  </si>
  <si>
    <t>PI1</t>
  </si>
  <si>
    <t>Plan International</t>
  </si>
  <si>
    <t>PIA</t>
  </si>
  <si>
    <t>Philippine Airlines, Inc</t>
  </si>
  <si>
    <t>PIC</t>
  </si>
  <si>
    <t>Picanol Group</t>
  </si>
  <si>
    <t>PIG</t>
  </si>
  <si>
    <t>Panatek Investment Group SRL</t>
  </si>
  <si>
    <t>PIL</t>
  </si>
  <si>
    <t>Pilatus Aircraft Limited</t>
  </si>
  <si>
    <t>PIM</t>
  </si>
  <si>
    <t>Peak Image, Inc</t>
  </si>
  <si>
    <t>PIN</t>
  </si>
  <si>
    <t>PineLake Communications Inc</t>
  </si>
  <si>
    <t>PIO</t>
  </si>
  <si>
    <t>Pioneer Investments</t>
  </si>
  <si>
    <t>PIS</t>
  </si>
  <si>
    <t>IS InterNed Services B.V.</t>
  </si>
  <si>
    <t>PIT</t>
  </si>
  <si>
    <t>Pitney Bowes Inc</t>
  </si>
  <si>
    <t>PKE</t>
  </si>
  <si>
    <t>PerkinElmer Inc.</t>
  </si>
  <si>
    <t>PKR</t>
  </si>
  <si>
    <t>PKR Technologies</t>
  </si>
  <si>
    <t>PKZ</t>
  </si>
  <si>
    <t>PKZ Group</t>
  </si>
  <si>
    <t>PLA</t>
  </si>
  <si>
    <t>Plantronics Inc</t>
  </si>
  <si>
    <t>PLB</t>
  </si>
  <si>
    <t>PLB International Inc.</t>
  </si>
  <si>
    <t>PLE</t>
  </si>
  <si>
    <t>Plextor N.V./S.A.</t>
  </si>
  <si>
    <t>PLI</t>
  </si>
  <si>
    <t>The Principal Financial Group</t>
  </si>
  <si>
    <t>PLL</t>
  </si>
  <si>
    <t>Pall Corporation</t>
  </si>
  <si>
    <t>PLN</t>
  </si>
  <si>
    <t>Planon B.V.</t>
  </si>
  <si>
    <t>PLO</t>
  </si>
  <si>
    <t>ParetoLogic Inc.</t>
  </si>
  <si>
    <t>PLR</t>
  </si>
  <si>
    <t>Pillar Data Systems, Inc.</t>
  </si>
  <si>
    <t>PLS</t>
  </si>
  <si>
    <t>Payless Shoesource Inc.</t>
  </si>
  <si>
    <t>PLU</t>
  </si>
  <si>
    <t>Plumtree Software Inc</t>
  </si>
  <si>
    <t>PLX</t>
  </si>
  <si>
    <t>Plexus Scientific Corporation</t>
  </si>
  <si>
    <t>PLY</t>
  </si>
  <si>
    <t>Polycom Inc</t>
  </si>
  <si>
    <t>PLZ</t>
  </si>
  <si>
    <t>Pilz GmbH &amp; Co. KG</t>
  </si>
  <si>
    <t>PMA</t>
  </si>
  <si>
    <t>PRIMAX ELECTRONICS LTD.</t>
  </si>
  <si>
    <t>PMC</t>
  </si>
  <si>
    <t>Altria Group, Inc.</t>
  </si>
  <si>
    <t>PMD</t>
  </si>
  <si>
    <t>Promind GmbH</t>
  </si>
  <si>
    <t>PMM</t>
  </si>
  <si>
    <t>P&amp;MM Group plc</t>
  </si>
  <si>
    <t>PMT</t>
  </si>
  <si>
    <t>Pace Micro Technology plc</t>
  </si>
  <si>
    <t>PMX</t>
  </si>
  <si>
    <t>Pelmorex Media Inc.</t>
  </si>
  <si>
    <t>PNH</t>
  </si>
  <si>
    <t>Provincie Noord-Holland</t>
  </si>
  <si>
    <t>PNN</t>
  </si>
  <si>
    <t>Pennant International Group plc</t>
  </si>
  <si>
    <t>PNT</t>
  </si>
  <si>
    <t>Pentair Ltd.</t>
  </si>
  <si>
    <t>POC</t>
  </si>
  <si>
    <t>PocketThis, Inc.</t>
  </si>
  <si>
    <t>POG</t>
  </si>
  <si>
    <t>Popover Games Inc</t>
  </si>
  <si>
    <t>POI</t>
  </si>
  <si>
    <t>Port Infolink BV</t>
  </si>
  <si>
    <t>POL</t>
  </si>
  <si>
    <t>Polar Mohr  GmbH &amp; Co. KG</t>
  </si>
  <si>
    <t>PON</t>
  </si>
  <si>
    <t>Ponsse Oyj</t>
  </si>
  <si>
    <t>POP</t>
  </si>
  <si>
    <t>Popken Classics GmbH &amp; Co. KG</t>
  </si>
  <si>
    <t>POR</t>
  </si>
  <si>
    <t>Dr. Ing. H.c.F Porsche AG</t>
  </si>
  <si>
    <t>POS</t>
  </si>
  <si>
    <t>Postkantoren B.V.</t>
  </si>
  <si>
    <t>POT</t>
  </si>
  <si>
    <t>Posten AB</t>
  </si>
  <si>
    <t>POW</t>
  </si>
  <si>
    <t>Powered  Inc.</t>
  </si>
  <si>
    <t>POX</t>
  </si>
  <si>
    <t>Portalyx B V</t>
  </si>
  <si>
    <t>PPE</t>
  </si>
  <si>
    <t>People &amp; Performance A/S</t>
  </si>
  <si>
    <t>PPF</t>
  </si>
  <si>
    <t>Pepperl+Fuchs GmbH</t>
  </si>
  <si>
    <t>PPG</t>
  </si>
  <si>
    <t>PPG Industries, Inc</t>
  </si>
  <si>
    <t>PPS</t>
  </si>
  <si>
    <t>PeopleSoft Inc</t>
  </si>
  <si>
    <t>PPT</t>
  </si>
  <si>
    <t>Publicatios Perfect</t>
  </si>
  <si>
    <t>PQS</t>
  </si>
  <si>
    <t>Cambridge Information Group, Inc.</t>
  </si>
  <si>
    <t>PRA</t>
  </si>
  <si>
    <t>Provincie Antwerpen</t>
  </si>
  <si>
    <t>PRC</t>
  </si>
  <si>
    <t>ProClarity Corporation</t>
  </si>
  <si>
    <t>PRD</t>
  </si>
  <si>
    <t>Precision Design</t>
  </si>
  <si>
    <t>PRE</t>
  </si>
  <si>
    <t>PERENNIAL INC.</t>
  </si>
  <si>
    <t>PRG</t>
  </si>
  <si>
    <t>PEARL GmbH</t>
  </si>
  <si>
    <t>PRI</t>
  </si>
  <si>
    <t>Priva Holding ubv</t>
  </si>
  <si>
    <t>PRL</t>
  </si>
  <si>
    <t>Prologic plc</t>
  </si>
  <si>
    <t>PRM</t>
  </si>
  <si>
    <t>Primavera Systems Inc</t>
  </si>
  <si>
    <t>PRN</t>
  </si>
  <si>
    <t>PREVENT vzw</t>
  </si>
  <si>
    <t>PRO</t>
  </si>
  <si>
    <t>Producers</t>
  </si>
  <si>
    <t>PRR</t>
  </si>
  <si>
    <t>Prime Restaurants</t>
  </si>
  <si>
    <t>PRS</t>
  </si>
  <si>
    <t>Pearson plc</t>
  </si>
  <si>
    <t>PRT</t>
  </si>
  <si>
    <t>Hengelo Printshop</t>
  </si>
  <si>
    <t>PRU</t>
  </si>
  <si>
    <t>Prudential plc</t>
  </si>
  <si>
    <t>PRV</t>
  </si>
  <si>
    <t>Previsor Inc</t>
  </si>
  <si>
    <t>PRW</t>
  </si>
  <si>
    <t>ProwebCE.</t>
  </si>
  <si>
    <t>PSA</t>
  </si>
  <si>
    <t>PSA Peugeot Citroen SA</t>
  </si>
  <si>
    <t>PSC</t>
  </si>
  <si>
    <t>Pacific Sunwear of California, Inc.</t>
  </si>
  <si>
    <t>PSK</t>
  </si>
  <si>
    <t>Pearson Kirihara K.K.</t>
  </si>
  <si>
    <t>PSO</t>
  </si>
  <si>
    <t>Preo Software Inc.</t>
  </si>
  <si>
    <t>PST</t>
  </si>
  <si>
    <t>Positec Inc</t>
  </si>
  <si>
    <t>PSW</t>
  </si>
  <si>
    <t>Progress Software</t>
  </si>
  <si>
    <t>PSZ</t>
  </si>
  <si>
    <t>Perceptive Software, Inc.</t>
  </si>
  <si>
    <t>PTA</t>
  </si>
  <si>
    <t>PSI AG</t>
  </si>
  <si>
    <t>PTC</t>
  </si>
  <si>
    <t>Petro-Canada</t>
  </si>
  <si>
    <t>PTE</t>
  </si>
  <si>
    <t>Provance Technologies, Inc</t>
  </si>
  <si>
    <t>PTG</t>
  </si>
  <si>
    <t>Pentland Group plc</t>
  </si>
  <si>
    <t>PTL</t>
  </si>
  <si>
    <t xml:space="preserve">Positive Technology Ltd </t>
  </si>
  <si>
    <t>PTM</t>
  </si>
  <si>
    <t>Pictime S.A.S.</t>
  </si>
  <si>
    <t>PTS</t>
  </si>
  <si>
    <t>Pentasys AG</t>
  </si>
  <si>
    <t>PUA</t>
  </si>
  <si>
    <t>Puratos Group N.V.</t>
  </si>
  <si>
    <t>PUL</t>
  </si>
  <si>
    <t>Pulsus Group Inc.</t>
  </si>
  <si>
    <t>PUP</t>
  </si>
  <si>
    <t>Purdue Pharma L.P.</t>
  </si>
  <si>
    <t>PUR</t>
  </si>
  <si>
    <t xml:space="preserve">Purup-Eskofot A/S </t>
  </si>
  <si>
    <t>PVB</t>
  </si>
  <si>
    <t>Provincie Vlaams Brabant</t>
  </si>
  <si>
    <t>PVD</t>
  </si>
  <si>
    <t>Packet Video</t>
  </si>
  <si>
    <t>PVS</t>
  </si>
  <si>
    <t>Page Visions</t>
  </si>
  <si>
    <t>PWA</t>
  </si>
  <si>
    <t>Polan &amp; Waski LLC</t>
  </si>
  <si>
    <t>PWC</t>
  </si>
  <si>
    <t>PricewaterhouseCoopers International Ltd</t>
  </si>
  <si>
    <t>PXL</t>
  </si>
  <si>
    <t>PAREXEL International Corporation</t>
  </si>
  <si>
    <t>PZM</t>
  </si>
  <si>
    <t>Prism Public Affairs</t>
  </si>
  <si>
    <t>Q42</t>
  </si>
  <si>
    <t>Q42 Internet BV</t>
  </si>
  <si>
    <t>QAD</t>
  </si>
  <si>
    <t>Quadralay Corporation</t>
  </si>
  <si>
    <t>QAN</t>
  </si>
  <si>
    <t>Qantas Airways Limited</t>
  </si>
  <si>
    <t>QCM</t>
  </si>
  <si>
    <t>Qualcomm Incorporated</t>
  </si>
  <si>
    <t>QDI</t>
  </si>
  <si>
    <t>QAD Inc.</t>
  </si>
  <si>
    <t>QDR</t>
  </si>
  <si>
    <t>Quadratus AB</t>
  </si>
  <si>
    <t>QED</t>
  </si>
  <si>
    <t>Q.E.D. Systems Inc</t>
  </si>
  <si>
    <t>QFO</t>
  </si>
  <si>
    <t>Qatar Foundation For Education, Science &amp; Community Development</t>
  </si>
  <si>
    <t>QFR</t>
  </si>
  <si>
    <t>Q-Free ASA</t>
  </si>
  <si>
    <t>QGO</t>
  </si>
  <si>
    <t>Q-go b.v.</t>
  </si>
  <si>
    <t>QLE</t>
  </si>
  <si>
    <t>QUELLE GmbH</t>
  </si>
  <si>
    <t>QRL</t>
  </si>
  <si>
    <t>QR Ltd</t>
  </si>
  <si>
    <t>QSR</t>
  </si>
  <si>
    <t>QSR International Pty Ltd</t>
  </si>
  <si>
    <t>QTM</t>
  </si>
  <si>
    <t>Quantum Corporation</t>
  </si>
  <si>
    <t>QUA</t>
  </si>
  <si>
    <t>Quadrem International (Holdings) Inc</t>
  </si>
  <si>
    <t>QUD</t>
  </si>
  <si>
    <t>Quidnunc Group Ltd</t>
  </si>
  <si>
    <t>QUE</t>
  </si>
  <si>
    <t>Quebecor, Inc.</t>
  </si>
  <si>
    <t>QUI</t>
  </si>
  <si>
    <t>Quixote Corporation</t>
  </si>
  <si>
    <t>QUO</t>
  </si>
  <si>
    <t>Quorum Review</t>
  </si>
  <si>
    <t>QUS</t>
  </si>
  <si>
    <t>Quest  Software Inc.</t>
  </si>
  <si>
    <t>QYP</t>
  </si>
  <si>
    <t>Qype Gmbh</t>
  </si>
  <si>
    <t>RAB</t>
  </si>
  <si>
    <t>Rabobank Group</t>
  </si>
  <si>
    <t>RAM</t>
  </si>
  <si>
    <t>Rambus Inc.</t>
  </si>
  <si>
    <t>RAT</t>
  </si>
  <si>
    <t>Rational Software Corporation</t>
  </si>
  <si>
    <t>RAV</t>
  </si>
  <si>
    <t>Raven Industries, Inc</t>
  </si>
  <si>
    <t>RAY</t>
  </si>
  <si>
    <t>Raytheon Company</t>
  </si>
  <si>
    <t>RBA</t>
  </si>
  <si>
    <t>Ritchie Bros. Auctioneers</t>
  </si>
  <si>
    <t>RBG</t>
  </si>
  <si>
    <t>The Royal Bank of Scotland Group plc</t>
  </si>
  <si>
    <t>RBZ</t>
  </si>
  <si>
    <t>Naked Sky Entertainment, Inc.</t>
  </si>
  <si>
    <t>RCH</t>
  </si>
  <si>
    <t>Roche Holding AG</t>
  </si>
  <si>
    <t>RCL</t>
  </si>
  <si>
    <t>Royal Caribbean Cruises Ltd</t>
  </si>
  <si>
    <t>RCM</t>
  </si>
  <si>
    <t>Compagnie Financière Richemont SA</t>
  </si>
  <si>
    <t>RCS</t>
  </si>
  <si>
    <t>RECRUITSOFT INC.</t>
  </si>
  <si>
    <t>RCU</t>
  </si>
  <si>
    <t>Research Councils UK (RCUK)</t>
  </si>
  <si>
    <t>RDR</t>
  </si>
  <si>
    <t>Reading Room Ltd</t>
  </si>
  <si>
    <t>RDT</t>
  </si>
  <si>
    <t>Advance Publications, Inc.</t>
  </si>
  <si>
    <t>RE0</t>
  </si>
  <si>
    <t>Really Strategies Inc</t>
  </si>
  <si>
    <t>RE1</t>
  </si>
  <si>
    <t>REpower Systems Canada Inc.</t>
  </si>
  <si>
    <t>REA</t>
  </si>
  <si>
    <t>RealNetworks Inc</t>
  </si>
  <si>
    <t>REB</t>
  </si>
  <si>
    <t>Reckitt Benckiser Group plc</t>
  </si>
  <si>
    <t>REC</t>
  </si>
  <si>
    <t>Recaro GmbH &amp; Co.</t>
  </si>
  <si>
    <t>REE</t>
  </si>
  <si>
    <t>Reed Elsevier plc</t>
  </si>
  <si>
    <t>REG</t>
  </si>
  <si>
    <t>Regus Group Plc</t>
  </si>
  <si>
    <t>REI</t>
  </si>
  <si>
    <t>Reinisch AG</t>
  </si>
  <si>
    <t>REK</t>
  </si>
  <si>
    <t>Rentokil Initial plc</t>
  </si>
  <si>
    <t>REL</t>
  </si>
  <si>
    <t>Relate4u B.V.</t>
  </si>
  <si>
    <t>REN</t>
  </si>
  <si>
    <t>Renault SA</t>
  </si>
  <si>
    <t>REP</t>
  </si>
  <si>
    <t>Repsol YPF</t>
  </si>
  <si>
    <t>RES</t>
  </si>
  <si>
    <t>Ajuntament de Reus</t>
  </si>
  <si>
    <t>REU</t>
  </si>
  <si>
    <t>Reuters Group plc</t>
  </si>
  <si>
    <t>REW</t>
  </si>
  <si>
    <t>REWE Group</t>
  </si>
  <si>
    <t>REX</t>
  </si>
  <si>
    <t>Katz Group Canada Ltd.</t>
  </si>
  <si>
    <t>REY</t>
  </si>
  <si>
    <t>THE REYNOLDS &amp; REYNOLDS COMPANY</t>
  </si>
  <si>
    <t>RFL</t>
  </si>
  <si>
    <t>Robeez Footwear Ltd.</t>
  </si>
  <si>
    <t>RFX</t>
  </si>
  <si>
    <t>Reflexive Entertainment Inc</t>
  </si>
  <si>
    <t>RGI</t>
  </si>
  <si>
    <t>RGIS, LLC</t>
  </si>
  <si>
    <t>RHA</t>
  </si>
  <si>
    <t>Red Hat Inc.</t>
  </si>
  <si>
    <t>RHI</t>
  </si>
  <si>
    <t>Robert Half International Inc.</t>
  </si>
  <si>
    <t>RHM</t>
  </si>
  <si>
    <t>Rheinmetall Group</t>
  </si>
  <si>
    <t>RHO</t>
  </si>
  <si>
    <t>Rhodia</t>
  </si>
  <si>
    <t>RIB</t>
  </si>
  <si>
    <t>Rijksgebouwendienst</t>
  </si>
  <si>
    <t>RIC</t>
  </si>
  <si>
    <t>Ricoh Company, Ltd</t>
  </si>
  <si>
    <t>RIE</t>
  </si>
  <si>
    <t>Rieter Holding AG</t>
  </si>
  <si>
    <t>RIF</t>
  </si>
  <si>
    <t>Trinity Mirror Ltd</t>
  </si>
  <si>
    <t>RIJ</t>
  </si>
  <si>
    <t>Rijkswaterstaat</t>
  </si>
  <si>
    <t>RIK</t>
  </si>
  <si>
    <t>Rikshospitalet HF</t>
  </si>
  <si>
    <t>RIM</t>
  </si>
  <si>
    <t>Research in Motion Limited</t>
  </si>
  <si>
    <t>RIT</t>
  </si>
  <si>
    <t>Friedhelm Loh-Group</t>
  </si>
  <si>
    <t>RIV</t>
  </si>
  <si>
    <t>Stichting Rivas Zorggroep</t>
  </si>
  <si>
    <t>RKT</t>
  </si>
  <si>
    <t>Rakuten Inc</t>
  </si>
  <si>
    <t>RKU</t>
  </si>
  <si>
    <t>Rikkyo University</t>
  </si>
  <si>
    <t>RLI</t>
  </si>
  <si>
    <t>Renaissance Learning Inc</t>
  </si>
  <si>
    <t>RMC</t>
  </si>
  <si>
    <t>Rand McNally &amp; Company</t>
  </si>
  <si>
    <t>RMT</t>
  </si>
  <si>
    <t>Responsible Media Technologies, LLC</t>
  </si>
  <si>
    <t>RND</t>
  </si>
  <si>
    <t>Raindance Communications Inc</t>
  </si>
  <si>
    <t>RNS</t>
  </si>
  <si>
    <t>Renesas Technology Corp</t>
  </si>
  <si>
    <t>RNT</t>
  </si>
  <si>
    <t>RightNow Technologies, Inc.</t>
  </si>
  <si>
    <t>ROC</t>
  </si>
  <si>
    <t>Rockwell Automation Inc</t>
  </si>
  <si>
    <t>ROD</t>
  </si>
  <si>
    <t>Rodapro B.V.</t>
  </si>
  <si>
    <t>ROE</t>
  </si>
  <si>
    <t>Roevin Management Services Ltd</t>
  </si>
  <si>
    <t>ROG</t>
  </si>
  <si>
    <t>Rogers Communications Inc.</t>
  </si>
  <si>
    <t>RON</t>
  </si>
  <si>
    <t>RONA INC.</t>
  </si>
  <si>
    <t>ROO</t>
  </si>
  <si>
    <t>Roompot Recreatie Beheer B.V.</t>
  </si>
  <si>
    <t>ROR</t>
  </si>
  <si>
    <t>RoundArch, Inc.</t>
  </si>
  <si>
    <t>ROS</t>
  </si>
  <si>
    <t>Rosetta LLC</t>
  </si>
  <si>
    <t>ROY</t>
  </si>
  <si>
    <t>Rolls-Royce Group plc</t>
  </si>
  <si>
    <t>RPL</t>
  </si>
  <si>
    <t>REPLY SPA</t>
  </si>
  <si>
    <t>RRB</t>
  </si>
  <si>
    <t>R.R. Bowker LLc</t>
  </si>
  <si>
    <t>RRD</t>
  </si>
  <si>
    <t>R.R. Donnelley &amp; Sons Company</t>
  </si>
  <si>
    <t>RRE</t>
  </si>
  <si>
    <t>Raymond Reed Executive Services Ltd</t>
  </si>
  <si>
    <t>RSA</t>
  </si>
  <si>
    <t>Royal &amp; SunAlliance Group</t>
  </si>
  <si>
    <t>RSB</t>
  </si>
  <si>
    <t>The Royal Society for the Protection of Birds</t>
  </si>
  <si>
    <t>RSC</t>
  </si>
  <si>
    <t>Royal Society of Chemistry</t>
  </si>
  <si>
    <t>RSI</t>
  </si>
  <si>
    <t>RSI Group</t>
  </si>
  <si>
    <t>RSM</t>
  </si>
  <si>
    <t>Reverso-Softissimo</t>
  </si>
  <si>
    <t>RSO</t>
  </si>
  <si>
    <t>Ray Sono AG</t>
  </si>
  <si>
    <t>RSQ</t>
  </si>
  <si>
    <t>RS Components A/S</t>
  </si>
  <si>
    <t>RST</t>
  </si>
  <si>
    <t>Groupe St-Hubert Inc</t>
  </si>
  <si>
    <t>RTE</t>
  </si>
  <si>
    <t>Rational Entertainment Enterprises Ltd</t>
  </si>
  <si>
    <t>RTG</t>
  </si>
  <si>
    <t>Rio Tinto Group</t>
  </si>
  <si>
    <t>RTL</t>
  </si>
  <si>
    <t>RTL Nederland</t>
  </si>
  <si>
    <t>RTS</t>
  </si>
  <si>
    <t>Real Tech Systems Integration Pty. Limited</t>
  </si>
  <si>
    <t>RUA</t>
  </si>
  <si>
    <t>Ruag Aerospace Austria Gmbh</t>
  </si>
  <si>
    <t>RUB</t>
  </si>
  <si>
    <t>Rubric Consulting Limited</t>
  </si>
  <si>
    <t>RUS</t>
  </si>
  <si>
    <t>Russell Corporation</t>
  </si>
  <si>
    <t>RVD</t>
  </si>
  <si>
    <t>Riverdeep Interactive Learning Ltd</t>
  </si>
  <si>
    <t>RVS</t>
  </si>
  <si>
    <t>Raad van State</t>
  </si>
  <si>
    <t>RXO</t>
  </si>
  <si>
    <t>Roxio Inc</t>
  </si>
  <si>
    <t>RYO</t>
  </si>
  <si>
    <t>RZF</t>
  </si>
  <si>
    <t>Razorfish LLC</t>
  </si>
  <si>
    <t>S1M</t>
  </si>
  <si>
    <t>SimulTrans</t>
  </si>
  <si>
    <t>SA0</t>
  </si>
  <si>
    <t>Sanoma Corporation</t>
  </si>
  <si>
    <t>SA1</t>
  </si>
  <si>
    <t>SAE International</t>
  </si>
  <si>
    <t>SAA</t>
  </si>
  <si>
    <t>Saba Software Inc</t>
  </si>
  <si>
    <t>SAB</t>
  </si>
  <si>
    <t>Sabre Holdings Corporation</t>
  </si>
  <si>
    <t>SAC</t>
  </si>
  <si>
    <t>Sales Channel Europe SARL</t>
  </si>
  <si>
    <t>SAD</t>
  </si>
  <si>
    <t>St Albans District Council</t>
  </si>
  <si>
    <t>SAE</t>
  </si>
  <si>
    <t>Sage Group plc</t>
  </si>
  <si>
    <t>SAF</t>
  </si>
  <si>
    <t>Santillana Formacion S L</t>
  </si>
  <si>
    <t>SAG</t>
  </si>
  <si>
    <t>SAGEM SA</t>
  </si>
  <si>
    <t>SAH</t>
  </si>
  <si>
    <t>Safaba Translation Solutions</t>
  </si>
  <si>
    <t>SAI</t>
  </si>
  <si>
    <t xml:space="preserve">SAIL </t>
  </si>
  <si>
    <t>SAK</t>
  </si>
  <si>
    <t>Sakson &amp; Taylor Inc</t>
  </si>
  <si>
    <t>SAL</t>
  </si>
  <si>
    <t>Salland De Lange B.V.</t>
  </si>
  <si>
    <t>SAM</t>
  </si>
  <si>
    <t>Samsung Group</t>
  </si>
  <si>
    <t>SAN</t>
  </si>
  <si>
    <t>SanDisk Corporation</t>
  </si>
  <si>
    <t>SAP</t>
  </si>
  <si>
    <t>SAP AG</t>
  </si>
  <si>
    <t>SAR</t>
  </si>
  <si>
    <t>Sarenza</t>
  </si>
  <si>
    <t>SAS</t>
  </si>
  <si>
    <t>SAS Institute Inc</t>
  </si>
  <si>
    <t>SAT</t>
  </si>
  <si>
    <t>Satmetrix Systems Inc</t>
  </si>
  <si>
    <t>SAV</t>
  </si>
  <si>
    <t>Sacyr Vallehermoso SA</t>
  </si>
  <si>
    <t>SAX</t>
  </si>
  <si>
    <t>Sandvik AB</t>
  </si>
  <si>
    <t>SAY</t>
  </si>
  <si>
    <t>Savi Technology Inc</t>
  </si>
  <si>
    <t>SBC</t>
  </si>
  <si>
    <t>SBC Communications Inc</t>
  </si>
  <si>
    <t>SBH</t>
  </si>
  <si>
    <t>Standaard Boekhandel N.V.</t>
  </si>
  <si>
    <t>SBI</t>
  </si>
  <si>
    <t>Saudi Basic Industries Corporation</t>
  </si>
  <si>
    <t>SBM</t>
  </si>
  <si>
    <t>Saab AB</t>
  </si>
  <si>
    <t>SBP</t>
  </si>
  <si>
    <t>Sportingbet plc</t>
  </si>
  <si>
    <t>SBT</t>
  </si>
  <si>
    <t>Symbol Technologies, Inc.</t>
  </si>
  <si>
    <t>SCA</t>
  </si>
  <si>
    <t>Scan Laser B.V.</t>
  </si>
  <si>
    <t>SCB</t>
  </si>
  <si>
    <t>Schlumberger Ltd</t>
  </si>
  <si>
    <t>SCC</t>
  </si>
  <si>
    <t>SCD</t>
  </si>
  <si>
    <t>Svenska Cellulosa Aktiebolaget SCA</t>
  </si>
  <si>
    <t>SCE</t>
  </si>
  <si>
    <t>Scene7, Inc.</t>
  </si>
  <si>
    <t>SCF</t>
  </si>
  <si>
    <t>Schaeffler KG</t>
  </si>
  <si>
    <t>SCH</t>
  </si>
  <si>
    <t>Schneider Electric SA</t>
  </si>
  <si>
    <t>SCI</t>
  </si>
  <si>
    <t>Scholastic Corporation</t>
  </si>
  <si>
    <t>SCL</t>
  </si>
  <si>
    <t>Schindler Holding Ltd.</t>
  </si>
  <si>
    <t>SCM</t>
  </si>
  <si>
    <t>Schmidt Holding GmbH</t>
  </si>
  <si>
    <t>SCN</t>
  </si>
  <si>
    <t>Scania AB</t>
  </si>
  <si>
    <t>SCP</t>
  </si>
  <si>
    <t>Standard Chartered PLC</t>
  </si>
  <si>
    <t>SCR</t>
  </si>
  <si>
    <t>Schering AG</t>
  </si>
  <si>
    <t>SCS</t>
  </si>
  <si>
    <t>Satyam Computer Services Ltd</t>
  </si>
  <si>
    <t>SCT</t>
  </si>
  <si>
    <t>Socratic Technologies</t>
  </si>
  <si>
    <t>SCU</t>
  </si>
  <si>
    <t>Schuler AG</t>
  </si>
  <si>
    <t>SCX</t>
  </si>
  <si>
    <t>Swissport Cargo Services Deutschland Gmbh</t>
  </si>
  <si>
    <t>SCY</t>
  </si>
  <si>
    <t>Scyron Ltd</t>
  </si>
  <si>
    <t>SDC</t>
  </si>
  <si>
    <t>Spanishdict.Com</t>
  </si>
  <si>
    <t>SDE</t>
  </si>
  <si>
    <t>Saunier Duval Eau Chaude Chauffage S.A.</t>
  </si>
  <si>
    <t>SDL</t>
  </si>
  <si>
    <t>SDL International</t>
  </si>
  <si>
    <t>SDO</t>
  </si>
  <si>
    <t>SDT</t>
  </si>
  <si>
    <t>Snowboard Dachstein Tauern GmbH</t>
  </si>
  <si>
    <t>SDU</t>
  </si>
  <si>
    <t>Sdu Uitgevers B V</t>
  </si>
  <si>
    <t>SEA</t>
  </si>
  <si>
    <t>Search Engineering and Consultancy</t>
  </si>
  <si>
    <t>SEC</t>
  </si>
  <si>
    <t>Seca Group</t>
  </si>
  <si>
    <t>SEE</t>
  </si>
  <si>
    <t>Seacorp Inc</t>
  </si>
  <si>
    <t>SEG</t>
  </si>
  <si>
    <t>Seagate Technology LLC</t>
  </si>
  <si>
    <t>SEH</t>
  </si>
  <si>
    <t>Sennheiser electronic GmbH &amp; Co. KG</t>
  </si>
  <si>
    <t>SEL</t>
  </si>
  <si>
    <t>Selfridges Group Ltd</t>
  </si>
  <si>
    <t>SEM</t>
  </si>
  <si>
    <t>Semitool, Inc.</t>
  </si>
  <si>
    <t>SEN</t>
  </si>
  <si>
    <t>Sennebogen Maschinenfabrik GmbH</t>
  </si>
  <si>
    <t>SEP</t>
  </si>
  <si>
    <t>SEIKO EPSON CORPORATION</t>
  </si>
  <si>
    <t>SEQ</t>
  </si>
  <si>
    <t>Snap Equity Ltd</t>
  </si>
  <si>
    <t>SER</t>
  </si>
  <si>
    <t>Servigistics Inc.</t>
  </si>
  <si>
    <t>SES</t>
  </si>
  <si>
    <t>Stichting Exploitatie Nederlandse Staatsloterij</t>
  </si>
  <si>
    <t>SET</t>
  </si>
  <si>
    <t>Serco Group PLC</t>
  </si>
  <si>
    <t>SEZ</t>
  </si>
  <si>
    <t>Sezax Corporation</t>
  </si>
  <si>
    <t>SFD</t>
  </si>
  <si>
    <t>Salesforce.com, inc.</t>
  </si>
  <si>
    <t>SFH</t>
  </si>
  <si>
    <t>SFHEFC</t>
  </si>
  <si>
    <t>SFI</t>
  </si>
  <si>
    <t>Sanofi-Aventis</t>
  </si>
  <si>
    <t>SFL</t>
  </si>
  <si>
    <t>SunFlare Co. Ltd.</t>
  </si>
  <si>
    <t>SFP</t>
  </si>
  <si>
    <t>Staffordshire Police</t>
  </si>
  <si>
    <t>SFT</t>
  </si>
  <si>
    <t>Soft-ex Communications Ltd</t>
  </si>
  <si>
    <t>SGB</t>
  </si>
  <si>
    <t>Harsco Corporation</t>
  </si>
  <si>
    <t>SGC</t>
  </si>
  <si>
    <t>SANY Group Co Ltd</t>
  </si>
  <si>
    <t>SGD</t>
  </si>
  <si>
    <t>SunGard Data Systems Inc</t>
  </si>
  <si>
    <t>SGH</t>
  </si>
  <si>
    <t>Schuberg Philis Group B V</t>
  </si>
  <si>
    <t>SGL</t>
  </si>
  <si>
    <t>Sigma-Aldrich Corporation</t>
  </si>
  <si>
    <t>SGO</t>
  </si>
  <si>
    <t>Scottish Government</t>
  </si>
  <si>
    <t>Spanair S.A.</t>
  </si>
  <si>
    <t>SGY</t>
  </si>
  <si>
    <t>Synergy Services EURL</t>
  </si>
  <si>
    <t>SH0</t>
  </si>
  <si>
    <t>The Sheridan Group Inc</t>
  </si>
  <si>
    <t>SHA</t>
  </si>
  <si>
    <t>Sharp Corporation</t>
  </si>
  <si>
    <t>SHC</t>
  </si>
  <si>
    <t>Sears Holdings Corporation</t>
  </si>
  <si>
    <t>SHD</t>
  </si>
  <si>
    <t>Speedy Hire Plc</t>
  </si>
  <si>
    <t>SHE</t>
  </si>
  <si>
    <t>Royal Dutch Shell plc</t>
  </si>
  <si>
    <t>SHG</t>
  </si>
  <si>
    <t>Shanghai Aircraft Design &amp; Research Institute</t>
  </si>
  <si>
    <t>SHH</t>
  </si>
  <si>
    <t>Software Hot-house Ltd</t>
  </si>
  <si>
    <t>SHI</t>
  </si>
  <si>
    <t>SHIN Corporation</t>
  </si>
  <si>
    <t>SHL</t>
  </si>
  <si>
    <t>SHL Group Limited</t>
  </si>
  <si>
    <t>SHN</t>
  </si>
  <si>
    <t>Shandiz Trading Inc</t>
  </si>
  <si>
    <t>SHO</t>
  </si>
  <si>
    <t>Softhouse Nordic AB</t>
  </si>
  <si>
    <t>SHP</t>
  </si>
  <si>
    <t>Software House International Inc.</t>
  </si>
  <si>
    <t>SHR</t>
  </si>
  <si>
    <t>Shire plc</t>
  </si>
  <si>
    <t>SHS</t>
  </si>
  <si>
    <t>SHS VIVEON AG</t>
  </si>
  <si>
    <t>SHW</t>
  </si>
  <si>
    <t>The Sherwin-Williams Company</t>
  </si>
  <si>
    <t>SHZ</t>
  </si>
  <si>
    <t>'S Heeren Loo Zorggroep</t>
  </si>
  <si>
    <t>SI3</t>
  </si>
  <si>
    <t>SMS GmbH</t>
  </si>
  <si>
    <t>SIA</t>
  </si>
  <si>
    <t>Simplyhealth Access</t>
  </si>
  <si>
    <t>SIB</t>
  </si>
  <si>
    <t>Silberline</t>
  </si>
  <si>
    <t>SIC</t>
  </si>
  <si>
    <t>Sick AG</t>
  </si>
  <si>
    <t>SIE</t>
  </si>
  <si>
    <t>Siebel Systems Inc</t>
  </si>
  <si>
    <t>SIF</t>
  </si>
  <si>
    <t xml:space="preserve">Sify Technologies Limited </t>
  </si>
  <si>
    <t>SIG</t>
  </si>
  <si>
    <t>Sigma AB</t>
  </si>
  <si>
    <t>SIH</t>
  </si>
  <si>
    <t>Steinhoff International Holdings Ltd.</t>
  </si>
  <si>
    <t>SII</t>
  </si>
  <si>
    <t>SHI INTERNATIONAL CORP</t>
  </si>
  <si>
    <t>SIL</t>
  </si>
  <si>
    <t>Silicon Media Group</t>
  </si>
  <si>
    <t>SIM</t>
  </si>
  <si>
    <t>Siemens AG</t>
  </si>
  <si>
    <t>SIN</t>
  </si>
  <si>
    <t>Singapour SA</t>
  </si>
  <si>
    <t>SIP</t>
  </si>
  <si>
    <t>Spar International B.V.</t>
  </si>
  <si>
    <t>SIR</t>
  </si>
  <si>
    <t>Sirsi Corporation</t>
  </si>
  <si>
    <t>SIT</t>
  </si>
  <si>
    <t>Siteworx Inc</t>
  </si>
  <si>
    <t>SIV</t>
  </si>
  <si>
    <t>SIV AG</t>
  </si>
  <si>
    <t>SIX</t>
  </si>
  <si>
    <t>Six Continents plc</t>
  </si>
  <si>
    <t>SIY</t>
  </si>
  <si>
    <t>SIYW</t>
  </si>
  <si>
    <t>SJM</t>
  </si>
  <si>
    <t>St. Jude Medical, Inc.</t>
  </si>
  <si>
    <t>SKA</t>
  </si>
  <si>
    <t>Sk E&amp;C America, Inc.</t>
  </si>
  <si>
    <t>SKB</t>
  </si>
  <si>
    <t>SKF AB</t>
  </si>
  <si>
    <t>SKC</t>
  </si>
  <si>
    <t>Starbucks Corporation</t>
  </si>
  <si>
    <t>SKF</t>
  </si>
  <si>
    <t xml:space="preserve">Aktiebolaget SKF </t>
  </si>
  <si>
    <t>SKG</t>
  </si>
  <si>
    <t>SK Group</t>
  </si>
  <si>
    <t>SKT</t>
  </si>
  <si>
    <t>Statkraft SF</t>
  </si>
  <si>
    <t>SLG</t>
  </si>
  <si>
    <t>Groupe Danone</t>
  </si>
  <si>
    <t>SLI</t>
  </si>
  <si>
    <t>Educate, Inc.</t>
  </si>
  <si>
    <t>SLM</t>
  </si>
  <si>
    <t>Société Alsacienne de Meubles</t>
  </si>
  <si>
    <t>SLP</t>
  </si>
  <si>
    <t>Silver Lake Partners</t>
  </si>
  <si>
    <t>SLS</t>
  </si>
  <si>
    <t>HC Slingsby Plc</t>
  </si>
  <si>
    <t>SLT</t>
  </si>
  <si>
    <t>SAIL LABS Technology AG</t>
  </si>
  <si>
    <t>SLV</t>
  </si>
  <si>
    <t>Solvay SA</t>
  </si>
  <si>
    <t>SMA</t>
  </si>
  <si>
    <t>SMART Technologies, Inc.</t>
  </si>
  <si>
    <t>SMB</t>
  </si>
  <si>
    <t>Schustermann &amp; Borenstein GmbH</t>
  </si>
  <si>
    <t>SMC</t>
  </si>
  <si>
    <t xml:space="preserve">SLM Corporation </t>
  </si>
  <si>
    <t>SME</t>
  </si>
  <si>
    <t>Senter mot etnisk diskriminering (SMED)</t>
  </si>
  <si>
    <t>SMF</t>
  </si>
  <si>
    <t>Summit Financial Printing LLC</t>
  </si>
  <si>
    <t>SMG</t>
  </si>
  <si>
    <t>SMG Strategic Management Group, Inc</t>
  </si>
  <si>
    <t>SMH</t>
  </si>
  <si>
    <t>Seat Me Holding B.V.</t>
  </si>
  <si>
    <t>SML</t>
  </si>
  <si>
    <t>Assemblee Nationale</t>
  </si>
  <si>
    <t>SMN</t>
  </si>
  <si>
    <t>Semantix (UK) Ltd.</t>
  </si>
  <si>
    <t>SMP</t>
  </si>
  <si>
    <t>Summit Projects Inc</t>
  </si>
  <si>
    <t>SMT</t>
  </si>
  <si>
    <t>Sint Maartenskliniek</t>
  </si>
  <si>
    <t>SMX</t>
  </si>
  <si>
    <t>Semcon AB</t>
  </si>
  <si>
    <t>SNC</t>
  </si>
  <si>
    <t>Société Nationale des Chemins de Fer Français</t>
  </si>
  <si>
    <t>SNE</t>
  </si>
  <si>
    <t>Sony Ericsson AB</t>
  </si>
  <si>
    <t>SNF</t>
  </si>
  <si>
    <t>Soc Nouvelle Firmin Didot</t>
  </si>
  <si>
    <t>SNL</t>
  </si>
  <si>
    <t>SNC-Lavalin Group Inc.</t>
  </si>
  <si>
    <t>SNM</t>
  </si>
  <si>
    <t>Sanmina-SCI Corporation</t>
  </si>
  <si>
    <t>SNO</t>
  </si>
  <si>
    <t>Snowmen Solutions AB</t>
  </si>
  <si>
    <t>SNR</t>
  </si>
  <si>
    <t>SNR Roulements SA</t>
  </si>
  <si>
    <t>SNS</t>
  </si>
  <si>
    <t>Sonoscape Co., Ltd.</t>
  </si>
  <si>
    <t>SNT</t>
  </si>
  <si>
    <t>Sento Corporation</t>
  </si>
  <si>
    <t>SOB</t>
  </si>
  <si>
    <t>Empire Company Limited</t>
  </si>
  <si>
    <t>SOC</t>
  </si>
  <si>
    <t>Sonic Solutions</t>
  </si>
  <si>
    <t>SOD</t>
  </si>
  <si>
    <t>Sodexo</t>
  </si>
  <si>
    <t>SOE</t>
  </si>
  <si>
    <t>Soei Inc</t>
  </si>
  <si>
    <t>SOF</t>
  </si>
  <si>
    <t>Sonic Foundry Inc</t>
  </si>
  <si>
    <t>SOG</t>
  </si>
  <si>
    <t>Software AG</t>
  </si>
  <si>
    <t>SOH</t>
  </si>
  <si>
    <t>Sophis</t>
  </si>
  <si>
    <t>SOL</t>
  </si>
  <si>
    <t>Solectron Corporation</t>
  </si>
  <si>
    <t>SON</t>
  </si>
  <si>
    <t>Sony Corporation</t>
  </si>
  <si>
    <t>SOP</t>
  </si>
  <si>
    <t>Sophia Com BV</t>
  </si>
  <si>
    <t>SOT</t>
  </si>
  <si>
    <t>Seco Tools AB</t>
  </si>
  <si>
    <t>SOU</t>
  </si>
  <si>
    <t>K.K. Souei</t>
  </si>
  <si>
    <t>SOW</t>
  </si>
  <si>
    <t>Solarwinds Inc.</t>
  </si>
  <si>
    <t>SPA</t>
  </si>
  <si>
    <t>Spansion Inc.</t>
  </si>
  <si>
    <t>SPC</t>
  </si>
  <si>
    <t>Sasatoku Printing Co. Ltd.</t>
  </si>
  <si>
    <t>SPE</t>
  </si>
  <si>
    <t>Spectris plc</t>
  </si>
  <si>
    <t>SPG</t>
  </si>
  <si>
    <t>SpeechGear Inc</t>
  </si>
  <si>
    <t>SPH</t>
  </si>
  <si>
    <t>Stephens Inc</t>
  </si>
  <si>
    <t>SPI</t>
  </si>
  <si>
    <t>SPICER Corporation</t>
  </si>
  <si>
    <t>SPK</t>
  </si>
  <si>
    <t>Spar Kjop A.S.</t>
  </si>
  <si>
    <t>SPL</t>
  </si>
  <si>
    <t>Systems Plus Group</t>
  </si>
  <si>
    <t>SPN</t>
  </si>
  <si>
    <t>Spin Master Ltd</t>
  </si>
  <si>
    <t>SPO</t>
  </si>
  <si>
    <t>Spotify Technology SA</t>
  </si>
  <si>
    <t>SPP</t>
  </si>
  <si>
    <t>SPP Livförsäkring AB</t>
  </si>
  <si>
    <t>SPR</t>
  </si>
  <si>
    <t>Spirit Link GmbH</t>
  </si>
  <si>
    <t>SPS</t>
  </si>
  <si>
    <t>SPSS Inc</t>
  </si>
  <si>
    <t>SPT</t>
  </si>
  <si>
    <t>Sapient Corporation</t>
  </si>
  <si>
    <t>SPX</t>
  </si>
  <si>
    <t>SPX Corporation</t>
  </si>
  <si>
    <t>SPZ</t>
  </si>
  <si>
    <t>Stichting Philadelphia Zorg</t>
  </si>
  <si>
    <t>SQL</t>
  </si>
  <si>
    <t>Groupe SQLI</t>
  </si>
  <si>
    <t>SR Technics Switzerland AG</t>
  </si>
  <si>
    <t>SRC</t>
  </si>
  <si>
    <t>Searchspace Limited</t>
  </si>
  <si>
    <t>SRN</t>
  </si>
  <si>
    <t>Sorona Information AB</t>
  </si>
  <si>
    <t>SRS</t>
  </si>
  <si>
    <t>Serena Software Inc</t>
  </si>
  <si>
    <t>SRY</t>
  </si>
  <si>
    <t>Sensory, Inc.</t>
  </si>
  <si>
    <t>SSA</t>
  </si>
  <si>
    <t>SSA Global Technologies Inc</t>
  </si>
  <si>
    <t>SSC</t>
  </si>
  <si>
    <t>Schuhhaus SIEMES Einkaufs &amp; Beteiligungs GmbH</t>
  </si>
  <si>
    <t>SSE</t>
  </si>
  <si>
    <t>Solution Set, Llc</t>
  </si>
  <si>
    <t>SSG</t>
  </si>
  <si>
    <t>Shai Shaul</t>
  </si>
  <si>
    <t>SSH</t>
  </si>
  <si>
    <t>SSI</t>
  </si>
  <si>
    <t>Insight Inc</t>
  </si>
  <si>
    <t>SSL</t>
  </si>
  <si>
    <t>Serials Solutions, Inc.</t>
  </si>
  <si>
    <t>SSN</t>
  </si>
  <si>
    <t>Sprite Software</t>
  </si>
  <si>
    <t>SSP</t>
  </si>
  <si>
    <t>Syspro Ltd</t>
  </si>
  <si>
    <t>SSS</t>
  </si>
  <si>
    <t>STAR STORAGE SRL</t>
  </si>
  <si>
    <t>SST</t>
  </si>
  <si>
    <t>Suite Solutions</t>
  </si>
  <si>
    <t>SSV</t>
  </si>
  <si>
    <t>System Serve Ltd</t>
  </si>
  <si>
    <t>SSY</t>
  </si>
  <si>
    <t>Sunny Systems Computerhandels und Internet Dienstleistungs GmbH</t>
  </si>
  <si>
    <t>ST0</t>
  </si>
  <si>
    <t>StiPP</t>
  </si>
  <si>
    <t>ST1</t>
  </si>
  <si>
    <t>Studio One Networks Inc.</t>
  </si>
  <si>
    <t>STA</t>
  </si>
  <si>
    <t>Staffware plc</t>
  </si>
  <si>
    <t>STC</t>
  </si>
  <si>
    <t>M &amp; C Saatchi Ltd</t>
  </si>
  <si>
    <t>STD</t>
  </si>
  <si>
    <t>Dubai Aerospace Enterprise (DAE)</t>
  </si>
  <si>
    <t>STE</t>
  </si>
  <si>
    <t>Stender GmbH</t>
  </si>
  <si>
    <t>STF</t>
  </si>
  <si>
    <t>State Farm Mutual Automobile Insurance Co</t>
  </si>
  <si>
    <t>STH</t>
  </si>
  <si>
    <t>Stichting ICTU</t>
  </si>
  <si>
    <t>STI</t>
  </si>
  <si>
    <t>ANDREAS STIHL AG &amp; Co. KG</t>
  </si>
  <si>
    <t>STK</t>
  </si>
  <si>
    <t>StorageTechnology Corporation</t>
  </si>
  <si>
    <t>STL</t>
  </si>
  <si>
    <t>Stad Leuven</t>
  </si>
  <si>
    <t>STM</t>
  </si>
  <si>
    <t>Stichting Thuiszorg Midden-Gelderland</t>
  </si>
  <si>
    <t>STN</t>
  </si>
  <si>
    <t>Steorn</t>
  </si>
  <si>
    <t>STO</t>
  </si>
  <si>
    <t>Stork N.V.</t>
  </si>
  <si>
    <t>STP</t>
  </si>
  <si>
    <t>Staples Inc.</t>
  </si>
  <si>
    <t>STR</t>
  </si>
  <si>
    <t>Steris Corporation</t>
  </si>
  <si>
    <t>STS</t>
  </si>
  <si>
    <t>STMicroelectronics N.V</t>
  </si>
  <si>
    <t>STT</t>
  </si>
  <si>
    <t>Stanley Works, The</t>
  </si>
  <si>
    <t>STU</t>
  </si>
  <si>
    <t>Stulz GmbH</t>
  </si>
  <si>
    <t>STV</t>
  </si>
  <si>
    <t>Staffordshire University</t>
  </si>
  <si>
    <t>STX</t>
  </si>
  <si>
    <t>Stockholsm Fotosatteri AB</t>
  </si>
  <si>
    <t>STY</t>
  </si>
  <si>
    <t>StyleTread Pty Ltd</t>
  </si>
  <si>
    <t>SUF</t>
  </si>
  <si>
    <t>S &amp; F Personalpsychologie Management Beratung GmbH &amp; Co. KG</t>
  </si>
  <si>
    <t>SUI</t>
  </si>
  <si>
    <t>Schuitema n.v.</t>
  </si>
  <si>
    <t>SUP</t>
  </si>
  <si>
    <t>Supertrash</t>
  </si>
  <si>
    <t>SUR</t>
  </si>
  <si>
    <t>Surfware, Inc.</t>
  </si>
  <si>
    <t>SUZ</t>
  </si>
  <si>
    <t>Suzuki Motor Corporation</t>
  </si>
  <si>
    <t>SVB</t>
  </si>
  <si>
    <t>Sociale Verzekeringsbank</t>
  </si>
  <si>
    <t>SVE</t>
  </si>
  <si>
    <t>Svenningsen Holding A/S</t>
  </si>
  <si>
    <t>SVH</t>
  </si>
  <si>
    <t>Svenska Handelsbanken AB</t>
  </si>
  <si>
    <t>SVR</t>
  </si>
  <si>
    <t>Stichting Voor Regionale Zorgverlening</t>
  </si>
  <si>
    <t>SWA</t>
  </si>
  <si>
    <t>Swagelok Company</t>
  </si>
  <si>
    <t>SWC</t>
  </si>
  <si>
    <t>Swiss Capital Equity Holdings AG</t>
  </si>
  <si>
    <t>SWG</t>
  </si>
  <si>
    <t>Swedish Government</t>
  </si>
  <si>
    <t>SWH</t>
  </si>
  <si>
    <t>Swiss Herbal Remedies Limited</t>
  </si>
  <si>
    <t>SWI</t>
  </si>
  <si>
    <t>Swiss Army</t>
  </si>
  <si>
    <t>SWL</t>
  </si>
  <si>
    <t>Swiss Life</t>
  </si>
  <si>
    <t>SWM</t>
  </si>
  <si>
    <t>Systagenix Wound Management</t>
  </si>
  <si>
    <t>SWS</t>
  </si>
  <si>
    <t>Swisslog Holding AG</t>
  </si>
  <si>
    <t>SYB</t>
  </si>
  <si>
    <t>Sybase Inc</t>
  </si>
  <si>
    <t>SYC</t>
  </si>
  <si>
    <t>Sycle.net</t>
  </si>
  <si>
    <t>SYG</t>
  </si>
  <si>
    <t>Synergi Solutions AS</t>
  </si>
  <si>
    <t>SYK</t>
  </si>
  <si>
    <t>Stryker Corporation</t>
  </si>
  <si>
    <t>SYM</t>
  </si>
  <si>
    <t>Symantec Corporation</t>
  </si>
  <si>
    <t>SYN</t>
  </si>
  <si>
    <t>Synplicity Inc</t>
  </si>
  <si>
    <t>SYP</t>
  </si>
  <si>
    <t>Synaptics Incorporated</t>
  </si>
  <si>
    <t>SYS</t>
  </si>
  <si>
    <t>Systran SA</t>
  </si>
  <si>
    <t>SYT</t>
  </si>
  <si>
    <t>Synet Technologies</t>
  </si>
  <si>
    <t>TAA</t>
  </si>
  <si>
    <t>Tata Group of Companies</t>
  </si>
  <si>
    <t>TAB</t>
  </si>
  <si>
    <t>Textforum AB</t>
  </si>
  <si>
    <t>TAC</t>
  </si>
  <si>
    <t>TACTX Co.,Ltd..</t>
  </si>
  <si>
    <t>TAF</t>
  </si>
  <si>
    <t>Turkish Aerospace Industries</t>
  </si>
  <si>
    <t>TAI</t>
  </si>
  <si>
    <t>TAP Air Portugal</t>
  </si>
  <si>
    <t>TAK</t>
  </si>
  <si>
    <t xml:space="preserve">Takeda Pharmaceutical Company Limited </t>
  </si>
  <si>
    <t>TAL</t>
  </si>
  <si>
    <t>Talisma Corporation</t>
  </si>
  <si>
    <t>TAN</t>
  </si>
  <si>
    <t>Tanner AG</t>
  </si>
  <si>
    <t>TAO</t>
  </si>
  <si>
    <t>Trium Analysis Online GmbH</t>
  </si>
  <si>
    <t>TAP</t>
  </si>
  <si>
    <t>Tapiola Group</t>
  </si>
  <si>
    <t>TAR</t>
  </si>
  <si>
    <t>Target Corporation</t>
  </si>
  <si>
    <t>TAS</t>
  </si>
  <si>
    <t>TA Associates, Inc.</t>
  </si>
  <si>
    <t>TAT</t>
  </si>
  <si>
    <t>TRANSAT A.T. Inc</t>
  </si>
  <si>
    <t>TAX</t>
  </si>
  <si>
    <t>Tax Analysts</t>
  </si>
  <si>
    <t>TBG</t>
  </si>
  <si>
    <t>Tandberg ASA</t>
  </si>
  <si>
    <t>TBL</t>
  </si>
  <si>
    <t>La Tablée des Chefs</t>
  </si>
  <si>
    <t>TBW</t>
  </si>
  <si>
    <t>thebigwebsite Ltd</t>
  </si>
  <si>
    <t>TCA</t>
  </si>
  <si>
    <t>Tourism Calgary</t>
  </si>
  <si>
    <t>TCG</t>
  </si>
  <si>
    <t>The Content Group</t>
  </si>
  <si>
    <t>TCI</t>
  </si>
  <si>
    <t>Tata Consultancy Services</t>
  </si>
  <si>
    <t>TCK</t>
  </si>
  <si>
    <t>Thomas Cook Group plc</t>
  </si>
  <si>
    <t>TCL</t>
  </si>
  <si>
    <t>Technical Support A/S</t>
  </si>
  <si>
    <t>TCM</t>
  </si>
  <si>
    <t>Trident Contract Management Llc</t>
  </si>
  <si>
    <t>TCO</t>
  </si>
  <si>
    <t>Timocom GmbH</t>
  </si>
  <si>
    <t>TCQ</t>
  </si>
  <si>
    <t>Technical Training, Inc.</t>
  </si>
  <si>
    <t>TCS</t>
  </si>
  <si>
    <t>TeleCommunication Systems, Inc.</t>
  </si>
  <si>
    <t>TDB</t>
  </si>
  <si>
    <t>TORONTO DOMINION BANK FINANCIAL GROUP</t>
  </si>
  <si>
    <t>TDC</t>
  </si>
  <si>
    <t>TDC AS</t>
  </si>
  <si>
    <t>TDI</t>
  </si>
  <si>
    <t>Tridion B.V.</t>
  </si>
  <si>
    <t>TDL</t>
  </si>
  <si>
    <t>3D Labs</t>
  </si>
  <si>
    <t>TDN</t>
  </si>
  <si>
    <t>Teledyne Technologies, Inc.</t>
  </si>
  <si>
    <t>TEA</t>
  </si>
  <si>
    <t>TEAC America Inc</t>
  </si>
  <si>
    <t>TEC</t>
  </si>
  <si>
    <t>Tecmo, Ltd.</t>
  </si>
  <si>
    <t>TED</t>
  </si>
  <si>
    <t>Tribal Group plc</t>
  </si>
  <si>
    <t>TEE</t>
  </si>
  <si>
    <t>Telenor ASA</t>
  </si>
  <si>
    <t>TEF</t>
  </si>
  <si>
    <t>Telefónica S.A.</t>
  </si>
  <si>
    <t>TEG</t>
  </si>
  <si>
    <t>Telenet Group Holding N.V.</t>
  </si>
  <si>
    <t>TEK</t>
  </si>
  <si>
    <t>Teknotrans AB</t>
  </si>
  <si>
    <t>TEL</t>
  </si>
  <si>
    <t>Telect Inc</t>
  </si>
  <si>
    <t>TEM</t>
  </si>
  <si>
    <t>Terumo Corporation</t>
  </si>
  <si>
    <t>TEN</t>
  </si>
  <si>
    <t>Tenneco Automotive Inc</t>
  </si>
  <si>
    <t>TEO</t>
  </si>
  <si>
    <t>Tertio Telecoms</t>
  </si>
  <si>
    <t>TER</t>
  </si>
  <si>
    <t>Teradyne Inc</t>
  </si>
  <si>
    <t>TET</t>
  </si>
  <si>
    <t>AB Tetra Pak</t>
  </si>
  <si>
    <t>TEX</t>
  </si>
  <si>
    <t>Texas Instruments Incorporated</t>
  </si>
  <si>
    <t>TFE</t>
  </si>
  <si>
    <t>TGF</t>
  </si>
  <si>
    <t xml:space="preserve">The Global Fund to Fight AIDS, Tuberculosis and Malaria </t>
  </si>
  <si>
    <t>TGM</t>
  </si>
  <si>
    <t>Tengelmann Group</t>
  </si>
  <si>
    <t>TGP</t>
  </si>
  <si>
    <t>The Gap Partnership</t>
  </si>
  <si>
    <t>TH1</t>
  </si>
  <si>
    <t>THK CO., LTD.</t>
  </si>
  <si>
    <t>THA</t>
  </si>
  <si>
    <t>Thales Group</t>
  </si>
  <si>
    <t>THD</t>
  </si>
  <si>
    <t>The Home Depot, Inc</t>
  </si>
  <si>
    <t>THE</t>
  </si>
  <si>
    <t>Thesus Talking Image BV</t>
  </si>
  <si>
    <t>THF</t>
  </si>
  <si>
    <t>Thomson Reuters Corporation</t>
  </si>
  <si>
    <t>THG</t>
  </si>
  <si>
    <t>Tommy Hilfiger Corporation</t>
  </si>
  <si>
    <t>THI</t>
  </si>
  <si>
    <t>Thieme GmbH &amp; Co KG</t>
  </si>
  <si>
    <t>THK</t>
  </si>
  <si>
    <t>Theakos Inc</t>
  </si>
  <si>
    <t>THO</t>
  </si>
  <si>
    <t>Thoughtworks Inc.</t>
  </si>
  <si>
    <t>THP</t>
  </si>
  <si>
    <t>Thomas Publishing Company, LLC</t>
  </si>
  <si>
    <t>THQ</t>
  </si>
  <si>
    <t>THQ Inc.</t>
  </si>
  <si>
    <t>THS</t>
  </si>
  <si>
    <t>Threesixty</t>
  </si>
  <si>
    <t>THV</t>
  </si>
  <si>
    <t>Ter Hoeven Group</t>
  </si>
  <si>
    <t>THY</t>
  </si>
  <si>
    <t>ThyssenKrupp AG</t>
  </si>
  <si>
    <t>TIB</t>
  </si>
  <si>
    <t>Tibco Software Inc</t>
  </si>
  <si>
    <t>TIL</t>
  </si>
  <si>
    <t>Tourism Ireland Ltd</t>
  </si>
  <si>
    <t>TIM</t>
  </si>
  <si>
    <t>Timtrade International B.V.</t>
  </si>
  <si>
    <t>TIN</t>
  </si>
  <si>
    <t>Trespa International BV</t>
  </si>
  <si>
    <t>TIT</t>
  </si>
  <si>
    <t>Trans-IT Translation inc.</t>
  </si>
  <si>
    <t>TJX</t>
  </si>
  <si>
    <t>The TJX Companies, Inc.</t>
  </si>
  <si>
    <t>TKA</t>
  </si>
  <si>
    <t>TK Telekom</t>
  </si>
  <si>
    <t>TKC</t>
  </si>
  <si>
    <t>Taikisha Ltd.</t>
  </si>
  <si>
    <t>TKG</t>
  </si>
  <si>
    <t>The Karma Group</t>
  </si>
  <si>
    <t>TKJ</t>
  </si>
  <si>
    <t>TAKT Systems Inc</t>
  </si>
  <si>
    <t>TKL</t>
  </si>
  <si>
    <t>Tekelec</t>
  </si>
  <si>
    <t>TKS</t>
  </si>
  <si>
    <t>Tekes</t>
  </si>
  <si>
    <t>TKT</t>
  </si>
  <si>
    <t>Tektronix Inc.</t>
  </si>
  <si>
    <t>TKY</t>
  </si>
  <si>
    <t>Tokyo Electron America, Inc</t>
  </si>
  <si>
    <t>TLA</t>
  </si>
  <si>
    <t>Trimble Navigation Limited</t>
  </si>
  <si>
    <t>TLE</t>
  </si>
  <si>
    <t>Telenor Eiendom</t>
  </si>
  <si>
    <t>TLI</t>
  </si>
  <si>
    <t>Tetra Laval International S.A.</t>
  </si>
  <si>
    <t>TLO</t>
  </si>
  <si>
    <t>Taleo Corporation</t>
  </si>
  <si>
    <t>TLP</t>
  </si>
  <si>
    <t>Teleperformance S.A.</t>
  </si>
  <si>
    <t>TLS</t>
  </si>
  <si>
    <t>Telus Corp.</t>
  </si>
  <si>
    <t>TLT</t>
  </si>
  <si>
    <t>TLT Documents</t>
  </si>
  <si>
    <t>TMA</t>
  </si>
  <si>
    <t>TMA Marketing Group Ltd</t>
  </si>
  <si>
    <t>TME</t>
  </si>
  <si>
    <t>Translate4me Inc.</t>
  </si>
  <si>
    <t>TMG</t>
  </si>
  <si>
    <t>Tokio Marine Group</t>
  </si>
  <si>
    <t>TMI</t>
  </si>
  <si>
    <t>The Marketing Arm Inc</t>
  </si>
  <si>
    <t>TMO</t>
  </si>
  <si>
    <t>TicketMonster</t>
  </si>
  <si>
    <t>TMX</t>
  </si>
  <si>
    <t>ThoughtMatrix, Inc.</t>
  </si>
  <si>
    <t>TMY</t>
  </si>
  <si>
    <t>TOMY Company, Ltd.</t>
  </si>
  <si>
    <t>TNB</t>
  </si>
  <si>
    <t>Thomas &amp; Betts Corporation</t>
  </si>
  <si>
    <t>TNC</t>
  </si>
  <si>
    <t>Trilliant Networks (Canada) Inc.</t>
  </si>
  <si>
    <t>TNT</t>
  </si>
  <si>
    <t>TNT N.V.</t>
  </si>
  <si>
    <t>TOE</t>
  </si>
  <si>
    <t>Tape A L'Oeil</t>
  </si>
  <si>
    <t>TOL</t>
  </si>
  <si>
    <t>TOTAL S.A.</t>
  </si>
  <si>
    <t>TOM</t>
  </si>
  <si>
    <t>Tomra Systems ASA</t>
  </si>
  <si>
    <t>TOP</t>
  </si>
  <si>
    <t>Topcon Corporation</t>
  </si>
  <si>
    <t>TOU</t>
  </si>
  <si>
    <t>Touring NV</t>
  </si>
  <si>
    <t>TOY</t>
  </si>
  <si>
    <t>Toys"R"Us, Inc.</t>
  </si>
  <si>
    <t>TPC</t>
  </si>
  <si>
    <t>TPI Corporation</t>
  </si>
  <si>
    <t>TPI</t>
  </si>
  <si>
    <t>Transform People International LLP</t>
  </si>
  <si>
    <t>TPO</t>
  </si>
  <si>
    <t>Telepo AB</t>
  </si>
  <si>
    <t>TPR</t>
  </si>
  <si>
    <t>TripAdvisor, Inc.</t>
  </si>
  <si>
    <t>TPS</t>
  </si>
  <si>
    <t>K.K. T.P.S.</t>
  </si>
  <si>
    <t>TPV</t>
  </si>
  <si>
    <t>TPV Technology Limited</t>
  </si>
  <si>
    <t>TRA</t>
  </si>
  <si>
    <t>Trados Inc</t>
  </si>
  <si>
    <t>TRC</t>
  </si>
  <si>
    <t>Trinity Industries Inc</t>
  </si>
  <si>
    <t>TRD</t>
  </si>
  <si>
    <t>Trend Micro Incorporated</t>
  </si>
  <si>
    <t>TRE</t>
  </si>
  <si>
    <t>Treehouse Group Ltd</t>
  </si>
  <si>
    <t>TRG</t>
  </si>
  <si>
    <t>Tryg Vesta Group</t>
  </si>
  <si>
    <t>TRI</t>
  </si>
  <si>
    <t>Trisoft nv</t>
  </si>
  <si>
    <t>TRJ</t>
  </si>
  <si>
    <t>Trus Joist, A Weyerhaeuser business</t>
  </si>
  <si>
    <t>TRK</t>
  </si>
  <si>
    <t>Tracks Trade &amp; Publishing AB</t>
  </si>
  <si>
    <t>TRL</t>
  </si>
  <si>
    <t>Travel Alberta</t>
  </si>
  <si>
    <t>TRM</t>
  </si>
  <si>
    <t>TERMA A/S</t>
  </si>
  <si>
    <t>TRN</t>
  </si>
  <si>
    <t>Trangen Inc.</t>
  </si>
  <si>
    <t>TRP</t>
  </si>
  <si>
    <t>T. Rowe Price Group, Inc</t>
  </si>
  <si>
    <t>TRS</t>
  </si>
  <si>
    <t>Plus Translations</t>
  </si>
  <si>
    <t>TRT</t>
  </si>
  <si>
    <t>Trilegant</t>
  </si>
  <si>
    <t>TRV</t>
  </si>
  <si>
    <t>Trivadis Ag</t>
  </si>
  <si>
    <t>TRX</t>
  </si>
  <si>
    <t>TSA</t>
  </si>
  <si>
    <t>Transaction Systems Architects, Inc.</t>
  </si>
  <si>
    <t>TSB</t>
  </si>
  <si>
    <t>Toshiba Corporation</t>
  </si>
  <si>
    <t>TSC</t>
  </si>
  <si>
    <t>Trados Scandinavia AG</t>
  </si>
  <si>
    <t>TSD</t>
  </si>
  <si>
    <t>Tessenderlo Chemie NV</t>
  </si>
  <si>
    <t>TSE</t>
  </si>
  <si>
    <t>The Sporting Exchange Ltd</t>
  </si>
  <si>
    <t>TSG</t>
  </si>
  <si>
    <t>T-Systems GEI GmbH</t>
  </si>
  <si>
    <t>TSH</t>
  </si>
  <si>
    <t>The Share Centre Limited</t>
  </si>
  <si>
    <t>TSK</t>
  </si>
  <si>
    <t>Time Space System Co., Ltd</t>
  </si>
  <si>
    <t>TSM</t>
  </si>
  <si>
    <t>Trade Service Company, LLC</t>
  </si>
  <si>
    <t>TSN</t>
  </si>
  <si>
    <t>Traduction simultanee Nord-Sud</t>
  </si>
  <si>
    <t>TSP</t>
  </si>
  <si>
    <t>The Scottish Environment Protection Agency (SEPA)</t>
  </si>
  <si>
    <t>TSS</t>
  </si>
  <si>
    <t>Transonic Systems Inc.</t>
  </si>
  <si>
    <t>TST</t>
  </si>
  <si>
    <t>Trestria Inc</t>
  </si>
  <si>
    <t>TSX</t>
  </si>
  <si>
    <t>TSX Group Inc.</t>
  </si>
  <si>
    <t>TTC</t>
  </si>
  <si>
    <t>Telcordia Technologies, Inc.</t>
  </si>
  <si>
    <t>TTE</t>
  </si>
  <si>
    <t xml:space="preserve">20-20 Technologies Inc. </t>
  </si>
  <si>
    <t>TTG</t>
  </si>
  <si>
    <t>TTI Global Resources, Inc.</t>
  </si>
  <si>
    <t>TTH</t>
  </si>
  <si>
    <t>TeleTech Holdings Inc.</t>
  </si>
  <si>
    <t>TTI</t>
  </si>
  <si>
    <t>TomTom N.V.</t>
  </si>
  <si>
    <t>TTR</t>
  </si>
  <si>
    <t>Techi-Trad Inc.</t>
  </si>
  <si>
    <t>TTS</t>
  </si>
  <si>
    <t>TenneT TSO B.V.</t>
  </si>
  <si>
    <t>TTT</t>
  </si>
  <si>
    <t>Tetra Tech, Inc.</t>
  </si>
  <si>
    <t>TUA</t>
  </si>
  <si>
    <t>Turkish Airlines Inc.</t>
  </si>
  <si>
    <t>TUG</t>
  </si>
  <si>
    <t>TU Group</t>
  </si>
  <si>
    <t>TUI</t>
  </si>
  <si>
    <t>TUI AG</t>
  </si>
  <si>
    <t>TUN</t>
  </si>
  <si>
    <t>Accell Group N.V.</t>
  </si>
  <si>
    <t>TUP</t>
  </si>
  <si>
    <t>Tupperware Brands Corporation</t>
  </si>
  <si>
    <t>TUV</t>
  </si>
  <si>
    <t>TUV Süddeutschland Holding AG</t>
  </si>
  <si>
    <t>TVA</t>
  </si>
  <si>
    <t>Teva Pharmaceutical Industries Limited</t>
  </si>
  <si>
    <t>TVC</t>
  </si>
  <si>
    <t>True Value Company</t>
  </si>
  <si>
    <t>TVN</t>
  </si>
  <si>
    <t>TOPPAN VITE PTE. LTD.</t>
  </si>
  <si>
    <t>TVR</t>
  </si>
  <si>
    <t>TechVar</t>
  </si>
  <si>
    <t>TVS</t>
  </si>
  <si>
    <t>Tvar Solutions LLC</t>
  </si>
  <si>
    <t>TWC</t>
  </si>
  <si>
    <t>The White Company (UK) Ltd</t>
  </si>
  <si>
    <t>TWD</t>
  </si>
  <si>
    <t>Tweddle Litho Company</t>
  </si>
  <si>
    <t>TWE</t>
  </si>
  <si>
    <t>Telework Systems plc</t>
  </si>
  <si>
    <t>TWI</t>
  </si>
  <si>
    <t>Twinmar Group Ltd</t>
  </si>
  <si>
    <t>TWP</t>
  </si>
  <si>
    <t>Thomas Weisel Partners Group, Inc.</t>
  </si>
  <si>
    <t>TYA</t>
  </si>
  <si>
    <t>Toyota Motor Corporation</t>
  </si>
  <si>
    <t>TYC</t>
  </si>
  <si>
    <t>Tyco International Ltd</t>
  </si>
  <si>
    <t>TYT</t>
  </si>
  <si>
    <t>Toyota Motor Europe Sa</t>
  </si>
  <si>
    <t>UAL</t>
  </si>
  <si>
    <t>UAL Corporation</t>
  </si>
  <si>
    <t>UBI</t>
  </si>
  <si>
    <t>UBISOFT Entertainment SA</t>
  </si>
  <si>
    <t>UBL</t>
  </si>
  <si>
    <t>uniblue</t>
  </si>
  <si>
    <t>UBS</t>
  </si>
  <si>
    <t>UBS AG</t>
  </si>
  <si>
    <t>UBV</t>
  </si>
  <si>
    <t>Ubivelox Inc</t>
  </si>
  <si>
    <t>UBZ</t>
  </si>
  <si>
    <t>Cybertrust Inc</t>
  </si>
  <si>
    <t>UCB</t>
  </si>
  <si>
    <t>UCB S.A.</t>
  </si>
  <si>
    <t>UCG</t>
  </si>
  <si>
    <t>United Communications Group LP</t>
  </si>
  <si>
    <t>UCL</t>
  </si>
  <si>
    <t>Cambridge Assessment</t>
  </si>
  <si>
    <t>UCO</t>
  </si>
  <si>
    <t>Universidad de Córdoba</t>
  </si>
  <si>
    <t>UEI</t>
  </si>
  <si>
    <t>Universal Electronics Inc.</t>
  </si>
  <si>
    <t>UEX</t>
  </si>
  <si>
    <t>United Experts GmbH</t>
  </si>
  <si>
    <t>UFI</t>
  </si>
  <si>
    <t>UFIDA Software Co., Ltd</t>
  </si>
  <si>
    <t>UGP</t>
  </si>
  <si>
    <t>Government of The United States</t>
  </si>
  <si>
    <t>UGR</t>
  </si>
  <si>
    <t>Universidad de Granada</t>
  </si>
  <si>
    <t>UHD</t>
  </si>
  <si>
    <t>Unic Holding A.G.</t>
  </si>
  <si>
    <t>UHG</t>
  </si>
  <si>
    <t>United Health Group Incorporated</t>
  </si>
  <si>
    <t>UHH</t>
  </si>
  <si>
    <t>US Department of Health and Human Services</t>
  </si>
  <si>
    <t>UIT</t>
  </si>
  <si>
    <t>Universidad Internacional para las Tecnologías y Artes Digitale</t>
  </si>
  <si>
    <t>UJK</t>
  </si>
  <si>
    <t>UjakUrlop.pl</t>
  </si>
  <si>
    <t>UKE</t>
  </si>
  <si>
    <t>Universitätsklinikum Hamburg-Eppendorf</t>
  </si>
  <si>
    <t>UKG</t>
  </si>
  <si>
    <t>United Kingdom Government</t>
  </si>
  <si>
    <t>UKL</t>
  </si>
  <si>
    <t>UK Local Councils</t>
  </si>
  <si>
    <t>ULT</t>
  </si>
  <si>
    <t>Ultra Computer Services</t>
  </si>
  <si>
    <t>UMA</t>
  </si>
  <si>
    <t xml:space="preserve">University of Massachusetts </t>
  </si>
  <si>
    <t>UN1</t>
  </si>
  <si>
    <t>Uni-Sélect Inc.</t>
  </si>
  <si>
    <t>UNB</t>
  </si>
  <si>
    <t>Underwriters Laboratories Inc.</t>
  </si>
  <si>
    <t>UNC</t>
  </si>
  <si>
    <t>Unicredit</t>
  </si>
  <si>
    <t>UNI</t>
  </si>
  <si>
    <t>Unitronics Communicaciones, S.A.</t>
  </si>
  <si>
    <t>UNL</t>
  </si>
  <si>
    <t>Unilever</t>
  </si>
  <si>
    <t>UNQ</t>
  </si>
  <si>
    <t>Uniqa Software-Service Gmbh</t>
  </si>
  <si>
    <t>UNR</t>
  </si>
  <si>
    <t>United Rentals, Inc.</t>
  </si>
  <si>
    <t>UNS</t>
  </si>
  <si>
    <t>United Nations</t>
  </si>
  <si>
    <t>UNT</t>
  </si>
  <si>
    <t>Unite the Union</t>
  </si>
  <si>
    <t>UNV</t>
  </si>
  <si>
    <t>Universal City Development Partners LTD</t>
  </si>
  <si>
    <t>UNW</t>
  </si>
  <si>
    <t>Uniway Sa</t>
  </si>
  <si>
    <t>UOP</t>
  </si>
  <si>
    <t>University of Pennsylvania</t>
  </si>
  <si>
    <t>UPM</t>
  </si>
  <si>
    <t>UPS</t>
  </si>
  <si>
    <t>United Parcel Services Inc.</t>
  </si>
  <si>
    <t>URB</t>
  </si>
  <si>
    <t>Urban Outfitters Inc.</t>
  </si>
  <si>
    <t>USA</t>
  </si>
  <si>
    <t>USAA</t>
  </si>
  <si>
    <t>USC</t>
  </si>
  <si>
    <t>US City Councils</t>
  </si>
  <si>
    <t>USG</t>
  </si>
  <si>
    <t>United States Federal Government</t>
  </si>
  <si>
    <t>USH</t>
  </si>
  <si>
    <t>Université de Sherbrooke</t>
  </si>
  <si>
    <t>USP</t>
  </si>
  <si>
    <t>US Pharmacopeia</t>
  </si>
  <si>
    <t>USR</t>
  </si>
  <si>
    <t>US Robotics</t>
  </si>
  <si>
    <t>USS</t>
  </si>
  <si>
    <t>US State Governments</t>
  </si>
  <si>
    <t>USY</t>
  </si>
  <si>
    <t>Unisys Corporation</t>
  </si>
  <si>
    <t>UTC</t>
  </si>
  <si>
    <t>UTD</t>
  </si>
  <si>
    <t>Utdanningsdirektoratet</t>
  </si>
  <si>
    <t>UTW</t>
  </si>
  <si>
    <t>Universiteit Twente</t>
  </si>
  <si>
    <t>UVL</t>
  </si>
  <si>
    <t>Universiteit Leiden</t>
  </si>
  <si>
    <t>VA1</t>
  </si>
  <si>
    <t>Vaisala Oyj</t>
  </si>
  <si>
    <t>VAA</t>
  </si>
  <si>
    <t>Van Aarsen International B.V</t>
  </si>
  <si>
    <t>VAD</t>
  </si>
  <si>
    <t>Divisie Vroom &amp; Dreesmann B.V.</t>
  </si>
  <si>
    <t>VAG</t>
  </si>
  <si>
    <t>Vansanta Group Ltd</t>
  </si>
  <si>
    <t>VAI</t>
  </si>
  <si>
    <t>Vaillant GmbH</t>
  </si>
  <si>
    <t>VAK</t>
  </si>
  <si>
    <t>Vakantie Makelaar B.V.</t>
  </si>
  <si>
    <t>VAL</t>
  </si>
  <si>
    <t>Valve Corporation</t>
  </si>
  <si>
    <t>VAR</t>
  </si>
  <si>
    <t>Varian Medical Systems Inc</t>
  </si>
  <si>
    <t>VAS</t>
  </si>
  <si>
    <t>VASCO Data Security International, Inc</t>
  </si>
  <si>
    <t>VBK</t>
  </si>
  <si>
    <t>Van Beek</t>
  </si>
  <si>
    <t>VBR</t>
  </si>
  <si>
    <t>VisitBritain</t>
  </si>
  <si>
    <t>VCE</t>
  </si>
  <si>
    <t>Vce Company, LLC</t>
  </si>
  <si>
    <t>VCJ</t>
  </si>
  <si>
    <t>Victor Company of Japan Ltd</t>
  </si>
  <si>
    <t>VCL</t>
  </si>
  <si>
    <t>Value Comparison Ltd</t>
  </si>
  <si>
    <t>VCO</t>
  </si>
  <si>
    <t>Vircom Inc.</t>
  </si>
  <si>
    <t>VCS</t>
  </si>
  <si>
    <t>VASS Consultoria de Sistemas</t>
  </si>
  <si>
    <t>VCU</t>
  </si>
  <si>
    <t>V-CUBE, Inc</t>
  </si>
  <si>
    <t>VDE</t>
  </si>
  <si>
    <t>Van Dijk Educatie B.V.</t>
  </si>
  <si>
    <t>VDV</t>
  </si>
  <si>
    <t>VDVX BV</t>
  </si>
  <si>
    <t>VEA</t>
  </si>
  <si>
    <t>Vemag Anlagenbau GmbH</t>
  </si>
  <si>
    <t>VEC</t>
  </si>
  <si>
    <t>Vector Group</t>
  </si>
  <si>
    <t>VEK</t>
  </si>
  <si>
    <t>Vereniging van Kamers van Koophandel</t>
  </si>
  <si>
    <t>VEL</t>
  </si>
  <si>
    <t>Visa Europe Services Inc.</t>
  </si>
  <si>
    <t>VEM</t>
  </si>
  <si>
    <t>Vemag Group</t>
  </si>
  <si>
    <t>VER</t>
  </si>
  <si>
    <t>Veritas Software Corporation</t>
  </si>
  <si>
    <t>VES</t>
  </si>
  <si>
    <t>Vestas Wind Systems A/S</t>
  </si>
  <si>
    <t>VFA</t>
  </si>
  <si>
    <t>Vanderweil Facilities Advisors, Inc.</t>
  </si>
  <si>
    <t>VFS</t>
  </si>
  <si>
    <t>Kuoni Group</t>
  </si>
  <si>
    <t>VGN</t>
  </si>
  <si>
    <t>Vigience Co., Ltd.</t>
  </si>
  <si>
    <t>VGO</t>
  </si>
  <si>
    <t>Victorian Auditor General's Office</t>
  </si>
  <si>
    <t>VHD</t>
  </si>
  <si>
    <t>Victoria Holding SARL</t>
  </si>
  <si>
    <t>VIA</t>
  </si>
  <si>
    <t>Vitria Technology Inc.</t>
  </si>
  <si>
    <t>VIC</t>
  </si>
  <si>
    <t>VINCI Group</t>
  </si>
  <si>
    <t>VIE</t>
  </si>
  <si>
    <t>VIME Hotels &amp; Resorts</t>
  </si>
  <si>
    <t>VIF</t>
  </si>
  <si>
    <t>Vintage Filings, LLC</t>
  </si>
  <si>
    <t>VIG</t>
  </si>
  <si>
    <t>Vignette Corporation</t>
  </si>
  <si>
    <t>VII</t>
  </si>
  <si>
    <t>Vital Images, Inc.</t>
  </si>
  <si>
    <t>VIM</t>
  </si>
  <si>
    <t>Visma Software AS</t>
  </si>
  <si>
    <t>VIN</t>
  </si>
  <si>
    <t>Vinghog AS</t>
  </si>
  <si>
    <t>VIP</t>
  </si>
  <si>
    <t>VIA PRESSE</t>
  </si>
  <si>
    <t>VIR</t>
  </si>
  <si>
    <t>Virgin Group</t>
  </si>
  <si>
    <t>VIS</t>
  </si>
  <si>
    <t>1Vision Software Inc</t>
  </si>
  <si>
    <t>VIT</t>
  </si>
  <si>
    <t>Vital Inc</t>
  </si>
  <si>
    <t>VIV</t>
  </si>
  <si>
    <t xml:space="preserve">Vivendi Universal </t>
  </si>
  <si>
    <t>VLC</t>
  </si>
  <si>
    <t>VLG</t>
  </si>
  <si>
    <t>Viaselect Leisure Group B.V.</t>
  </si>
  <si>
    <t>VLP</t>
  </si>
  <si>
    <t>Value Line Publishing Inc.</t>
  </si>
  <si>
    <t>VMW</t>
  </si>
  <si>
    <t>VMware Inc.</t>
  </si>
  <si>
    <t>VNC</t>
  </si>
  <si>
    <t>Vincles</t>
  </si>
  <si>
    <t>VNU</t>
  </si>
  <si>
    <t>The Nielsen Company B.V.</t>
  </si>
  <si>
    <t>VNW</t>
  </si>
  <si>
    <t>Vereniging Nederlandse Woonbond</t>
  </si>
  <si>
    <t>VOC</t>
  </si>
  <si>
    <t>Vocera Communications, Inc.</t>
  </si>
  <si>
    <t>VOG</t>
  </si>
  <si>
    <t>Verlag Heinrich Vogel GmbH</t>
  </si>
  <si>
    <t>VOI</t>
  </si>
  <si>
    <t>Voith AG</t>
  </si>
  <si>
    <t>VOL</t>
  </si>
  <si>
    <t>AB Volvo</t>
  </si>
  <si>
    <t>VOP</t>
  </si>
  <si>
    <t>Vogel's Products B.V.</t>
  </si>
  <si>
    <t>VOX</t>
  </si>
  <si>
    <t>Vox Orbis</t>
  </si>
  <si>
    <t>VPR</t>
  </si>
  <si>
    <t>Vente Privee.Com</t>
  </si>
  <si>
    <t>VRC</t>
  </si>
  <si>
    <t>Viking River Cruises, Inc</t>
  </si>
  <si>
    <t>VRN</t>
  </si>
  <si>
    <t>Vernier Software &amp; Technology</t>
  </si>
  <si>
    <t>VRS</t>
  </si>
  <si>
    <t>VeriSign, Inc</t>
  </si>
  <si>
    <t>VRT</t>
  </si>
  <si>
    <t>Verity, Inc.</t>
  </si>
  <si>
    <t>VSA</t>
  </si>
  <si>
    <t>Visa Inc</t>
  </si>
  <si>
    <t>VSB</t>
  </si>
  <si>
    <t>VSO</t>
  </si>
  <si>
    <t>VSC</t>
  </si>
  <si>
    <t>Viewsonic Corporation</t>
  </si>
  <si>
    <t>VSM</t>
  </si>
  <si>
    <t>VSN</t>
  </si>
  <si>
    <t>Visual Insights, Inc</t>
  </si>
  <si>
    <t>Virtuoso Ltd</t>
  </si>
  <si>
    <t>VSP</t>
  </si>
  <si>
    <t>Visiprise Inc</t>
  </si>
  <si>
    <t>VST</t>
  </si>
  <si>
    <t>Visteon Corporation</t>
  </si>
  <si>
    <t>VSU</t>
  </si>
  <si>
    <t>Vostu</t>
  </si>
  <si>
    <t>VTC</t>
  </si>
  <si>
    <t>VistaTEC Holdings Ltd</t>
  </si>
  <si>
    <t>VTG</t>
  </si>
  <si>
    <t>Cisco Systems Voice Technology Group</t>
  </si>
  <si>
    <t>VTH</t>
  </si>
  <si>
    <t>Valtech H2O A.G.</t>
  </si>
  <si>
    <t>VTO</t>
  </si>
  <si>
    <t>Visto Corporation</t>
  </si>
  <si>
    <t>VTR</t>
  </si>
  <si>
    <t>Viator Inc.</t>
  </si>
  <si>
    <t>VUA</t>
  </si>
  <si>
    <t>Vrije Universiteit Amsterdam</t>
  </si>
  <si>
    <t>VUM</t>
  </si>
  <si>
    <t>VUMMedia</t>
  </si>
  <si>
    <t>VVM</t>
  </si>
  <si>
    <t>VVM De Lijn</t>
  </si>
  <si>
    <t>VWA</t>
  </si>
  <si>
    <t>Volkswagen AG</t>
  </si>
  <si>
    <t>WAC</t>
  </si>
  <si>
    <t>Wacom Technology Co</t>
  </si>
  <si>
    <t>WAE</t>
  </si>
  <si>
    <t>Words and Graphics Ltd</t>
  </si>
  <si>
    <t>WAG</t>
  </si>
  <si>
    <t>WatchGuard Technologies Inc</t>
  </si>
  <si>
    <t>WAI</t>
  </si>
  <si>
    <t>Walker Information, Inc.</t>
  </si>
  <si>
    <t>WAK</t>
  </si>
  <si>
    <t>Wacker Chemie AG</t>
  </si>
  <si>
    <t>WAR</t>
  </si>
  <si>
    <t>Wärtsilä Corporation</t>
  </si>
  <si>
    <t>WAT</t>
  </si>
  <si>
    <t>Wataniya Airways</t>
  </si>
  <si>
    <t>WAV</t>
  </si>
  <si>
    <t>Wavin N.V.</t>
  </si>
  <si>
    <t>WAW</t>
  </si>
  <si>
    <t>Watson Wyatt &amp; Company Holdings</t>
  </si>
  <si>
    <t>WBA</t>
  </si>
  <si>
    <t>Web Associates, Inc.</t>
  </si>
  <si>
    <t>WBC</t>
  </si>
  <si>
    <t>Westpac Banking Corporation</t>
  </si>
  <si>
    <t>WCM</t>
  </si>
  <si>
    <t>Wacom Co., Ltd.</t>
  </si>
  <si>
    <t>WCR</t>
  </si>
  <si>
    <t>WCRP</t>
  </si>
  <si>
    <t>WDM</t>
  </si>
  <si>
    <t>Weidmüller Interface GmbH &amp; Co. KG</t>
  </si>
  <si>
    <t>WEB</t>
  </si>
  <si>
    <t>webMethods</t>
  </si>
  <si>
    <t>WEC</t>
  </si>
  <si>
    <t>WellCare Health Plans Inc</t>
  </si>
  <si>
    <t>WED</t>
  </si>
  <si>
    <t>Waggener Edstrom, Inc</t>
  </si>
  <si>
    <t>WEE</t>
  </si>
  <si>
    <t>Welch Allyn Inc</t>
  </si>
  <si>
    <t>WEH</t>
  </si>
  <si>
    <t>Wehlmann Kommunikation</t>
  </si>
  <si>
    <t>WEI</t>
  </si>
  <si>
    <t>Michael Weinig AG</t>
  </si>
  <si>
    <t>WEL</t>
  </si>
  <si>
    <t>WeLocalize Inc</t>
  </si>
  <si>
    <t>WEN</t>
  </si>
  <si>
    <t>Wendy's International Inc.</t>
  </si>
  <si>
    <t>WES</t>
  </si>
  <si>
    <t>Western Digital Corporation</t>
  </si>
  <si>
    <t>WEU</t>
  </si>
  <si>
    <t>The Western Union Company</t>
  </si>
  <si>
    <t>WEZ</t>
  </si>
  <si>
    <t>WebZen Inc.</t>
  </si>
  <si>
    <t>WFC</t>
  </si>
  <si>
    <t>Wells Fargo &amp; Company</t>
  </si>
  <si>
    <t>WFD</t>
  </si>
  <si>
    <t>Weatherford International Ltd.</t>
  </si>
  <si>
    <t>WHC</t>
  </si>
  <si>
    <t xml:space="preserve">White Label Designs, Inc. </t>
  </si>
  <si>
    <t>WHE</t>
  </si>
  <si>
    <t>Warehouse Express Ltd</t>
  </si>
  <si>
    <t>WHI</t>
  </si>
  <si>
    <t>Whirlpool Corporation</t>
  </si>
  <si>
    <t>WHL</t>
  </si>
  <si>
    <t>William Hill Organisation Ltd</t>
  </si>
  <si>
    <t>WHO</t>
  </si>
  <si>
    <t>Marquis Who's Who</t>
  </si>
  <si>
    <t>WHP</t>
  </si>
  <si>
    <t>WHP International SAS</t>
  </si>
  <si>
    <t>WI1</t>
  </si>
  <si>
    <t>Witron</t>
  </si>
  <si>
    <t>WID</t>
  </si>
  <si>
    <t>Widdcom Inc</t>
  </si>
  <si>
    <t>WIK</t>
  </si>
  <si>
    <t>Wikitude GmbH</t>
  </si>
  <si>
    <t>WIL</t>
  </si>
  <si>
    <t>WildPackets Inc</t>
  </si>
  <si>
    <t>WIN</t>
  </si>
  <si>
    <t>WinSoft Corporation</t>
  </si>
  <si>
    <t>WIO</t>
  </si>
  <si>
    <t>WIPO</t>
  </si>
  <si>
    <t>WIS</t>
  </si>
  <si>
    <t>Wistron Corporation</t>
  </si>
  <si>
    <t>WIT</t>
  </si>
  <si>
    <t>Witness Systems Inc</t>
  </si>
  <si>
    <t>WKI</t>
  </si>
  <si>
    <t>Wieden + Kennedy, Inc.</t>
  </si>
  <si>
    <t>WLE</t>
  </si>
  <si>
    <t>Working Links (Employment) Ltd.</t>
  </si>
  <si>
    <t>WLG</t>
  </si>
  <si>
    <t>Wells Landers Group, LLC</t>
  </si>
  <si>
    <t>WLM</t>
  </si>
  <si>
    <t>Wal-Mart Stores Inc.</t>
  </si>
  <si>
    <t>WMD</t>
  </si>
  <si>
    <t>WM-data AB</t>
  </si>
  <si>
    <t>Transperfect Global, Inc.</t>
  </si>
  <si>
    <t>WOC</t>
  </si>
  <si>
    <t>Wolf Oil Corporation NV</t>
  </si>
  <si>
    <t>WOL</t>
  </si>
  <si>
    <t>Wolters Kluwer N.V.</t>
  </si>
  <si>
    <t>WOM</t>
  </si>
  <si>
    <t>Wood Mackenzie</t>
  </si>
  <si>
    <t>WOR</t>
  </si>
  <si>
    <t>Workshare Technology</t>
  </si>
  <si>
    <t>WOS</t>
  </si>
  <si>
    <t>Worldspan LP</t>
  </si>
  <si>
    <t>WPP</t>
  </si>
  <si>
    <t>WRH</t>
  </si>
  <si>
    <t>Warema Renkhoff Holding AG</t>
  </si>
  <si>
    <t>WRR</t>
  </si>
  <si>
    <t>White Rabbit Records Ltd</t>
  </si>
  <si>
    <t>WRT</t>
  </si>
  <si>
    <t>Wirtgen Group</t>
  </si>
  <si>
    <t>WSG</t>
  </si>
  <si>
    <t>Warmteservice Groep B.V.</t>
  </si>
  <si>
    <t>WSH</t>
  </si>
  <si>
    <t>The Interpublic Group of Companies, Inc.</t>
  </si>
  <si>
    <t>WSK</t>
  </si>
  <si>
    <t>10 WSK z Polikliniką</t>
  </si>
  <si>
    <t>WSL</t>
  </si>
  <si>
    <t>Worldstores Ltd.</t>
  </si>
  <si>
    <t>WSM</t>
  </si>
  <si>
    <t>WiseStep (m) SDN BHD</t>
  </si>
  <si>
    <t>WSN</t>
  </si>
  <si>
    <t>Wilson Learning Corporation</t>
  </si>
  <si>
    <t>WSP</t>
  </si>
  <si>
    <t>WSPA World Society for the Protection of Animals</t>
  </si>
  <si>
    <t>WST</t>
  </si>
  <si>
    <t>West Corporation</t>
  </si>
  <si>
    <t>WSX</t>
  </si>
  <si>
    <t>Wessex Translations Limited</t>
  </si>
  <si>
    <t>WTB</t>
  </si>
  <si>
    <t>WTB Group</t>
  </si>
  <si>
    <t>WTC</t>
  </si>
  <si>
    <t>Waters Technologies Corporation</t>
  </si>
  <si>
    <t>WTG</t>
  </si>
  <si>
    <t>WTG Technologies Ltd</t>
  </si>
  <si>
    <t>WTO</t>
  </si>
  <si>
    <t>World Trade Organization</t>
  </si>
  <si>
    <t>WUR</t>
  </si>
  <si>
    <t>Adolf Würth GmbH &amp; Co. KG</t>
  </si>
  <si>
    <t>WWC</t>
  </si>
  <si>
    <t>Wm. Wrigley Jr. Company</t>
  </si>
  <si>
    <t>WWF</t>
  </si>
  <si>
    <t>The Whitewave Foods Company</t>
  </si>
  <si>
    <t>WWG</t>
  </si>
  <si>
    <t>W.W. Grainger Inc</t>
  </si>
  <si>
    <t>WWL</t>
  </si>
  <si>
    <t>Woolworths Limited</t>
  </si>
  <si>
    <t>WWR</t>
  </si>
  <si>
    <t>TAG WORLDWIDE GROUP LIMITED</t>
  </si>
  <si>
    <t>WYE</t>
  </si>
  <si>
    <t>Wyeth</t>
  </si>
  <si>
    <t>WYL</t>
  </si>
  <si>
    <t>Wyle Laboratories, Inc.</t>
  </si>
  <si>
    <t>WZP</t>
  </si>
  <si>
    <t>Winzip Computing, Inc.</t>
  </si>
  <si>
    <t>XAN</t>
  </si>
  <si>
    <t>Xandros</t>
  </si>
  <si>
    <t>XAR</t>
  </si>
  <si>
    <t>Xara Ltd</t>
  </si>
  <si>
    <t>XEB</t>
  </si>
  <si>
    <t>Xebec KK</t>
  </si>
  <si>
    <t>XER</t>
  </si>
  <si>
    <t>Xerox Corporation</t>
  </si>
  <si>
    <t>XFO</t>
  </si>
  <si>
    <t>EXFO Electro-Optical Engineering Inc.</t>
  </si>
  <si>
    <t>XIL</t>
  </si>
  <si>
    <t>Xilinx Inc.</t>
  </si>
  <si>
    <t>XP2</t>
  </si>
  <si>
    <t>XPD</t>
  </si>
  <si>
    <t>Xpand Corporation</t>
  </si>
  <si>
    <t>XSB</t>
  </si>
  <si>
    <t>XSB, Inc.</t>
  </si>
  <si>
    <t>XST</t>
  </si>
  <si>
    <t>Xstrata plc</t>
  </si>
  <si>
    <t>XTR</t>
  </si>
  <si>
    <t>Xtract nv</t>
  </si>
  <si>
    <t>XXL</t>
  </si>
  <si>
    <t>XXXLUTZ K.G.</t>
  </si>
  <si>
    <t>XXX</t>
  </si>
  <si>
    <t>Test Company - DO NOT USE</t>
  </si>
  <si>
    <t>XYL</t>
  </si>
  <si>
    <t>Xylem Inc</t>
  </si>
  <si>
    <t>XYN</t>
  </si>
  <si>
    <t>Xyntéo AS</t>
  </si>
  <si>
    <t>YAC</t>
  </si>
  <si>
    <t xml:space="preserve">Yamaha Corporation </t>
  </si>
  <si>
    <t>YAH</t>
  </si>
  <si>
    <t>Yahoo! Inc</t>
  </si>
  <si>
    <t>YAM</t>
  </si>
  <si>
    <t>Yamanouchi Pharmaceutical Co. Ltd</t>
  </si>
  <si>
    <t>YAR</t>
  </si>
  <si>
    <t>Yara International ASA</t>
  </si>
  <si>
    <t>YAU</t>
  </si>
  <si>
    <t>Yale University</t>
  </si>
  <si>
    <t>YBS</t>
  </si>
  <si>
    <t>Yorkshire Building Society</t>
  </si>
  <si>
    <t>YCO</t>
  </si>
  <si>
    <t>Yamagata Printing Group</t>
  </si>
  <si>
    <t>YES</t>
  </si>
  <si>
    <t>E-Yes n.v.</t>
  </si>
  <si>
    <t>YHA</t>
  </si>
  <si>
    <t>Yha (England &amp; Wales) Ltd</t>
  </si>
  <si>
    <t>YKG</t>
  </si>
  <si>
    <t>Yokogawa Electric Corporation</t>
  </si>
  <si>
    <t>YME</t>
  </si>
  <si>
    <t>Yamaha Motor Europe N.V.</t>
  </si>
  <si>
    <t>YMT</t>
  </si>
  <si>
    <t>Yamatake Corporation</t>
  </si>
  <si>
    <t>YRK</t>
  </si>
  <si>
    <t>York University</t>
  </si>
  <si>
    <t>YUM</t>
  </si>
  <si>
    <t>YUM! Brands, Inc.</t>
  </si>
  <si>
    <t>YVE</t>
  </si>
  <si>
    <t>Laboratoire de Biologie Végétale Yves Rocher SA</t>
  </si>
  <si>
    <t>ZAT</t>
  </si>
  <si>
    <t>ZAT Automobiletechnik GmbH</t>
  </si>
  <si>
    <t>ZAZ</t>
  </si>
  <si>
    <t>ZAAZ, Inc.</t>
  </si>
  <si>
    <t>ZEI</t>
  </si>
  <si>
    <t>Carl Zeiss International</t>
  </si>
  <si>
    <t>ZID</t>
  </si>
  <si>
    <t>Ziff Davis Holdings Inc</t>
  </si>
  <si>
    <t>ZIG</t>
  </si>
  <si>
    <t>Ziggo BV</t>
  </si>
  <si>
    <t>ZLN</t>
  </si>
  <si>
    <t xml:space="preserve">Zoomlion Heavy Industry Science &amp; Technology Development Co., Ltd </t>
  </si>
  <si>
    <t>ZML</t>
  </si>
  <si>
    <t>ZOD</t>
  </si>
  <si>
    <t>Zodee Pty Ltd</t>
  </si>
  <si>
    <t>ZOR</t>
  </si>
  <si>
    <t>Zorgverzekeraars Nederland</t>
  </si>
  <si>
    <t>ZTE</t>
  </si>
  <si>
    <t>ZTE Corporation</t>
  </si>
  <si>
    <t>ZYB</t>
  </si>
  <si>
    <t>MSC Information Retrieval Technologies B.V.</t>
  </si>
  <si>
    <t>ZYN</t>
  </si>
  <si>
    <t>Zynga, Inc.</t>
  </si>
  <si>
    <t>ZYX</t>
  </si>
  <si>
    <t>zynx</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</si>
  <si>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</si>
  <si>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</si>
  <si>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 Quality Indicator (100% max)</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</si>
  <si>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</si>
  <si>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</si>
  <si>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</si>
  <si>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</si>
  <si>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</si>
  <si>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</si>
  <si>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</si>
  <si>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</si>
  <si>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</si>
  <si>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</si>
  <si>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</si>
  <si>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</si>
  <si>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</si>
  <si>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</si>
  <si>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</si>
  <si>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</si>
  <si>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</si>
  <si>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</si>
  <si>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</si>
  <si>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</si>
  <si>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</si>
  <si>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rating</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</si>
  <si>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</si>
  <si>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</si>
  <si>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</si>
  <si>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</si>
  <si>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</si>
  <si>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</si>
  <si>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</si>
  <si>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</si>
  <si>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</si>
  <si>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</si>
  <si>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Select grade for overall Readability  &gt;&gt;&gt;</t>
  </si>
  <si>
    <t>Contact Chris Burkimsher, Director of Translation, SDL Quality &amp; Infrastructure Group.</t>
  </si>
  <si>
    <t>Adequacy Level: Publishable</t>
  </si>
  <si>
    <t>Adequacy Level: Understandable</t>
  </si>
  <si>
    <t>J2450 - Publishable</t>
  </si>
  <si>
    <t>J2450 - Understandable</t>
  </si>
  <si>
    <t>Publishable</t>
  </si>
  <si>
    <t>Understandable</t>
  </si>
  <si>
    <t>Legacy Data Errors</t>
  </si>
  <si>
    <t>Source Text Error</t>
  </si>
  <si>
    <t>Not applicable (no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</si>
  <si>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</si>
  <si>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</si>
  <si>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</si>
  <si>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</si>
  <si>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</si>
  <si>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</si>
  <si>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   1. Select appropriate option (Implemented) from the drop-down list in the Sign-off column to indicate that that the changes will be implemented where required (e.g. ITD, XLIFF, TM, termbase, glossary, etc.). </t>
  </si>
  <si>
    <t xml:space="preserve">       The PJM team should be notified of the changes and provided with updated files as and if required.</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</si>
  <si>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</si>
  <si>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</si>
  <si>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 xml:space="preserve">Should the Quality Manager (or person acting as Quality Manager) disagree with the translator’s decision to reject an error (or errors), he/she should enter the justification in the Reason for decision column </t>
  </si>
  <si>
    <t>and return the report to the translator with request to complete the Sign-off column where appropriate.</t>
  </si>
  <si>
    <t>The translator is then required to return the completed scorecard to the Quality Manager (or person acting as Quality Manager) for his/her records.</t>
  </si>
  <si>
    <t>ClientName</t>
  </si>
  <si>
    <t>___</t>
  </si>
  <si>
    <t>SYSTEM</t>
  </si>
  <si>
    <t>AC2</t>
  </si>
  <si>
    <t>AutoCanada Inc.</t>
  </si>
  <si>
    <t>ACJ</t>
  </si>
  <si>
    <t>Acxiom Corporation</t>
  </si>
  <si>
    <t>ACK</t>
  </si>
  <si>
    <t>Accudyne Industries LLC</t>
  </si>
  <si>
    <t>AGP</t>
  </si>
  <si>
    <t>Agropur Cooperative</t>
  </si>
  <si>
    <t>AGT</t>
  </si>
  <si>
    <t>BULL SAS</t>
  </si>
  <si>
    <t>AHR</t>
  </si>
  <si>
    <t>American Hotel Register Company</t>
  </si>
  <si>
    <t>AII</t>
  </si>
  <si>
    <t>Aimia Inc.</t>
  </si>
  <si>
    <t>AIK</t>
  </si>
  <si>
    <t>Aikawa Group</t>
  </si>
  <si>
    <t>AKT</t>
  </si>
  <si>
    <t>Akamai Technologies, Inc.</t>
  </si>
  <si>
    <t>AL2</t>
  </si>
  <si>
    <t>ALDO Group Inc.</t>
  </si>
  <si>
    <t>ALH</t>
  </si>
  <si>
    <t>Alio Health</t>
  </si>
  <si>
    <t>ALZ</t>
  </si>
  <si>
    <t>The Allstate Corporation</t>
  </si>
  <si>
    <t>AMK</t>
  </si>
  <si>
    <t>amana inc.</t>
  </si>
  <si>
    <t>AMT</t>
  </si>
  <si>
    <t>Amnesty International Limited</t>
  </si>
  <si>
    <t>Ansira Partners LLC</t>
  </si>
  <si>
    <t>APK</t>
  </si>
  <si>
    <t>Aplicor Inc.</t>
  </si>
  <si>
    <t>ARS</t>
  </si>
  <si>
    <t>S.A. Armstrong Limited</t>
  </si>
  <si>
    <t>ARU</t>
  </si>
  <si>
    <t>Pharmaceutical Product Development, LLC</t>
  </si>
  <si>
    <t>AS2</t>
  </si>
  <si>
    <t>Dr. Al Sears Center for Health &amp; Wellness</t>
  </si>
  <si>
    <t>ATB</t>
  </si>
  <si>
    <t>Attached B.V.</t>
  </si>
  <si>
    <t>ATE</t>
  </si>
  <si>
    <t>ALTEN SA</t>
  </si>
  <si>
    <t>AUE</t>
  </si>
  <si>
    <t>AUSTAR ENTERTAINMENT PTY LIMITED</t>
  </si>
  <si>
    <t>AXD</t>
  </si>
  <si>
    <t>Alexandra PLC</t>
  </si>
  <si>
    <t>AZT</t>
  </si>
  <si>
    <t>Actoz Soft Co., Ltd.</t>
  </si>
  <si>
    <t>BCT</t>
  </si>
  <si>
    <t>BTG Plc</t>
  </si>
  <si>
    <t>BFO</t>
  </si>
  <si>
    <t>Brown-Forman Corporation</t>
  </si>
  <si>
    <t>BNY</t>
  </si>
  <si>
    <t>The Bank of New York Mellon Corporation</t>
  </si>
  <si>
    <t>BRG</t>
  </si>
  <si>
    <t>Bernecker + Rainer Industrie-Elektronik Ges.m.b.H</t>
  </si>
  <si>
    <t>BRK</t>
  </si>
  <si>
    <t>BlackRock, Inc</t>
  </si>
  <si>
    <t>BSP</t>
  </si>
  <si>
    <t>BLUE SHEEP HOLDINGS LTD</t>
  </si>
  <si>
    <t>BTD</t>
  </si>
  <si>
    <t>Constructions Industrielles de la Méditerranée</t>
  </si>
  <si>
    <t>BTH</t>
  </si>
  <si>
    <t>Banyan Tree Holdings Limited</t>
  </si>
  <si>
    <t>BUX</t>
  </si>
  <si>
    <t>Buxton Company</t>
  </si>
  <si>
    <t>CACI International Inc.</t>
  </si>
  <si>
    <t>CCI</t>
  </si>
  <si>
    <t>Carlson Companies, Inc.</t>
  </si>
  <si>
    <t>CDM</t>
  </si>
  <si>
    <t>Cubed Digital Media</t>
  </si>
  <si>
    <t>CDZ</t>
  </si>
  <si>
    <t>The CDA Organisation Limited</t>
  </si>
  <si>
    <t>CEE</t>
  </si>
  <si>
    <t>Content Enablers Inc.</t>
  </si>
  <si>
    <t>CHF</t>
  </si>
  <si>
    <t>ChildFund International</t>
  </si>
  <si>
    <t>Citec Oy Ab</t>
  </si>
  <si>
    <t>CIL</t>
  </si>
  <si>
    <t>CALLCREDIT INFORMATION GROUP LTD</t>
  </si>
  <si>
    <t>CIO</t>
  </si>
  <si>
    <t>Cielo Co., Ltd</t>
  </si>
  <si>
    <t>CLN</t>
  </si>
  <si>
    <t>Clinphone Group Ltd</t>
  </si>
  <si>
    <t>CMA</t>
  </si>
  <si>
    <t>Cips Marketing Group, Inc.</t>
  </si>
  <si>
    <t>CPB</t>
  </si>
  <si>
    <t>Critical Past LLC</t>
  </si>
  <si>
    <t>CS1</t>
  </si>
  <si>
    <t>Cornerstone Group of Companies Limited</t>
  </si>
  <si>
    <t>CSN</t>
  </si>
  <si>
    <t>China Southern Airlines Company Limited</t>
  </si>
  <si>
    <t>CTL</t>
  </si>
  <si>
    <t>Catalytic Health</t>
  </si>
  <si>
    <t>CUS</t>
  </si>
  <si>
    <t>Cubist Pharmaceuticals, Inc.</t>
  </si>
  <si>
    <t>DAZ</t>
  </si>
  <si>
    <t>DAS Rechtsbijstand</t>
  </si>
  <si>
    <t>DBA</t>
  </si>
  <si>
    <t>Deutsche Bank AG</t>
  </si>
  <si>
    <t>DCC</t>
  </si>
  <si>
    <t>Distech Controls Inc.</t>
  </si>
  <si>
    <t>DDP</t>
  </si>
  <si>
    <t>Development Dimensions International Inc</t>
  </si>
  <si>
    <t>DEA</t>
  </si>
  <si>
    <t>DeNA Co., Ltd.</t>
  </si>
  <si>
    <t>DEU</t>
  </si>
  <si>
    <t>German Federal Government</t>
  </si>
  <si>
    <t>DGL</t>
  </si>
  <si>
    <t>Douglas Holding AG</t>
  </si>
  <si>
    <t>DGU</t>
  </si>
  <si>
    <t>Direct Golf UK Ltd</t>
  </si>
  <si>
    <t>DIL</t>
  </si>
  <si>
    <t>Dutka International (PA) Inc.</t>
  </si>
  <si>
    <t>DIR</t>
  </si>
  <si>
    <t>Direxions Marketing Solutions Pvt. Ltd</t>
  </si>
  <si>
    <t>DJI</t>
  </si>
  <si>
    <t>SZ DJI Technology Co., Ltd.</t>
  </si>
  <si>
    <t>DKE</t>
  </si>
  <si>
    <t>DKE Deutsche Kommission Elektrotechnik Elektronik Informationstechnik im DIN und VDE</t>
  </si>
  <si>
    <t>DLH</t>
  </si>
  <si>
    <t>Delhaize Group SA</t>
  </si>
  <si>
    <t>DLL</t>
  </si>
  <si>
    <t>Data Lateral Limited</t>
  </si>
  <si>
    <t>DMS</t>
  </si>
  <si>
    <t>DMG Mori Seiki AG</t>
  </si>
  <si>
    <t>DOH</t>
  </si>
  <si>
    <t>Dometic WAECO International GmbH</t>
  </si>
  <si>
    <t>DOM</t>
  </si>
  <si>
    <t>Dotz Marketing S/a.</t>
  </si>
  <si>
    <t>Drägerwerk AG &amp; Co. KGaA</t>
  </si>
  <si>
    <t>DRJ</t>
  </si>
  <si>
    <t>Dr. Jays, Inc.</t>
  </si>
  <si>
    <t>AO PLC</t>
  </si>
  <si>
    <t>DRS</t>
  </si>
  <si>
    <t>Direct Services Miami, Inc.</t>
  </si>
  <si>
    <t>DSI</t>
  </si>
  <si>
    <t>DSSI, LLC</t>
  </si>
  <si>
    <t>DUN</t>
  </si>
  <si>
    <t>Dunnes Stores</t>
  </si>
  <si>
    <t>ECA</t>
  </si>
  <si>
    <t>eCargo Enterprise Limited</t>
  </si>
  <si>
    <t>ECN</t>
  </si>
  <si>
    <t>EuroControl</t>
  </si>
  <si>
    <t>ED0</t>
  </si>
  <si>
    <t>EDirect Group</t>
  </si>
  <si>
    <t>EHB</t>
  </si>
  <si>
    <t>E.H. Booth &amp; Co. Ltd.</t>
  </si>
  <si>
    <t>EHM</t>
  </si>
  <si>
    <t>Eastern Harbor Media LLC</t>
  </si>
  <si>
    <t>E-L</t>
  </si>
  <si>
    <t>John Wiley &amp; Sons, Inc</t>
  </si>
  <si>
    <t>Top Right Group Limited</t>
  </si>
  <si>
    <t>EMM</t>
  </si>
  <si>
    <t>EMPIRICS MARKETING PTY LTD</t>
  </si>
  <si>
    <t>ENU</t>
  </si>
  <si>
    <t>ENUCUZ PAZARLAMA TURIZM REKLAM VE TELEKOMUNIKASYON TICARET A S</t>
  </si>
  <si>
    <t>ERM</t>
  </si>
  <si>
    <t>ERM POWER LIMITED</t>
  </si>
  <si>
    <t>ESE</t>
  </si>
  <si>
    <t>Elbit Systems Ltd.</t>
  </si>
  <si>
    <t>ETB</t>
  </si>
  <si>
    <t>MakeMyTrip Limited</t>
  </si>
  <si>
    <t>EVA</t>
  </si>
  <si>
    <t>EV Group Gmbh</t>
  </si>
  <si>
    <t>EVL</t>
  </si>
  <si>
    <t xml:space="preserve">ENVIROFONE LTD </t>
  </si>
  <si>
    <t>EXC</t>
  </si>
  <si>
    <t>EXA Corporation</t>
  </si>
  <si>
    <t>EXG</t>
  </si>
  <si>
    <t>Extraprise Group Inc</t>
  </si>
  <si>
    <t>FCA</t>
  </si>
  <si>
    <t>Chrysler Group LLC</t>
  </si>
  <si>
    <t>FEM</t>
  </si>
  <si>
    <t>Ferm B.V.</t>
  </si>
  <si>
    <t>FFT</t>
  </si>
  <si>
    <t>Fitness First Plc</t>
  </si>
  <si>
    <t>FIE</t>
  </si>
  <si>
    <t>Fisher Investments, Inc.</t>
  </si>
  <si>
    <t>Petites Affiches</t>
  </si>
  <si>
    <t>FMA</t>
  </si>
  <si>
    <t>Family Motor Coach Association, Inc.</t>
  </si>
  <si>
    <t>FMJ</t>
  </si>
  <si>
    <t>Finnish Ministry of Justice</t>
  </si>
  <si>
    <t>FOL</t>
  </si>
  <si>
    <t>Folksam AB</t>
  </si>
  <si>
    <t>FRI</t>
  </si>
  <si>
    <t>Fritz Egger GmbH &amp; co. OG</t>
  </si>
  <si>
    <t>FRN</t>
  </si>
  <si>
    <t>Frontwalker AB</t>
  </si>
  <si>
    <t>GAS</t>
  </si>
  <si>
    <t>Gamesys ltd</t>
  </si>
  <si>
    <t>GBA</t>
  </si>
  <si>
    <t>GB Group plc</t>
  </si>
  <si>
    <t>GCP</t>
  </si>
  <si>
    <t>Goldcorp Inc.</t>
  </si>
  <si>
    <t>GED</t>
  </si>
  <si>
    <t>Geometry Global LLC</t>
  </si>
  <si>
    <t>Georg Fischer AG</t>
  </si>
  <si>
    <t>GHP</t>
  </si>
  <si>
    <t>GRAYS (AUST) HOLDINGS PTY LIMITED</t>
  </si>
  <si>
    <t>GLE</t>
  </si>
  <si>
    <t>Grupo Francis Lefebvre</t>
  </si>
  <si>
    <t>GLR</t>
  </si>
  <si>
    <t>GLOBAL RED HOLDINGS PTY LIMITED</t>
  </si>
  <si>
    <t>GND</t>
  </si>
  <si>
    <t>Genesis Direct</t>
  </si>
  <si>
    <t>GON</t>
  </si>
  <si>
    <t>Government of Norway</t>
  </si>
  <si>
    <t>GPV</t>
  </si>
  <si>
    <t>GROUP POSITIVE LTD</t>
  </si>
  <si>
    <t>GRL</t>
  </si>
  <si>
    <t>Grid, LLC</t>
  </si>
  <si>
    <t>HAO</t>
  </si>
  <si>
    <t xml:space="preserve">Hannover Rück SE </t>
  </si>
  <si>
    <t>HBE</t>
  </si>
  <si>
    <t>HBE SOLUTIONS, LLC</t>
  </si>
  <si>
    <t>HBI</t>
  </si>
  <si>
    <t>Hebco, Inc.</t>
  </si>
  <si>
    <t>HBW</t>
  </si>
  <si>
    <t>Home Buyers Warranty Corporation</t>
  </si>
  <si>
    <t>HFE</t>
  </si>
  <si>
    <t>ALDI GmbH &amp; Co. KG Essen</t>
  </si>
  <si>
    <t>HFR</t>
  </si>
  <si>
    <t>House of Fraser</t>
  </si>
  <si>
    <t>HIO</t>
  </si>
  <si>
    <t>HIOKI E.E. CORPORATION</t>
  </si>
  <si>
    <t>HIQ</t>
  </si>
  <si>
    <t>H.I.S. Co., Ltd.</t>
  </si>
  <si>
    <t>HMS</t>
  </si>
  <si>
    <t>HANSA Marketing Services USA, Inc.</t>
  </si>
  <si>
    <t>HWA</t>
  </si>
  <si>
    <t>HomeAway, Inc</t>
  </si>
  <si>
    <t>HWT</t>
  </si>
  <si>
    <t>Handwriting without Tears</t>
  </si>
  <si>
    <t>IBU</t>
  </si>
  <si>
    <t>Industrial Building Supplies &amp; Services N.V</t>
  </si>
  <si>
    <t>ILO</t>
  </si>
  <si>
    <t>International Logistic Group, LLC</t>
  </si>
  <si>
    <t>ILS</t>
  </si>
  <si>
    <t>iLenSys Technologies Pvt Ltd.</t>
  </si>
  <si>
    <t>IMN</t>
  </si>
  <si>
    <t>E-Lane Systems Inc</t>
  </si>
  <si>
    <t>IN3</t>
  </si>
  <si>
    <t>INDICIA LLC</t>
  </si>
  <si>
    <t>IN4</t>
  </si>
  <si>
    <t>Indicio S/A</t>
  </si>
  <si>
    <t>IN7</t>
  </si>
  <si>
    <t>Iris Nation Worldwide Ltd.</t>
  </si>
  <si>
    <t>INE</t>
  </si>
  <si>
    <t>Infogroup Inc.</t>
  </si>
  <si>
    <t>INH</t>
  </si>
  <si>
    <t>INTRALOT S.A.</t>
  </si>
  <si>
    <t>INN</t>
  </si>
  <si>
    <t>Insightone Nordic AB</t>
  </si>
  <si>
    <t>ITM</t>
  </si>
  <si>
    <t>Internorm International GmbH</t>
  </si>
  <si>
    <t>JAMCO CORPORATION</t>
  </si>
  <si>
    <t>JAV</t>
  </si>
  <si>
    <t>Javelin Group</t>
  </si>
  <si>
    <t>JCI</t>
  </si>
  <si>
    <t>JACOBS &amp; CLEVENGER, INC.</t>
  </si>
  <si>
    <t>JTD</t>
  </si>
  <si>
    <t>JTB Corporation</t>
  </si>
  <si>
    <t>KEF</t>
  </si>
  <si>
    <t>Kerry Group plc</t>
  </si>
  <si>
    <t>KIC</t>
  </si>
  <si>
    <t>Kogei Intec Corporation</t>
  </si>
  <si>
    <t>KRI</t>
  </si>
  <si>
    <t>KRIVET</t>
  </si>
  <si>
    <t>LIV</t>
  </si>
  <si>
    <t>Livongo Health</t>
  </si>
  <si>
    <t>LSI</t>
  </si>
  <si>
    <t>LION'S SHARE COMMUNICATION INC</t>
  </si>
  <si>
    <t>LWB</t>
  </si>
  <si>
    <t>Learning Well, AB</t>
  </si>
  <si>
    <t>MC2</t>
  </si>
  <si>
    <t>McMurry/Tmg LLC</t>
  </si>
  <si>
    <t>MEQ</t>
  </si>
  <si>
    <t>Merkle Group Inc.</t>
  </si>
  <si>
    <t>MG2</t>
  </si>
  <si>
    <t>Marketing G2, LLC</t>
  </si>
  <si>
    <t>Jebsen &amp; Jessen (SEA)</t>
  </si>
  <si>
    <t>MJI</t>
  </si>
  <si>
    <t>MARC JACOBS INTERNATIONAL LLC</t>
  </si>
  <si>
    <t>MKD</t>
  </si>
  <si>
    <t>Marketdata Solutions Brasil Ltda.</t>
  </si>
  <si>
    <t>MKJ</t>
  </si>
  <si>
    <t>Makita Corporation</t>
  </si>
  <si>
    <t>MKL</t>
  </si>
  <si>
    <t>Marklogic Corporation</t>
  </si>
  <si>
    <t>MNA</t>
  </si>
  <si>
    <t>Province of Manitoba</t>
  </si>
  <si>
    <t>MUC</t>
  </si>
  <si>
    <t>Musgrave Group plc</t>
  </si>
  <si>
    <t>MVW</t>
  </si>
  <si>
    <t>Marriott Vacations Worldwide Corporation</t>
  </si>
  <si>
    <t>MWE</t>
  </si>
  <si>
    <t>Maplin Electronics Ltd.</t>
  </si>
  <si>
    <t>MYN</t>
  </si>
  <si>
    <t>CTB Inc.</t>
  </si>
  <si>
    <t>NAE</t>
  </si>
  <si>
    <t>Nikko Asset Management Co., Ltd.</t>
  </si>
  <si>
    <t>NBG</t>
  </si>
  <si>
    <t>NBSP GMBH</t>
  </si>
  <si>
    <t>NFC</t>
  </si>
  <si>
    <t>VF Corporation</t>
  </si>
  <si>
    <t>NHN Entertainment Corp.</t>
  </si>
  <si>
    <t>NKS</t>
  </si>
  <si>
    <t>Nakisa Inc.</t>
  </si>
  <si>
    <t>NME</t>
  </si>
  <si>
    <t>NewsMax Media, Inc.</t>
  </si>
  <si>
    <t>NOA</t>
  </si>
  <si>
    <t>Norrøna AS</t>
  </si>
  <si>
    <t>NOC</t>
  </si>
  <si>
    <t>Novocure, Inc.</t>
  </si>
  <si>
    <t>Nationwide Mutual Insurance Company</t>
  </si>
  <si>
    <t>OBV</t>
  </si>
  <si>
    <t>4orange B.V.</t>
  </si>
  <si>
    <t>OCC</t>
  </si>
  <si>
    <t>OCCAM DM LTD</t>
  </si>
  <si>
    <t>ODO</t>
  </si>
  <si>
    <t>Oettinger Davidoff AG</t>
  </si>
  <si>
    <t>OIL</t>
  </si>
  <si>
    <t>Oilon Oy</t>
  </si>
  <si>
    <t>OKC</t>
  </si>
  <si>
    <t>State of Oklahoma</t>
  </si>
  <si>
    <t>ONN</t>
  </si>
  <si>
    <t>Onvest Oy</t>
  </si>
  <si>
    <t>OUL</t>
  </si>
  <si>
    <t>Outsell LLC</t>
  </si>
  <si>
    <t>OZS</t>
  </si>
  <si>
    <t>OZSALE PTY. LIMITED</t>
  </si>
  <si>
    <t>PA0</t>
  </si>
  <si>
    <t>Beate Uhse AG</t>
  </si>
  <si>
    <t>PCL</t>
  </si>
  <si>
    <t>PCUBED (PTY) LTD</t>
  </si>
  <si>
    <t>PDT</t>
  </si>
  <si>
    <t>Place des tendances</t>
  </si>
  <si>
    <t>PET</t>
  </si>
  <si>
    <t>Petrotechnics Limited</t>
  </si>
  <si>
    <t>Koninklijke Philips N.V</t>
  </si>
  <si>
    <t>PKS</t>
  </si>
  <si>
    <t>Packsys Global India Pvt. Ltd.</t>
  </si>
  <si>
    <t>PLT</t>
  </si>
  <si>
    <t>Plasser &amp; Theurer, Export von Bahnbaumaschinen, Gesellschaft m.b.H.</t>
  </si>
  <si>
    <t>PLW</t>
  </si>
  <si>
    <t>Pillow Talk Pty Ltd</t>
  </si>
  <si>
    <t>PNL</t>
  </si>
  <si>
    <t>PostNL N.V.</t>
  </si>
  <si>
    <t>POU</t>
  </si>
  <si>
    <t>Private Outlet</t>
  </si>
  <si>
    <t>PS1</t>
  </si>
  <si>
    <t>PURESTONE TFM LTD</t>
  </si>
  <si>
    <t>PSG</t>
  </si>
  <si>
    <t>Personalhuset Staffing Group AS</t>
  </si>
  <si>
    <t>PSS</t>
  </si>
  <si>
    <t>ProSiebenSat.1 Group</t>
  </si>
  <si>
    <t>PTR</t>
  </si>
  <si>
    <t>People Tree Group</t>
  </si>
  <si>
    <t>PUX</t>
  </si>
  <si>
    <t>Pulse Secure, LLC</t>
  </si>
  <si>
    <t>QSD</t>
  </si>
  <si>
    <t>Qisda Corporation</t>
  </si>
  <si>
    <t>RBH</t>
  </si>
  <si>
    <t>Rochdale Boroughwide Housing Limited</t>
  </si>
  <si>
    <t>RBL</t>
  </si>
  <si>
    <t>Rebel Sports</t>
  </si>
  <si>
    <t>RCT</t>
  </si>
  <si>
    <t>RCM Technologies, Inc.</t>
  </si>
  <si>
    <t>REJ</t>
  </si>
  <si>
    <t>Reliance Industries Limited</t>
  </si>
  <si>
    <t>RIY</t>
  </si>
  <si>
    <t xml:space="preserve">Riyad Bank </t>
  </si>
  <si>
    <t>RTF</t>
  </si>
  <si>
    <t>Groupe RETIF Développement</t>
  </si>
  <si>
    <t>RYA</t>
  </si>
  <si>
    <t>Ryohin Keikaku Co., Ltd.</t>
  </si>
  <si>
    <t>RYN</t>
  </si>
  <si>
    <t>Ryanair Ltd.</t>
  </si>
  <si>
    <t>Mitsubishi Heavy Industries, Ltd.</t>
  </si>
  <si>
    <t>S0P</t>
  </si>
  <si>
    <t>Suprema Inc.</t>
  </si>
  <si>
    <t>SA2</t>
  </si>
  <si>
    <t>Strauss Group Ltd</t>
  </si>
  <si>
    <t>SCJ</t>
  </si>
  <si>
    <t>Schoonenberg Hoorcomfort B.V.</t>
  </si>
  <si>
    <t>SCO</t>
  </si>
  <si>
    <t>Saber Communications, Inc</t>
  </si>
  <si>
    <t>Sedco</t>
  </si>
  <si>
    <t>SE2</t>
  </si>
  <si>
    <t>The Second Cup Ltd.</t>
  </si>
  <si>
    <t>SI0</t>
  </si>
  <si>
    <t>Silvermine Consulting Group</t>
  </si>
  <si>
    <t>SKN</t>
  </si>
  <si>
    <t>Stockmann plc</t>
  </si>
  <si>
    <t>SLA</t>
  </si>
  <si>
    <t>SOURCELINK ACQUISITION, LLC</t>
  </si>
  <si>
    <t>SLE</t>
  </si>
  <si>
    <t>Steelcase Inc.</t>
  </si>
  <si>
    <t>SLF</t>
  </si>
  <si>
    <t>Sun Life Financial Inc.</t>
  </si>
  <si>
    <t>SN1</t>
  </si>
  <si>
    <t>SNL Financial LC</t>
  </si>
  <si>
    <t>SOK</t>
  </si>
  <si>
    <t>Suomen Osuuskauppojen Keskuskunta</t>
  </si>
  <si>
    <t>SOM</t>
  </si>
  <si>
    <t>State of Minnesota</t>
  </si>
  <si>
    <t>SP1</t>
  </si>
  <si>
    <t>SPB</t>
  </si>
  <si>
    <t>Specsavers Optical Group Limited</t>
  </si>
  <si>
    <t>SPM</t>
  </si>
  <si>
    <t>SPIKE MARKETING LTD</t>
  </si>
  <si>
    <t>SPQ</t>
  </si>
  <si>
    <t>SPECIALTY FASHION GROUP LIMITED</t>
  </si>
  <si>
    <t>SRA</t>
  </si>
  <si>
    <t>Stora Enso Oyj</t>
  </si>
  <si>
    <t>SRT</t>
  </si>
  <si>
    <t>SUG</t>
  </si>
  <si>
    <t>Supergiant Games LLC</t>
  </si>
  <si>
    <t>SUM</t>
  </si>
  <si>
    <t>Sumitomo Electric Industries, Ltd.</t>
  </si>
  <si>
    <t>SYL</t>
  </si>
  <si>
    <t>Synology Inc</t>
  </si>
  <si>
    <t>TAD</t>
  </si>
  <si>
    <t>Tabcorp Holdings Limited</t>
  </si>
  <si>
    <t>TAE</t>
  </si>
  <si>
    <t>Tarkett S.A.</t>
  </si>
  <si>
    <t>TAG</t>
  </si>
  <si>
    <t>TecAlliance GmbH</t>
  </si>
  <si>
    <t>TBC</t>
  </si>
  <si>
    <t>American Tire Distributors</t>
  </si>
  <si>
    <t>TBS</t>
  </si>
  <si>
    <t>Tableau Software, Inc.</t>
  </si>
  <si>
    <t>TC1</t>
  </si>
  <si>
    <t>TwentyCi Limited</t>
  </si>
  <si>
    <t>TCH</t>
  </si>
  <si>
    <t>S.R. NOVA PRIVATE LIMITED</t>
  </si>
  <si>
    <t>TCN</t>
  </si>
  <si>
    <t>Koninklijke Ten Cate N.V.</t>
  </si>
  <si>
    <t>TCT</t>
  </si>
  <si>
    <t>Tencent Holdings Limited</t>
  </si>
  <si>
    <t>SIMPSON AND COMPANY LIMITED</t>
  </si>
  <si>
    <t>TGS</t>
  </si>
  <si>
    <t>Tangelo Software B.V.</t>
  </si>
  <si>
    <t>THZ</t>
  </si>
  <si>
    <t>Tahzoo LLC</t>
  </si>
  <si>
    <t>TIE</t>
  </si>
  <si>
    <t>Tieto Oyj</t>
  </si>
  <si>
    <t>TOI</t>
  </si>
  <si>
    <t>Totten Insurance Group Inc.</t>
  </si>
  <si>
    <t>TOR</t>
  </si>
  <si>
    <t>Toray Industries, Inc.</t>
  </si>
  <si>
    <t>TOT</t>
  </si>
  <si>
    <t>The Tote</t>
  </si>
  <si>
    <t>TPG</t>
  </si>
  <si>
    <t>TRB</t>
  </si>
  <si>
    <t>Treato LTD</t>
  </si>
  <si>
    <t>TRO</t>
  </si>
  <si>
    <t>TransOrg Solutions &amp; Services Private Limited</t>
  </si>
  <si>
    <t>Trox GmbH</t>
  </si>
  <si>
    <t>TRZ</t>
  </si>
  <si>
    <t>TradeStation Group, Inc</t>
  </si>
  <si>
    <t>TSL</t>
  </si>
  <si>
    <t>Tesla Motors, Inc.</t>
  </si>
  <si>
    <t>TSR</t>
  </si>
  <si>
    <t>Total System Services, Inc.</t>
  </si>
  <si>
    <t>TWA</t>
  </si>
  <si>
    <t>Tourism Western Australia</t>
  </si>
  <si>
    <t>TWG</t>
  </si>
  <si>
    <t>Nuance Communications, Inc.</t>
  </si>
  <si>
    <t>TWS</t>
  </si>
  <si>
    <t>The Wine Society</t>
  </si>
  <si>
    <t>UAA</t>
  </si>
  <si>
    <t xml:space="preserve">United Air Lines, Inc. </t>
  </si>
  <si>
    <t>United Technologies Corporation</t>
  </si>
  <si>
    <t>VAC</t>
  </si>
  <si>
    <t>Valkyrie Enterprises, LLC</t>
  </si>
  <si>
    <t>VED</t>
  </si>
  <si>
    <t>VEDA GROUP LIMITED</t>
  </si>
  <si>
    <t>VEN</t>
  </si>
  <si>
    <t>Vendisys, Inc.</t>
  </si>
  <si>
    <t>VON</t>
  </si>
  <si>
    <t>Geely Sweden AB - Volvo Cars Canada</t>
  </si>
  <si>
    <t>VTX</t>
  </si>
  <si>
    <t>Vistex, Inc.</t>
  </si>
  <si>
    <t>VUC</t>
  </si>
  <si>
    <t>Vanderbilt University Medical Center</t>
  </si>
  <si>
    <t>WEK</t>
  </si>
  <si>
    <t>WEKA Services</t>
  </si>
  <si>
    <t>WGN</t>
  </si>
  <si>
    <t>WebGene, Inc.</t>
  </si>
  <si>
    <t>WME</t>
  </si>
  <si>
    <t>WellMed Medical Management, Inc.</t>
  </si>
  <si>
    <t>WPP plc</t>
  </si>
  <si>
    <t>WPR</t>
  </si>
  <si>
    <t>Wipro Limited</t>
  </si>
  <si>
    <t>WSB</t>
  </si>
  <si>
    <t>Wesleyan Bank Limited</t>
  </si>
  <si>
    <t>WSC</t>
  </si>
  <si>
    <t>Workstate Consulting</t>
  </si>
  <si>
    <t>WSJ</t>
  </si>
  <si>
    <t>WestJet Airlines Ltd.</t>
  </si>
  <si>
    <t>WSU</t>
  </si>
  <si>
    <t xml:space="preserve">Wesleyan University </t>
  </si>
  <si>
    <t>WYN</t>
  </si>
  <si>
    <t>Wyndham Worldwide Corporation</t>
  </si>
  <si>
    <t>YCL</t>
  </si>
  <si>
    <t>Yanmar Co., Ltd</t>
  </si>
  <si>
    <t>YOE</t>
  </si>
  <si>
    <t>YOUTH ENGINEERING CO.,LTD.</t>
  </si>
  <si>
    <t>YOO</t>
  </si>
  <si>
    <t>YOOX Group S.p.A</t>
  </si>
  <si>
    <t>YRN</t>
  </si>
  <si>
    <t>Yarden Holding B.V.</t>
  </si>
  <si>
    <t>YYI</t>
  </si>
  <si>
    <t>YY Inc.</t>
  </si>
  <si>
    <t>ZHG</t>
  </si>
  <si>
    <t>Guangdong Chigo Air Conditioning Co., Ltd.</t>
  </si>
  <si>
    <t>ZIH</t>
  </si>
  <si>
    <t>Zebra Technologies Corporation</t>
  </si>
  <si>
    <t>ZIP</t>
  </si>
  <si>
    <t>Zurich Insurance Group AG</t>
  </si>
  <si>
    <t>NH Hotels</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</si>
  <si>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</si>
  <si>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</si>
  <si>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</si>
  <si>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</si>
  <si>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</si>
  <si>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</si>
  <si>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</si>
  <si>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</si>
  <si>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</si>
  <si>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</si>
  <si>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</si>
  <si>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</si>
  <si>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</si>
  <si>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</si>
  <si>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</si>
  <si>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</si>
  <si>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</si>
  <si>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</si>
  <si>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</si>
  <si>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</si>
  <si>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Quality checks inadequate</t>
  </si>
  <si>
    <t>Resources inappropriate</t>
  </si>
  <si>
    <t>Process skipped</t>
  </si>
  <si>
    <t>Instructions unclear</t>
  </si>
  <si>
    <t>Schedule issue</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</si>
  <si>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</si>
  <si>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</si>
  <si>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</si>
  <si>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</si>
  <si>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</si>
  <si>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</si>
  <si>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</si>
  <si>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</si>
  <si>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</si>
  <si>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</si>
  <si>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</si>
  <si>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</si>
  <si>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</si>
  <si>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</si>
  <si>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Resources insufficient</t>
  </si>
  <si>
    <t>Communications</t>
  </si>
  <si>
    <t>Instructions not followed</t>
  </si>
  <si>
    <t>POPULATED AUTOMATICALLY</t>
  </si>
  <si>
    <t>Not Implemented</t>
  </si>
  <si>
    <t>To be reviewed</t>
  </si>
  <si>
    <t>NOT to be reviewed</t>
  </si>
  <si>
    <r>
      <rPr>
        <b/>
        <sz val="10"/>
        <color indexed="60"/>
        <rFont val="Arial"/>
        <family val="2"/>
      </rPr>
      <t>Instructions:</t>
    </r>
    <r>
      <rPr>
        <sz val="10"/>
        <rFont val="Arial"/>
        <family val="2"/>
      </rPr>
      <t xml:space="preserve">
</t>
    </r>
    <r>
      <rPr>
        <b/>
        <sz val="10"/>
        <rFont val="Arial"/>
        <family val="2"/>
      </rPr>
      <t>Enter error details in this sheet ('Evaluation details_input'), following the instructions in the cells in Row 2.
See 'Errors &amp; Weighting Definition' sheet for explanation of error categories.</t>
    </r>
    <r>
      <rPr>
        <sz val="10"/>
        <rFont val="Arial"/>
        <family val="2"/>
      </rPr>
      <t xml:space="preserve">
- If the same, identical error recurs, record the 2nd occurrence onwards as 'Repeated' in the Severity column.
       </t>
    </r>
    <r>
      <rPr>
        <i/>
        <sz val="10"/>
        <rFont val="Arial"/>
        <family val="2"/>
      </rPr>
      <t>Note</t>
    </r>
    <r>
      <rPr>
        <sz val="10"/>
        <rFont val="Arial"/>
        <family val="2"/>
      </rPr>
      <t xml:space="preserve">: Repeated errors are applicable only if the error is </t>
    </r>
    <r>
      <rPr>
        <b/>
        <sz val="10"/>
        <rFont val="Arial"/>
        <family val="2"/>
      </rPr>
      <t>exactly identical</t>
    </r>
    <r>
      <rPr>
        <sz val="10"/>
        <rFont val="Arial"/>
        <family val="2"/>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
</t>
    </r>
    <r>
      <rPr>
        <b/>
        <sz val="10"/>
        <color rgb="FFC00000"/>
        <rFont val="Arial"/>
        <family val="2"/>
        <charset val="238"/>
      </rPr>
      <t>Each distinct error should be logged as a separate item (including multiple errors in the same segment).</t>
    </r>
  </si>
  <si>
    <t>Reason if not implemented</t>
  </si>
  <si>
    <t>Process inadequate</t>
  </si>
  <si>
    <t>Quality checks inappropriate</t>
  </si>
  <si>
    <t>Poor change management</t>
  </si>
  <si>
    <t>Not in compliance with client's instructions</t>
  </si>
  <si>
    <t xml:space="preserve">Inconsistent with previous translations </t>
  </si>
  <si>
    <t>Portugal</t>
  </si>
  <si>
    <t>Expectations not communicated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</si>
</sst>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
    <numFmt numFmtId="166" formatCode="0;\-0;;@"/>
  </numFmts>
  <fonts count="74"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1"/>
      <color indexed="9"/>
      <name val="Arial"/>
      <family val="2"/>
    </font>
    <font>
      <i/>
      <sz val="10"/>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u/>
      <sz val="10"/>
      <color indexed="12"/>
      <name val="Arial"/>
      <family val="2"/>
    </font>
    <font>
      <b/>
      <u/>
      <sz val="10"/>
      <name val="Arial"/>
      <family val="2"/>
    </font>
    <font>
      <sz val="9.5"/>
      <name val="Arial"/>
      <family val="2"/>
    </font>
    <font>
      <sz val="7"/>
      <name val="Times New Roman"/>
      <family val="1"/>
    </font>
    <font>
      <i/>
      <sz val="9.5"/>
      <name val="Arial"/>
      <family val="2"/>
    </font>
    <font>
      <sz val="9.5"/>
      <color indexed="12"/>
      <name val="Arial"/>
      <family val="2"/>
    </font>
    <font>
      <b/>
      <sz val="9.5"/>
      <name val="Arial"/>
      <family val="2"/>
    </font>
    <font>
      <b/>
      <sz val="10"/>
      <color indexed="13"/>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b/>
      <sz val="12"/>
      <color theme="0"/>
      <name val="Arial"/>
      <family val="2"/>
    </font>
    <font>
      <sz val="10"/>
      <color theme="0"/>
      <name val="Arial"/>
      <family val="2"/>
    </font>
    <font>
      <sz val="10"/>
      <color rgb="FF7030A0"/>
      <name val="Arial"/>
      <family val="2"/>
    </font>
    <font>
      <sz val="9"/>
      <color indexed="81"/>
      <name val="Tahoma"/>
      <family val="2"/>
    </font>
    <font>
      <b/>
      <i/>
      <sz val="12"/>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9"/>
      <color indexed="81"/>
      <name val="Tahoma"/>
      <family val="2"/>
      <charset val="238"/>
    </font>
    <font>
      <sz val="8"/>
      <color indexed="81"/>
      <name val="Tahoma"/>
      <family val="2"/>
      <charset val="238"/>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b/>
      <sz val="18"/>
      <color theme="0"/>
      <name val="Arial"/>
      <family val="2"/>
    </font>
    <font>
      <sz val="12"/>
      <color theme="0"/>
      <name val="Arial"/>
      <family val="2"/>
    </font>
    <font>
      <strike/>
      <sz val="12"/>
      <color theme="0"/>
      <name val="Arial"/>
      <family val="2"/>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sz val="8"/>
      <color rgb="FF000000"/>
      <name val="Tahoma"/>
      <family val="2"/>
      <charset val="238"/>
    </font>
  </fonts>
  <fills count="24">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theme="0" tint="-0.24994659260841701"/>
        <bgColor indexed="64"/>
      </patternFill>
    </fill>
    <fill>
      <patternFill patternType="solid">
        <fgColor rgb="FFFFC000"/>
        <bgColor indexed="64"/>
      </patternFill>
    </fill>
    <fill>
      <patternFill patternType="solid">
        <fgColor rgb="FF0F955E"/>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s>
  <borders count="122">
    <border>
      <left/>
      <right/>
      <top/>
      <bottom/>
      <diagonal/>
    </border>
    <border>
      <left style="thick">
        <color indexed="8"/>
      </left>
      <right/>
      <top/>
      <bottom/>
      <diagonal/>
    </border>
    <border>
      <left/>
      <right style="thick">
        <color indexed="8"/>
      </right>
      <top/>
      <bottom/>
      <diagonal/>
    </border>
    <border>
      <left style="thick">
        <color indexed="8"/>
      </left>
      <right/>
      <top/>
      <bottom style="thick">
        <color indexed="8"/>
      </bottom>
      <diagonal/>
    </border>
    <border>
      <left/>
      <right/>
      <top/>
      <bottom style="thick">
        <color indexed="8"/>
      </bottom>
      <diagonal/>
    </border>
    <border>
      <left/>
      <right style="thick">
        <color indexed="8"/>
      </right>
      <top/>
      <bottom style="thick">
        <color indexed="8"/>
      </bottom>
      <diagonal/>
    </border>
    <border>
      <left style="thick">
        <color indexed="8"/>
      </left>
      <right style="thin">
        <color indexed="64"/>
      </right>
      <top style="thin">
        <color indexed="64"/>
      </top>
      <bottom style="thin">
        <color indexed="64"/>
      </bottom>
      <diagonal/>
    </border>
    <border>
      <left style="thick">
        <color indexed="8"/>
      </left>
      <right style="thin">
        <color indexed="64"/>
      </right>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n">
        <color indexed="64"/>
      </bottom>
      <diagonal/>
    </border>
    <border>
      <left style="thick">
        <color indexed="8"/>
      </left>
      <right/>
      <top style="thick">
        <color indexed="8"/>
      </top>
      <bottom style="thin">
        <color indexed="64"/>
      </bottom>
      <diagonal/>
    </border>
    <border>
      <left/>
      <right/>
      <top style="thick">
        <color indexed="8"/>
      </top>
      <bottom style="thick">
        <color indexed="9"/>
      </bottom>
      <diagonal/>
    </border>
    <border>
      <left/>
      <right style="thick">
        <color indexed="8"/>
      </right>
      <top style="thick">
        <color indexed="8"/>
      </top>
      <bottom style="thick">
        <color indexed="9"/>
      </bottom>
      <diagonal/>
    </border>
    <border>
      <left/>
      <right/>
      <top style="thin">
        <color indexed="64"/>
      </top>
      <bottom style="thin">
        <color indexed="64"/>
      </bottom>
      <diagonal/>
    </border>
    <border>
      <left style="thick">
        <color indexed="8"/>
      </left>
      <right/>
      <top style="thin">
        <color indexed="64"/>
      </top>
      <bottom style="thin">
        <color indexed="64"/>
      </bottom>
      <diagonal/>
    </border>
    <border>
      <left style="thick">
        <color indexed="8"/>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8"/>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ck">
        <color indexed="8"/>
      </left>
      <right/>
      <top style="thick">
        <color indexed="8"/>
      </top>
      <bottom/>
      <diagonal/>
    </border>
    <border>
      <left/>
      <right/>
      <top style="thick">
        <color indexed="8"/>
      </top>
      <bottom/>
      <diagonal/>
    </border>
    <border>
      <left/>
      <right style="thick">
        <color indexed="8"/>
      </right>
      <top style="thick">
        <color indexed="8"/>
      </top>
      <bottom/>
      <diagonal/>
    </border>
    <border>
      <left style="thick">
        <color indexed="8"/>
      </left>
      <right/>
      <top style="thick">
        <color indexed="8"/>
      </top>
      <bottom style="thick">
        <color indexed="9"/>
      </bottom>
      <diagonal/>
    </border>
    <border>
      <left/>
      <right/>
      <top style="thick">
        <color indexed="8"/>
      </top>
      <bottom style="thin">
        <color indexed="64"/>
      </bottom>
      <diagonal/>
    </border>
    <border>
      <left style="thin">
        <color indexed="64"/>
      </left>
      <right/>
      <top style="thin">
        <color indexed="64"/>
      </top>
      <bottom style="thick">
        <color indexed="8"/>
      </bottom>
      <diagonal/>
    </border>
    <border>
      <left/>
      <right style="thick">
        <color indexed="8"/>
      </right>
      <top style="thin">
        <color indexed="64"/>
      </top>
      <bottom style="thick">
        <color indexed="8"/>
      </bottom>
      <diagonal/>
    </border>
    <border>
      <left style="thick">
        <color indexed="8"/>
      </left>
      <right/>
      <top style="thick">
        <color indexed="9"/>
      </top>
      <bottom style="thick">
        <color indexed="8"/>
      </bottom>
      <diagonal/>
    </border>
    <border>
      <left/>
      <right/>
      <top style="thick">
        <color indexed="9"/>
      </top>
      <bottom style="thick">
        <color indexed="8"/>
      </bottom>
      <diagonal/>
    </border>
    <border>
      <left/>
      <right style="thick">
        <color indexed="8"/>
      </right>
      <top style="thick">
        <color indexed="9"/>
      </top>
      <bottom style="thick">
        <color indexed="8"/>
      </bottom>
      <diagonal/>
    </border>
    <border>
      <left/>
      <right style="thick">
        <color indexed="8"/>
      </right>
      <top/>
      <bottom style="thin">
        <color indexed="64"/>
      </bottom>
      <diagonal/>
    </border>
    <border>
      <left/>
      <right style="thin">
        <color indexed="64"/>
      </right>
      <top style="thick">
        <color indexed="8"/>
      </top>
      <bottom style="thin">
        <color indexed="64"/>
      </bottom>
      <diagonal/>
    </border>
    <border>
      <left/>
      <right style="thick">
        <color indexed="8"/>
      </right>
      <top style="thin">
        <color indexed="64"/>
      </top>
      <bottom/>
      <diagonal/>
    </border>
    <border>
      <left/>
      <right/>
      <top style="thin">
        <color indexed="64"/>
      </top>
      <bottom style="thick">
        <color indexed="8"/>
      </bottom>
      <diagonal/>
    </border>
    <border>
      <left style="thick">
        <color indexed="8"/>
      </left>
      <right/>
      <top style="thick">
        <color indexed="8"/>
      </top>
      <bottom style="thick">
        <color indexed="8"/>
      </bottom>
      <diagonal/>
    </border>
    <border>
      <left/>
      <right/>
      <top style="thick">
        <color indexed="8"/>
      </top>
      <bottom style="thick">
        <color indexed="8"/>
      </bottom>
      <diagonal/>
    </border>
    <border>
      <left/>
      <right style="thick">
        <color indexed="8"/>
      </right>
      <top style="thick">
        <color indexed="8"/>
      </top>
      <bottom style="thick">
        <color indexed="8"/>
      </bottom>
      <diagonal/>
    </border>
    <border>
      <left style="thick">
        <color rgb="FF005941"/>
      </left>
      <right/>
      <top style="thick">
        <color rgb="FF005941"/>
      </top>
      <bottom style="thin">
        <color indexed="64"/>
      </bottom>
      <diagonal/>
    </border>
    <border>
      <left style="thick">
        <color rgb="FF005941"/>
      </left>
      <right/>
      <top style="thin">
        <color indexed="64"/>
      </top>
      <bottom style="thin">
        <color indexed="64"/>
      </bottom>
      <diagonal/>
    </border>
    <border>
      <left style="thick">
        <color rgb="FF005941"/>
      </left>
      <right/>
      <top style="thin">
        <color indexed="64"/>
      </top>
      <bottom/>
      <diagonal/>
    </border>
    <border>
      <left style="thick">
        <color rgb="FF005941"/>
      </left>
      <right/>
      <top style="thin">
        <color indexed="64"/>
      </top>
      <bottom style="thick">
        <color rgb="FF005941"/>
      </bottom>
      <diagonal/>
    </border>
    <border>
      <left style="medium">
        <color theme="0"/>
      </left>
      <right style="medium">
        <color rgb="FF005941"/>
      </right>
      <top style="medium">
        <color rgb="FF005941"/>
      </top>
      <bottom style="medium">
        <color rgb="FF00594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left>
      <right/>
      <top style="thin">
        <color indexed="64"/>
      </top>
      <bottom style="thin">
        <color indexed="64"/>
      </bottom>
      <diagonal/>
    </border>
    <border>
      <left/>
      <right style="thin">
        <color theme="0"/>
      </right>
      <top style="thin">
        <color indexed="64"/>
      </top>
      <bottom style="thin">
        <color indexed="64"/>
      </bottom>
      <diagonal/>
    </border>
    <border>
      <left style="medium">
        <color rgb="FF005941"/>
      </left>
      <right style="medium">
        <color theme="0"/>
      </right>
      <top style="medium">
        <color rgb="FF005941"/>
      </top>
      <bottom style="medium">
        <color rgb="FF005941"/>
      </bottom>
      <diagonal/>
    </border>
    <border>
      <left style="medium">
        <color theme="0"/>
      </left>
      <right style="medium">
        <color theme="0"/>
      </right>
      <top style="medium">
        <color rgb="FF005941"/>
      </top>
      <bottom style="medium">
        <color rgb="FF005941"/>
      </bottom>
      <diagonal/>
    </border>
    <border>
      <left style="medium">
        <color rgb="FF005941"/>
      </left>
      <right/>
      <top style="medium">
        <color rgb="FF005941"/>
      </top>
      <bottom style="medium">
        <color rgb="FF005941"/>
      </bottom>
      <diagonal/>
    </border>
    <border>
      <left/>
      <right/>
      <top style="medium">
        <color rgb="FF005941"/>
      </top>
      <bottom style="medium">
        <color rgb="FF005941"/>
      </bottom>
      <diagonal/>
    </border>
    <border>
      <left/>
      <right style="thick">
        <color rgb="FF005941"/>
      </right>
      <top style="thin">
        <color indexed="64"/>
      </top>
      <bottom style="thin">
        <color indexed="64"/>
      </bottom>
      <diagonal/>
    </border>
    <border>
      <left style="medium">
        <color theme="0"/>
      </left>
      <right/>
      <top style="thick">
        <color rgb="FF005941"/>
      </top>
      <bottom style="thin">
        <color indexed="64"/>
      </bottom>
      <diagonal/>
    </border>
    <border>
      <left/>
      <right style="medium">
        <color theme="0"/>
      </right>
      <top style="thick">
        <color rgb="FF005941"/>
      </top>
      <bottom style="thin">
        <color indexed="64"/>
      </bottom>
      <diagonal/>
    </border>
    <border>
      <left style="thin">
        <color indexed="64"/>
      </left>
      <right style="thin">
        <color indexed="64"/>
      </right>
      <top style="thin">
        <color indexed="64"/>
      </top>
      <bottom style="thick">
        <color rgb="FF005941"/>
      </bottom>
      <diagonal/>
    </border>
    <border>
      <left/>
      <right/>
      <top style="thick">
        <color rgb="FF005941"/>
      </top>
      <bottom style="thin">
        <color indexed="64"/>
      </bottom>
      <diagonal/>
    </border>
    <border>
      <left style="thin">
        <color indexed="64"/>
      </left>
      <right/>
      <top style="thin">
        <color indexed="64"/>
      </top>
      <bottom style="thick">
        <color rgb="FF005941"/>
      </bottom>
      <diagonal/>
    </border>
    <border>
      <left/>
      <right style="thick">
        <color rgb="FF005941"/>
      </right>
      <top style="thin">
        <color indexed="64"/>
      </top>
      <bottom style="thick">
        <color rgb="FF005941"/>
      </bottom>
      <diagonal/>
    </border>
    <border>
      <left/>
      <right style="thick">
        <color rgb="FF005941"/>
      </right>
      <top style="thick">
        <color rgb="FF005941"/>
      </top>
      <bottom style="thin">
        <color indexed="64"/>
      </bottom>
      <diagonal/>
    </border>
    <border>
      <left/>
      <right style="thin">
        <color indexed="64"/>
      </right>
      <top style="thin">
        <color indexed="64"/>
      </top>
      <bottom style="thick">
        <color rgb="FF005941"/>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style="thin">
        <color theme="0" tint="-0.14996795556505021"/>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right/>
      <top style="thin">
        <color indexed="64"/>
      </top>
      <bottom style="thick">
        <color rgb="FF005941"/>
      </bottom>
      <diagonal/>
    </border>
    <border>
      <left/>
      <right style="thick">
        <color indexed="8"/>
      </right>
      <top style="thin">
        <color indexed="64"/>
      </top>
      <bottom style="thick">
        <color rgb="FF005941"/>
      </bottom>
      <diagonal/>
    </border>
    <border>
      <left style="thin">
        <color indexed="64"/>
      </left>
      <right/>
      <top style="thick">
        <color indexed="8"/>
      </top>
      <bottom style="thin">
        <color indexed="64"/>
      </bottom>
      <diagonal/>
    </border>
    <border>
      <left/>
      <right style="thick">
        <color indexed="8"/>
      </right>
      <top style="thick">
        <color indexed="8"/>
      </top>
      <bottom style="thin">
        <color indexed="64"/>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diagonal/>
    </border>
    <border>
      <left/>
      <right style="thin">
        <color indexed="64"/>
      </right>
      <top style="thick">
        <color indexed="8"/>
      </top>
      <bottom style="thick">
        <color indexed="8"/>
      </bottom>
      <diagonal/>
    </border>
    <border>
      <left style="thin">
        <color indexed="64"/>
      </left>
      <right/>
      <top style="thick">
        <color indexed="8"/>
      </top>
      <bottom style="thick">
        <color indexed="8"/>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top/>
      <bottom style="medium">
        <color rgb="FFFFFFFF"/>
      </bottom>
      <diagonal/>
    </border>
    <border>
      <left style="medium">
        <color rgb="FF005941"/>
      </left>
      <right/>
      <top style="medium">
        <color rgb="FF005941"/>
      </top>
      <bottom/>
      <diagonal/>
    </border>
    <border>
      <left/>
      <right style="medium">
        <color rgb="FF005941"/>
      </right>
      <top style="medium">
        <color rgb="FF005941"/>
      </top>
      <bottom/>
      <diagonal/>
    </border>
    <border>
      <left style="medium">
        <color rgb="FF005941"/>
      </left>
      <right style="medium">
        <color rgb="FF005941"/>
      </right>
      <top style="medium">
        <color rgb="FF005941"/>
      </top>
      <bottom/>
      <diagonal/>
    </border>
    <border>
      <left style="medium">
        <color rgb="FF005941"/>
      </left>
      <right/>
      <top/>
      <bottom style="medium">
        <color rgb="FF005941"/>
      </bottom>
      <diagonal/>
    </border>
    <border>
      <left/>
      <right style="medium">
        <color rgb="FF005941"/>
      </right>
      <top/>
      <bottom style="medium">
        <color rgb="FF005941"/>
      </bottom>
      <diagonal/>
    </border>
    <border>
      <left style="medium">
        <color rgb="FF005941"/>
      </left>
      <right style="medium">
        <color rgb="FF005941"/>
      </right>
      <top/>
      <bottom style="medium">
        <color rgb="FF005941"/>
      </bottom>
      <diagonal/>
    </border>
    <border>
      <left style="thin">
        <color rgb="FF005941"/>
      </left>
      <right style="thin">
        <color rgb="FF005941"/>
      </right>
      <top style="thin">
        <color rgb="FF005941"/>
      </top>
      <bottom style="thin">
        <color rgb="FF005941"/>
      </bottom>
      <diagonal/>
    </border>
    <border>
      <left style="medium">
        <color rgb="FF0F955E"/>
      </left>
      <right/>
      <top/>
      <bottom style="medium">
        <color rgb="FF0F955E"/>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style="thin">
        <color indexed="64"/>
      </left>
      <right/>
      <top style="thick">
        <color rgb="FF0F955E"/>
      </top>
      <bottom style="thick">
        <color rgb="FF0F955E"/>
      </bottom>
      <diagonal/>
    </border>
    <border>
      <left/>
      <right/>
      <top style="thick">
        <color rgb="FF0F955E"/>
      </top>
      <bottom style="thick">
        <color rgb="FF0F955E"/>
      </bottom>
      <diagonal/>
    </border>
    <border>
      <left/>
      <right/>
      <top style="thick">
        <color rgb="FF0F955E"/>
      </top>
      <bottom style="thin">
        <color indexed="64"/>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0F955E"/>
      </left>
      <right/>
      <top style="thick">
        <color rgb="FF0F955E"/>
      </top>
      <bottom style="thick">
        <color rgb="FF0F955E"/>
      </bottom>
      <diagonal/>
    </border>
    <border>
      <left/>
      <right style="thick">
        <color rgb="FF0F955E"/>
      </right>
      <top style="thick">
        <color rgb="FF0F955E"/>
      </top>
      <bottom style="thick">
        <color rgb="FF0F955E"/>
      </bottom>
      <diagonal/>
    </border>
    <border>
      <left/>
      <right/>
      <top style="thin">
        <color theme="0"/>
      </top>
      <bottom/>
      <diagonal/>
    </border>
    <border>
      <left style="thin">
        <color indexed="64"/>
      </left>
      <right/>
      <top/>
      <bottom style="thin">
        <color theme="0"/>
      </bottom>
      <diagonal/>
    </border>
  </borders>
  <cellStyleXfs count="7">
    <xf numFmtId="0" fontId="0" fillId="0" borderId="0"/>
    <xf numFmtId="0" fontId="28" fillId="0" borderId="0" applyNumberFormat="0" applyFill="0" applyBorder="0" applyAlignment="0" applyProtection="0">
      <alignment vertical="top"/>
      <protection locked="0"/>
    </xf>
    <xf numFmtId="0" fontId="2" fillId="0" borderId="0"/>
    <xf numFmtId="0" fontId="2" fillId="0" borderId="0"/>
    <xf numFmtId="0" fontId="1" fillId="0" borderId="0"/>
    <xf numFmtId="9" fontId="58" fillId="0" borderId="0" applyFont="0" applyFill="0" applyBorder="0" applyAlignment="0" applyProtection="0"/>
    <xf numFmtId="0" fontId="52" fillId="0" borderId="0"/>
  </cellStyleXfs>
  <cellXfs count="482">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7" fillId="0" borderId="0" xfId="0" applyFont="1" applyBorder="1" applyAlignment="1" applyProtection="1">
      <alignment horizontal="center"/>
      <protection hidden="1"/>
    </xf>
    <xf numFmtId="0" fontId="8" fillId="0" borderId="1" xfId="0" applyFont="1" applyBorder="1" applyAlignment="1" applyProtection="1">
      <alignment horizontal="right"/>
      <protection hidden="1"/>
    </xf>
    <xf numFmtId="0" fontId="7" fillId="0" borderId="2" xfId="0" applyFont="1" applyBorder="1" applyProtection="1">
      <protection hidden="1"/>
    </xf>
    <xf numFmtId="0" fontId="4" fillId="0" borderId="1" xfId="0" applyFont="1" applyBorder="1" applyAlignment="1" applyProtection="1">
      <alignment horizontal="right"/>
      <protection hidden="1"/>
    </xf>
    <xf numFmtId="0" fontId="7" fillId="0" borderId="1" xfId="0" applyFont="1" applyBorder="1" applyProtection="1">
      <protection hidden="1"/>
    </xf>
    <xf numFmtId="0" fontId="7" fillId="0" borderId="3" xfId="0" applyFont="1" applyBorder="1" applyProtection="1">
      <protection hidden="1"/>
    </xf>
    <xf numFmtId="0" fontId="7" fillId="0" borderId="4" xfId="0" applyFont="1" applyBorder="1" applyProtection="1">
      <protection hidden="1"/>
    </xf>
    <xf numFmtId="0" fontId="7" fillId="0" borderId="5" xfId="0" applyFont="1" applyBorder="1" applyProtection="1">
      <protection hidden="1"/>
    </xf>
    <xf numFmtId="0" fontId="17" fillId="0" borderId="0" xfId="0" applyFont="1" applyFill="1" applyBorder="1" applyAlignment="1" applyProtection="1">
      <alignment horizontal="center"/>
      <protection hidden="1"/>
    </xf>
    <xf numFmtId="0" fontId="18" fillId="0" borderId="0" xfId="0" applyFont="1" applyAlignment="1" applyProtection="1">
      <alignment horizontal="left" indent="7"/>
      <protection hidden="1"/>
    </xf>
    <xf numFmtId="0" fontId="19" fillId="0" borderId="0" xfId="0" applyFont="1" applyProtection="1">
      <protection hidden="1"/>
    </xf>
    <xf numFmtId="0" fontId="20" fillId="0" borderId="0" xfId="0" applyFont="1" applyProtection="1">
      <protection hidden="1"/>
    </xf>
    <xf numFmtId="0" fontId="16" fillId="0" borderId="0" xfId="0" applyFont="1" applyFill="1" applyBorder="1" applyAlignment="1" applyProtection="1">
      <protection hidden="1"/>
    </xf>
    <xf numFmtId="0" fontId="14" fillId="0" borderId="0" xfId="0" applyFont="1" applyFill="1" applyBorder="1" applyAlignment="1" applyProtection="1">
      <protection hidden="1"/>
    </xf>
    <xf numFmtId="0" fontId="19" fillId="0" borderId="0" xfId="0" applyFont="1" applyBorder="1" applyAlignment="1">
      <alignment wrapText="1"/>
    </xf>
    <xf numFmtId="0" fontId="19" fillId="0" borderId="0" xfId="0" applyFont="1" applyFill="1" applyBorder="1" applyAlignment="1">
      <alignment vertical="center"/>
    </xf>
    <xf numFmtId="0" fontId="19" fillId="0" borderId="0" xfId="0" applyFont="1" applyBorder="1"/>
    <xf numFmtId="0" fontId="19" fillId="0" borderId="0" xfId="0" applyFont="1"/>
    <xf numFmtId="0" fontId="21" fillId="5" borderId="9" xfId="0" applyFont="1" applyFill="1" applyBorder="1" applyAlignment="1">
      <alignment horizontal="center" vertical="center"/>
    </xf>
    <xf numFmtId="0" fontId="37" fillId="6" borderId="9" xfId="0" applyFont="1" applyFill="1" applyBorder="1" applyAlignment="1">
      <alignment horizontal="center" vertical="center"/>
    </xf>
    <xf numFmtId="0" fontId="19" fillId="0" borderId="0" xfId="0" applyFont="1" applyBorder="1" applyAlignment="1">
      <alignment horizontal="center" vertical="center" wrapText="1"/>
    </xf>
    <xf numFmtId="0" fontId="38" fillId="0" borderId="0" xfId="0" applyFont="1" applyBorder="1" applyAlignment="1">
      <alignment horizontal="center" vertical="center" wrapText="1"/>
    </xf>
    <xf numFmtId="0" fontId="39" fillId="0" borderId="0" xfId="0" applyFont="1" applyBorder="1" applyAlignment="1">
      <alignment horizontal="center" vertical="center" wrapText="1"/>
    </xf>
    <xf numFmtId="0" fontId="2" fillId="0" borderId="2" xfId="0" applyFont="1" applyBorder="1" applyProtection="1">
      <protection hidden="1"/>
    </xf>
    <xf numFmtId="0" fontId="2" fillId="0" borderId="1" xfId="0" applyFont="1" applyBorder="1" applyProtection="1">
      <protection hidden="1"/>
    </xf>
    <xf numFmtId="0" fontId="4" fillId="0" borderId="1" xfId="0" applyFont="1" applyBorder="1" applyAlignment="1" applyProtection="1">
      <alignment horizontal="right" indent="1"/>
      <protection hidden="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4" fillId="0" borderId="0" xfId="0" applyFont="1" applyBorder="1" applyAlignment="1" applyProtection="1">
      <alignment horizontal="center"/>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9" fillId="0" borderId="0" xfId="0" applyNumberFormat="1" applyFont="1" applyFill="1" applyBorder="1" applyAlignment="1" applyProtection="1">
      <alignment horizontal="center"/>
      <protection hidden="1"/>
    </xf>
    <xf numFmtId="0" fontId="10" fillId="0" borderId="0"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left"/>
      <protection hidden="1"/>
    </xf>
    <xf numFmtId="0" fontId="24" fillId="0" borderId="0" xfId="0" applyFont="1" applyBorder="1" applyAlignment="1" applyProtection="1">
      <alignment horizontal="left"/>
      <protection hidden="1"/>
    </xf>
    <xf numFmtId="0" fontId="24"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5" fillId="0" borderId="1" xfId="0" applyFont="1" applyBorder="1" applyAlignment="1" applyProtection="1">
      <alignment horizontal="center"/>
      <protection hidden="1"/>
    </xf>
    <xf numFmtId="0" fontId="20" fillId="0" borderId="0" xfId="0" applyFont="1" applyBorder="1" applyProtection="1">
      <protection hidden="1"/>
    </xf>
    <xf numFmtId="0" fontId="40" fillId="0" borderId="0" xfId="0" applyFont="1"/>
    <xf numFmtId="0" fontId="24" fillId="7" borderId="13" xfId="0" applyFont="1" applyFill="1" applyBorder="1" applyAlignment="1" applyProtection="1">
      <alignment vertical="center"/>
      <protection hidden="1"/>
    </xf>
    <xf numFmtId="9" fontId="24" fillId="8" borderId="13" xfId="0" applyNumberFormat="1" applyFont="1" applyFill="1" applyBorder="1" applyAlignment="1" applyProtection="1">
      <alignment vertical="center"/>
      <protection hidden="1"/>
    </xf>
    <xf numFmtId="165" fontId="4" fillId="0" borderId="0" xfId="0" applyNumberFormat="1" applyFont="1" applyFill="1" applyBorder="1" applyAlignment="1" applyProtection="1">
      <alignment vertical="center"/>
      <protection hidden="1"/>
    </xf>
    <xf numFmtId="0" fontId="7" fillId="0" borderId="2" xfId="0" applyFont="1" applyBorder="1" applyAlignment="1" applyProtection="1">
      <protection hidden="1"/>
    </xf>
    <xf numFmtId="0" fontId="15" fillId="0" borderId="2" xfId="0" applyFont="1" applyBorder="1" applyAlignment="1" applyProtection="1">
      <protection hidden="1"/>
    </xf>
    <xf numFmtId="0" fontId="2" fillId="3" borderId="0" xfId="2" applyFill="1" applyProtection="1"/>
    <xf numFmtId="0" fontId="2" fillId="0" borderId="0" xfId="2" applyBorder="1" applyProtection="1"/>
    <xf numFmtId="0" fontId="27" fillId="4" borderId="0" xfId="2" applyFont="1" applyFill="1" applyAlignment="1" applyProtection="1">
      <alignment vertical="center"/>
    </xf>
    <xf numFmtId="0" fontId="2" fillId="4" borderId="0" xfId="2" applyFill="1" applyProtection="1"/>
    <xf numFmtId="0" fontId="4" fillId="4" borderId="0" xfId="2" applyFont="1" applyFill="1" applyProtection="1"/>
    <xf numFmtId="0" fontId="2" fillId="3" borderId="0" xfId="2" applyFont="1" applyFill="1" applyProtection="1"/>
    <xf numFmtId="0" fontId="12" fillId="3" borderId="0" xfId="2" applyFont="1" applyFill="1" applyProtection="1"/>
    <xf numFmtId="0" fontId="2" fillId="10" borderId="57" xfId="0" applyFont="1" applyFill="1" applyBorder="1" applyAlignment="1" applyProtection="1">
      <alignment horizontal="center"/>
      <protection hidden="1"/>
    </xf>
    <xf numFmtId="0" fontId="15" fillId="0" borderId="0" xfId="0" applyFont="1" applyBorder="1" applyAlignment="1" applyProtection="1">
      <protection hidden="1"/>
    </xf>
    <xf numFmtId="164" fontId="4" fillId="0" borderId="0" xfId="0" applyNumberFormat="1" applyFont="1" applyBorder="1" applyAlignment="1" applyProtection="1">
      <alignment horizontal="center"/>
      <protection hidden="1"/>
    </xf>
    <xf numFmtId="0" fontId="2" fillId="3" borderId="58" xfId="2" applyFill="1" applyBorder="1" applyProtection="1"/>
    <xf numFmtId="0" fontId="2" fillId="3" borderId="59" xfId="2" applyFill="1" applyBorder="1" applyProtection="1"/>
    <xf numFmtId="0" fontId="2" fillId="3" borderId="60" xfId="2" applyFill="1" applyBorder="1" applyProtection="1"/>
    <xf numFmtId="0" fontId="2" fillId="3" borderId="61" xfId="2" applyFill="1" applyBorder="1" applyProtection="1"/>
    <xf numFmtId="0" fontId="24" fillId="2" borderId="16" xfId="0" applyFont="1" applyFill="1" applyBorder="1" applyAlignment="1" applyProtection="1">
      <alignment horizontal="right" vertical="center"/>
      <protection hidden="1"/>
    </xf>
    <xf numFmtId="2" fontId="24" fillId="11" borderId="17" xfId="0" applyNumberFormat="1" applyFont="1" applyFill="1" applyBorder="1" applyAlignment="1" applyProtection="1">
      <alignment horizontal="right" vertical="center"/>
      <protection hidden="1"/>
    </xf>
    <xf numFmtId="0" fontId="42" fillId="0" borderId="0" xfId="0" applyFont="1"/>
    <xf numFmtId="0" fontId="43" fillId="0" borderId="0" xfId="3" applyFont="1" applyFill="1" applyBorder="1"/>
    <xf numFmtId="0" fontId="42" fillId="0" borderId="0" xfId="0" applyFont="1" applyFill="1" applyBorder="1"/>
    <xf numFmtId="0" fontId="4" fillId="0" borderId="0" xfId="0" applyFont="1" applyAlignment="1">
      <alignment vertical="center"/>
    </xf>
    <xf numFmtId="0" fontId="2" fillId="0" borderId="0" xfId="0" applyFont="1" applyAlignment="1">
      <alignment vertical="center"/>
    </xf>
    <xf numFmtId="0" fontId="2" fillId="0" borderId="0" xfId="0" applyFont="1" applyAlignment="1">
      <alignment horizontal="left" vertical="center" indent="1"/>
    </xf>
    <xf numFmtId="0" fontId="2" fillId="0" borderId="0" xfId="0" applyFont="1" applyAlignment="1">
      <alignment horizontal="left" vertical="center" indent="4"/>
    </xf>
    <xf numFmtId="0" fontId="2" fillId="0" borderId="0" xfId="0" applyFont="1" applyAlignment="1">
      <alignment horizontal="left" vertical="center" indent="2"/>
    </xf>
    <xf numFmtId="0" fontId="30" fillId="0" borderId="0" xfId="0" applyFont="1" applyAlignment="1">
      <alignment vertical="center"/>
    </xf>
    <xf numFmtId="0" fontId="2" fillId="0" borderId="0" xfId="0" applyFont="1"/>
    <xf numFmtId="0" fontId="32" fillId="0" borderId="0" xfId="0" applyFont="1" applyAlignment="1">
      <alignment vertical="center"/>
    </xf>
    <xf numFmtId="0" fontId="30" fillId="0" borderId="0" xfId="0" applyFont="1" applyAlignment="1">
      <alignment horizontal="left" vertical="center" indent="1"/>
    </xf>
    <xf numFmtId="0" fontId="2" fillId="0" borderId="0" xfId="0" applyFont="1" applyAlignment="1">
      <alignment horizontal="left" indent="1"/>
    </xf>
    <xf numFmtId="0" fontId="4" fillId="0" borderId="0" xfId="0" applyFont="1" applyFill="1" applyAlignment="1">
      <alignment vertical="center"/>
    </xf>
    <xf numFmtId="0" fontId="0" fillId="0" borderId="0" xfId="0" applyFill="1"/>
    <xf numFmtId="0" fontId="34" fillId="0" borderId="0" xfId="0" applyFont="1" applyFill="1" applyAlignment="1">
      <alignment vertical="center"/>
    </xf>
    <xf numFmtId="0" fontId="4" fillId="0" borderId="0" xfId="0" applyFont="1"/>
    <xf numFmtId="0" fontId="46" fillId="0" borderId="0" xfId="0" applyFont="1"/>
    <xf numFmtId="0" fontId="2" fillId="0" borderId="0" xfId="0" applyFont="1" applyBorder="1"/>
    <xf numFmtId="0" fontId="0" fillId="0" borderId="0" xfId="0" applyBorder="1"/>
    <xf numFmtId="0" fontId="2" fillId="0" borderId="0" xfId="2" applyBorder="1"/>
    <xf numFmtId="0" fontId="2" fillId="0" borderId="0" xfId="2" applyFont="1" applyBorder="1" applyAlignment="1">
      <alignment horizontal="left" indent="1"/>
    </xf>
    <xf numFmtId="0" fontId="0" fillId="0" borderId="0" xfId="0" applyBorder="1" applyAlignment="1">
      <alignment horizontal="left" indent="1"/>
    </xf>
    <xf numFmtId="0" fontId="2" fillId="0" borderId="0" xfId="0" applyFont="1" applyFill="1" applyBorder="1" applyAlignment="1">
      <alignment horizontal="left"/>
    </xf>
    <xf numFmtId="0" fontId="2" fillId="0" borderId="0" xfId="0" applyFont="1" applyAlignment="1">
      <alignment horizontal="left" indent="3"/>
    </xf>
    <xf numFmtId="0" fontId="2" fillId="0" borderId="0" xfId="0" applyFont="1" applyAlignment="1">
      <alignment horizontal="left"/>
    </xf>
    <xf numFmtId="0" fontId="12" fillId="0" borderId="0" xfId="0" applyFont="1" applyBorder="1"/>
    <xf numFmtId="0" fontId="2" fillId="0" borderId="0" xfId="0" quotePrefix="1" applyFont="1"/>
    <xf numFmtId="0" fontId="2" fillId="0" borderId="35" xfId="2" applyFont="1" applyFill="1" applyBorder="1" applyAlignment="1">
      <alignment horizontal="left" indent="1"/>
    </xf>
    <xf numFmtId="0" fontId="49" fillId="0" borderId="0" xfId="0" applyFont="1" applyBorder="1" applyAlignment="1" applyProtection="1">
      <alignment horizontal="center" vertical="center" wrapText="1"/>
      <protection hidden="1"/>
    </xf>
    <xf numFmtId="0" fontId="51" fillId="0" borderId="0" xfId="0" applyFont="1" applyBorder="1" applyAlignment="1">
      <alignment wrapText="1"/>
    </xf>
    <xf numFmtId="0" fontId="19" fillId="0" borderId="9" xfId="0" applyFont="1" applyBorder="1" applyAlignment="1" applyProtection="1">
      <alignment vertical="top" wrapText="1"/>
      <protection locked="0"/>
    </xf>
    <xf numFmtId="0" fontId="19" fillId="0" borderId="9" xfId="0" applyFont="1" applyBorder="1" applyAlignment="1" applyProtection="1">
      <alignment horizontal="center" vertical="center" wrapText="1"/>
      <protection locked="0"/>
    </xf>
    <xf numFmtId="0" fontId="19" fillId="0" borderId="9" xfId="0" applyFont="1" applyBorder="1" applyAlignment="1" applyProtection="1">
      <alignment horizontal="left" vertical="top" wrapText="1"/>
      <protection locked="0"/>
    </xf>
    <xf numFmtId="0" fontId="19" fillId="0" borderId="9" xfId="0" applyFont="1" applyBorder="1" applyProtection="1">
      <protection locked="0"/>
    </xf>
    <xf numFmtId="0" fontId="19" fillId="0" borderId="9" xfId="0" applyFont="1" applyBorder="1" applyAlignment="1" applyProtection="1">
      <alignment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2" fillId="0" borderId="7" xfId="0" applyFont="1" applyBorder="1" applyAlignment="1" applyProtection="1">
      <alignment horizontal="left" indent="1"/>
      <protection hidden="1"/>
    </xf>
    <xf numFmtId="0" fontId="2" fillId="0" borderId="6" xfId="0" applyFont="1" applyBorder="1" applyAlignment="1" applyProtection="1">
      <alignment horizontal="left" indent="1"/>
      <protection hidden="1"/>
    </xf>
    <xf numFmtId="0" fontId="2" fillId="0" borderId="8" xfId="0" applyFont="1" applyBorder="1" applyAlignment="1" applyProtection="1">
      <alignment horizontal="left" indent="1"/>
      <protection hidden="1"/>
    </xf>
    <xf numFmtId="0" fontId="2" fillId="0" borderId="14" xfId="0" applyFont="1" applyBorder="1" applyAlignment="1" applyProtection="1">
      <alignment horizontal="left" indent="1"/>
      <protection hidden="1"/>
    </xf>
    <xf numFmtId="0" fontId="2" fillId="0" borderId="13" xfId="0" applyFont="1" applyBorder="1" applyAlignment="1" applyProtection="1">
      <alignment horizontal="left" indent="1"/>
      <protection hidden="1"/>
    </xf>
    <xf numFmtId="0" fontId="2" fillId="0" borderId="17" xfId="0" applyFont="1" applyBorder="1" applyAlignment="1" applyProtection="1">
      <alignment horizontal="left" indent="1"/>
      <protection hidden="1"/>
    </xf>
    <xf numFmtId="0" fontId="7" fillId="0" borderId="0" xfId="0" applyFont="1" applyFill="1" applyProtection="1">
      <protection hidden="1"/>
    </xf>
    <xf numFmtId="0" fontId="0" fillId="0" borderId="0" xfId="0" applyFill="1" applyAlignment="1">
      <alignment horizontal="left" vertical="center"/>
    </xf>
    <xf numFmtId="0" fontId="2" fillId="0" borderId="14" xfId="0" applyFont="1" applyBorder="1" applyAlignment="1" applyProtection="1">
      <alignment horizontal="left" indent="1"/>
      <protection hidden="1"/>
    </xf>
    <xf numFmtId="0" fontId="2" fillId="0" borderId="13" xfId="0" applyFont="1" applyBorder="1" applyAlignment="1" applyProtection="1">
      <alignment horizontal="left" indent="1"/>
      <protection hidden="1"/>
    </xf>
    <xf numFmtId="0" fontId="2" fillId="0" borderId="17" xfId="0" applyFont="1" applyBorder="1" applyAlignment="1" applyProtection="1">
      <alignment horizontal="left" indent="1"/>
      <protection hidden="1"/>
    </xf>
    <xf numFmtId="0" fontId="54" fillId="15" borderId="0" xfId="0" applyFont="1" applyFill="1"/>
    <xf numFmtId="0" fontId="55" fillId="0" borderId="0" xfId="0" applyFont="1" applyProtection="1">
      <protection hidden="1"/>
    </xf>
    <xf numFmtId="0" fontId="55" fillId="0" borderId="0" xfId="0" applyFont="1" applyAlignment="1" applyProtection="1">
      <alignment vertical="top"/>
      <protection hidden="1"/>
    </xf>
    <xf numFmtId="0" fontId="25" fillId="16" borderId="53" xfId="0" applyFont="1" applyFill="1" applyBorder="1" applyAlignment="1" applyProtection="1">
      <alignment horizontal="center" vertical="center" wrapText="1"/>
      <protection hidden="1"/>
    </xf>
    <xf numFmtId="0" fontId="25" fillId="16" borderId="53" xfId="0" applyFont="1" applyFill="1" applyBorder="1" applyAlignment="1" applyProtection="1">
      <alignment horizontal="center" vertical="center" wrapText="1"/>
    </xf>
    <xf numFmtId="0" fontId="21" fillId="16" borderId="9" xfId="0" applyFont="1" applyFill="1" applyBorder="1" applyAlignment="1">
      <alignment horizontal="center" vertical="center"/>
    </xf>
    <xf numFmtId="0" fontId="2" fillId="17" borderId="17" xfId="2" applyFill="1" applyBorder="1" applyProtection="1"/>
    <xf numFmtId="0" fontId="41" fillId="17" borderId="16" xfId="2" applyFont="1" applyFill="1" applyBorder="1"/>
    <xf numFmtId="0" fontId="35" fillId="17" borderId="13" xfId="2" applyFont="1" applyFill="1" applyBorder="1"/>
    <xf numFmtId="0" fontId="2" fillId="17" borderId="13" xfId="2" applyFill="1" applyBorder="1" applyProtection="1"/>
    <xf numFmtId="0" fontId="44" fillId="17" borderId="0" xfId="0" applyFont="1" applyFill="1" applyAlignment="1">
      <alignment vertical="center"/>
    </xf>
    <xf numFmtId="0" fontId="45" fillId="17" borderId="0" xfId="0" applyFont="1" applyFill="1"/>
    <xf numFmtId="0" fontId="4" fillId="20" borderId="54" xfId="0" applyFont="1" applyFill="1" applyBorder="1" applyAlignment="1" applyProtection="1">
      <alignment horizontal="left" indent="1"/>
      <protection hidden="1"/>
    </xf>
    <xf numFmtId="0" fontId="4" fillId="20" borderId="55" xfId="0" applyFont="1" applyFill="1" applyBorder="1" applyAlignment="1" applyProtection="1">
      <alignment horizontal="left" indent="1"/>
      <protection hidden="1"/>
    </xf>
    <xf numFmtId="0" fontId="4" fillId="20" borderId="56" xfId="0" applyFont="1" applyFill="1" applyBorder="1" applyAlignment="1" applyProtection="1">
      <alignment horizontal="left" indent="1"/>
      <protection hidden="1"/>
    </xf>
    <xf numFmtId="0" fontId="50" fillId="17" borderId="9" xfId="0" applyFont="1" applyFill="1" applyBorder="1" applyAlignment="1" applyProtection="1">
      <alignment horizontal="center" vertical="center"/>
      <protection hidden="1"/>
    </xf>
    <xf numFmtId="0" fontId="50" fillId="21" borderId="9" xfId="0" applyFont="1" applyFill="1" applyBorder="1" applyAlignment="1" applyProtection="1">
      <alignment horizontal="center" vertical="center"/>
      <protection hidden="1"/>
    </xf>
    <xf numFmtId="0" fontId="7" fillId="0" borderId="0" xfId="5" applyNumberFormat="1" applyFont="1" applyBorder="1" applyProtection="1">
      <protection hidden="1"/>
    </xf>
    <xf numFmtId="1" fontId="7" fillId="20" borderId="0" xfId="5" applyNumberFormat="1" applyFont="1" applyFill="1" applyBorder="1" applyAlignment="1" applyProtection="1">
      <alignment horizontal="center"/>
      <protection hidden="1"/>
    </xf>
    <xf numFmtId="0" fontId="5" fillId="0" borderId="1" xfId="0" applyFont="1" applyBorder="1" applyAlignment="1" applyProtection="1">
      <alignment horizontal="left"/>
      <protection hidden="1"/>
    </xf>
    <xf numFmtId="0" fontId="5" fillId="0" borderId="0" xfId="0" applyFont="1" applyBorder="1" applyAlignment="1" applyProtection="1">
      <alignment horizontal="left"/>
      <protection hidden="1"/>
    </xf>
    <xf numFmtId="0" fontId="60" fillId="16" borderId="1" xfId="0" applyFont="1" applyFill="1" applyBorder="1" applyAlignment="1" applyProtection="1">
      <protection hidden="1"/>
    </xf>
    <xf numFmtId="0" fontId="60" fillId="16" borderId="0" xfId="0" applyFont="1" applyFill="1" applyBorder="1" applyAlignment="1" applyProtection="1">
      <protection hidden="1"/>
    </xf>
    <xf numFmtId="0" fontId="61" fillId="16" borderId="0" xfId="0" applyFont="1" applyFill="1" applyProtection="1">
      <protection hidden="1"/>
    </xf>
    <xf numFmtId="0" fontId="60" fillId="16" borderId="2" xfId="0" applyFont="1" applyFill="1" applyBorder="1" applyAlignment="1" applyProtection="1">
      <alignment horizontal="center"/>
      <protection hidden="1"/>
    </xf>
    <xf numFmtId="0" fontId="61" fillId="16" borderId="0" xfId="0" applyFont="1" applyFill="1" applyBorder="1" applyAlignment="1" applyProtection="1">
      <protection hidden="1"/>
    </xf>
    <xf numFmtId="0" fontId="61" fillId="16" borderId="2" xfId="0" applyFont="1" applyFill="1" applyBorder="1" applyAlignment="1" applyProtection="1">
      <protection hidden="1"/>
    </xf>
    <xf numFmtId="0" fontId="7" fillId="0" borderId="4" xfId="0" applyFont="1" applyBorder="1" applyAlignment="1" applyProtection="1">
      <protection hidden="1"/>
    </xf>
    <xf numFmtId="0" fontId="60" fillId="16" borderId="0" xfId="0" applyFont="1" applyFill="1" applyBorder="1" applyAlignment="1" applyProtection="1">
      <alignment horizontal="left"/>
      <protection hidden="1"/>
    </xf>
    <xf numFmtId="0" fontId="60" fillId="16" borderId="0" xfId="0" applyFont="1" applyFill="1" applyProtection="1">
      <protection hidden="1"/>
    </xf>
    <xf numFmtId="0" fontId="7" fillId="0" borderId="5" xfId="0" applyFont="1" applyBorder="1" applyAlignment="1" applyProtection="1">
      <protection hidden="1"/>
    </xf>
    <xf numFmtId="1" fontId="7" fillId="0" borderId="4" xfId="0" applyNumberFormat="1" applyFont="1" applyBorder="1" applyAlignment="1" applyProtection="1">
      <protection hidden="1"/>
    </xf>
    <xf numFmtId="0" fontId="10" fillId="16" borderId="51" xfId="0" applyFont="1" applyFill="1" applyBorder="1" applyAlignment="1" applyProtection="1">
      <alignment vertical="center"/>
      <protection hidden="1"/>
    </xf>
    <xf numFmtId="0" fontId="45" fillId="0" borderId="0" xfId="0" applyFont="1" applyFill="1"/>
    <xf numFmtId="0" fontId="64" fillId="0" borderId="0" xfId="6" applyFont="1" applyFill="1" applyBorder="1" applyAlignment="1">
      <alignment wrapText="1" readingOrder="1"/>
    </xf>
    <xf numFmtId="0" fontId="64" fillId="0" borderId="93" xfId="6" applyFont="1" applyFill="1" applyBorder="1" applyAlignment="1">
      <alignment wrapText="1" readingOrder="1"/>
    </xf>
    <xf numFmtId="0" fontId="63" fillId="0" borderId="0" xfId="6" applyFont="1" applyFill="1" applyBorder="1" applyAlignment="1">
      <alignment horizontal="center" wrapText="1" readingOrder="1"/>
    </xf>
    <xf numFmtId="0" fontId="45" fillId="0" borderId="0" xfId="6" applyFont="1" applyFill="1"/>
    <xf numFmtId="0" fontId="63" fillId="0" borderId="86" xfId="6" applyFont="1" applyFill="1" applyBorder="1" applyAlignment="1">
      <alignment horizontal="center" wrapText="1" readingOrder="1"/>
    </xf>
    <xf numFmtId="0" fontId="63" fillId="0" borderId="86" xfId="6" applyFont="1" applyFill="1" applyBorder="1" applyAlignment="1">
      <alignment horizontal="left" wrapText="1" readingOrder="1"/>
    </xf>
    <xf numFmtId="0" fontId="63" fillId="0" borderId="86" xfId="0" applyFont="1" applyFill="1" applyBorder="1" applyAlignment="1">
      <alignment horizontal="center" wrapText="1" readingOrder="1"/>
    </xf>
    <xf numFmtId="0" fontId="63" fillId="0" borderId="87" xfId="0" applyFont="1" applyFill="1" applyBorder="1" applyAlignment="1">
      <alignment horizontal="center" wrapText="1" readingOrder="1"/>
    </xf>
    <xf numFmtId="9" fontId="63" fillId="0" borderId="86" xfId="6" applyNumberFormat="1" applyFont="1" applyFill="1" applyBorder="1" applyAlignment="1">
      <alignment horizontal="center" wrapText="1" readingOrder="1"/>
    </xf>
    <xf numFmtId="0" fontId="41" fillId="0" borderId="0" xfId="6" applyFont="1" applyFill="1"/>
    <xf numFmtId="0" fontId="65" fillId="0" borderId="0" xfId="0" applyFont="1"/>
    <xf numFmtId="0" fontId="19" fillId="0" borderId="9" xfId="0" applyFont="1" applyBorder="1" applyAlignment="1" applyProtection="1">
      <alignment horizontal="center" vertical="center" wrapText="1"/>
    </xf>
    <xf numFmtId="0" fontId="19" fillId="0" borderId="9" xfId="0" applyNumberFormat="1" applyFont="1" applyBorder="1" applyAlignment="1" applyProtection="1">
      <alignment horizontal="center" vertical="center" wrapText="1"/>
      <protection locked="0" hidden="1"/>
    </xf>
    <xf numFmtId="0" fontId="19" fillId="0" borderId="9" xfId="0" applyFont="1" applyBorder="1" applyAlignment="1" applyProtection="1">
      <alignment horizontal="center" vertical="center" wrapText="1"/>
      <protection locked="0" hidden="1"/>
    </xf>
    <xf numFmtId="0" fontId="19" fillId="0" borderId="9" xfId="0" applyFont="1" applyBorder="1" applyAlignment="1" applyProtection="1">
      <alignment wrapText="1"/>
      <protection locked="0" hidden="1"/>
    </xf>
    <xf numFmtId="0" fontId="19" fillId="0" borderId="100" xfId="0" applyFont="1" applyBorder="1" applyAlignment="1">
      <alignment wrapText="1"/>
    </xf>
    <xf numFmtId="0" fontId="53" fillId="16" borderId="101" xfId="0" applyFont="1" applyFill="1" applyBorder="1" applyAlignment="1" applyProtection="1">
      <alignment horizontal="left" vertical="center"/>
      <protection hidden="1"/>
    </xf>
    <xf numFmtId="0" fontId="2" fillId="16" borderId="0" xfId="0" applyFont="1" applyFill="1" applyBorder="1"/>
    <xf numFmtId="0" fontId="2" fillId="0" borderId="0" xfId="0" applyFont="1" applyFill="1" applyAlignment="1">
      <alignment vertical="center"/>
    </xf>
    <xf numFmtId="0" fontId="2" fillId="0" borderId="0" xfId="0" applyFont="1" applyFill="1" applyBorder="1" applyAlignment="1">
      <alignment vertical="center"/>
    </xf>
    <xf numFmtId="0" fontId="2" fillId="22" borderId="0" xfId="0" applyFont="1" applyFill="1" applyBorder="1" applyAlignment="1" applyProtection="1">
      <alignment horizontal="left" vertical="center"/>
      <protection locked="0"/>
    </xf>
    <xf numFmtId="0" fontId="2" fillId="22" borderId="0" xfId="0" applyFont="1" applyFill="1" applyBorder="1" applyAlignment="1" applyProtection="1">
      <alignment vertical="center"/>
      <protection locked="0"/>
    </xf>
    <xf numFmtId="0" fontId="2" fillId="23" borderId="0" xfId="0" applyFont="1" applyFill="1" applyBorder="1" applyAlignment="1">
      <alignment vertical="center"/>
    </xf>
    <xf numFmtId="0" fontId="24" fillId="13" borderId="105" xfId="0" applyFont="1" applyFill="1" applyBorder="1" applyAlignment="1" applyProtection="1">
      <alignment vertical="center"/>
    </xf>
    <xf numFmtId="0" fontId="2" fillId="13" borderId="0" xfId="0" applyFont="1" applyFill="1" applyBorder="1" applyAlignment="1">
      <alignment vertical="center"/>
    </xf>
    <xf numFmtId="0" fontId="2" fillId="22" borderId="0" xfId="0" applyFont="1" applyFill="1" applyBorder="1" applyAlignment="1">
      <alignment vertical="center"/>
    </xf>
    <xf numFmtId="0" fontId="2" fillId="13" borderId="0" xfId="0" applyFont="1" applyFill="1" applyBorder="1" applyAlignment="1" applyProtection="1">
      <alignment horizontal="left" vertical="top" wrapText="1"/>
    </xf>
    <xf numFmtId="0" fontId="2" fillId="0" borderId="0" xfId="0" applyFont="1" applyAlignment="1">
      <alignment vertical="top"/>
    </xf>
    <xf numFmtId="0" fontId="4" fillId="9" borderId="108" xfId="0" applyFont="1" applyFill="1" applyBorder="1" applyAlignment="1" applyProtection="1">
      <alignment vertical="top" wrapText="1"/>
    </xf>
    <xf numFmtId="0" fontId="4" fillId="9" borderId="19" xfId="0" applyFont="1" applyFill="1" applyBorder="1" applyAlignment="1" applyProtection="1">
      <alignment vertical="top" wrapText="1"/>
    </xf>
    <xf numFmtId="0" fontId="4" fillId="9" borderId="13" xfId="0" applyFont="1" applyFill="1" applyBorder="1" applyAlignment="1" applyProtection="1">
      <alignment vertical="top" wrapText="1"/>
    </xf>
    <xf numFmtId="0" fontId="4" fillId="9" borderId="27" xfId="0" applyFont="1" applyFill="1" applyBorder="1" applyAlignment="1" applyProtection="1">
      <alignment vertical="top" wrapText="1"/>
    </xf>
    <xf numFmtId="0" fontId="2" fillId="23" borderId="27" xfId="0" applyFont="1" applyFill="1" applyBorder="1" applyAlignment="1">
      <alignment horizontal="left" vertical="top" wrapText="1"/>
    </xf>
    <xf numFmtId="0" fontId="2" fillId="0" borderId="0" xfId="0" applyFont="1" applyAlignment="1">
      <alignment horizontal="right" vertical="top"/>
    </xf>
    <xf numFmtId="0" fontId="2" fillId="13" borderId="104" xfId="0" applyFont="1" applyFill="1" applyBorder="1" applyAlignment="1" applyProtection="1">
      <alignment vertical="top"/>
      <protection locked="0"/>
    </xf>
    <xf numFmtId="0" fontId="2" fillId="13" borderId="0" xfId="0" applyFont="1" applyFill="1"/>
    <xf numFmtId="0" fontId="69" fillId="13" borderId="0" xfId="0" applyFont="1" applyFill="1" applyBorder="1" applyAlignment="1" applyProtection="1">
      <alignment horizontal="center"/>
    </xf>
    <xf numFmtId="0" fontId="2" fillId="23" borderId="0" xfId="0" applyFont="1" applyFill="1" applyAlignment="1">
      <alignment vertical="center"/>
    </xf>
    <xf numFmtId="0" fontId="2" fillId="13" borderId="0" xfId="0" applyFont="1" applyFill="1" applyAlignment="1">
      <alignment vertical="center"/>
    </xf>
    <xf numFmtId="0" fontId="2" fillId="0" borderId="110" xfId="0" applyFont="1" applyFill="1" applyBorder="1" applyAlignment="1">
      <alignment vertical="center"/>
    </xf>
    <xf numFmtId="0" fontId="2" fillId="0" borderId="111" xfId="0" applyFont="1" applyFill="1" applyBorder="1" applyAlignment="1">
      <alignment vertical="center"/>
    </xf>
    <xf numFmtId="0" fontId="19" fillId="9" borderId="114" xfId="0" applyFont="1" applyFill="1" applyBorder="1" applyAlignment="1" applyProtection="1">
      <alignment horizontal="center" vertical="center"/>
    </xf>
    <xf numFmtId="0" fontId="19" fillId="9" borderId="102" xfId="0" applyFont="1" applyFill="1" applyBorder="1" applyAlignment="1" applyProtection="1">
      <alignment horizontal="center" vertical="center"/>
    </xf>
    <xf numFmtId="0" fontId="70" fillId="23" borderId="116" xfId="0" applyFont="1" applyFill="1" applyBorder="1" applyAlignment="1">
      <alignment horizontal="center" vertical="center"/>
    </xf>
    <xf numFmtId="0" fontId="67" fillId="0" borderId="108" xfId="0" applyFont="1" applyBorder="1" applyAlignment="1" applyProtection="1">
      <alignment horizontal="right" vertical="center"/>
    </xf>
    <xf numFmtId="0" fontId="67" fillId="0" borderId="13" xfId="0" applyFont="1" applyBorder="1" applyAlignment="1" applyProtection="1">
      <alignment horizontal="right" vertical="center"/>
    </xf>
    <xf numFmtId="0" fontId="67" fillId="0" borderId="27" xfId="0" applyFont="1" applyBorder="1" applyAlignment="1" applyProtection="1">
      <alignment horizontal="right" vertical="center"/>
    </xf>
    <xf numFmtId="0" fontId="2" fillId="13" borderId="107" xfId="0" applyFont="1" applyFill="1" applyBorder="1"/>
    <xf numFmtId="0" fontId="2" fillId="17" borderId="0" xfId="0" applyFont="1" applyFill="1"/>
    <xf numFmtId="0" fontId="71" fillId="0" borderId="0" xfId="0" applyFont="1"/>
    <xf numFmtId="0" fontId="8" fillId="0" borderId="0" xfId="0" applyFont="1" applyFill="1" applyBorder="1" applyAlignment="1" applyProtection="1">
      <alignment horizontal="left" vertical="center"/>
    </xf>
    <xf numFmtId="0" fontId="8" fillId="0" borderId="102" xfId="0" applyFont="1" applyFill="1" applyBorder="1" applyAlignment="1" applyProtection="1">
      <alignment horizontal="left" vertical="center"/>
    </xf>
    <xf numFmtId="0" fontId="59" fillId="0" borderId="0" xfId="0" applyFont="1" applyFill="1" applyBorder="1" applyAlignment="1">
      <alignment vertical="center"/>
    </xf>
    <xf numFmtId="0" fontId="68" fillId="13" borderId="0" xfId="0" applyFont="1" applyFill="1" applyBorder="1" applyAlignment="1" applyProtection="1">
      <alignment vertical="center"/>
    </xf>
    <xf numFmtId="0" fontId="19" fillId="13" borderId="0" xfId="0" applyFont="1" applyFill="1" applyAlignment="1">
      <alignment vertical="center"/>
    </xf>
    <xf numFmtId="0" fontId="0" fillId="0" borderId="120" xfId="0" applyBorder="1"/>
    <xf numFmtId="0" fontId="0" fillId="0" borderId="109" xfId="0" applyBorder="1"/>
    <xf numFmtId="0" fontId="54" fillId="0" borderId="0" xfId="0" applyFont="1" applyBorder="1"/>
    <xf numFmtId="0" fontId="4" fillId="19" borderId="16" xfId="0" applyFont="1" applyFill="1" applyBorder="1" applyAlignment="1" applyProtection="1">
      <alignment horizontal="center"/>
      <protection hidden="1"/>
    </xf>
    <xf numFmtId="0" fontId="4" fillId="19" borderId="68" xfId="0" applyFont="1" applyFill="1" applyBorder="1" applyAlignment="1" applyProtection="1">
      <alignment horizontal="center"/>
      <protection hidden="1"/>
    </xf>
    <xf numFmtId="0" fontId="2" fillId="20" borderId="9" xfId="0" applyFont="1" applyFill="1" applyBorder="1" applyAlignment="1" applyProtection="1">
      <alignment horizontal="center"/>
      <protection hidden="1"/>
    </xf>
    <xf numFmtId="0" fontId="3" fillId="0" borderId="9" xfId="0" applyFont="1" applyFill="1" applyBorder="1" applyAlignment="1" applyProtection="1">
      <alignment horizontal="center"/>
      <protection hidden="1"/>
    </xf>
    <xf numFmtId="0" fontId="2" fillId="20" borderId="1" xfId="0" applyFont="1" applyFill="1" applyBorder="1" applyAlignment="1" applyProtection="1">
      <alignment horizontal="left" vertical="top" wrapText="1"/>
      <protection locked="0"/>
    </xf>
    <xf numFmtId="0" fontId="3" fillId="20" borderId="0" xfId="0" applyFont="1" applyFill="1" applyBorder="1" applyAlignment="1" applyProtection="1">
      <alignment horizontal="left" vertical="top" wrapText="1"/>
      <protection locked="0"/>
    </xf>
    <xf numFmtId="0" fontId="3" fillId="20" borderId="2" xfId="0" applyFont="1" applyFill="1" applyBorder="1" applyAlignment="1" applyProtection="1">
      <alignment horizontal="left" vertical="top" wrapText="1"/>
      <protection locked="0"/>
    </xf>
    <xf numFmtId="0" fontId="3" fillId="20" borderId="1" xfId="0" applyFont="1" applyFill="1" applyBorder="1" applyAlignment="1" applyProtection="1">
      <alignment horizontal="left" vertical="top" wrapText="1"/>
      <protection locked="0"/>
    </xf>
    <xf numFmtId="0" fontId="3" fillId="20" borderId="3" xfId="0" applyFont="1" applyFill="1" applyBorder="1" applyAlignment="1" applyProtection="1">
      <alignment horizontal="left" vertical="top" wrapText="1"/>
      <protection locked="0"/>
    </xf>
    <xf numFmtId="0" fontId="3" fillId="20" borderId="4" xfId="0" applyFont="1" applyFill="1" applyBorder="1" applyAlignment="1" applyProtection="1">
      <alignment horizontal="left" vertical="top" wrapText="1"/>
      <protection locked="0"/>
    </xf>
    <xf numFmtId="0" fontId="3" fillId="20" borderId="5" xfId="0" applyFont="1" applyFill="1" applyBorder="1" applyAlignment="1" applyProtection="1">
      <alignment horizontal="left" vertical="top" wrapText="1"/>
      <protection locked="0"/>
    </xf>
    <xf numFmtId="0" fontId="11" fillId="16" borderId="50" xfId="0" applyFont="1" applyFill="1" applyBorder="1" applyAlignment="1" applyProtection="1">
      <alignment horizontal="center" vertical="center"/>
      <protection hidden="1"/>
    </xf>
    <xf numFmtId="0" fontId="11" fillId="16" borderId="51" xfId="0" applyFont="1" applyFill="1" applyBorder="1" applyAlignment="1" applyProtection="1">
      <alignment horizontal="center" vertical="center"/>
      <protection hidden="1"/>
    </xf>
    <xf numFmtId="0" fontId="2" fillId="0" borderId="9" xfId="0" applyFont="1" applyFill="1" applyBorder="1" applyAlignment="1" applyProtection="1">
      <alignment horizontal="center"/>
      <protection hidden="1"/>
    </xf>
    <xf numFmtId="0" fontId="2" fillId="0" borderId="71" xfId="0" applyFont="1" applyFill="1" applyBorder="1" applyAlignment="1" applyProtection="1">
      <alignment horizontal="center"/>
      <protection hidden="1"/>
    </xf>
    <xf numFmtId="0" fontId="3" fillId="0" borderId="71" xfId="0" applyFont="1" applyFill="1" applyBorder="1" applyAlignment="1" applyProtection="1">
      <alignment horizontal="center"/>
      <protection hidden="1"/>
    </xf>
    <xf numFmtId="0" fontId="2" fillId="20" borderId="71" xfId="0" applyFont="1" applyFill="1" applyBorder="1" applyAlignment="1" applyProtection="1">
      <alignment horizontal="center"/>
      <protection hidden="1"/>
    </xf>
    <xf numFmtId="0" fontId="4" fillId="20" borderId="51" xfId="0" applyFont="1" applyFill="1" applyBorder="1" applyAlignment="1" applyProtection="1">
      <alignment horizontal="center" vertical="center" wrapText="1"/>
      <protection locked="0" hidden="1"/>
    </xf>
    <xf numFmtId="0" fontId="4" fillId="20" borderId="52" xfId="0" applyFont="1" applyFill="1" applyBorder="1" applyAlignment="1" applyProtection="1">
      <alignment horizontal="center" vertical="center" wrapText="1"/>
      <protection locked="0" hidden="1"/>
    </xf>
    <xf numFmtId="0" fontId="15" fillId="0" borderId="0" xfId="0" applyFont="1" applyBorder="1" applyAlignment="1" applyProtection="1">
      <alignment horizontal="center"/>
      <protection hidden="1"/>
    </xf>
    <xf numFmtId="0" fontId="16" fillId="0" borderId="0" xfId="0" applyFont="1" applyFill="1" applyBorder="1" applyAlignment="1" applyProtection="1">
      <alignment horizontal="center"/>
      <protection hidden="1"/>
    </xf>
    <xf numFmtId="164" fontId="24" fillId="12" borderId="62" xfId="0" applyNumberFormat="1" applyFont="1" applyFill="1" applyBorder="1" applyAlignment="1" applyProtection="1">
      <alignment horizontal="center" vertical="center"/>
      <protection hidden="1"/>
    </xf>
    <xf numFmtId="164" fontId="24" fillId="12" borderId="63" xfId="0" applyNumberFormat="1" applyFont="1" applyFill="1" applyBorder="1" applyAlignment="1" applyProtection="1">
      <alignment horizontal="center" vertical="center"/>
      <protection hidden="1"/>
    </xf>
    <xf numFmtId="0" fontId="15" fillId="0" borderId="19" xfId="0" applyFont="1" applyBorder="1" applyAlignment="1" applyProtection="1">
      <alignment horizontal="center"/>
      <protection hidden="1"/>
    </xf>
    <xf numFmtId="164" fontId="27" fillId="13" borderId="20" xfId="0" applyNumberFormat="1" applyFont="1" applyFill="1" applyBorder="1" applyAlignment="1" applyProtection="1">
      <alignment horizontal="center" vertical="center"/>
      <protection hidden="1"/>
    </xf>
    <xf numFmtId="164" fontId="27" fillId="13" borderId="21" xfId="0" applyNumberFormat="1" applyFont="1" applyFill="1" applyBorder="1" applyAlignment="1" applyProtection="1">
      <alignment horizontal="center" vertical="center"/>
      <protection hidden="1"/>
    </xf>
    <xf numFmtId="164" fontId="27" fillId="13" borderId="22" xfId="0" applyNumberFormat="1" applyFont="1" applyFill="1" applyBorder="1" applyAlignment="1" applyProtection="1">
      <alignment horizontal="center" vertical="center"/>
      <protection hidden="1"/>
    </xf>
    <xf numFmtId="164" fontId="27" fillId="13" borderId="23" xfId="0" applyNumberFormat="1" applyFont="1" applyFill="1" applyBorder="1" applyAlignment="1" applyProtection="1">
      <alignment horizontal="center" vertical="center"/>
      <protection hidden="1"/>
    </xf>
    <xf numFmtId="164" fontId="27" fillId="13" borderId="24" xfId="0" applyNumberFormat="1" applyFont="1" applyFill="1" applyBorder="1" applyAlignment="1" applyProtection="1">
      <alignment horizontal="center" vertical="center"/>
      <protection hidden="1"/>
    </xf>
    <xf numFmtId="164" fontId="27" fillId="13" borderId="25" xfId="0" applyNumberFormat="1" applyFont="1" applyFill="1" applyBorder="1" applyAlignment="1" applyProtection="1">
      <alignment horizontal="center" vertical="center"/>
      <protection hidden="1"/>
    </xf>
    <xf numFmtId="1" fontId="26" fillId="0" borderId="0" xfId="0" applyNumberFormat="1" applyFont="1" applyBorder="1" applyAlignment="1" applyProtection="1">
      <alignment horizontal="center"/>
      <protection hidden="1"/>
    </xf>
    <xf numFmtId="0" fontId="4" fillId="19" borderId="73" xfId="0" applyFont="1" applyFill="1" applyBorder="1" applyAlignment="1" applyProtection="1">
      <alignment horizontal="center"/>
      <protection hidden="1"/>
    </xf>
    <xf numFmtId="0" fontId="4" fillId="19" borderId="74" xfId="0" applyFont="1" applyFill="1" applyBorder="1" applyAlignment="1" applyProtection="1">
      <alignment horizontal="center"/>
      <protection hidden="1"/>
    </xf>
    <xf numFmtId="0" fontId="7" fillId="0" borderId="0" xfId="0" applyFont="1" applyBorder="1" applyAlignment="1" applyProtection="1">
      <alignment horizontal="left" vertical="center" indent="2"/>
      <protection hidden="1"/>
    </xf>
    <xf numFmtId="0" fontId="14" fillId="0" borderId="0" xfId="0" applyFont="1" applyBorder="1" applyAlignment="1" applyProtection="1">
      <alignment horizontal="center"/>
      <protection hidden="1"/>
    </xf>
    <xf numFmtId="0" fontId="25" fillId="16" borderId="64" xfId="0" applyFont="1" applyFill="1" applyBorder="1" applyAlignment="1" applyProtection="1">
      <alignment horizontal="center" vertical="center" wrapText="1"/>
      <protection hidden="1"/>
    </xf>
    <xf numFmtId="0" fontId="25" fillId="16" borderId="65" xfId="0" applyFont="1" applyFill="1" applyBorder="1" applyAlignment="1" applyProtection="1">
      <alignment horizontal="center" vertical="center" wrapText="1"/>
      <protection hidden="1"/>
    </xf>
    <xf numFmtId="0" fontId="2" fillId="20" borderId="17" xfId="0" applyFont="1" applyFill="1" applyBorder="1" applyAlignment="1" applyProtection="1">
      <alignment horizontal="center"/>
      <protection hidden="1"/>
    </xf>
    <xf numFmtId="0" fontId="2" fillId="0" borderId="9"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25" fillId="16" borderId="69" xfId="0" applyFont="1" applyFill="1" applyBorder="1" applyAlignment="1" applyProtection="1">
      <alignment horizontal="center" vertical="center" wrapText="1"/>
      <protection hidden="1"/>
    </xf>
    <xf numFmtId="0" fontId="25" fillId="16" borderId="72" xfId="0" applyFont="1" applyFill="1" applyBorder="1" applyAlignment="1" applyProtection="1">
      <alignment horizontal="center" vertical="center" wrapText="1"/>
      <protection hidden="1"/>
    </xf>
    <xf numFmtId="0" fontId="53" fillId="16" borderId="39" xfId="0" applyFont="1" applyFill="1" applyBorder="1" applyAlignment="1" applyProtection="1">
      <alignment horizontal="left" vertical="center" wrapText="1" indent="1"/>
      <protection hidden="1"/>
    </xf>
    <xf numFmtId="0" fontId="9" fillId="16" borderId="11" xfId="0" applyFont="1" applyFill="1" applyBorder="1" applyAlignment="1" applyProtection="1">
      <alignment horizontal="left" vertical="center" wrapText="1" indent="1"/>
      <protection hidden="1"/>
    </xf>
    <xf numFmtId="0" fontId="0" fillId="16" borderId="11" xfId="0" applyFill="1" applyBorder="1" applyAlignment="1">
      <alignment horizontal="left" vertical="center" wrapText="1" indent="1"/>
    </xf>
    <xf numFmtId="0" fontId="0" fillId="16" borderId="12" xfId="0" applyFill="1" applyBorder="1" applyAlignment="1">
      <alignment horizontal="left" vertical="center" wrapText="1" indent="1"/>
    </xf>
    <xf numFmtId="0" fontId="7" fillId="0" borderId="43" xfId="0" applyFont="1" applyFill="1" applyBorder="1" applyAlignment="1" applyProtection="1">
      <alignment horizontal="center"/>
      <protection hidden="1"/>
    </xf>
    <xf numFmtId="0" fontId="7" fillId="0" borderId="44" xfId="0" applyFont="1" applyFill="1" applyBorder="1" applyAlignment="1" applyProtection="1">
      <alignment horizontal="center"/>
      <protection hidden="1"/>
    </xf>
    <xf numFmtId="0" fontId="7" fillId="0" borderId="45" xfId="0" applyFont="1" applyFill="1" applyBorder="1" applyAlignment="1" applyProtection="1">
      <alignment horizontal="center"/>
      <protection hidden="1"/>
    </xf>
    <xf numFmtId="0" fontId="2" fillId="20" borderId="84" xfId="0" applyFont="1" applyFill="1" applyBorder="1" applyAlignment="1" applyProtection="1">
      <alignment horizontal="left"/>
      <protection locked="0"/>
    </xf>
    <xf numFmtId="0" fontId="2" fillId="20" borderId="40" xfId="0" applyFont="1" applyFill="1" applyBorder="1" applyAlignment="1" applyProtection="1">
      <alignment horizontal="left"/>
      <protection locked="0"/>
    </xf>
    <xf numFmtId="0" fontId="2" fillId="20" borderId="85" xfId="0" applyFont="1" applyFill="1" applyBorder="1" applyAlignment="1" applyProtection="1">
      <alignment horizontal="left"/>
      <protection locked="0"/>
    </xf>
    <xf numFmtId="0" fontId="3" fillId="20" borderId="16" xfId="0" applyFont="1" applyFill="1" applyBorder="1" applyAlignment="1" applyProtection="1">
      <alignment horizontal="left"/>
      <protection locked="0" hidden="1"/>
    </xf>
    <xf numFmtId="0" fontId="3" fillId="20" borderId="13" xfId="0" applyFont="1" applyFill="1" applyBorder="1" applyAlignment="1" applyProtection="1">
      <alignment horizontal="left"/>
      <protection locked="0" hidden="1"/>
    </xf>
    <xf numFmtId="0" fontId="3" fillId="20" borderId="18" xfId="0" applyFont="1" applyFill="1" applyBorder="1" applyAlignment="1" applyProtection="1">
      <alignment horizontal="left"/>
      <protection locked="0" hidden="1"/>
    </xf>
    <xf numFmtId="0" fontId="2" fillId="0" borderId="10" xfId="0" applyFont="1" applyBorder="1" applyAlignment="1" applyProtection="1">
      <alignment horizontal="left" indent="1"/>
      <protection hidden="1"/>
    </xf>
    <xf numFmtId="0" fontId="2" fillId="0" borderId="40" xfId="0" applyFont="1" applyBorder="1" applyAlignment="1" applyProtection="1">
      <alignment horizontal="left" indent="1"/>
      <protection hidden="1"/>
    </xf>
    <xf numFmtId="0" fontId="2" fillId="0" borderId="47" xfId="0" applyFont="1" applyBorder="1" applyAlignment="1" applyProtection="1">
      <alignment horizontal="left" indent="1"/>
      <protection hidden="1"/>
    </xf>
    <xf numFmtId="0" fontId="2" fillId="0" borderId="14" xfId="0" applyFont="1" applyBorder="1" applyAlignment="1" applyProtection="1">
      <alignment horizontal="left" indent="1"/>
      <protection hidden="1"/>
    </xf>
    <xf numFmtId="0" fontId="2" fillId="0" borderId="13" xfId="0" applyFont="1" applyBorder="1" applyAlignment="1" applyProtection="1">
      <alignment horizontal="left" indent="1"/>
      <protection hidden="1"/>
    </xf>
    <xf numFmtId="0" fontId="2" fillId="0" borderId="17" xfId="0" applyFont="1" applyBorder="1" applyAlignment="1" applyProtection="1">
      <alignment horizontal="left" indent="1"/>
      <protection hidden="1"/>
    </xf>
    <xf numFmtId="0" fontId="2" fillId="20" borderId="16" xfId="0" applyFont="1" applyFill="1" applyBorder="1" applyAlignment="1" applyProtection="1">
      <alignment horizontal="left"/>
      <protection locked="0"/>
    </xf>
    <xf numFmtId="0" fontId="3" fillId="20" borderId="13" xfId="0" applyFont="1" applyFill="1" applyBorder="1" applyAlignment="1" applyProtection="1">
      <alignment horizontal="left"/>
      <protection locked="0"/>
    </xf>
    <xf numFmtId="0" fontId="3" fillId="20" borderId="18" xfId="0" applyFont="1" applyFill="1" applyBorder="1" applyAlignment="1" applyProtection="1">
      <alignment horizontal="left"/>
      <protection locked="0"/>
    </xf>
    <xf numFmtId="0" fontId="2" fillId="20" borderId="13" xfId="0" applyFont="1" applyFill="1" applyBorder="1" applyAlignment="1" applyProtection="1">
      <alignment horizontal="left"/>
      <protection locked="0"/>
    </xf>
    <xf numFmtId="0" fontId="2" fillId="20" borderId="18" xfId="0" applyFont="1" applyFill="1" applyBorder="1" applyAlignment="1" applyProtection="1">
      <alignment horizontal="left"/>
      <protection locked="0"/>
    </xf>
    <xf numFmtId="0" fontId="52" fillId="20" borderId="89" xfId="0" applyFont="1" applyFill="1" applyBorder="1" applyAlignment="1" applyProtection="1">
      <alignment horizontal="center" vertical="center"/>
      <protection hidden="1"/>
    </xf>
    <xf numFmtId="0" fontId="52" fillId="20" borderId="51" xfId="0" applyFont="1" applyFill="1" applyBorder="1" applyAlignment="1" applyProtection="1">
      <alignment horizontal="center" vertical="center"/>
      <protection hidden="1"/>
    </xf>
    <xf numFmtId="0" fontId="52" fillId="20" borderId="52" xfId="0" applyFont="1" applyFill="1" applyBorder="1" applyAlignment="1" applyProtection="1">
      <alignment horizontal="center" vertical="center"/>
      <protection hidden="1"/>
    </xf>
    <xf numFmtId="14" fontId="2" fillId="20" borderId="16" xfId="0" applyNumberFormat="1" applyFont="1" applyFill="1" applyBorder="1" applyAlignment="1" applyProtection="1">
      <alignment horizontal="left"/>
      <protection locked="0"/>
    </xf>
    <xf numFmtId="14" fontId="3" fillId="20" borderId="13" xfId="0" applyNumberFormat="1" applyFont="1" applyFill="1" applyBorder="1" applyAlignment="1" applyProtection="1">
      <alignment horizontal="left"/>
      <protection locked="0"/>
    </xf>
    <xf numFmtId="14" fontId="3" fillId="20" borderId="18" xfId="0" applyNumberFormat="1" applyFont="1" applyFill="1" applyBorder="1" applyAlignment="1" applyProtection="1">
      <alignment horizontal="left"/>
      <protection locked="0"/>
    </xf>
    <xf numFmtId="0" fontId="13" fillId="20" borderId="26" xfId="0" applyFont="1" applyFill="1" applyBorder="1" applyAlignment="1" applyProtection="1">
      <alignment horizontal="center"/>
      <protection locked="0" hidden="1"/>
    </xf>
    <xf numFmtId="0" fontId="13" fillId="20" borderId="27" xfId="0" applyFont="1" applyFill="1" applyBorder="1" applyAlignment="1" applyProtection="1">
      <alignment horizontal="center"/>
      <protection locked="0" hidden="1"/>
    </xf>
    <xf numFmtId="0" fontId="13" fillId="20" borderId="48" xfId="0" applyFont="1" applyFill="1" applyBorder="1" applyAlignment="1" applyProtection="1">
      <alignment horizontal="center"/>
      <protection locked="0" hidden="1"/>
    </xf>
    <xf numFmtId="0" fontId="25" fillId="16" borderId="70" xfId="0" applyFont="1" applyFill="1" applyBorder="1" applyAlignment="1" applyProtection="1">
      <alignment horizontal="center" vertical="center" wrapText="1"/>
      <protection hidden="1"/>
    </xf>
    <xf numFmtId="0" fontId="3" fillId="20" borderId="41" xfId="0" applyFont="1" applyFill="1" applyBorder="1" applyAlignment="1" applyProtection="1">
      <alignment horizontal="left"/>
      <protection locked="0" hidden="1"/>
    </xf>
    <xf numFmtId="0" fontId="3" fillId="20" borderId="49" xfId="0" applyFont="1" applyFill="1" applyBorder="1" applyAlignment="1" applyProtection="1">
      <alignment horizontal="left"/>
      <protection locked="0" hidden="1"/>
    </xf>
    <xf numFmtId="0" fontId="3" fillId="20" borderId="42" xfId="0" applyFont="1" applyFill="1" applyBorder="1" applyAlignment="1" applyProtection="1">
      <alignment horizontal="left"/>
      <protection locked="0" hidden="1"/>
    </xf>
    <xf numFmtId="0" fontId="2" fillId="0" borderId="15" xfId="0" applyFont="1" applyFill="1" applyBorder="1" applyAlignment="1" applyProtection="1">
      <alignment horizontal="center" vertical="center"/>
      <protection hidden="1"/>
    </xf>
    <xf numFmtId="0" fontId="2" fillId="0" borderId="27" xfId="0" applyFont="1" applyFill="1" applyBorder="1" applyAlignment="1" applyProtection="1">
      <alignment horizontal="center" vertical="center"/>
      <protection hidden="1"/>
    </xf>
    <xf numFmtId="0" fontId="2" fillId="0" borderId="28" xfId="0" applyFont="1" applyFill="1" applyBorder="1" applyAlignment="1" applyProtection="1">
      <alignment horizontal="center" vertical="center"/>
      <protection hidden="1"/>
    </xf>
    <xf numFmtId="0" fontId="2" fillId="0" borderId="50" xfId="0" applyFont="1" applyFill="1" applyBorder="1" applyAlignment="1" applyProtection="1">
      <alignment horizontal="center" vertical="center"/>
      <protection hidden="1"/>
    </xf>
    <xf numFmtId="0" fontId="2" fillId="0" borderId="51" xfId="0" applyFont="1" applyFill="1" applyBorder="1" applyAlignment="1" applyProtection="1">
      <alignment horizontal="center" vertical="center"/>
      <protection hidden="1"/>
    </xf>
    <xf numFmtId="0" fontId="2" fillId="0" borderId="88" xfId="0" applyFont="1" applyFill="1" applyBorder="1" applyAlignment="1" applyProtection="1">
      <alignment horizontal="center" vertical="center"/>
      <protection hidden="1"/>
    </xf>
    <xf numFmtId="0" fontId="2" fillId="20" borderId="16" xfId="0" applyFont="1" applyFill="1" applyBorder="1" applyAlignment="1" applyProtection="1">
      <alignment horizontal="left"/>
      <protection locked="0" hidden="1"/>
    </xf>
    <xf numFmtId="0" fontId="25" fillId="18" borderId="69" xfId="0" applyFont="1" applyFill="1" applyBorder="1" applyAlignment="1" applyProtection="1">
      <alignment horizontal="center" vertical="center" wrapText="1"/>
      <protection hidden="1"/>
    </xf>
    <xf numFmtId="0" fontId="25" fillId="18" borderId="75" xfId="0" applyFont="1" applyFill="1" applyBorder="1" applyAlignment="1" applyProtection="1">
      <alignment horizontal="center" vertical="center" wrapText="1"/>
      <protection hidden="1"/>
    </xf>
    <xf numFmtId="0" fontId="66" fillId="16" borderId="94" xfId="0" applyFont="1" applyFill="1" applyBorder="1" applyAlignment="1" applyProtection="1">
      <alignment horizontal="center" vertical="center" wrapText="1"/>
      <protection hidden="1"/>
    </xf>
    <xf numFmtId="0" fontId="53" fillId="16" borderId="95" xfId="0" applyFont="1" applyFill="1" applyBorder="1" applyAlignment="1" applyProtection="1">
      <alignment horizontal="center" vertical="center" wrapText="1"/>
      <protection hidden="1"/>
    </xf>
    <xf numFmtId="0" fontId="53" fillId="16" borderId="97" xfId="0" applyFont="1" applyFill="1" applyBorder="1" applyAlignment="1" applyProtection="1">
      <alignment horizontal="center" vertical="center" wrapText="1"/>
      <protection hidden="1"/>
    </xf>
    <xf numFmtId="0" fontId="53" fillId="16" borderId="98" xfId="0" applyFont="1" applyFill="1" applyBorder="1" applyAlignment="1" applyProtection="1">
      <alignment horizontal="center" vertical="center" wrapText="1"/>
      <protection hidden="1"/>
    </xf>
    <xf numFmtId="0" fontId="54" fillId="10" borderId="96" xfId="0" applyFont="1" applyFill="1" applyBorder="1" applyAlignment="1" applyProtection="1">
      <alignment horizontal="center" vertical="center"/>
      <protection hidden="1"/>
    </xf>
    <xf numFmtId="0" fontId="54" fillId="10" borderId="99" xfId="0" applyFont="1" applyFill="1" applyBorder="1" applyAlignment="1" applyProtection="1">
      <alignment horizontal="center" vertical="center"/>
      <protection hidden="1"/>
    </xf>
    <xf numFmtId="10" fontId="4" fillId="0" borderId="31" xfId="0" applyNumberFormat="1" applyFont="1" applyBorder="1" applyAlignment="1" applyProtection="1">
      <alignment horizontal="center"/>
      <protection hidden="1"/>
    </xf>
    <xf numFmtId="10" fontId="4" fillId="0" borderId="32" xfId="0" applyNumberFormat="1" applyFont="1" applyBorder="1" applyAlignment="1" applyProtection="1">
      <alignment horizontal="center"/>
      <protection hidden="1"/>
    </xf>
    <xf numFmtId="10" fontId="4" fillId="0" borderId="33" xfId="0" applyNumberFormat="1" applyFont="1" applyBorder="1" applyAlignment="1" applyProtection="1">
      <alignment horizontal="center"/>
      <protection hidden="1"/>
    </xf>
    <xf numFmtId="1" fontId="2" fillId="0" borderId="9" xfId="0" applyNumberFormat="1" applyFont="1" applyBorder="1" applyAlignment="1" applyProtection="1">
      <alignment horizontal="center"/>
      <protection hidden="1"/>
    </xf>
    <xf numFmtId="0" fontId="25" fillId="16" borderId="66" xfId="0" applyFont="1" applyFill="1" applyBorder="1" applyAlignment="1" applyProtection="1">
      <alignment horizontal="center" vertical="center" wrapText="1"/>
      <protection hidden="1"/>
    </xf>
    <xf numFmtId="0" fontId="25" fillId="16" borderId="67" xfId="0" applyFont="1" applyFill="1" applyBorder="1" applyAlignment="1" applyProtection="1">
      <alignment horizontal="center" vertical="center" wrapText="1"/>
      <protection hidden="1"/>
    </xf>
    <xf numFmtId="0" fontId="10" fillId="16" borderId="26" xfId="0" applyFont="1" applyFill="1" applyBorder="1" applyAlignment="1" applyProtection="1">
      <alignment horizontal="center" vertical="center" wrapText="1"/>
      <protection hidden="1"/>
    </xf>
    <xf numFmtId="0" fontId="10" fillId="16" borderId="28" xfId="0" applyFont="1" applyFill="1" applyBorder="1" applyAlignment="1" applyProtection="1">
      <alignment horizontal="center" vertical="center" wrapText="1"/>
      <protection hidden="1"/>
    </xf>
    <xf numFmtId="0" fontId="10" fillId="16" borderId="29" xfId="0" applyFont="1" applyFill="1" applyBorder="1" applyAlignment="1" applyProtection="1">
      <alignment horizontal="center" vertical="center" wrapText="1"/>
      <protection hidden="1"/>
    </xf>
    <xf numFmtId="0" fontId="10" fillId="16" borderId="30" xfId="0" applyFont="1" applyFill="1" applyBorder="1" applyAlignment="1" applyProtection="1">
      <alignment horizontal="center" vertical="center" wrapText="1"/>
      <protection hidden="1"/>
    </xf>
    <xf numFmtId="0" fontId="10" fillId="17" borderId="20"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34"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35" xfId="0" applyFont="1" applyFill="1" applyBorder="1" applyAlignment="1" applyProtection="1">
      <alignment horizontal="center" vertical="center" wrapText="1"/>
      <protection hidden="1"/>
    </xf>
    <xf numFmtId="0" fontId="2" fillId="20" borderId="76" xfId="0" applyFont="1" applyFill="1" applyBorder="1" applyAlignment="1" applyProtection="1">
      <alignment horizontal="center"/>
      <protection hidden="1"/>
    </xf>
    <xf numFmtId="0" fontId="10" fillId="18" borderId="26" xfId="0" applyFont="1" applyFill="1" applyBorder="1" applyAlignment="1" applyProtection="1">
      <alignment horizontal="center" vertical="center" wrapText="1"/>
      <protection hidden="1"/>
    </xf>
    <xf numFmtId="0" fontId="10" fillId="18" borderId="27" xfId="0" applyFont="1" applyFill="1" applyBorder="1" applyAlignment="1" applyProtection="1">
      <alignment horizontal="center" vertical="center" wrapText="1"/>
      <protection hidden="1"/>
    </xf>
    <xf numFmtId="0" fontId="10" fillId="18" borderId="28" xfId="0" applyFont="1" applyFill="1" applyBorder="1" applyAlignment="1" applyProtection="1">
      <alignment horizontal="center" vertical="center" wrapText="1"/>
      <protection hidden="1"/>
    </xf>
    <xf numFmtId="0" fontId="10" fillId="18" borderId="29" xfId="0" applyFont="1" applyFill="1" applyBorder="1" applyAlignment="1" applyProtection="1">
      <alignment horizontal="center" vertical="center" wrapText="1"/>
      <protection hidden="1"/>
    </xf>
    <xf numFmtId="0" fontId="10" fillId="18" borderId="19" xfId="0" applyFont="1" applyFill="1" applyBorder="1" applyAlignment="1" applyProtection="1">
      <alignment horizontal="center" vertical="center" wrapText="1"/>
      <protection hidden="1"/>
    </xf>
    <xf numFmtId="0" fontId="10" fillId="18" borderId="30" xfId="0" applyFont="1" applyFill="1" applyBorder="1" applyAlignment="1" applyProtection="1">
      <alignment horizontal="center" vertical="center" wrapText="1"/>
      <protection hidden="1"/>
    </xf>
    <xf numFmtId="0" fontId="5" fillId="0" borderId="36" xfId="0" applyFont="1" applyBorder="1" applyAlignment="1" applyProtection="1">
      <alignment horizontal="center"/>
      <protection hidden="1"/>
    </xf>
    <xf numFmtId="0" fontId="5" fillId="0" borderId="37" xfId="0" applyFont="1" applyBorder="1" applyAlignment="1" applyProtection="1">
      <alignment horizontal="center"/>
      <protection hidden="1"/>
    </xf>
    <xf numFmtId="0" fontId="5" fillId="0" borderId="38" xfId="0" applyFont="1" applyBorder="1" applyAlignment="1" applyProtection="1">
      <alignment horizontal="center"/>
      <protection hidden="1"/>
    </xf>
    <xf numFmtId="0" fontId="4" fillId="19" borderId="13" xfId="0" applyFont="1" applyFill="1" applyBorder="1" applyAlignment="1" applyProtection="1">
      <alignment horizontal="center"/>
      <protection hidden="1"/>
    </xf>
    <xf numFmtId="0" fontId="4" fillId="19" borderId="17" xfId="0" applyFont="1" applyFill="1" applyBorder="1" applyAlignment="1" applyProtection="1">
      <alignment horizontal="center"/>
      <protection hidden="1"/>
    </xf>
    <xf numFmtId="0" fontId="7" fillId="0" borderId="1" xfId="0" applyFont="1" applyBorder="1" applyAlignment="1" applyProtection="1">
      <alignment horizontal="center"/>
      <protection hidden="1"/>
    </xf>
    <xf numFmtId="0" fontId="7" fillId="0" borderId="0" xfId="0" applyFont="1" applyBorder="1" applyAlignment="1" applyProtection="1">
      <alignment horizontal="center"/>
      <protection hidden="1"/>
    </xf>
    <xf numFmtId="1" fontId="7" fillId="0" borderId="3" xfId="0" applyNumberFormat="1" applyFont="1" applyBorder="1" applyAlignment="1" applyProtection="1">
      <alignment horizontal="center"/>
      <protection hidden="1"/>
    </xf>
    <xf numFmtId="1" fontId="7" fillId="0" borderId="4" xfId="0" applyNumberFormat="1" applyFont="1" applyBorder="1" applyAlignment="1" applyProtection="1">
      <alignment horizontal="center"/>
      <protection hidden="1"/>
    </xf>
    <xf numFmtId="0" fontId="5" fillId="0" borderId="36" xfId="0" applyFont="1" applyBorder="1" applyAlignment="1" applyProtection="1">
      <alignment horizontal="center" vertical="top"/>
      <protection hidden="1"/>
    </xf>
    <xf numFmtId="0" fontId="5" fillId="0" borderId="37" xfId="0" applyFont="1" applyBorder="1" applyAlignment="1" applyProtection="1">
      <alignment horizontal="center" vertical="top"/>
      <protection hidden="1"/>
    </xf>
    <xf numFmtId="0" fontId="5" fillId="0" borderId="38" xfId="0" applyFont="1" applyBorder="1" applyAlignment="1" applyProtection="1">
      <alignment horizontal="center" vertical="top"/>
      <protection hidden="1"/>
    </xf>
    <xf numFmtId="0" fontId="59" fillId="20" borderId="1" xfId="0" applyFont="1" applyFill="1" applyBorder="1" applyAlignment="1" applyProtection="1">
      <alignment horizontal="left"/>
      <protection hidden="1"/>
    </xf>
    <xf numFmtId="0" fontId="59" fillId="20" borderId="0" xfId="0" applyFont="1" applyFill="1" applyBorder="1" applyAlignment="1" applyProtection="1">
      <alignment horizontal="left"/>
      <protection hidden="1"/>
    </xf>
    <xf numFmtId="166" fontId="2" fillId="20" borderId="29" xfId="0" applyNumberFormat="1" applyFont="1" applyFill="1" applyBorder="1" applyAlignment="1" applyProtection="1">
      <alignment horizontal="left"/>
    </xf>
    <xf numFmtId="166" fontId="3" fillId="20" borderId="19" xfId="0" applyNumberFormat="1" applyFont="1" applyFill="1" applyBorder="1" applyAlignment="1" applyProtection="1">
      <alignment horizontal="left"/>
    </xf>
    <xf numFmtId="166" fontId="3" fillId="20" borderId="46" xfId="0" applyNumberFormat="1" applyFont="1" applyFill="1" applyBorder="1" applyAlignment="1" applyProtection="1">
      <alignment horizontal="left"/>
    </xf>
    <xf numFmtId="166" fontId="3" fillId="20" borderId="16" xfId="0" applyNumberFormat="1" applyFont="1" applyFill="1" applyBorder="1" applyAlignment="1" applyProtection="1">
      <alignment horizontal="left"/>
    </xf>
    <xf numFmtId="166" fontId="3" fillId="20" borderId="13" xfId="0" applyNumberFormat="1" applyFont="1" applyFill="1" applyBorder="1" applyAlignment="1" applyProtection="1">
      <alignment horizontal="left"/>
    </xf>
    <xf numFmtId="166" fontId="3" fillId="20" borderId="18" xfId="0" applyNumberFormat="1" applyFont="1" applyFill="1" applyBorder="1" applyAlignment="1" applyProtection="1">
      <alignment horizontal="left"/>
    </xf>
    <xf numFmtId="0" fontId="25" fillId="18" borderId="69" xfId="0" applyFont="1" applyFill="1" applyBorder="1" applyAlignment="1" applyProtection="1">
      <alignment horizontal="center" vertical="center" wrapText="1"/>
    </xf>
    <xf numFmtId="0" fontId="25" fillId="18" borderId="75" xfId="0" applyFont="1" applyFill="1" applyBorder="1" applyAlignment="1" applyProtection="1">
      <alignment horizontal="center" vertical="center" wrapText="1"/>
    </xf>
    <xf numFmtId="14" fontId="2" fillId="20" borderId="29" xfId="0" applyNumberFormat="1" applyFont="1" applyFill="1" applyBorder="1" applyAlignment="1" applyProtection="1">
      <alignment horizontal="left"/>
    </xf>
    <xf numFmtId="14" fontId="3" fillId="20" borderId="19" xfId="0" applyNumberFormat="1" applyFont="1" applyFill="1" applyBorder="1" applyAlignment="1" applyProtection="1">
      <alignment horizontal="left"/>
    </xf>
    <xf numFmtId="14" fontId="3" fillId="20" borderId="46" xfId="0" applyNumberFormat="1" applyFont="1" applyFill="1" applyBorder="1" applyAlignment="1" applyProtection="1">
      <alignment horizontal="left"/>
    </xf>
    <xf numFmtId="166" fontId="2" fillId="20" borderId="73" xfId="0" applyNumberFormat="1" applyFont="1" applyFill="1" applyBorder="1" applyAlignment="1" applyProtection="1">
      <alignment horizontal="left"/>
    </xf>
    <xf numFmtId="166" fontId="2" fillId="20" borderId="82" xfId="0" applyNumberFormat="1" applyFont="1" applyFill="1" applyBorder="1" applyAlignment="1" applyProtection="1">
      <alignment horizontal="left"/>
    </xf>
    <xf numFmtId="166" fontId="2" fillId="20" borderId="83" xfId="0" applyNumberFormat="1" applyFont="1" applyFill="1" applyBorder="1" applyAlignment="1" applyProtection="1">
      <alignment horizontal="left"/>
    </xf>
    <xf numFmtId="0" fontId="25" fillId="16" borderId="69" xfId="0" applyFont="1" applyFill="1" applyBorder="1" applyAlignment="1" applyProtection="1">
      <alignment horizontal="center" vertical="center" wrapText="1"/>
    </xf>
    <xf numFmtId="0" fontId="25" fillId="16" borderId="70" xfId="0" applyFont="1" applyFill="1" applyBorder="1" applyAlignment="1" applyProtection="1">
      <alignment horizontal="center" vertical="center" wrapText="1"/>
    </xf>
    <xf numFmtId="0" fontId="25" fillId="16" borderId="72" xfId="0" applyFont="1" applyFill="1" applyBorder="1" applyAlignment="1" applyProtection="1">
      <alignment horizontal="center" vertical="center" wrapText="1"/>
    </xf>
    <xf numFmtId="166" fontId="13" fillId="20" borderId="26" xfId="0" applyNumberFormat="1" applyFont="1" applyFill="1" applyBorder="1" applyAlignment="1" applyProtection="1">
      <alignment horizontal="center" vertical="center"/>
    </xf>
    <xf numFmtId="166" fontId="13" fillId="20" borderId="27" xfId="0" applyNumberFormat="1" applyFont="1" applyFill="1" applyBorder="1" applyAlignment="1" applyProtection="1">
      <alignment horizontal="center" vertical="center"/>
    </xf>
    <xf numFmtId="166" fontId="13" fillId="20" borderId="48" xfId="0" applyNumberFormat="1" applyFont="1" applyFill="1" applyBorder="1" applyAlignment="1" applyProtection="1">
      <alignment horizontal="center" vertical="center"/>
    </xf>
    <xf numFmtId="0" fontId="52" fillId="20" borderId="89" xfId="0" applyFont="1" applyFill="1" applyBorder="1" applyAlignment="1" applyProtection="1">
      <alignment horizontal="center" vertical="center"/>
      <protection locked="0" hidden="1"/>
    </xf>
    <xf numFmtId="0" fontId="52" fillId="20" borderId="51" xfId="0" applyFont="1" applyFill="1" applyBorder="1" applyAlignment="1" applyProtection="1">
      <alignment horizontal="center" vertical="center"/>
      <protection locked="0" hidden="1"/>
    </xf>
    <xf numFmtId="0" fontId="52" fillId="20" borderId="52" xfId="0" applyFont="1" applyFill="1" applyBorder="1" applyAlignment="1" applyProtection="1">
      <alignment horizontal="center" vertical="center"/>
      <protection locked="0" hidden="1"/>
    </xf>
    <xf numFmtId="0" fontId="3" fillId="0" borderId="16" xfId="0" applyFont="1" applyFill="1" applyBorder="1" applyAlignment="1" applyProtection="1">
      <alignment horizontal="center"/>
      <protection hidden="1"/>
    </xf>
    <xf numFmtId="0" fontId="3" fillId="0" borderId="17" xfId="0" applyFont="1" applyFill="1" applyBorder="1" applyAlignment="1" applyProtection="1">
      <alignment horizontal="center"/>
      <protection hidden="1"/>
    </xf>
    <xf numFmtId="166" fontId="3" fillId="20" borderId="1" xfId="0" applyNumberFormat="1" applyFont="1" applyFill="1" applyBorder="1" applyAlignment="1" applyProtection="1">
      <alignment horizontal="left" vertical="top" wrapText="1"/>
      <protection locked="0"/>
    </xf>
    <xf numFmtId="166" fontId="3" fillId="20" borderId="0" xfId="0" applyNumberFormat="1" applyFont="1" applyFill="1" applyBorder="1" applyAlignment="1" applyProtection="1">
      <alignment horizontal="left" vertical="top" wrapText="1"/>
      <protection locked="0"/>
    </xf>
    <xf numFmtId="166" fontId="3" fillId="20" borderId="2" xfId="0" applyNumberFormat="1" applyFont="1" applyFill="1" applyBorder="1" applyAlignment="1" applyProtection="1">
      <alignment horizontal="left" vertical="top" wrapText="1"/>
      <protection locked="0"/>
    </xf>
    <xf numFmtId="166" fontId="3" fillId="20" borderId="3" xfId="0" applyNumberFormat="1" applyFont="1" applyFill="1" applyBorder="1" applyAlignment="1" applyProtection="1">
      <alignment horizontal="left" vertical="top" wrapText="1"/>
      <protection locked="0"/>
    </xf>
    <xf numFmtId="166" fontId="3" fillId="20" borderId="4" xfId="0" applyNumberFormat="1" applyFont="1" applyFill="1" applyBorder="1" applyAlignment="1" applyProtection="1">
      <alignment horizontal="left" vertical="top" wrapText="1"/>
      <protection locked="0"/>
    </xf>
    <xf numFmtId="166" fontId="3" fillId="20" borderId="5" xfId="0" applyNumberFormat="1" applyFont="1" applyFill="1" applyBorder="1" applyAlignment="1" applyProtection="1">
      <alignment horizontal="left" vertical="top" wrapText="1"/>
      <protection locked="0"/>
    </xf>
    <xf numFmtId="0" fontId="9" fillId="16" borderId="39" xfId="0" applyFont="1" applyFill="1" applyBorder="1" applyAlignment="1" applyProtection="1">
      <alignment horizontal="left" vertical="center" indent="1"/>
      <protection hidden="1"/>
    </xf>
    <xf numFmtId="0" fontId="9" fillId="16" borderId="11" xfId="0" applyFont="1" applyFill="1" applyBorder="1" applyAlignment="1" applyProtection="1">
      <alignment horizontal="left" vertical="center" indent="1"/>
      <protection hidden="1"/>
    </xf>
    <xf numFmtId="0" fontId="0" fillId="16" borderId="11" xfId="0" applyFill="1" applyBorder="1" applyAlignment="1">
      <alignment horizontal="left" vertical="center" indent="1"/>
    </xf>
    <xf numFmtId="0" fontId="0" fillId="16" borderId="12" xfId="0" applyFill="1" applyBorder="1" applyAlignment="1">
      <alignment horizontal="left" vertical="center" indent="1"/>
    </xf>
    <xf numFmtId="166" fontId="4" fillId="20" borderId="51" xfId="0" applyNumberFormat="1" applyFont="1" applyFill="1" applyBorder="1" applyAlignment="1">
      <alignment horizontal="center" vertical="center" wrapText="1"/>
    </xf>
    <xf numFmtId="166" fontId="4" fillId="20" borderId="52" xfId="0" applyNumberFormat="1" applyFont="1" applyFill="1" applyBorder="1" applyAlignment="1">
      <alignment horizontal="center" vertical="center" wrapText="1"/>
    </xf>
    <xf numFmtId="0" fontId="25" fillId="16" borderId="66" xfId="0" applyFont="1" applyFill="1" applyBorder="1" applyAlignment="1" applyProtection="1">
      <alignment horizontal="center" vertical="center" wrapText="1"/>
    </xf>
    <xf numFmtId="0" fontId="25" fillId="16" borderId="67" xfId="0" applyFont="1" applyFill="1" applyBorder="1" applyAlignment="1" applyProtection="1">
      <alignment horizontal="center" vertical="center" wrapText="1"/>
    </xf>
    <xf numFmtId="0" fontId="25" fillId="16" borderId="64" xfId="0" applyFont="1" applyFill="1" applyBorder="1" applyAlignment="1" applyProtection="1">
      <alignment horizontal="center" vertical="center" wrapText="1"/>
    </xf>
    <xf numFmtId="0" fontId="25" fillId="16" borderId="65" xfId="0" applyFont="1" applyFill="1" applyBorder="1" applyAlignment="1" applyProtection="1">
      <alignment horizontal="center" vertical="center" wrapText="1"/>
    </xf>
    <xf numFmtId="0" fontId="2" fillId="20" borderId="34" xfId="0" applyFont="1" applyFill="1" applyBorder="1" applyAlignment="1">
      <alignment horizontal="left" vertical="top" wrapText="1" indent="2"/>
    </xf>
    <xf numFmtId="0" fontId="2" fillId="20" borderId="0" xfId="0" applyFont="1" applyFill="1" applyBorder="1" applyAlignment="1">
      <alignment horizontal="left" vertical="top" wrapText="1" indent="2"/>
    </xf>
    <xf numFmtId="0" fontId="19" fillId="0" borderId="19" xfId="0" applyFont="1" applyBorder="1" applyAlignment="1">
      <alignment horizontal="center" vertical="center" wrapText="1"/>
    </xf>
    <xf numFmtId="0" fontId="28" fillId="20" borderId="0" xfId="1" applyFill="1" applyBorder="1" applyAlignment="1" applyProtection="1">
      <alignment horizontal="center" vertical="center" wrapText="1"/>
    </xf>
    <xf numFmtId="0" fontId="0" fillId="20" borderId="0" xfId="0" applyFill="1" applyAlignment="1">
      <alignment vertical="center" wrapText="1"/>
    </xf>
    <xf numFmtId="0" fontId="2" fillId="0" borderId="77" xfId="2" applyBorder="1" applyAlignment="1">
      <alignment horizontal="left" wrapText="1"/>
    </xf>
    <xf numFmtId="0" fontId="2" fillId="0" borderId="78" xfId="2" applyBorder="1" applyAlignment="1">
      <alignment horizontal="left" wrapText="1"/>
    </xf>
    <xf numFmtId="0" fontId="2" fillId="3" borderId="79" xfId="2" applyFill="1" applyBorder="1" applyAlignment="1" applyProtection="1">
      <alignment horizontal="left"/>
    </xf>
    <xf numFmtId="0" fontId="2" fillId="3" borderId="58" xfId="2" applyFill="1" applyBorder="1" applyAlignment="1" applyProtection="1">
      <alignment horizontal="left"/>
    </xf>
    <xf numFmtId="0" fontId="2" fillId="3" borderId="80" xfId="2" applyFill="1" applyBorder="1" applyAlignment="1" applyProtection="1">
      <alignment horizontal="left"/>
    </xf>
    <xf numFmtId="0" fontId="2" fillId="3" borderId="60" xfId="2" applyFill="1" applyBorder="1" applyAlignment="1" applyProtection="1">
      <alignment horizontal="left"/>
    </xf>
    <xf numFmtId="0" fontId="2" fillId="0" borderId="80" xfId="2" applyFont="1" applyBorder="1" applyAlignment="1">
      <alignment horizontal="left"/>
    </xf>
    <xf numFmtId="0" fontId="2" fillId="0" borderId="60" xfId="2" applyFont="1" applyBorder="1" applyAlignment="1">
      <alignment horizontal="left"/>
    </xf>
    <xf numFmtId="0" fontId="2" fillId="3" borderId="81" xfId="2" applyFill="1" applyBorder="1" applyAlignment="1" applyProtection="1">
      <alignment horizontal="left"/>
    </xf>
    <xf numFmtId="0" fontId="2" fillId="3" borderId="77" xfId="2" applyFill="1" applyBorder="1" applyAlignment="1" applyProtection="1">
      <alignment horizontal="left"/>
    </xf>
    <xf numFmtId="0" fontId="0" fillId="20" borderId="0" xfId="0" applyFill="1" applyAlignment="1">
      <alignment wrapText="1"/>
    </xf>
    <xf numFmtId="0" fontId="4" fillId="9" borderId="16" xfId="0" applyFont="1" applyFill="1" applyBorder="1" applyAlignment="1" applyProtection="1">
      <alignment horizontal="left" indent="1"/>
      <protection hidden="1"/>
    </xf>
    <xf numFmtId="0" fontId="4" fillId="9" borderId="17" xfId="0" applyFont="1" applyFill="1" applyBorder="1" applyAlignment="1" applyProtection="1">
      <alignment horizontal="left" indent="1"/>
      <protection hidden="1"/>
    </xf>
    <xf numFmtId="0" fontId="25" fillId="16" borderId="16" xfId="0" applyFont="1" applyFill="1" applyBorder="1" applyAlignment="1" applyProtection="1">
      <alignment horizontal="center" vertical="center" wrapText="1"/>
    </xf>
    <xf numFmtId="0" fontId="25" fillId="16" borderId="17" xfId="0" applyFont="1" applyFill="1" applyBorder="1" applyAlignment="1" applyProtection="1">
      <alignment horizontal="center" vertical="center" wrapText="1"/>
    </xf>
    <xf numFmtId="0" fontId="19" fillId="13" borderId="0" xfId="0" applyFont="1" applyFill="1" applyAlignment="1">
      <alignment horizontal="left" vertical="center"/>
    </xf>
    <xf numFmtId="0" fontId="2" fillId="23" borderId="13" xfId="0" applyFont="1" applyFill="1" applyBorder="1" applyAlignment="1">
      <alignment horizontal="left" vertical="top" wrapText="1"/>
    </xf>
    <xf numFmtId="0" fontId="2" fillId="13" borderId="102" xfId="0" applyFont="1" applyFill="1" applyBorder="1" applyAlignment="1" applyProtection="1">
      <alignment horizontal="left" vertical="top" wrapText="1"/>
    </xf>
    <xf numFmtId="0" fontId="2" fillId="13" borderId="0" xfId="0" applyFont="1" applyFill="1" applyBorder="1" applyAlignment="1" applyProtection="1">
      <alignment horizontal="left" vertical="top" wrapText="1"/>
    </xf>
    <xf numFmtId="0" fontId="4" fillId="0" borderId="0" xfId="0" applyNumberFormat="1" applyFont="1" applyFill="1" applyBorder="1" applyAlignment="1" applyProtection="1">
      <alignment horizontal="left" vertical="center"/>
    </xf>
    <xf numFmtId="0" fontId="41" fillId="16" borderId="102" xfId="0" applyFont="1" applyFill="1" applyBorder="1" applyAlignment="1" applyProtection="1">
      <alignment horizontal="left" vertical="center"/>
    </xf>
    <xf numFmtId="0" fontId="41" fillId="16" borderId="0" xfId="0" applyFont="1" applyFill="1" applyBorder="1" applyAlignment="1" applyProtection="1">
      <alignment horizontal="left" vertical="center"/>
    </xf>
    <xf numFmtId="0" fontId="24" fillId="13" borderId="0" xfId="0" applyFont="1" applyFill="1" applyBorder="1" applyAlignment="1" applyProtection="1">
      <alignment vertical="center"/>
    </xf>
    <xf numFmtId="0" fontId="2" fillId="22" borderId="104" xfId="0" applyFont="1" applyFill="1" applyBorder="1" applyAlignment="1" applyProtection="1">
      <alignment vertical="center"/>
      <protection locked="0"/>
    </xf>
    <xf numFmtId="0" fontId="2" fillId="22" borderId="0" xfId="0" applyFont="1" applyFill="1" applyBorder="1" applyAlignment="1" applyProtection="1">
      <alignment vertical="center"/>
      <protection locked="0"/>
    </xf>
    <xf numFmtId="0" fontId="41" fillId="16" borderId="106" xfId="0" applyFont="1" applyFill="1" applyBorder="1" applyAlignment="1" applyProtection="1">
      <alignment vertical="center"/>
    </xf>
    <xf numFmtId="0" fontId="41" fillId="16" borderId="107" xfId="0" applyFont="1" applyFill="1" applyBorder="1" applyAlignment="1" applyProtection="1">
      <alignment vertical="center"/>
    </xf>
    <xf numFmtId="0" fontId="2" fillId="23" borderId="108" xfId="0" applyFont="1" applyFill="1" applyBorder="1" applyAlignment="1">
      <alignment horizontal="left" vertical="top" wrapText="1"/>
    </xf>
    <xf numFmtId="14" fontId="54" fillId="0" borderId="0" xfId="0" applyNumberFormat="1" applyFont="1" applyFill="1" applyBorder="1" applyAlignment="1">
      <alignment horizontal="left" vertical="center"/>
    </xf>
    <xf numFmtId="0" fontId="54"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23" borderId="27" xfId="0" applyFont="1" applyFill="1" applyBorder="1" applyAlignment="1">
      <alignment horizontal="left" vertical="top" wrapText="1"/>
    </xf>
    <xf numFmtId="0" fontId="41" fillId="16" borderId="121" xfId="0" applyFont="1" applyFill="1" applyBorder="1" applyAlignment="1" applyProtection="1">
      <alignment vertical="center"/>
    </xf>
    <xf numFmtId="0" fontId="41" fillId="16" borderId="109" xfId="0" applyFont="1" applyFill="1" applyBorder="1" applyAlignment="1" applyProtection="1">
      <alignment vertical="center"/>
    </xf>
    <xf numFmtId="0" fontId="68" fillId="13" borderId="0" xfId="0" applyFont="1" applyFill="1" applyBorder="1" applyAlignment="1" applyProtection="1">
      <alignment horizontal="left" vertical="center"/>
    </xf>
    <xf numFmtId="0" fontId="19" fillId="0" borderId="0" xfId="0" applyFont="1" applyFill="1" applyBorder="1" applyAlignment="1">
      <alignment horizontal="left" vertical="center"/>
    </xf>
    <xf numFmtId="0" fontId="2" fillId="23" borderId="17" xfId="0" applyFont="1" applyFill="1" applyBorder="1" applyAlignment="1">
      <alignment wrapText="1"/>
    </xf>
    <xf numFmtId="0" fontId="2" fillId="23" borderId="9" xfId="0" applyFont="1" applyFill="1" applyBorder="1" applyAlignment="1">
      <alignment wrapText="1"/>
    </xf>
    <xf numFmtId="0" fontId="2" fillId="23" borderId="30" xfId="0" applyFont="1" applyFill="1" applyBorder="1" applyAlignment="1">
      <alignment wrapText="1"/>
    </xf>
    <xf numFmtId="0" fontId="2" fillId="23" borderId="116" xfId="0" applyFont="1" applyFill="1" applyBorder="1" applyAlignment="1">
      <alignment wrapText="1"/>
    </xf>
    <xf numFmtId="0" fontId="2" fillId="23" borderId="29" xfId="0" applyFont="1" applyFill="1" applyBorder="1" applyAlignment="1">
      <alignment wrapText="1"/>
    </xf>
    <xf numFmtId="0" fontId="68" fillId="13" borderId="0" xfId="0" applyFont="1" applyFill="1" applyBorder="1" applyAlignment="1" applyProtection="1">
      <alignment horizontal="left" vertical="center" indent="5"/>
    </xf>
    <xf numFmtId="0" fontId="41" fillId="16" borderId="112" xfId="0" applyFont="1" applyFill="1" applyBorder="1" applyAlignment="1" applyProtection="1">
      <alignment horizontal="left" wrapText="1"/>
    </xf>
    <xf numFmtId="0" fontId="41" fillId="16" borderId="113" xfId="0" applyFont="1" applyFill="1" applyBorder="1" applyAlignment="1" applyProtection="1">
      <alignment horizontal="left" wrapText="1"/>
    </xf>
    <xf numFmtId="0" fontId="68" fillId="9" borderId="102" xfId="0" applyFont="1" applyFill="1" applyBorder="1" applyAlignment="1" applyProtection="1">
      <alignment vertical="center"/>
    </xf>
    <xf numFmtId="0" fontId="68" fillId="9" borderId="0" xfId="0" applyFont="1" applyFill="1" applyBorder="1" applyAlignment="1" applyProtection="1">
      <alignment vertical="center"/>
    </xf>
    <xf numFmtId="0" fontId="68" fillId="9" borderId="103" xfId="0" applyFont="1" applyFill="1" applyBorder="1" applyAlignment="1" applyProtection="1">
      <alignment vertical="center"/>
    </xf>
    <xf numFmtId="0" fontId="68" fillId="9" borderId="102" xfId="0" applyFont="1" applyFill="1" applyBorder="1" applyAlignment="1" applyProtection="1">
      <alignment horizontal="center" vertical="center"/>
    </xf>
    <xf numFmtId="0" fontId="68" fillId="9" borderId="0" xfId="0" applyFont="1" applyFill="1" applyBorder="1" applyAlignment="1" applyProtection="1">
      <alignment horizontal="center" vertical="center"/>
    </xf>
    <xf numFmtId="0" fontId="68" fillId="9" borderId="115" xfId="0" applyFont="1" applyFill="1" applyBorder="1" applyAlignment="1" applyProtection="1">
      <alignment horizontal="center" vertical="center"/>
    </xf>
    <xf numFmtId="0" fontId="2" fillId="23" borderId="30" xfId="0" applyFont="1" applyFill="1" applyBorder="1" applyAlignment="1">
      <alignment horizontal="left" vertical="top" wrapText="1"/>
    </xf>
    <xf numFmtId="0" fontId="2" fillId="23" borderId="116" xfId="0" applyFont="1" applyFill="1" applyBorder="1" applyAlignment="1">
      <alignment horizontal="left" vertical="top" wrapText="1"/>
    </xf>
    <xf numFmtId="0" fontId="2" fillId="23" borderId="29" xfId="0" applyFont="1" applyFill="1" applyBorder="1" applyAlignment="1">
      <alignment horizontal="center" vertical="top" wrapText="1"/>
    </xf>
    <xf numFmtId="0" fontId="2" fillId="23" borderId="19" xfId="0" applyFont="1" applyFill="1" applyBorder="1" applyAlignment="1">
      <alignment horizontal="center" vertical="top" wrapText="1"/>
    </xf>
    <xf numFmtId="0" fontId="2" fillId="23" borderId="30" xfId="0" applyFont="1" applyFill="1" applyBorder="1" applyAlignment="1">
      <alignment horizontal="center" vertical="top" wrapText="1"/>
    </xf>
    <xf numFmtId="0" fontId="2" fillId="23" borderId="116" xfId="0" applyFont="1" applyFill="1" applyBorder="1" applyAlignment="1">
      <alignment horizontal="center" vertical="top" wrapText="1"/>
    </xf>
    <xf numFmtId="0" fontId="2" fillId="22" borderId="104" xfId="0" applyFont="1" applyFill="1" applyBorder="1" applyAlignment="1" applyProtection="1">
      <alignment horizontal="left" vertical="top"/>
      <protection locked="0"/>
    </xf>
    <xf numFmtId="0" fontId="2" fillId="22" borderId="0" xfId="0" applyFont="1" applyFill="1" applyBorder="1" applyAlignment="1" applyProtection="1">
      <alignment horizontal="left" vertical="top"/>
      <protection locked="0"/>
    </xf>
    <xf numFmtId="0" fontId="67" fillId="9" borderId="102" xfId="0" applyFont="1" applyFill="1" applyBorder="1" applyAlignment="1" applyProtection="1">
      <alignment horizontal="left" vertical="center"/>
    </xf>
    <xf numFmtId="0" fontId="67" fillId="9" borderId="0" xfId="0" applyFont="1" applyFill="1" applyBorder="1" applyAlignment="1" applyProtection="1">
      <alignment horizontal="left" vertical="center"/>
    </xf>
    <xf numFmtId="0" fontId="67" fillId="9" borderId="103" xfId="0" applyFont="1" applyFill="1" applyBorder="1" applyAlignment="1" applyProtection="1">
      <alignment horizontal="left" vertical="center"/>
    </xf>
    <xf numFmtId="0" fontId="67" fillId="9" borderId="102" xfId="0" applyFont="1" applyFill="1" applyBorder="1" applyAlignment="1" applyProtection="1">
      <alignment horizontal="center" vertical="center"/>
    </xf>
    <xf numFmtId="0" fontId="67" fillId="9" borderId="0" xfId="0" applyFont="1" applyFill="1" applyBorder="1" applyAlignment="1" applyProtection="1">
      <alignment horizontal="center" vertical="center"/>
    </xf>
    <xf numFmtId="0" fontId="67" fillId="9" borderId="103" xfId="0" applyFont="1" applyFill="1" applyBorder="1" applyAlignment="1" applyProtection="1">
      <alignment horizontal="center" vertical="center"/>
    </xf>
    <xf numFmtId="0" fontId="2" fillId="23" borderId="17" xfId="0" applyFont="1" applyFill="1" applyBorder="1" applyAlignment="1">
      <alignment horizontal="left" vertical="top" wrapText="1"/>
    </xf>
    <xf numFmtId="0" fontId="2" fillId="23" borderId="9" xfId="0" applyFont="1" applyFill="1" applyBorder="1" applyAlignment="1">
      <alignment horizontal="left" vertical="top" wrapText="1"/>
    </xf>
    <xf numFmtId="0" fontId="2" fillId="23" borderId="28" xfId="0" applyFont="1" applyFill="1" applyBorder="1" applyAlignment="1">
      <alignment horizontal="left" vertical="top" wrapText="1"/>
    </xf>
    <xf numFmtId="0" fontId="2" fillId="23" borderId="117" xfId="0" applyFont="1" applyFill="1" applyBorder="1" applyAlignment="1">
      <alignment horizontal="left" vertical="top" wrapText="1"/>
    </xf>
    <xf numFmtId="0" fontId="2" fillId="23" borderId="102" xfId="0" applyFont="1" applyFill="1" applyBorder="1" applyAlignment="1">
      <alignment horizontal="center" vertical="top" wrapText="1"/>
    </xf>
    <xf numFmtId="0" fontId="2" fillId="23" borderId="0" xfId="0" applyFont="1" applyFill="1" applyBorder="1" applyAlignment="1">
      <alignment horizontal="center" vertical="top" wrapText="1"/>
    </xf>
    <xf numFmtId="0" fontId="2" fillId="23" borderId="103" xfId="0" applyFont="1" applyFill="1" applyBorder="1" applyAlignment="1">
      <alignment horizontal="center" vertical="top" wrapText="1"/>
    </xf>
    <xf numFmtId="0" fontId="2" fillId="23" borderId="114" xfId="0" applyFont="1" applyFill="1" applyBorder="1" applyAlignment="1">
      <alignment horizontal="center" vertical="top" wrapText="1"/>
    </xf>
    <xf numFmtId="0" fontId="41" fillId="16" borderId="106" xfId="0" applyFont="1" applyFill="1" applyBorder="1" applyAlignment="1" applyProtection="1">
      <alignment horizontal="left" vertical="center"/>
    </xf>
    <xf numFmtId="0" fontId="41" fillId="16" borderId="107" xfId="0" applyFont="1" applyFill="1" applyBorder="1" applyAlignment="1" applyProtection="1">
      <alignment horizontal="left" vertical="center"/>
    </xf>
    <xf numFmtId="0" fontId="67" fillId="0" borderId="108" xfId="0" applyFont="1" applyBorder="1" applyAlignment="1" applyProtection="1">
      <alignment horizontal="right" vertical="center"/>
    </xf>
    <xf numFmtId="0" fontId="2" fillId="23" borderId="108" xfId="0" applyFont="1" applyFill="1" applyBorder="1" applyAlignment="1">
      <alignment horizontal="center" vertical="top"/>
    </xf>
    <xf numFmtId="0" fontId="2" fillId="23" borderId="108" xfId="0" applyFont="1" applyFill="1" applyBorder="1" applyAlignment="1">
      <alignment horizontal="left" vertical="center" wrapText="1"/>
    </xf>
    <xf numFmtId="0" fontId="41" fillId="16" borderId="118" xfId="0" applyFont="1" applyFill="1" applyBorder="1" applyAlignment="1" applyProtection="1">
      <alignment horizontal="left" vertical="center"/>
    </xf>
    <xf numFmtId="0" fontId="41" fillId="16" borderId="119" xfId="0" applyFont="1" applyFill="1" applyBorder="1" applyAlignment="1" applyProtection="1">
      <alignment horizontal="left" vertical="center"/>
    </xf>
    <xf numFmtId="0" fontId="67" fillId="0" borderId="107" xfId="0" applyFont="1" applyFill="1" applyBorder="1" applyAlignment="1" applyProtection="1">
      <alignment horizontal="right" vertical="center"/>
    </xf>
    <xf numFmtId="0" fontId="2" fillId="23" borderId="107" xfId="0" applyFont="1" applyFill="1" applyBorder="1" applyAlignment="1">
      <alignment horizontal="left" vertical="center"/>
    </xf>
    <xf numFmtId="0" fontId="67" fillId="0" borderId="13" xfId="0" applyFont="1" applyBorder="1" applyAlignment="1" applyProtection="1">
      <alignment horizontal="right" vertical="center"/>
    </xf>
    <xf numFmtId="0" fontId="2" fillId="23" borderId="13" xfId="0" applyFont="1" applyFill="1" applyBorder="1" applyAlignment="1">
      <alignment horizontal="center" vertical="top"/>
    </xf>
    <xf numFmtId="0" fontId="2" fillId="23" borderId="13" xfId="0" applyFont="1" applyFill="1" applyBorder="1" applyAlignment="1">
      <alignment horizontal="left" vertical="center" wrapText="1"/>
    </xf>
    <xf numFmtId="0" fontId="67" fillId="0" borderId="27" xfId="0" applyFont="1" applyBorder="1" applyAlignment="1" applyProtection="1">
      <alignment horizontal="right" vertical="center"/>
    </xf>
    <xf numFmtId="0" fontId="2" fillId="23" borderId="27" xfId="0" applyFont="1" applyFill="1" applyBorder="1" applyAlignment="1">
      <alignment horizontal="center" vertical="top"/>
    </xf>
    <xf numFmtId="0" fontId="2" fillId="23" borderId="27" xfId="0" applyFont="1" applyFill="1" applyBorder="1" applyAlignment="1">
      <alignment horizontal="left" vertical="center" wrapText="1"/>
    </xf>
    <xf numFmtId="0" fontId="42" fillId="20" borderId="0" xfId="0" applyFont="1" applyFill="1" applyAlignment="1">
      <alignment horizontal="left" vertical="center"/>
    </xf>
    <xf numFmtId="0" fontId="0" fillId="20" borderId="0" xfId="0" applyFill="1" applyAlignment="1">
      <alignment horizontal="left" vertical="center"/>
    </xf>
    <xf numFmtId="0" fontId="27" fillId="14" borderId="0" xfId="0" applyFont="1" applyFill="1" applyAlignment="1">
      <alignment horizontal="left" vertical="center"/>
    </xf>
    <xf numFmtId="0" fontId="0" fillId="14" borderId="0" xfId="0" applyFill="1" applyAlignment="1">
      <alignment horizontal="left" vertical="center"/>
    </xf>
    <xf numFmtId="0" fontId="63" fillId="0" borderId="90" xfId="6" applyFont="1" applyFill="1" applyBorder="1" applyAlignment="1">
      <alignment horizontal="center" wrapText="1" readingOrder="1"/>
    </xf>
    <xf numFmtId="0" fontId="63" fillId="0" borderId="92" xfId="6" applyFont="1" applyFill="1" applyBorder="1" applyAlignment="1">
      <alignment horizontal="center" wrapText="1" readingOrder="1"/>
    </xf>
    <xf numFmtId="0" fontId="62" fillId="0" borderId="90" xfId="6" applyFont="1" applyFill="1" applyBorder="1" applyAlignment="1">
      <alignment horizontal="center" wrapText="1" readingOrder="1"/>
    </xf>
    <xf numFmtId="0" fontId="62" fillId="0" borderId="91" xfId="6" applyFont="1" applyFill="1" applyBorder="1" applyAlignment="1">
      <alignment horizontal="center" wrapText="1" readingOrder="1"/>
    </xf>
    <xf numFmtId="0" fontId="62" fillId="0" borderId="92" xfId="6" applyFont="1" applyFill="1" applyBorder="1" applyAlignment="1">
      <alignment horizontal="center" wrapText="1" readingOrder="1"/>
    </xf>
  </cellXfs>
  <cellStyles count="7">
    <cellStyle name="Hyperlink" xfId="1" builtinId="8"/>
    <cellStyle name="Normal" xfId="0" builtinId="0"/>
    <cellStyle name="Normal 2" xfId="2"/>
    <cellStyle name="Normal 3" xfId="3"/>
    <cellStyle name="Normal 4" xfId="4"/>
    <cellStyle name="Normal 5" xfId="6"/>
    <cellStyle name="Percent" xfId="5" builtinId="5"/>
  </cellStyles>
  <dxfs count="9">
    <dxf>
      <fill>
        <patternFill>
          <bgColor rgb="FFC00000"/>
        </patternFill>
      </fill>
    </dxf>
    <dxf>
      <fill>
        <patternFill>
          <bgColor rgb="FFD04D52"/>
        </patternFill>
      </fill>
    </dxf>
    <dxf>
      <fill>
        <patternFill>
          <bgColor rgb="FF0F955E"/>
        </patternFill>
      </fill>
    </dxf>
    <dxf>
      <fill>
        <patternFill>
          <bgColor rgb="FFDBDCDE"/>
        </patternFill>
      </fill>
    </dxf>
    <dxf>
      <font>
        <b/>
        <i val="0"/>
        <color auto="1"/>
      </font>
      <fill>
        <gradientFill type="path" left="0.5" right="0.5" top="0.5" bottom="0.5">
          <stop position="0">
            <color theme="0"/>
          </stop>
          <stop position="1">
            <color rgb="FFFF0000"/>
          </stop>
        </gradientFill>
      </fill>
    </dxf>
    <dxf>
      <fill>
        <patternFill>
          <bgColor indexed="10"/>
        </patternFill>
      </fill>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DBDCDE"/>
      <color rgb="FF0F955E"/>
      <color rgb="FFD04D52"/>
      <color rgb="FFD3DBEF"/>
      <color rgb="FF457CBF"/>
      <color rgb="FF0059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3</xdr:col>
      <xdr:colOff>276225</xdr:colOff>
      <xdr:row>31</xdr:row>
      <xdr:rowOff>66675</xdr:rowOff>
    </xdr:from>
    <xdr:to>
      <xdr:col>4</xdr:col>
      <xdr:colOff>161925</xdr:colOff>
      <xdr:row>31</xdr:row>
      <xdr:rowOff>171450</xdr:rowOff>
    </xdr:to>
    <xdr:sp macro="" textlink="">
      <xdr:nvSpPr>
        <xdr:cNvPr id="20486" name="AutoShape 33"/>
        <xdr:cNvSpPr>
          <a:spLocks noChangeArrowheads="1"/>
        </xdr:cNvSpPr>
      </xdr:nvSpPr>
      <xdr:spPr bwMode="auto">
        <a:xfrm>
          <a:off x="2371725" y="6229350"/>
          <a:ext cx="304800" cy="104775"/>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twoCellAnchor editAs="oneCell">
    <xdr:from>
      <xdr:col>8</xdr:col>
      <xdr:colOff>104776</xdr:colOff>
      <xdr:row>0</xdr:row>
      <xdr:rowOff>66675</xdr:rowOff>
    </xdr:from>
    <xdr:to>
      <xdr:col>12</xdr:col>
      <xdr:colOff>396622</xdr:colOff>
      <xdr:row>0</xdr:row>
      <xdr:rowOff>670687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95776" y="66675"/>
          <a:ext cx="1968246" cy="6040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276225</xdr:colOff>
      <xdr:row>31</xdr:row>
      <xdr:rowOff>66675</xdr:rowOff>
    </xdr:from>
    <xdr:to>
      <xdr:col>4</xdr:col>
      <xdr:colOff>161925</xdr:colOff>
      <xdr:row>31</xdr:row>
      <xdr:rowOff>171450</xdr:rowOff>
    </xdr:to>
    <xdr:sp macro="" textlink="">
      <xdr:nvSpPr>
        <xdr:cNvPr id="2" name="AutoShape 33"/>
        <xdr:cNvSpPr>
          <a:spLocks noChangeArrowheads="1"/>
        </xdr:cNvSpPr>
      </xdr:nvSpPr>
      <xdr:spPr bwMode="auto">
        <a:xfrm>
          <a:off x="2371725" y="6419850"/>
          <a:ext cx="304800" cy="104775"/>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twoCellAnchor editAs="oneCell">
    <xdr:from>
      <xdr:col>8</xdr:col>
      <xdr:colOff>95250</xdr:colOff>
      <xdr:row>0</xdr:row>
      <xdr:rowOff>66675</xdr:rowOff>
    </xdr:from>
    <xdr:to>
      <xdr:col>12</xdr:col>
      <xdr:colOff>387096</xdr:colOff>
      <xdr:row>0</xdr:row>
      <xdr:rowOff>670687</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50" y="66675"/>
          <a:ext cx="1968246" cy="6040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1228725</xdr:colOff>
      <xdr:row>0</xdr:row>
      <xdr:rowOff>266700</xdr:rowOff>
    </xdr:from>
    <xdr:to>
      <xdr:col>13</xdr:col>
      <xdr:colOff>882396</xdr:colOff>
      <xdr:row>0</xdr:row>
      <xdr:rowOff>870712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82900" y="266700"/>
          <a:ext cx="1968246" cy="60401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552450</xdr:colOff>
          <xdr:row>0</xdr:row>
          <xdr:rowOff>542925</xdr:rowOff>
        </xdr:from>
        <xdr:to>
          <xdr:col>19</xdr:col>
          <xdr:colOff>1066800</xdr:colOff>
          <xdr:row>0</xdr:row>
          <xdr:rowOff>1104900</xdr:rowOff>
        </xdr:to>
        <xdr:sp macro="" textlink="">
          <xdr:nvSpPr>
            <xdr:cNvPr id="11266" name="CommandButton1"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1704975</xdr:colOff>
      <xdr:row>0</xdr:row>
      <xdr:rowOff>28575</xdr:rowOff>
    </xdr:from>
    <xdr:to>
      <xdr:col>5</xdr:col>
      <xdr:colOff>3673221</xdr:colOff>
      <xdr:row>0</xdr:row>
      <xdr:rowOff>632587</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05450" y="28575"/>
          <a:ext cx="1968246" cy="6040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1819275</xdr:colOff>
      <xdr:row>0</xdr:row>
      <xdr:rowOff>85725</xdr:rowOff>
    </xdr:from>
    <xdr:to>
      <xdr:col>6</xdr:col>
      <xdr:colOff>2065</xdr:colOff>
      <xdr:row>0</xdr:row>
      <xdr:rowOff>589725</xdr:rowOff>
    </xdr:to>
    <xdr:pic>
      <xdr:nvPicPr>
        <xdr:cNvPr id="2" name="Picture 1" descr="SDL_logo_strapline2012_PPTcover.png"/>
        <xdr:cNvPicPr>
          <a:picLocks noChangeAspect="1"/>
        </xdr:cNvPicPr>
      </xdr:nvPicPr>
      <xdr:blipFill>
        <a:blip xmlns:r="http://schemas.openxmlformats.org/officeDocument/2006/relationships" r:embed="rId1" cstate="print"/>
        <a:stretch>
          <a:fillRect/>
        </a:stretch>
      </xdr:blipFill>
      <xdr:spPr>
        <a:xfrm>
          <a:off x="5619750" y="85725"/>
          <a:ext cx="1754665" cy="504000"/>
        </a:xfrm>
        <a:prstGeom prst="rect">
          <a:avLst/>
        </a:prstGeom>
      </xdr:spPr>
    </xdr:pic>
    <xdr:clientData/>
  </xdr:twoCellAnchor>
  <xdr:twoCellAnchor editAs="oneCell">
    <xdr:from>
      <xdr:col>17</xdr:col>
      <xdr:colOff>438150</xdr:colOff>
      <xdr:row>0</xdr:row>
      <xdr:rowOff>38100</xdr:rowOff>
    </xdr:from>
    <xdr:to>
      <xdr:col>20</xdr:col>
      <xdr:colOff>577596</xdr:colOff>
      <xdr:row>0</xdr:row>
      <xdr:rowOff>642112</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01350" y="38100"/>
          <a:ext cx="1968246" cy="60401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241935</xdr:colOff>
      <xdr:row>1</xdr:row>
      <xdr:rowOff>129540</xdr:rowOff>
    </xdr:from>
    <xdr:to>
      <xdr:col>18</xdr:col>
      <xdr:colOff>24765</xdr:colOff>
      <xdr:row>1</xdr:row>
      <xdr:rowOff>611505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85935" y="297180"/>
          <a:ext cx="1611630" cy="48196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180975</xdr:rowOff>
        </xdr:from>
        <xdr:to>
          <xdr:col>13</xdr:col>
          <xdr:colOff>552450</xdr:colOff>
          <xdr:row>33</xdr:row>
          <xdr:rowOff>28575</xdr:rowOff>
        </xdr:to>
        <xdr:sp macro="" textlink="">
          <xdr:nvSpPr>
            <xdr:cNvPr id="16405"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xdr:row>
          <xdr:rowOff>171450</xdr:rowOff>
        </xdr:from>
        <xdr:to>
          <xdr:col>13</xdr:col>
          <xdr:colOff>571500</xdr:colOff>
          <xdr:row>34</xdr:row>
          <xdr:rowOff>28575</xdr:rowOff>
        </xdr:to>
        <xdr:sp macro="" textlink="">
          <xdr:nvSpPr>
            <xdr:cNvPr id="16406"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8</xdr:row>
          <xdr:rowOff>104775</xdr:rowOff>
        </xdr:from>
        <xdr:to>
          <xdr:col>21</xdr:col>
          <xdr:colOff>476250</xdr:colOff>
          <xdr:row>10</xdr:row>
          <xdr:rowOff>114300</xdr:rowOff>
        </xdr:to>
        <xdr:sp macro="" textlink="">
          <xdr:nvSpPr>
            <xdr:cNvPr id="16407" name="CommandButton1" hidden="1">
              <a:extLst>
                <a:ext uri="{63B3BB69-23CF-44E3-9099-C40C66FF867C}">
                  <a14:compatExt spid="_x0000_s164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35</xdr:row>
          <xdr:rowOff>95250</xdr:rowOff>
        </xdr:from>
        <xdr:to>
          <xdr:col>21</xdr:col>
          <xdr:colOff>504825</xdr:colOff>
          <xdr:row>37</xdr:row>
          <xdr:rowOff>123825</xdr:rowOff>
        </xdr:to>
        <xdr:sp macro="" textlink="">
          <xdr:nvSpPr>
            <xdr:cNvPr id="16408" name="CommandButton2" hidden="1">
              <a:extLst>
                <a:ext uri="{63B3BB69-23CF-44E3-9099-C40C66FF867C}">
                  <a14:compatExt spid="_x0000_s16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42</xdr:row>
          <xdr:rowOff>133350</xdr:rowOff>
        </xdr:from>
        <xdr:to>
          <xdr:col>21</xdr:col>
          <xdr:colOff>514350</xdr:colOff>
          <xdr:row>45</xdr:row>
          <xdr:rowOff>171450</xdr:rowOff>
        </xdr:to>
        <xdr:sp macro="" textlink="">
          <xdr:nvSpPr>
            <xdr:cNvPr id="16409" name="CommandButton3" hidden="1">
              <a:extLst>
                <a:ext uri="{63B3BB69-23CF-44E3-9099-C40C66FF867C}">
                  <a14:compatExt spid="_x0000_s16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180975</xdr:rowOff>
        </xdr:from>
        <xdr:to>
          <xdr:col>18</xdr:col>
          <xdr:colOff>552450</xdr:colOff>
          <xdr:row>33</xdr:row>
          <xdr:rowOff>28575</xdr:rowOff>
        </xdr:to>
        <xdr:sp macro="" textlink="">
          <xdr:nvSpPr>
            <xdr:cNvPr id="16411"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32</xdr:row>
          <xdr:rowOff>171450</xdr:rowOff>
        </xdr:from>
        <xdr:to>
          <xdr:col>18</xdr:col>
          <xdr:colOff>571500</xdr:colOff>
          <xdr:row>34</xdr:row>
          <xdr:rowOff>28575</xdr:rowOff>
        </xdr:to>
        <xdr:sp macro="" textlink="">
          <xdr:nvSpPr>
            <xdr:cNvPr id="16412"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885825</xdr:colOff>
      <xdr:row>0</xdr:row>
      <xdr:rowOff>123825</xdr:rowOff>
    </xdr:from>
    <xdr:to>
      <xdr:col>4</xdr:col>
      <xdr:colOff>1230790</xdr:colOff>
      <xdr:row>0</xdr:row>
      <xdr:rowOff>627825</xdr:rowOff>
    </xdr:to>
    <xdr:pic>
      <xdr:nvPicPr>
        <xdr:cNvPr id="2" name="Picture 1" descr="SDL_logo_strapline2012_PPTcover.png"/>
        <xdr:cNvPicPr>
          <a:picLocks noChangeAspect="1"/>
        </xdr:cNvPicPr>
      </xdr:nvPicPr>
      <xdr:blipFill>
        <a:blip xmlns:r="http://schemas.openxmlformats.org/officeDocument/2006/relationships" r:embed="rId1" cstate="print"/>
        <a:stretch>
          <a:fillRect/>
        </a:stretch>
      </xdr:blipFill>
      <xdr:spPr>
        <a:xfrm>
          <a:off x="7096125" y="123825"/>
          <a:ext cx="1726090" cy="504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vmlDrawing" Target="../drawings/vmlDrawing4.vml"/><Relationship Id="rId21" Type="http://schemas.openxmlformats.org/officeDocument/2006/relationships/ctrlProp" Target="../ctrlProps/ctrlProp12.xml"/><Relationship Id="rId7" Type="http://schemas.openxmlformats.org/officeDocument/2006/relationships/image" Target="../media/image5.emf"/><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drawing" Target="../drawings/drawing6.xm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ctrlProp" Target="../ctrlProps/ctrlProp2.xml"/><Relationship Id="rId5" Type="http://schemas.openxmlformats.org/officeDocument/2006/relationships/image" Target="../media/image4.emf"/><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control" Target="../activeX/activeX2.xml"/><Relationship Id="rId9" Type="http://schemas.openxmlformats.org/officeDocument/2006/relationships/image" Target="../media/image6.emf"/><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8"/>
    <pageSetUpPr fitToPage="1"/>
  </sheetPr>
  <dimension ref="A1:T48"/>
  <sheetViews>
    <sheetView showGridLines="0" tabSelected="1" zoomScaleNormal="100" workbookViewId="0">
      <selection activeCell="P24" sqref="P24"/>
    </sheetView>
  </sheetViews>
  <sheetFormatPr defaultColWidth="9.140625" defaultRowHeight="14.25" x14ac:dyDescent="0.2"/>
  <cols>
    <col min="1" max="1" width="18.85546875" style="1" customWidth="1"/>
    <col min="2" max="14" width="6.28515625" style="1" customWidth="1"/>
    <col min="15" max="16" width="9.140625" style="1"/>
    <col min="17" max="17" width="18" style="1" customWidth="1"/>
    <col min="18" max="16384" width="9.140625" style="1"/>
  </cols>
  <sheetData>
    <row r="1" spans="1:17" ht="60" customHeight="1" thickTop="1" thickBot="1" x14ac:dyDescent="0.25">
      <c r="A1" s="250" t="s">
        <v>95</v>
      </c>
      <c r="B1" s="251"/>
      <c r="C1" s="251"/>
      <c r="D1" s="251"/>
      <c r="E1" s="251"/>
      <c r="F1" s="251"/>
      <c r="G1" s="251"/>
      <c r="H1" s="251"/>
      <c r="I1" s="252"/>
      <c r="J1" s="252"/>
      <c r="K1" s="252"/>
      <c r="L1" s="252"/>
      <c r="M1" s="253"/>
      <c r="O1" s="45"/>
    </row>
    <row r="2" spans="1:17" s="111" customFormat="1" ht="3" customHeight="1" thickTop="1" thickBot="1" x14ac:dyDescent="0.25">
      <c r="A2" s="254"/>
      <c r="B2" s="255"/>
      <c r="C2" s="255"/>
      <c r="D2" s="255"/>
      <c r="E2" s="255"/>
      <c r="F2" s="255"/>
      <c r="G2" s="255"/>
      <c r="H2" s="255"/>
      <c r="I2" s="255"/>
      <c r="J2" s="255"/>
      <c r="K2" s="255"/>
      <c r="L2" s="255"/>
      <c r="M2" s="256"/>
    </row>
    <row r="3" spans="1:17" ht="15" customHeight="1" thickTop="1" x14ac:dyDescent="0.2">
      <c r="A3" s="105" t="s">
        <v>0</v>
      </c>
      <c r="B3" s="257" t="str">
        <f>IFERROR(VLOOKUP(LEFT($B4,3),clients,2,FALSE),"")</f>
        <v/>
      </c>
      <c r="C3" s="258"/>
      <c r="D3" s="258"/>
      <c r="E3" s="259"/>
      <c r="F3" s="263" t="s">
        <v>98</v>
      </c>
      <c r="G3" s="264"/>
      <c r="H3" s="264"/>
      <c r="I3" s="265"/>
      <c r="J3" s="260" t="str">
        <f>IFERROR(VLOOKUP((MID($B4,6,2)),Offices,2,FALSE),"")</f>
        <v/>
      </c>
      <c r="K3" s="261"/>
      <c r="L3" s="261"/>
      <c r="M3" s="262"/>
      <c r="O3" s="296" t="s">
        <v>6848</v>
      </c>
      <c r="P3" s="297"/>
      <c r="Q3" s="300" t="s">
        <v>6890</v>
      </c>
    </row>
    <row r="4" spans="1:17" ht="15" customHeight="1" thickBot="1" x14ac:dyDescent="0.25">
      <c r="A4" s="106" t="s">
        <v>66</v>
      </c>
      <c r="B4" s="269"/>
      <c r="C4" s="272"/>
      <c r="D4" s="272"/>
      <c r="E4" s="273"/>
      <c r="F4" s="266" t="s">
        <v>99</v>
      </c>
      <c r="G4" s="267"/>
      <c r="H4" s="267"/>
      <c r="I4" s="268"/>
      <c r="J4" s="260"/>
      <c r="K4" s="261"/>
      <c r="L4" s="261"/>
      <c r="M4" s="262"/>
      <c r="O4" s="298"/>
      <c r="P4" s="299"/>
      <c r="Q4" s="301"/>
    </row>
    <row r="5" spans="1:17" ht="15" customHeight="1" x14ac:dyDescent="0.2">
      <c r="A5" s="106" t="s">
        <v>412</v>
      </c>
      <c r="B5" s="260"/>
      <c r="C5" s="261"/>
      <c r="D5" s="261"/>
      <c r="E5" s="262"/>
      <c r="F5" s="266" t="s">
        <v>8</v>
      </c>
      <c r="G5" s="267"/>
      <c r="H5" s="267"/>
      <c r="I5" s="268"/>
      <c r="J5" s="269"/>
      <c r="K5" s="270"/>
      <c r="L5" s="270"/>
      <c r="M5" s="271"/>
    </row>
    <row r="6" spans="1:17" ht="15" customHeight="1" x14ac:dyDescent="0.2">
      <c r="A6" s="106" t="s">
        <v>413</v>
      </c>
      <c r="B6" s="260"/>
      <c r="C6" s="261"/>
      <c r="D6" s="261"/>
      <c r="E6" s="262"/>
      <c r="F6" s="108" t="s">
        <v>21</v>
      </c>
      <c r="G6" s="109"/>
      <c r="H6" s="109"/>
      <c r="I6" s="110"/>
      <c r="J6" s="269"/>
      <c r="K6" s="270"/>
      <c r="L6" s="270"/>
      <c r="M6" s="271"/>
    </row>
    <row r="7" spans="1:17" ht="15" customHeight="1" x14ac:dyDescent="0.2">
      <c r="A7" s="106" t="s">
        <v>2</v>
      </c>
      <c r="B7" s="269"/>
      <c r="C7" s="270"/>
      <c r="D7" s="270"/>
      <c r="E7" s="271"/>
      <c r="F7" s="266" t="s">
        <v>10</v>
      </c>
      <c r="G7" s="267"/>
      <c r="H7" s="267"/>
      <c r="I7" s="268"/>
      <c r="J7" s="269"/>
      <c r="K7" s="270"/>
      <c r="L7" s="270"/>
      <c r="M7" s="271"/>
    </row>
    <row r="8" spans="1:17" ht="15" customHeight="1" x14ac:dyDescent="0.2">
      <c r="A8" s="106" t="s">
        <v>1</v>
      </c>
      <c r="B8" s="277"/>
      <c r="C8" s="278"/>
      <c r="D8" s="278"/>
      <c r="E8" s="279"/>
      <c r="F8" s="266" t="s">
        <v>6</v>
      </c>
      <c r="G8" s="267"/>
      <c r="H8" s="267"/>
      <c r="I8" s="268"/>
      <c r="J8" s="269"/>
      <c r="K8" s="270"/>
      <c r="L8" s="270"/>
      <c r="M8" s="271"/>
    </row>
    <row r="9" spans="1:17" ht="15" customHeight="1" thickBot="1" x14ac:dyDescent="0.3">
      <c r="A9" s="106" t="s">
        <v>27</v>
      </c>
      <c r="B9" s="293"/>
      <c r="C9" s="261"/>
      <c r="D9" s="261"/>
      <c r="E9" s="262"/>
      <c r="F9" s="287" t="s">
        <v>3</v>
      </c>
      <c r="G9" s="288"/>
      <c r="H9" s="288"/>
      <c r="I9" s="289"/>
      <c r="J9" s="280">
        <v>1000</v>
      </c>
      <c r="K9" s="281"/>
      <c r="L9" s="281"/>
      <c r="M9" s="282"/>
    </row>
    <row r="10" spans="1:17" ht="15" customHeight="1" thickTop="1" thickBot="1" x14ac:dyDescent="0.25">
      <c r="A10" s="107" t="s">
        <v>26</v>
      </c>
      <c r="B10" s="284"/>
      <c r="C10" s="285"/>
      <c r="D10" s="285"/>
      <c r="E10" s="286"/>
      <c r="F10" s="290" t="s">
        <v>6272</v>
      </c>
      <c r="G10" s="291"/>
      <c r="H10" s="291"/>
      <c r="I10" s="292"/>
      <c r="J10" s="274" t="s">
        <v>6302</v>
      </c>
      <c r="K10" s="275"/>
      <c r="L10" s="275"/>
      <c r="M10" s="276"/>
    </row>
    <row r="11" spans="1:17" ht="9.9499999999999993" customHeight="1" thickTop="1" thickBot="1" x14ac:dyDescent="0.25">
      <c r="F11" s="2"/>
      <c r="G11" s="2"/>
      <c r="H11" s="2"/>
      <c r="I11" s="2"/>
    </row>
    <row r="12" spans="1:17" ht="24.95" customHeight="1" thickTop="1" x14ac:dyDescent="0.2">
      <c r="A12" s="119" t="s">
        <v>92</v>
      </c>
      <c r="B12" s="248" t="s">
        <v>61</v>
      </c>
      <c r="C12" s="283"/>
      <c r="D12" s="248" t="s">
        <v>59</v>
      </c>
      <c r="E12" s="283"/>
      <c r="F12" s="248" t="s">
        <v>96</v>
      </c>
      <c r="G12" s="283"/>
      <c r="H12" s="248" t="s">
        <v>62</v>
      </c>
      <c r="I12" s="283"/>
      <c r="J12" s="248" t="s">
        <v>96</v>
      </c>
      <c r="K12" s="249"/>
      <c r="L12" s="294" t="s">
        <v>120</v>
      </c>
      <c r="M12" s="295"/>
    </row>
    <row r="13" spans="1:17" x14ac:dyDescent="0.2">
      <c r="A13" s="128" t="s">
        <v>46</v>
      </c>
      <c r="B13" s="246" t="s">
        <v>51</v>
      </c>
      <c r="C13" s="247"/>
      <c r="D13" s="245">
        <f>SUMPRODUCT(('Evaluation details_input'!F1:F499=$A13)*('Evaluation details_input'!G1:G499=$D$12))</f>
        <v>0</v>
      </c>
      <c r="E13" s="210"/>
      <c r="F13" s="221">
        <f t="shared" ref="F13:F20" si="0">D13*VLOOKUP($J$10&amp;$A13,adequacy_weight,2,FALSE)</f>
        <v>0</v>
      </c>
      <c r="G13" s="221"/>
      <c r="H13" s="210">
        <f>SUMPRODUCT(('Evaluation details_input'!$F$2:$F$500=$A13)*('Evaluation details_input'!$G$2:$G$500=$H$12))</f>
        <v>0</v>
      </c>
      <c r="I13" s="210"/>
      <c r="J13" s="211">
        <f t="shared" ref="J13:J20" si="1">H13*VLOOKUP($J$10&amp;$A13,adequacy_weight,3,FALSE)</f>
        <v>0</v>
      </c>
      <c r="K13" s="211"/>
      <c r="L13" s="208">
        <f t="shared" ref="L13:L20" si="2">F13+J13</f>
        <v>0</v>
      </c>
      <c r="M13" s="209"/>
    </row>
    <row r="14" spans="1:17" x14ac:dyDescent="0.2">
      <c r="A14" s="128" t="s">
        <v>47</v>
      </c>
      <c r="B14" s="246" t="s">
        <v>52</v>
      </c>
      <c r="C14" s="247"/>
      <c r="D14" s="245">
        <f>SUMPRODUCT(('Evaluation details_input'!F2:F500=$A14)*('Evaluation details_input'!G2:G500=$D$12))</f>
        <v>0</v>
      </c>
      <c r="E14" s="210"/>
      <c r="F14" s="221">
        <f t="shared" si="0"/>
        <v>0</v>
      </c>
      <c r="G14" s="221"/>
      <c r="H14" s="210">
        <f>SUMPRODUCT(('Evaluation details_input'!$F$2:$F$500=$A14)*('Evaluation details_input'!$G$2:$G$500=$H$12))</f>
        <v>0</v>
      </c>
      <c r="I14" s="210"/>
      <c r="J14" s="211">
        <f t="shared" si="1"/>
        <v>0</v>
      </c>
      <c r="K14" s="211"/>
      <c r="L14" s="208">
        <f t="shared" si="2"/>
        <v>0</v>
      </c>
      <c r="M14" s="209"/>
    </row>
    <row r="15" spans="1:17" x14ac:dyDescent="0.2">
      <c r="A15" s="128" t="s">
        <v>48</v>
      </c>
      <c r="B15" s="221" t="s">
        <v>53</v>
      </c>
      <c r="C15" s="211"/>
      <c r="D15" s="245">
        <f>SUMPRODUCT(('Evaluation details_input'!F2:F500=$A15)*('Evaluation details_input'!G2:G500=$D$12))</f>
        <v>0</v>
      </c>
      <c r="E15" s="210"/>
      <c r="F15" s="221">
        <f t="shared" si="0"/>
        <v>0</v>
      </c>
      <c r="G15" s="221"/>
      <c r="H15" s="210">
        <f>SUMPRODUCT(('Evaluation details_input'!$F$2:$F$500=$A15)*('Evaluation details_input'!$G$2:$G$500=$H$12))</f>
        <v>0</v>
      </c>
      <c r="I15" s="210"/>
      <c r="J15" s="211">
        <f t="shared" si="1"/>
        <v>0</v>
      </c>
      <c r="K15" s="211"/>
      <c r="L15" s="208">
        <f t="shared" si="2"/>
        <v>0</v>
      </c>
      <c r="M15" s="209"/>
    </row>
    <row r="16" spans="1:17" x14ac:dyDescent="0.2">
      <c r="A16" s="128" t="s">
        <v>49</v>
      </c>
      <c r="B16" s="221" t="s">
        <v>54</v>
      </c>
      <c r="C16" s="211"/>
      <c r="D16" s="245">
        <f>SUMPRODUCT(('Evaluation details_input'!F2:F500=$A16)*('Evaluation details_input'!G2:G500=$D$12))</f>
        <v>0</v>
      </c>
      <c r="E16" s="210"/>
      <c r="F16" s="221">
        <f t="shared" si="0"/>
        <v>0</v>
      </c>
      <c r="G16" s="221"/>
      <c r="H16" s="210">
        <f>SUMPRODUCT(('Evaluation details_input'!$F$2:$F$500=$A16)*('Evaluation details_input'!$G$2:$G$500=$H$12))</f>
        <v>0</v>
      </c>
      <c r="I16" s="210"/>
      <c r="J16" s="211">
        <f t="shared" si="1"/>
        <v>0</v>
      </c>
      <c r="K16" s="211"/>
      <c r="L16" s="208">
        <f t="shared" si="2"/>
        <v>0</v>
      </c>
      <c r="M16" s="209"/>
    </row>
    <row r="17" spans="1:14" x14ac:dyDescent="0.2">
      <c r="A17" s="129" t="s">
        <v>50</v>
      </c>
      <c r="B17" s="221" t="s">
        <v>55</v>
      </c>
      <c r="C17" s="211"/>
      <c r="D17" s="245">
        <f>SUMPRODUCT(('Evaluation details_input'!F2:F500=$A17)*('Evaluation details_input'!G2:G500=$D$12))</f>
        <v>0</v>
      </c>
      <c r="E17" s="210"/>
      <c r="F17" s="221">
        <f t="shared" si="0"/>
        <v>0</v>
      </c>
      <c r="G17" s="221"/>
      <c r="H17" s="210">
        <f>SUMPRODUCT(('Evaluation details_input'!$F$2:$F$500=$A17)*('Evaluation details_input'!$G$2:$G$500=$H$12))</f>
        <v>0</v>
      </c>
      <c r="I17" s="210"/>
      <c r="J17" s="211">
        <f t="shared" si="1"/>
        <v>0</v>
      </c>
      <c r="K17" s="211"/>
      <c r="L17" s="208">
        <f t="shared" si="2"/>
        <v>0</v>
      </c>
      <c r="M17" s="209"/>
    </row>
    <row r="18" spans="1:14" x14ac:dyDescent="0.2">
      <c r="A18" s="129" t="s">
        <v>7</v>
      </c>
      <c r="B18" s="221" t="s">
        <v>56</v>
      </c>
      <c r="C18" s="211"/>
      <c r="D18" s="245">
        <f>SUMPRODUCT(('Evaluation details_input'!F2:F500=$A18)*('Evaluation details_input'!G2:G500=$D$12))</f>
        <v>0</v>
      </c>
      <c r="E18" s="210"/>
      <c r="F18" s="221">
        <f t="shared" si="0"/>
        <v>0</v>
      </c>
      <c r="G18" s="221"/>
      <c r="H18" s="210">
        <f>SUMPRODUCT(('Evaluation details_input'!$F$2:$F$500=$A18)*('Evaluation details_input'!$G$2:$G$500=$H$12))</f>
        <v>0</v>
      </c>
      <c r="I18" s="210"/>
      <c r="J18" s="211">
        <f t="shared" si="1"/>
        <v>0</v>
      </c>
      <c r="K18" s="211"/>
      <c r="L18" s="208">
        <f t="shared" si="2"/>
        <v>0</v>
      </c>
      <c r="M18" s="209"/>
    </row>
    <row r="19" spans="1:14" x14ac:dyDescent="0.2">
      <c r="A19" s="129" t="s">
        <v>5</v>
      </c>
      <c r="B19" s="221" t="s">
        <v>57</v>
      </c>
      <c r="C19" s="211"/>
      <c r="D19" s="245">
        <f>SUMPRODUCT(('Evaluation details_input'!F2:F500=$A19)*('Evaluation details_input'!G2:G500=$D$12))</f>
        <v>0</v>
      </c>
      <c r="E19" s="210"/>
      <c r="F19" s="221">
        <f t="shared" si="0"/>
        <v>0</v>
      </c>
      <c r="G19" s="221"/>
      <c r="H19" s="210">
        <f>SUMPRODUCT(('Evaluation details_input'!$F$2:$F$500=$A19)*('Evaluation details_input'!$G$2:$G$500=$H$12))</f>
        <v>0</v>
      </c>
      <c r="I19" s="210"/>
      <c r="J19" s="211">
        <f t="shared" si="1"/>
        <v>0</v>
      </c>
      <c r="K19" s="211"/>
      <c r="L19" s="208">
        <f t="shared" si="2"/>
        <v>0</v>
      </c>
      <c r="M19" s="209"/>
    </row>
    <row r="20" spans="1:14" ht="15" thickBot="1" x14ac:dyDescent="0.25">
      <c r="A20" s="130" t="s">
        <v>64</v>
      </c>
      <c r="B20" s="222" t="s">
        <v>58</v>
      </c>
      <c r="C20" s="223"/>
      <c r="D20" s="318">
        <f>SUMPRODUCT(('Evaluation details_input'!F2:F500=$A20)*('Evaluation details_input'!G2:G500=$D$12))</f>
        <v>0</v>
      </c>
      <c r="E20" s="224"/>
      <c r="F20" s="222">
        <f t="shared" si="0"/>
        <v>0</v>
      </c>
      <c r="G20" s="223"/>
      <c r="H20" s="224">
        <f>SUMPRODUCT(('Evaluation details_input'!$F$2:$F$500=$A20)*('Evaluation details_input'!$G$2:$G$500=$H$12))</f>
        <v>0</v>
      </c>
      <c r="I20" s="224"/>
      <c r="J20" s="222">
        <f t="shared" si="1"/>
        <v>0</v>
      </c>
      <c r="K20" s="223"/>
      <c r="L20" s="239">
        <f t="shared" si="2"/>
        <v>0</v>
      </c>
      <c r="M20" s="240"/>
    </row>
    <row r="21" spans="1:14" ht="9.9499999999999993" customHeight="1" thickTop="1" thickBot="1" x14ac:dyDescent="0.25">
      <c r="A21" s="39"/>
      <c r="B21" s="35"/>
      <c r="C21" s="36"/>
      <c r="D21" s="35"/>
      <c r="E21" s="35"/>
      <c r="F21" s="35"/>
      <c r="G21" s="35"/>
      <c r="H21" s="35"/>
      <c r="I21" s="35"/>
      <c r="J21" s="36"/>
      <c r="K21" s="36"/>
      <c r="L21" s="36"/>
      <c r="M21" s="4"/>
    </row>
    <row r="22" spans="1:14" ht="14.25" customHeight="1" thickBot="1" x14ac:dyDescent="0.25">
      <c r="A22" s="39"/>
      <c r="B22" s="306" t="s">
        <v>6304</v>
      </c>
      <c r="C22" s="307"/>
      <c r="D22" s="307"/>
      <c r="E22" s="307"/>
      <c r="F22" s="58">
        <f>COUNTIF('Evaluation details_input'!$F$2:$F$500,"Legacy Data Error")</f>
        <v>0</v>
      </c>
      <c r="G22" s="42"/>
      <c r="H22" s="243" t="s">
        <v>65</v>
      </c>
      <c r="I22" s="244"/>
      <c r="J22" s="244"/>
      <c r="K22" s="244"/>
      <c r="L22" s="58">
        <f>COUNTIF('Evaluation details_input'!$F$2:$F$500,"Source Text Error")</f>
        <v>0</v>
      </c>
      <c r="M22" s="4"/>
    </row>
    <row r="23" spans="1:14" ht="9.9499999999999993" customHeight="1" thickBot="1" x14ac:dyDescent="0.25">
      <c r="A23" s="3"/>
      <c r="B23" s="242"/>
      <c r="C23" s="242"/>
      <c r="D23" s="4"/>
      <c r="E23" s="4"/>
      <c r="F23" s="228"/>
      <c r="G23" s="228"/>
      <c r="H23" s="4"/>
      <c r="I23" s="4"/>
      <c r="J23" s="19"/>
      <c r="K23" s="18"/>
      <c r="L23" s="18"/>
      <c r="M23" s="14"/>
    </row>
    <row r="24" spans="1:14" ht="18.75" thickTop="1" x14ac:dyDescent="0.25">
      <c r="A24" s="325" t="s">
        <v>4</v>
      </c>
      <c r="B24" s="326"/>
      <c r="C24" s="326"/>
      <c r="D24" s="326"/>
      <c r="E24" s="326"/>
      <c r="F24" s="326"/>
      <c r="G24" s="326"/>
      <c r="H24" s="326"/>
      <c r="I24" s="326"/>
      <c r="J24" s="326"/>
      <c r="K24" s="326"/>
      <c r="L24" s="326"/>
      <c r="M24" s="327"/>
      <c r="N24" s="43"/>
    </row>
    <row r="25" spans="1:14" ht="15.75" thickBot="1" x14ac:dyDescent="0.3">
      <c r="A25" s="7"/>
      <c r="B25" s="5"/>
      <c r="C25" s="5"/>
      <c r="D25" s="5"/>
      <c r="E25" s="5"/>
      <c r="F25" s="5"/>
      <c r="G25" s="5"/>
      <c r="H25" s="5"/>
      <c r="I25" s="2"/>
      <c r="J25" s="2"/>
      <c r="K25" s="2"/>
      <c r="L25" s="2"/>
      <c r="M25" s="8"/>
      <c r="N25" s="7"/>
    </row>
    <row r="26" spans="1:14" ht="14.25" customHeight="1" x14ac:dyDescent="0.2">
      <c r="A26" s="9"/>
      <c r="B26" s="308" t="s">
        <v>97</v>
      </c>
      <c r="C26" s="309"/>
      <c r="D26" s="2"/>
      <c r="E26" s="319" t="s">
        <v>121</v>
      </c>
      <c r="F26" s="320"/>
      <c r="G26" s="321"/>
      <c r="H26" s="2"/>
      <c r="I26" s="312" t="s">
        <v>6263</v>
      </c>
      <c r="J26" s="313"/>
      <c r="K26" s="314"/>
      <c r="L26" s="38"/>
      <c r="M26" s="29"/>
      <c r="N26" s="9"/>
    </row>
    <row r="27" spans="1:14" x14ac:dyDescent="0.2">
      <c r="A27" s="30"/>
      <c r="B27" s="310"/>
      <c r="C27" s="311"/>
      <c r="D27" s="2"/>
      <c r="E27" s="322"/>
      <c r="F27" s="323"/>
      <c r="G27" s="324"/>
      <c r="H27" s="2"/>
      <c r="I27" s="315"/>
      <c r="J27" s="316"/>
      <c r="K27" s="317"/>
      <c r="L27" s="38"/>
      <c r="M27" s="29"/>
      <c r="N27" s="30"/>
    </row>
    <row r="28" spans="1:14" ht="15" thickBot="1" x14ac:dyDescent="0.25">
      <c r="A28" s="31"/>
      <c r="B28" s="305">
        <f>ROUND('Evaluation Report_Initial'!$J$9*(1/100),0)</f>
        <v>10</v>
      </c>
      <c r="C28" s="305"/>
      <c r="D28" s="2"/>
      <c r="E28" s="208">
        <f>SUM(L13:L20)</f>
        <v>0</v>
      </c>
      <c r="F28" s="328"/>
      <c r="G28" s="329"/>
      <c r="H28" s="2"/>
      <c r="I28" s="302">
        <f>1-(E28/J9)</f>
        <v>1</v>
      </c>
      <c r="J28" s="303"/>
      <c r="K28" s="304"/>
      <c r="L28" s="60"/>
      <c r="M28" s="8"/>
      <c r="N28" s="31"/>
    </row>
    <row r="29" spans="1:14" ht="15" thickBot="1" x14ac:dyDescent="0.25">
      <c r="A29" s="31"/>
      <c r="B29" s="2"/>
      <c r="C29" s="2"/>
      <c r="D29" s="32"/>
      <c r="E29" s="238"/>
      <c r="F29" s="238"/>
      <c r="G29" s="6"/>
      <c r="H29" s="2"/>
      <c r="J29" s="48"/>
      <c r="K29" s="48"/>
      <c r="L29" s="37"/>
      <c r="M29" s="29"/>
      <c r="N29" s="31"/>
    </row>
    <row r="30" spans="1:14" ht="14.25" customHeight="1" x14ac:dyDescent="0.2">
      <c r="A30" s="31"/>
      <c r="B30" s="231" t="s">
        <v>101</v>
      </c>
      <c r="C30" s="231"/>
      <c r="D30" s="231"/>
      <c r="E30" s="231"/>
      <c r="F30" s="231"/>
      <c r="G30" s="231"/>
      <c r="H30" s="241" t="str">
        <f>IF(J30&gt;=4,"Pass","No Pass")</f>
        <v>Pass</v>
      </c>
      <c r="I30" s="241"/>
      <c r="J30" s="232">
        <f>7-(3*E28/B28)</f>
        <v>7</v>
      </c>
      <c r="K30" s="233"/>
      <c r="L30" s="234"/>
      <c r="M30" s="29"/>
      <c r="N30" s="31"/>
    </row>
    <row r="31" spans="1:14" ht="14.25" customHeight="1" thickBot="1" x14ac:dyDescent="0.25">
      <c r="A31" s="31"/>
      <c r="B31" s="65" t="s">
        <v>122</v>
      </c>
      <c r="C31" s="46"/>
      <c r="D31" s="229">
        <v>4</v>
      </c>
      <c r="E31" s="230"/>
      <c r="F31" s="47"/>
      <c r="G31" s="66" t="s">
        <v>102</v>
      </c>
      <c r="H31" s="241"/>
      <c r="I31" s="241"/>
      <c r="J31" s="235"/>
      <c r="K31" s="236"/>
      <c r="L31" s="237"/>
      <c r="M31" s="49"/>
      <c r="N31" s="31"/>
    </row>
    <row r="32" spans="1:14" x14ac:dyDescent="0.2">
      <c r="A32" s="31"/>
      <c r="B32" s="40" t="s">
        <v>22</v>
      </c>
      <c r="C32" s="33"/>
      <c r="D32" s="34"/>
      <c r="E32" s="34"/>
      <c r="F32" s="44"/>
      <c r="G32" s="41" t="s">
        <v>23</v>
      </c>
      <c r="I32" s="59"/>
      <c r="J32" s="227" t="s">
        <v>100</v>
      </c>
      <c r="K32" s="227"/>
      <c r="L32" s="227"/>
      <c r="M32" s="50"/>
      <c r="N32" s="31"/>
    </row>
    <row r="33" spans="1:20" ht="15" thickBot="1" x14ac:dyDescent="0.25">
      <c r="A33" s="11"/>
      <c r="B33" s="12"/>
      <c r="C33" s="12"/>
      <c r="D33" s="12"/>
      <c r="E33" s="12"/>
      <c r="F33" s="12"/>
      <c r="G33" s="12"/>
      <c r="H33" s="12"/>
      <c r="I33" s="12"/>
      <c r="J33" s="12"/>
      <c r="K33" s="12"/>
      <c r="L33" s="12"/>
      <c r="M33" s="13"/>
      <c r="N33" s="10"/>
    </row>
    <row r="34" spans="1:20" ht="15" thickTop="1" x14ac:dyDescent="0.2"/>
    <row r="35" spans="1:20" x14ac:dyDescent="0.2">
      <c r="A35" s="103" t="s">
        <v>9</v>
      </c>
      <c r="B35" s="104" t="s">
        <v>388</v>
      </c>
      <c r="C35" s="104"/>
      <c r="D35" s="104"/>
      <c r="E35" s="104"/>
      <c r="F35" s="104"/>
      <c r="G35" s="104"/>
      <c r="H35" s="104"/>
    </row>
    <row r="36" spans="1:20" x14ac:dyDescent="0.2">
      <c r="B36" s="104" t="s">
        <v>119</v>
      </c>
      <c r="C36" s="104"/>
      <c r="D36" s="104"/>
      <c r="E36" s="104"/>
      <c r="F36" s="104"/>
      <c r="G36" s="104"/>
      <c r="H36" s="104"/>
    </row>
    <row r="37" spans="1:20" ht="15" thickBot="1" x14ac:dyDescent="0.25"/>
    <row r="38" spans="1:20" ht="29.25" customHeight="1" thickTop="1" thickBot="1" x14ac:dyDescent="0.25">
      <c r="A38" s="219" t="s">
        <v>6294</v>
      </c>
      <c r="B38" s="220"/>
      <c r="C38" s="220"/>
      <c r="D38" s="220"/>
      <c r="E38" s="220"/>
      <c r="F38" s="148" t="s">
        <v>6295</v>
      </c>
      <c r="G38" s="148"/>
      <c r="H38" s="148"/>
      <c r="I38" s="148"/>
      <c r="J38" s="148"/>
      <c r="K38" s="148"/>
      <c r="L38" s="225"/>
      <c r="M38" s="226"/>
      <c r="N38" s="118" t="str">
        <f>IF(L38="","Please select the grade for overall Readability","")</f>
        <v>Please select the grade for overall Readability</v>
      </c>
    </row>
    <row r="39" spans="1:20" ht="15.75" thickTop="1" x14ac:dyDescent="0.25">
      <c r="A39" s="212"/>
      <c r="B39" s="213"/>
      <c r="C39" s="213"/>
      <c r="D39" s="213"/>
      <c r="E39" s="213"/>
      <c r="F39" s="213"/>
      <c r="G39" s="213"/>
      <c r="H39" s="213"/>
      <c r="I39" s="213"/>
      <c r="J39" s="213"/>
      <c r="K39" s="213"/>
      <c r="L39" s="213"/>
      <c r="M39" s="214"/>
      <c r="N39" s="117" t="str">
        <f>IF(A39="","Please fill in the Overall Readability &amp; Comments section","")</f>
        <v>Please fill in the Overall Readability &amp; Comments section</v>
      </c>
      <c r="O39" s="117"/>
      <c r="P39" s="117"/>
      <c r="Q39" s="117"/>
      <c r="R39" s="117"/>
      <c r="S39" s="117"/>
      <c r="T39" s="117"/>
    </row>
    <row r="40" spans="1:20" x14ac:dyDescent="0.2">
      <c r="A40" s="215"/>
      <c r="B40" s="213"/>
      <c r="C40" s="213"/>
      <c r="D40" s="213"/>
      <c r="E40" s="213"/>
      <c r="F40" s="213"/>
      <c r="G40" s="213"/>
      <c r="H40" s="213"/>
      <c r="I40" s="213"/>
      <c r="J40" s="213"/>
      <c r="K40" s="213"/>
      <c r="L40" s="213"/>
      <c r="M40" s="214"/>
    </row>
    <row r="41" spans="1:20" x14ac:dyDescent="0.2">
      <c r="A41" s="215"/>
      <c r="B41" s="213"/>
      <c r="C41" s="213"/>
      <c r="D41" s="213"/>
      <c r="E41" s="213"/>
      <c r="F41" s="213"/>
      <c r="G41" s="213"/>
      <c r="H41" s="213"/>
      <c r="I41" s="213"/>
      <c r="J41" s="213"/>
      <c r="K41" s="213"/>
      <c r="L41" s="213"/>
      <c r="M41" s="214"/>
    </row>
    <row r="42" spans="1:20" x14ac:dyDescent="0.2">
      <c r="A42" s="215"/>
      <c r="B42" s="213"/>
      <c r="C42" s="213"/>
      <c r="D42" s="213"/>
      <c r="E42" s="213"/>
      <c r="F42" s="213"/>
      <c r="G42" s="213"/>
      <c r="H42" s="213"/>
      <c r="I42" s="213"/>
      <c r="J42" s="213"/>
      <c r="K42" s="213"/>
      <c r="L42" s="213"/>
      <c r="M42" s="214"/>
    </row>
    <row r="43" spans="1:20" x14ac:dyDescent="0.2">
      <c r="A43" s="215"/>
      <c r="B43" s="213"/>
      <c r="C43" s="213"/>
      <c r="D43" s="213"/>
      <c r="E43" s="213"/>
      <c r="F43" s="213"/>
      <c r="G43" s="213"/>
      <c r="H43" s="213"/>
      <c r="I43" s="213"/>
      <c r="J43" s="213"/>
      <c r="K43" s="213"/>
      <c r="L43" s="213"/>
      <c r="M43" s="214"/>
    </row>
    <row r="44" spans="1:20" x14ac:dyDescent="0.2">
      <c r="A44" s="215"/>
      <c r="B44" s="213"/>
      <c r="C44" s="213"/>
      <c r="D44" s="213"/>
      <c r="E44" s="213"/>
      <c r="F44" s="213"/>
      <c r="G44" s="213"/>
      <c r="H44" s="213"/>
      <c r="I44" s="213"/>
      <c r="J44" s="213"/>
      <c r="K44" s="213"/>
      <c r="L44" s="213"/>
      <c r="M44" s="214"/>
    </row>
    <row r="45" spans="1:20" x14ac:dyDescent="0.2">
      <c r="A45" s="215"/>
      <c r="B45" s="213"/>
      <c r="C45" s="213"/>
      <c r="D45" s="213"/>
      <c r="E45" s="213"/>
      <c r="F45" s="213"/>
      <c r="G45" s="213"/>
      <c r="H45" s="213"/>
      <c r="I45" s="213"/>
      <c r="J45" s="213"/>
      <c r="K45" s="213"/>
      <c r="L45" s="213"/>
      <c r="M45" s="214"/>
    </row>
    <row r="46" spans="1:20" x14ac:dyDescent="0.2">
      <c r="A46" s="215"/>
      <c r="B46" s="213"/>
      <c r="C46" s="213"/>
      <c r="D46" s="213"/>
      <c r="E46" s="213"/>
      <c r="F46" s="213"/>
      <c r="G46" s="213"/>
      <c r="H46" s="213"/>
      <c r="I46" s="213"/>
      <c r="J46" s="213"/>
      <c r="K46" s="213"/>
      <c r="L46" s="213"/>
      <c r="M46" s="214"/>
    </row>
    <row r="47" spans="1:20" ht="15" thickBot="1" x14ac:dyDescent="0.25">
      <c r="A47" s="216"/>
      <c r="B47" s="217"/>
      <c r="C47" s="217"/>
      <c r="D47" s="217"/>
      <c r="E47" s="217"/>
      <c r="F47" s="217"/>
      <c r="G47" s="217"/>
      <c r="H47" s="217"/>
      <c r="I47" s="217"/>
      <c r="J47" s="217"/>
      <c r="K47" s="217"/>
      <c r="L47" s="217"/>
      <c r="M47" s="218"/>
    </row>
    <row r="48" spans="1:20" ht="15" thickTop="1" x14ac:dyDescent="0.2"/>
  </sheetData>
  <sheetProtection formatCells="0" selectLockedCells="1"/>
  <protectedRanges>
    <protectedRange sqref="K38:L38" name="Range1"/>
  </protectedRanges>
  <mergeCells count="101">
    <mergeCell ref="L12:M12"/>
    <mergeCell ref="L13:M13"/>
    <mergeCell ref="O3:P4"/>
    <mergeCell ref="Q3:Q4"/>
    <mergeCell ref="I28:K28"/>
    <mergeCell ref="B28:C28"/>
    <mergeCell ref="B22:E22"/>
    <mergeCell ref="J15:K15"/>
    <mergeCell ref="H15:I15"/>
    <mergeCell ref="B18:C18"/>
    <mergeCell ref="F19:G19"/>
    <mergeCell ref="H18:I18"/>
    <mergeCell ref="B26:C27"/>
    <mergeCell ref="I26:K27"/>
    <mergeCell ref="D20:E20"/>
    <mergeCell ref="F18:G18"/>
    <mergeCell ref="E26:G27"/>
    <mergeCell ref="J19:K19"/>
    <mergeCell ref="A24:M24"/>
    <mergeCell ref="L19:M19"/>
    <mergeCell ref="E28:G28"/>
    <mergeCell ref="D17:E17"/>
    <mergeCell ref="B17:C17"/>
    <mergeCell ref="F17:G17"/>
    <mergeCell ref="F7:I7"/>
    <mergeCell ref="D12:E12"/>
    <mergeCell ref="H12:I12"/>
    <mergeCell ref="H13:I13"/>
    <mergeCell ref="B10:E10"/>
    <mergeCell ref="F9:I9"/>
    <mergeCell ref="F10:I10"/>
    <mergeCell ref="B9:E9"/>
    <mergeCell ref="B6:E6"/>
    <mergeCell ref="B12:C12"/>
    <mergeCell ref="F12:G12"/>
    <mergeCell ref="D18:E18"/>
    <mergeCell ref="D19:E19"/>
    <mergeCell ref="J12:K12"/>
    <mergeCell ref="A1:M1"/>
    <mergeCell ref="A2:M2"/>
    <mergeCell ref="B3:E3"/>
    <mergeCell ref="B5:E5"/>
    <mergeCell ref="J3:M3"/>
    <mergeCell ref="F3:I3"/>
    <mergeCell ref="F5:I5"/>
    <mergeCell ref="J5:M5"/>
    <mergeCell ref="B4:E4"/>
    <mergeCell ref="J6:M6"/>
    <mergeCell ref="J4:M4"/>
    <mergeCell ref="F4:I4"/>
    <mergeCell ref="B13:C13"/>
    <mergeCell ref="F13:G13"/>
    <mergeCell ref="J10:M10"/>
    <mergeCell ref="B8:E8"/>
    <mergeCell ref="F8:I8"/>
    <mergeCell ref="B7:E7"/>
    <mergeCell ref="J9:M9"/>
    <mergeCell ref="J8:M8"/>
    <mergeCell ref="J7:M7"/>
    <mergeCell ref="J13:K13"/>
    <mergeCell ref="D14:E14"/>
    <mergeCell ref="F14:G14"/>
    <mergeCell ref="D13:E13"/>
    <mergeCell ref="B14:C14"/>
    <mergeCell ref="F16:G16"/>
    <mergeCell ref="B15:C15"/>
    <mergeCell ref="D15:E15"/>
    <mergeCell ref="B16:C16"/>
    <mergeCell ref="F15:G15"/>
    <mergeCell ref="D16:E16"/>
    <mergeCell ref="A39:M47"/>
    <mergeCell ref="A38:E38"/>
    <mergeCell ref="B19:C19"/>
    <mergeCell ref="F20:G20"/>
    <mergeCell ref="H20:I20"/>
    <mergeCell ref="L38:M38"/>
    <mergeCell ref="J32:L32"/>
    <mergeCell ref="F23:G23"/>
    <mergeCell ref="B20:C20"/>
    <mergeCell ref="D31:E31"/>
    <mergeCell ref="B30:G30"/>
    <mergeCell ref="J30:L31"/>
    <mergeCell ref="E29:F29"/>
    <mergeCell ref="L20:M20"/>
    <mergeCell ref="H30:I31"/>
    <mergeCell ref="B23:C23"/>
    <mergeCell ref="H19:I19"/>
    <mergeCell ref="H22:K22"/>
    <mergeCell ref="J20:K20"/>
    <mergeCell ref="L15:M15"/>
    <mergeCell ref="L16:M16"/>
    <mergeCell ref="L18:M18"/>
    <mergeCell ref="L17:M17"/>
    <mergeCell ref="H16:I16"/>
    <mergeCell ref="J17:K17"/>
    <mergeCell ref="J16:K16"/>
    <mergeCell ref="H17:I17"/>
    <mergeCell ref="L14:M14"/>
    <mergeCell ref="H14:I14"/>
    <mergeCell ref="J14:K14"/>
    <mergeCell ref="J18:K18"/>
  </mergeCells>
  <phoneticPr fontId="0" type="noConversion"/>
  <conditionalFormatting sqref="M23">
    <cfRule type="cellIs" dxfId="8" priority="39" stopIfTrue="1" operator="greaterThanOrEqual">
      <formula>1</formula>
    </cfRule>
  </conditionalFormatting>
  <conditionalFormatting sqref="E28">
    <cfRule type="expression" dxfId="7" priority="51">
      <formula>#REF!&gt;(#REF!*0.5)</formula>
    </cfRule>
  </conditionalFormatting>
  <conditionalFormatting sqref="J30">
    <cfRule type="iconSet" priority="4">
      <iconSet iconSet="3TrafficLights2">
        <cfvo type="percent" val="0"/>
        <cfvo type="num" val="4"/>
        <cfvo type="num" val="5"/>
      </iconSet>
    </cfRule>
  </conditionalFormatting>
  <conditionalFormatting sqref="L38:M38">
    <cfRule type="cellIs" dxfId="6" priority="3" operator="equal">
      <formula>""</formula>
    </cfRule>
  </conditionalFormatting>
  <dataValidations count="7">
    <dataValidation type="list" allowBlank="1" showInputMessage="1" showErrorMessage="1" sqref="L38:M38">
      <formula1>"Excellent,Good, Satisfactory,Below Standard,Poor"</formula1>
    </dataValidation>
    <dataValidation type="list" allowBlank="1" showInputMessage="1" showErrorMessage="1" sqref="B5:E5">
      <formula1>SECTOR</formula1>
    </dataValidation>
    <dataValidation type="list" allowBlank="1" showInputMessage="1" showErrorMessage="1" sqref="B6:E6">
      <formula1>TRANS_TYPE</formula1>
    </dataValidation>
    <dataValidation type="list" allowBlank="1" showInputMessage="1" showErrorMessage="1" sqref="B10:E10">
      <formula1>languages</formula1>
    </dataValidation>
    <dataValidation type="list" allowBlank="1" showInputMessage="1" showErrorMessage="1" sqref="B9:E9">
      <formula1>languages</formula1>
    </dataValidation>
    <dataValidation type="list" allowBlank="1" showInputMessage="1" showErrorMessage="1" sqref="J4:M4">
      <formula1>OFFICE</formula1>
    </dataValidation>
    <dataValidation type="list" allowBlank="1" showInputMessage="1" showErrorMessage="1" sqref="J10:M10">
      <formula1>"Understandable,Publishable"</formula1>
    </dataValidation>
  </dataValidations>
  <pageMargins left="0.59055118110236227" right="0.47244094488188981" top="0.70866141732283472" bottom="0.55118110236220474" header="0.31496062992125984" footer="0.19685039370078741"/>
  <pageSetup paperSize="9" scale="60" orientation="portrait" horizontalDpi="300" verticalDpi="300" r:id="rId1"/>
  <headerFooter alignWithMargins="0">
    <oddFooter>&amp;L&amp;8QRF-121 J2450 Quality Evaluation Report
Revision: 12&amp;C&amp;8Page &amp;P
Classification: 2&amp;R&amp;8Revision Date: 19/02/2014
Approved by: P. McManus &amp; C. Burkimsher</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Sheet1!$J$2:$J$3</xm:f>
          </x14:formula1>
          <xm:sqref>Q3:Q4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sheetPr>
  <dimension ref="A1:AB48"/>
  <sheetViews>
    <sheetView showGridLines="0" zoomScaleNormal="100" workbookViewId="0">
      <selection activeCell="A39" sqref="A39:M47"/>
    </sheetView>
  </sheetViews>
  <sheetFormatPr defaultColWidth="9.140625" defaultRowHeight="14.25" x14ac:dyDescent="0.2"/>
  <cols>
    <col min="1" max="1" width="18.85546875" style="1" customWidth="1"/>
    <col min="2" max="14" width="6.28515625" style="1" customWidth="1"/>
    <col min="15" max="17" width="9.140625" style="1"/>
    <col min="18" max="18" width="9.140625" style="1" customWidth="1"/>
    <col min="19" max="16384" width="9.140625" style="1"/>
  </cols>
  <sheetData>
    <row r="1" spans="1:21" ht="60" customHeight="1" thickTop="1" thickBot="1" x14ac:dyDescent="0.25">
      <c r="A1" s="370" t="s">
        <v>95</v>
      </c>
      <c r="B1" s="371"/>
      <c r="C1" s="371"/>
      <c r="D1" s="371"/>
      <c r="E1" s="371"/>
      <c r="F1" s="371"/>
      <c r="G1" s="371"/>
      <c r="H1" s="371"/>
      <c r="I1" s="372"/>
      <c r="J1" s="372"/>
      <c r="K1" s="372"/>
      <c r="L1" s="372"/>
      <c r="M1" s="373"/>
      <c r="O1" s="45"/>
    </row>
    <row r="2" spans="1:21" s="111" customFormat="1" ht="3" customHeight="1" thickTop="1" thickBot="1" x14ac:dyDescent="0.25">
      <c r="A2" s="254"/>
      <c r="B2" s="255"/>
      <c r="C2" s="255"/>
      <c r="D2" s="255"/>
      <c r="E2" s="255"/>
      <c r="F2" s="255"/>
      <c r="G2" s="255"/>
      <c r="H2" s="255"/>
      <c r="I2" s="255"/>
      <c r="J2" s="255"/>
      <c r="K2" s="255"/>
      <c r="L2" s="255"/>
      <c r="M2" s="256"/>
    </row>
    <row r="3" spans="1:21" ht="15" customHeight="1" thickTop="1" x14ac:dyDescent="0.2">
      <c r="A3" s="105" t="s">
        <v>0</v>
      </c>
      <c r="B3" s="339" t="str">
        <f>'Evaluation Report_Initial'!B3:E3</f>
        <v/>
      </c>
      <c r="C3" s="340"/>
      <c r="D3" s="340"/>
      <c r="E3" s="341"/>
      <c r="F3" s="263" t="s">
        <v>98</v>
      </c>
      <c r="G3" s="264"/>
      <c r="H3" s="264"/>
      <c r="I3" s="265"/>
      <c r="J3" s="342" t="str">
        <f>'Evaluation Report_Initial'!J3:M3</f>
        <v/>
      </c>
      <c r="K3" s="343"/>
      <c r="L3" s="343"/>
      <c r="M3" s="344"/>
    </row>
    <row r="4" spans="1:21" ht="15" customHeight="1" x14ac:dyDescent="0.2">
      <c r="A4" s="106" t="s">
        <v>66</v>
      </c>
      <c r="B4" s="339">
        <f>'Evaluation Report_Initial'!B4:E4</f>
        <v>0</v>
      </c>
      <c r="C4" s="340"/>
      <c r="D4" s="340"/>
      <c r="E4" s="341"/>
      <c r="F4" s="266" t="s">
        <v>99</v>
      </c>
      <c r="G4" s="267"/>
      <c r="H4" s="267"/>
      <c r="I4" s="268"/>
      <c r="J4" s="342">
        <f>'Evaluation Report_Initial'!J4:M4</f>
        <v>0</v>
      </c>
      <c r="K4" s="343"/>
      <c r="L4" s="343"/>
      <c r="M4" s="344"/>
    </row>
    <row r="5" spans="1:21" ht="15" customHeight="1" x14ac:dyDescent="0.2">
      <c r="A5" s="106" t="s">
        <v>412</v>
      </c>
      <c r="B5" s="339">
        <f>'Evaluation Report_Initial'!B5:E5</f>
        <v>0</v>
      </c>
      <c r="C5" s="340"/>
      <c r="D5" s="340"/>
      <c r="E5" s="341"/>
      <c r="F5" s="266" t="s">
        <v>8</v>
      </c>
      <c r="G5" s="267"/>
      <c r="H5" s="267"/>
      <c r="I5" s="268"/>
      <c r="J5" s="342">
        <f>'Evaluation Report_Initial'!J5:M5</f>
        <v>0</v>
      </c>
      <c r="K5" s="343"/>
      <c r="L5" s="343"/>
      <c r="M5" s="344"/>
    </row>
    <row r="6" spans="1:21" ht="15" customHeight="1" x14ac:dyDescent="0.2">
      <c r="A6" s="106" t="s">
        <v>413</v>
      </c>
      <c r="B6" s="339">
        <f>'Evaluation Report_Initial'!B6:E6</f>
        <v>0</v>
      </c>
      <c r="C6" s="340"/>
      <c r="D6" s="340"/>
      <c r="E6" s="341"/>
      <c r="F6" s="113" t="s">
        <v>21</v>
      </c>
      <c r="G6" s="114"/>
      <c r="H6" s="114"/>
      <c r="I6" s="115"/>
      <c r="J6" s="342">
        <f>'Evaluation Report_Initial'!J6:M6</f>
        <v>0</v>
      </c>
      <c r="K6" s="343"/>
      <c r="L6" s="343"/>
      <c r="M6" s="344"/>
    </row>
    <row r="7" spans="1:21" ht="15" customHeight="1" x14ac:dyDescent="0.2">
      <c r="A7" s="106" t="s">
        <v>2</v>
      </c>
      <c r="B7" s="339">
        <f>'Evaluation Report_Initial'!B7:E7</f>
        <v>0</v>
      </c>
      <c r="C7" s="340"/>
      <c r="D7" s="340"/>
      <c r="E7" s="341"/>
      <c r="F7" s="266" t="s">
        <v>10</v>
      </c>
      <c r="G7" s="267"/>
      <c r="H7" s="267"/>
      <c r="I7" s="268"/>
      <c r="J7" s="342">
        <f>'Evaluation Report_Initial'!J7:M7</f>
        <v>0</v>
      </c>
      <c r="K7" s="343"/>
      <c r="L7" s="343"/>
      <c r="M7" s="344"/>
    </row>
    <row r="8" spans="1:21" ht="15" customHeight="1" x14ac:dyDescent="0.2">
      <c r="A8" s="106" t="s">
        <v>1</v>
      </c>
      <c r="B8" s="347">
        <f>'Evaluation Report_Initial'!B8:E8</f>
        <v>0</v>
      </c>
      <c r="C8" s="348"/>
      <c r="D8" s="348"/>
      <c r="E8" s="349"/>
      <c r="F8" s="266" t="s">
        <v>6</v>
      </c>
      <c r="G8" s="267"/>
      <c r="H8" s="267"/>
      <c r="I8" s="268"/>
      <c r="J8" s="342">
        <f>'Evaluation Report_Initial'!J8:M8</f>
        <v>0</v>
      </c>
      <c r="K8" s="343"/>
      <c r="L8" s="343"/>
      <c r="M8" s="344"/>
    </row>
    <row r="9" spans="1:21" ht="15" customHeight="1" thickBot="1" x14ac:dyDescent="0.25">
      <c r="A9" s="106" t="s">
        <v>27</v>
      </c>
      <c r="B9" s="339">
        <f>'Evaluation Report_Initial'!B9:E9</f>
        <v>0</v>
      </c>
      <c r="C9" s="340"/>
      <c r="D9" s="340"/>
      <c r="E9" s="341"/>
      <c r="F9" s="287" t="s">
        <v>3</v>
      </c>
      <c r="G9" s="288"/>
      <c r="H9" s="288"/>
      <c r="I9" s="289"/>
      <c r="J9" s="356">
        <f>'Evaluation Report_Initial'!J9:M10</f>
        <v>1000</v>
      </c>
      <c r="K9" s="357"/>
      <c r="L9" s="357"/>
      <c r="M9" s="358"/>
    </row>
    <row r="10" spans="1:21" ht="15" customHeight="1" thickTop="1" thickBot="1" x14ac:dyDescent="0.25">
      <c r="A10" s="107" t="s">
        <v>26</v>
      </c>
      <c r="B10" s="350">
        <f>'Evaluation Report_Initial'!B10:E10</f>
        <v>0</v>
      </c>
      <c r="C10" s="351"/>
      <c r="D10" s="351"/>
      <c r="E10" s="352"/>
      <c r="F10" s="290" t="s">
        <v>6272</v>
      </c>
      <c r="G10" s="291"/>
      <c r="H10" s="291"/>
      <c r="I10" s="292"/>
      <c r="J10" s="359" t="str">
        <f>'Evaluation Report_Initial'!$J$10</f>
        <v>Publishable</v>
      </c>
      <c r="K10" s="360"/>
      <c r="L10" s="360"/>
      <c r="M10" s="361"/>
    </row>
    <row r="11" spans="1:21" ht="9.9499999999999993" customHeight="1" thickTop="1" thickBot="1" x14ac:dyDescent="0.25">
      <c r="F11" s="2"/>
      <c r="G11" s="2"/>
      <c r="H11" s="2"/>
      <c r="I11" s="2"/>
    </row>
    <row r="12" spans="1:21" ht="24.95" customHeight="1" thickTop="1" x14ac:dyDescent="0.2">
      <c r="A12" s="120" t="s">
        <v>92</v>
      </c>
      <c r="B12" s="353" t="s">
        <v>61</v>
      </c>
      <c r="C12" s="354"/>
      <c r="D12" s="353" t="s">
        <v>59</v>
      </c>
      <c r="E12" s="354"/>
      <c r="F12" s="353" t="s">
        <v>96</v>
      </c>
      <c r="G12" s="354"/>
      <c r="H12" s="353" t="s">
        <v>62</v>
      </c>
      <c r="I12" s="354"/>
      <c r="J12" s="353" t="s">
        <v>96</v>
      </c>
      <c r="K12" s="355"/>
      <c r="L12" s="345" t="s">
        <v>120</v>
      </c>
      <c r="M12" s="346"/>
      <c r="P12" s="334" t="s">
        <v>6287</v>
      </c>
      <c r="Q12" s="335"/>
      <c r="R12" s="335"/>
      <c r="S12" s="335"/>
      <c r="T12" s="335"/>
      <c r="U12" s="336"/>
    </row>
    <row r="13" spans="1:21" ht="15" x14ac:dyDescent="0.25">
      <c r="A13" s="128" t="s">
        <v>46</v>
      </c>
      <c r="B13" s="246" t="s">
        <v>51</v>
      </c>
      <c r="C13" s="247"/>
      <c r="D13" s="245">
        <f xml:space="preserve"> IF(COUNTIF('Evaluation details_input'!$I$4:$I$500,"*accepted")=0,'Evaluation Report_Initial'!D13,COUNTIFS('Evaluation details_input'!$O$3:$O$99,$A13,'Evaluation details_input'!$P$3:$P$99,D$12)+COUNTIFS('Evaluation details_input'!$F$3:$F$99,$A13,'Evaluation details_input'!$G$3:$G$99,D$12,'Evaluation details_input'!$I$3:$I$99,"Not accepted",'Evaluation details_input'!$M$3:$M$99,"Disagree with original translator", 'Evaluation details_input'!$O$3:$O$99,"")+COUNTIFS('Evaluation details_input'!$F$3:$F$99,$A13,'Evaluation details_input'!$G$3:$G$99,D$12,'Evaluation details_input'!$I$3:$I$99,"Accepted", 'Evaluation details_input'!$O$3:$O$99,""))</f>
        <v>0</v>
      </c>
      <c r="E13" s="210"/>
      <c r="F13" s="221">
        <f t="shared" ref="F13:F20" si="0">D13*VLOOKUP($J$10&amp;$A13,adequacy_weight,2,FALSE)</f>
        <v>0</v>
      </c>
      <c r="G13" s="221"/>
      <c r="H13" s="245">
        <f xml:space="preserve"> IF(COUNTIF('Evaluation details_input'!$I$4:$I$500,"*accepted")=0,'Evaluation Report_Initial'!H13,COUNTIFS('Evaluation details_input'!$O$3:$O$99,$A13,'Evaluation details_input'!$P$3:$P$99,H$12)+COUNTIFS('Evaluation details_input'!$F$3:$F$99,$A13,'Evaluation details_input'!$G$3:$G$99,H$12,'Evaluation details_input'!$I$3:$I$99,"Not accepted",'Evaluation details_input'!$M$3:$M$99,"Disagree with original translator", 'Evaluation details_input'!$O$3:$O$99,"")+COUNTIFS('Evaluation details_input'!$F$3:$F$99,$A13,'Evaluation details_input'!$G$3:$G$99,H$12,'Evaluation details_input'!$I$3:$I$99,"Accepted", 'Evaluation details_input'!$O$3:$O$99,""))</f>
        <v>0</v>
      </c>
      <c r="I13" s="210"/>
      <c r="J13" s="362">
        <f t="shared" ref="J13:J20" si="1">H13*VLOOKUP($J$10&amp;$A13,adequacy_weight,3,FALSE)</f>
        <v>0</v>
      </c>
      <c r="K13" s="363"/>
      <c r="L13" s="208">
        <f t="shared" ref="L13:L20" si="2">F13+J13</f>
        <v>0</v>
      </c>
      <c r="M13" s="209"/>
      <c r="P13" s="137" t="s">
        <v>6288</v>
      </c>
      <c r="Q13" s="141"/>
      <c r="R13" s="141"/>
      <c r="S13" s="139"/>
      <c r="T13" s="138" t="s">
        <v>6279</v>
      </c>
      <c r="U13" s="142"/>
    </row>
    <row r="14" spans="1:21" x14ac:dyDescent="0.2">
      <c r="A14" s="128" t="s">
        <v>47</v>
      </c>
      <c r="B14" s="246" t="s">
        <v>52</v>
      </c>
      <c r="C14" s="247"/>
      <c r="D14" s="245">
        <f xml:space="preserve"> IF(COUNTIF('Evaluation details_input'!$I$4:$I$500,"*accepted")=0,'Evaluation Report_Initial'!D14,COUNTIFS('Evaluation details_input'!$O$3:$O$99,$A14,'Evaluation details_input'!$P$3:$P$99,D$12)+COUNTIFS('Evaluation details_input'!$F$3:$F$99,$A14,'Evaluation details_input'!$G$3:$G$99,D$12,'Evaluation details_input'!$I$3:$I$99,"Not accepted",'Evaluation details_input'!$M$3:$M$99,"Disagree with original translator", 'Evaluation details_input'!$O$3:$O$99,"")+COUNTIFS('Evaluation details_input'!$F$3:$F$99,$A14,'Evaluation details_input'!$G$3:$G$99,D$12,'Evaluation details_input'!$I$3:$I$99,"Accepted", 'Evaluation details_input'!$O$3:$O$99,""))</f>
        <v>0</v>
      </c>
      <c r="E14" s="210"/>
      <c r="F14" s="221">
        <f t="shared" si="0"/>
        <v>0</v>
      </c>
      <c r="G14" s="221"/>
      <c r="H14" s="245">
        <f xml:space="preserve"> IF(COUNTIF('Evaluation details_input'!$I$4:$I$500,"*accepted")=0,'Evaluation Report_Initial'!H14,COUNTIFS('Evaluation details_input'!$O$3:$O$99,$A14,'Evaluation details_input'!$P$3:$P$99,H$12)+COUNTIFS('Evaluation details_input'!$F$3:$F$99,$A14,'Evaluation details_input'!$G$3:$G$99,H$12,'Evaluation details_input'!$I$3:$I$99,"Not accepted",'Evaluation details_input'!$M$3:$M$99,"Disagree with original translator", 'Evaluation details_input'!$O$3:$O$99,"")+COUNTIFS('Evaluation details_input'!$F$3:$F$99,$A14,'Evaluation details_input'!$G$3:$G$99,H$12,'Evaluation details_input'!$I$3:$I$99,"Accepted", 'Evaluation details_input'!$O$3:$O$99,""))</f>
        <v>0</v>
      </c>
      <c r="I14" s="210"/>
      <c r="J14" s="362">
        <f t="shared" si="1"/>
        <v>0</v>
      </c>
      <c r="K14" s="363"/>
      <c r="L14" s="208">
        <f t="shared" si="2"/>
        <v>0</v>
      </c>
      <c r="M14" s="209"/>
      <c r="P14" s="330">
        <f>COUNTIF('Evaluation details_input'!$I$4:$I500,"Accepted")</f>
        <v>0</v>
      </c>
      <c r="Q14" s="331"/>
      <c r="R14" s="2"/>
      <c r="S14" s="2"/>
      <c r="T14" s="2">
        <f>COUNTIF('Evaluation details_input'!$I$4:$I500,"Not accepted")</f>
        <v>0</v>
      </c>
      <c r="U14" s="8"/>
    </row>
    <row r="15" spans="1:21" x14ac:dyDescent="0.2">
      <c r="A15" s="128" t="s">
        <v>48</v>
      </c>
      <c r="B15" s="221" t="s">
        <v>53</v>
      </c>
      <c r="C15" s="211"/>
      <c r="D15" s="245">
        <f xml:space="preserve"> IF(COUNTIF('Evaluation details_input'!$I$4:$I$500,"*accepted")=0,'Evaluation Report_Initial'!D15,COUNTIFS('Evaluation details_input'!$O$3:$O$99,$A15,'Evaluation details_input'!$P$3:$P$99,D$12)+COUNTIFS('Evaluation details_input'!$F$3:$F$99,$A15,'Evaluation details_input'!$G$3:$G$99,D$12,'Evaluation details_input'!$I$3:$I$99,"Not accepted",'Evaluation details_input'!$M$3:$M$99,"Disagree with original translator", 'Evaluation details_input'!$O$3:$O$99,"")+COUNTIFS('Evaluation details_input'!$F$3:$F$99,$A15,'Evaluation details_input'!$G$3:$G$99,D$12,'Evaluation details_input'!$I$3:$I$99,"Accepted", 'Evaluation details_input'!$O$3:$O$99,""))</f>
        <v>0</v>
      </c>
      <c r="E15" s="210"/>
      <c r="F15" s="221">
        <f t="shared" si="0"/>
        <v>0</v>
      </c>
      <c r="G15" s="221"/>
      <c r="H15" s="245">
        <f xml:space="preserve"> IF(COUNTIF('Evaluation details_input'!$I$4:$I$500,"*accepted")=0,'Evaluation Report_Initial'!H15,COUNTIFS('Evaluation details_input'!$O$3:$O$99,$A15,'Evaluation details_input'!$P$3:$P$99,H$12)+COUNTIFS('Evaluation details_input'!$F$3:$F$99,$A15,'Evaluation details_input'!$G$3:$G$99,H$12,'Evaluation details_input'!$I$3:$I$99,"Not accepted",'Evaluation details_input'!$M$3:$M$99,"Disagree with original translator", 'Evaluation details_input'!$O$3:$O$99,"")+COUNTIFS('Evaluation details_input'!$F$3:$F$99,$A15,'Evaluation details_input'!$G$3:$G$99,H$12,'Evaluation details_input'!$I$3:$I$99,"Accepted", 'Evaluation details_input'!$O$3:$O$99,""))</f>
        <v>0</v>
      </c>
      <c r="I15" s="210"/>
      <c r="J15" s="362">
        <f t="shared" si="1"/>
        <v>0</v>
      </c>
      <c r="K15" s="363"/>
      <c r="L15" s="208">
        <f t="shared" si="2"/>
        <v>0</v>
      </c>
      <c r="M15" s="209"/>
      <c r="P15" s="10"/>
      <c r="Q15" s="2"/>
      <c r="R15" s="2"/>
      <c r="S15" s="2"/>
      <c r="T15" s="2"/>
      <c r="U15" s="8"/>
    </row>
    <row r="16" spans="1:21" ht="15" x14ac:dyDescent="0.25">
      <c r="A16" s="128" t="s">
        <v>49</v>
      </c>
      <c r="B16" s="221" t="s">
        <v>54</v>
      </c>
      <c r="C16" s="211"/>
      <c r="D16" s="245">
        <f xml:space="preserve"> IF(COUNTIF('Evaluation details_input'!$I$4:$I$500,"*accepted")=0,'Evaluation Report_Initial'!D16,COUNTIFS('Evaluation details_input'!$O$3:$O$99,$A16,'Evaluation details_input'!$P$3:$P$99,D$12)+COUNTIFS('Evaluation details_input'!$F$3:$F$99,$A16,'Evaluation details_input'!$G$3:$G$99,D$12,'Evaluation details_input'!$I$3:$I$99,"Not accepted",'Evaluation details_input'!$M$3:$M$99,"Disagree with original translator", 'Evaluation details_input'!$O$3:$O$99,"")+COUNTIFS('Evaluation details_input'!$F$3:$F$99,$A16,'Evaluation details_input'!$G$3:$G$99,D$12,'Evaluation details_input'!$I$3:$I$99,"Accepted", 'Evaluation details_input'!$O$3:$O$99,""))</f>
        <v>0</v>
      </c>
      <c r="E16" s="210"/>
      <c r="F16" s="221">
        <f t="shared" si="0"/>
        <v>0</v>
      </c>
      <c r="G16" s="221"/>
      <c r="H16" s="245">
        <f xml:space="preserve"> IF(COUNTIF('Evaluation details_input'!$I$4:$I$500,"*accepted")=0,'Evaluation Report_Initial'!H16,COUNTIFS('Evaluation details_input'!$O$3:$O$99,$A16,'Evaluation details_input'!$P$3:$P$99,H$12)+COUNTIFS('Evaluation details_input'!$F$3:$F$99,$A16,'Evaluation details_input'!$G$3:$G$99,H$12,'Evaluation details_input'!$I$3:$I$99,"Not accepted",'Evaluation details_input'!$M$3:$M$99,"Disagree with original translator", 'Evaluation details_input'!$O$3:$O$99,"")+COUNTIFS('Evaluation details_input'!$F$3:$F$99,$A16,'Evaluation details_input'!$G$3:$G$99,H$12,'Evaluation details_input'!$I$3:$I$99,"Accepted", 'Evaluation details_input'!$O$3:$O$99,""))</f>
        <v>0</v>
      </c>
      <c r="I16" s="210"/>
      <c r="J16" s="362">
        <f t="shared" si="1"/>
        <v>0</v>
      </c>
      <c r="K16" s="363"/>
      <c r="L16" s="208">
        <f t="shared" si="2"/>
        <v>0</v>
      </c>
      <c r="M16" s="209"/>
      <c r="P16" s="137" t="s">
        <v>6290</v>
      </c>
      <c r="Q16" s="141"/>
      <c r="R16" s="141"/>
      <c r="S16" s="138" t="s">
        <v>6291</v>
      </c>
      <c r="T16" s="141"/>
      <c r="U16" s="142"/>
    </row>
    <row r="17" spans="1:28" x14ac:dyDescent="0.2">
      <c r="A17" s="129" t="s">
        <v>50</v>
      </c>
      <c r="B17" s="221" t="s">
        <v>55</v>
      </c>
      <c r="C17" s="211"/>
      <c r="D17" s="245">
        <f xml:space="preserve"> IF(COUNTIF('Evaluation details_input'!$I$4:$I$500,"*accepted")=0,'Evaluation Report_Initial'!D17,COUNTIFS('Evaluation details_input'!$O$3:$O$99,$A17,'Evaluation details_input'!$P$3:$P$99,D$12)+COUNTIFS('Evaluation details_input'!$F$3:$F$99,$A17,'Evaluation details_input'!$G$3:$G$99,D$12,'Evaluation details_input'!$I$3:$I$99,"Not accepted",'Evaluation details_input'!$M$3:$M$99,"Disagree with original translator", 'Evaluation details_input'!$O$3:$O$99,"")+COUNTIFS('Evaluation details_input'!$F$3:$F$99,$A17,'Evaluation details_input'!$G$3:$G$99,D$12,'Evaluation details_input'!$I$3:$I$99,"Accepted", 'Evaluation details_input'!$O$3:$O$99,""))</f>
        <v>0</v>
      </c>
      <c r="E17" s="210"/>
      <c r="F17" s="221">
        <f t="shared" si="0"/>
        <v>0</v>
      </c>
      <c r="G17" s="221"/>
      <c r="H17" s="245">
        <f xml:space="preserve"> IF(COUNTIF('Evaluation details_input'!$I$4:$I$500,"*accepted")=0,'Evaluation Report_Initial'!H17,COUNTIFS('Evaluation details_input'!$O$3:$O$99,$A17,'Evaluation details_input'!$P$3:$P$99,H$12)+COUNTIFS('Evaluation details_input'!$F$3:$F$99,$A17,'Evaluation details_input'!$G$3:$G$99,H$12,'Evaluation details_input'!$I$3:$I$99,"Not accepted",'Evaluation details_input'!$M$3:$M$99,"Disagree with original translator", 'Evaluation details_input'!$O$3:$O$99,"")+COUNTIFS('Evaluation details_input'!$F$3:$F$99,$A17,'Evaluation details_input'!$G$3:$G$99,H$12,'Evaluation details_input'!$I$3:$I$99,"Accepted", 'Evaluation details_input'!$O$3:$O$99,""))</f>
        <v>0</v>
      </c>
      <c r="I17" s="210"/>
      <c r="J17" s="362">
        <f t="shared" si="1"/>
        <v>0</v>
      </c>
      <c r="K17" s="363"/>
      <c r="L17" s="208">
        <f t="shared" si="2"/>
        <v>0</v>
      </c>
      <c r="M17" s="209"/>
      <c r="P17" s="330">
        <f>COUNTIFS('Evaluation details_input'!$M$4:$M$500,"Agree with original translator",'Evaluation details_input'!$I$4:$I$500,"Not accepted")</f>
        <v>0</v>
      </c>
      <c r="Q17" s="331"/>
      <c r="R17" s="2"/>
      <c r="S17" s="2"/>
      <c r="T17" s="2">
        <f>COUNTIFS('Evaluation details_input'!$M$4:$M$500,"Disagree with original translator",'Evaluation details_input'!$I$4:$I$500,"Not accepted")</f>
        <v>0</v>
      </c>
      <c r="U17" s="8"/>
    </row>
    <row r="18" spans="1:28" x14ac:dyDescent="0.2">
      <c r="A18" s="129" t="s">
        <v>7</v>
      </c>
      <c r="B18" s="221" t="s">
        <v>56</v>
      </c>
      <c r="C18" s="211"/>
      <c r="D18" s="245">
        <f xml:space="preserve"> IF(COUNTIF('Evaluation details_input'!$I$4:$I$500,"*accepted")=0,'Evaluation Report_Initial'!D18,COUNTIFS('Evaluation details_input'!$O$3:$O$99,$A18,'Evaluation details_input'!$P$3:$P$99,D$12)+COUNTIFS('Evaluation details_input'!$F$3:$F$99,$A18,'Evaluation details_input'!$G$3:$G$99,D$12,'Evaluation details_input'!$I$3:$I$99,"Not accepted",'Evaluation details_input'!$M$3:$M$99,"Disagree with original translator", 'Evaluation details_input'!$O$3:$O$99,"")+COUNTIFS('Evaluation details_input'!$F$3:$F$99,$A18,'Evaluation details_input'!$G$3:$G$99,D$12,'Evaluation details_input'!$I$3:$I$99,"Accepted", 'Evaluation details_input'!$O$3:$O$99,""))</f>
        <v>0</v>
      </c>
      <c r="E18" s="210"/>
      <c r="F18" s="221">
        <f t="shared" si="0"/>
        <v>0</v>
      </c>
      <c r="G18" s="221"/>
      <c r="H18" s="245">
        <f xml:space="preserve"> IF(COUNTIF('Evaluation details_input'!$I$4:$I$500,"*accepted")=0,'Evaluation Report_Initial'!H18,COUNTIFS('Evaluation details_input'!$O$3:$O$99,$A18,'Evaluation details_input'!$P$3:$P$99,H$12)+COUNTIFS('Evaluation details_input'!$F$3:$F$99,$A18,'Evaluation details_input'!$G$3:$G$99,H$12,'Evaluation details_input'!$I$3:$I$99,"Not accepted",'Evaluation details_input'!$M$3:$M$99,"Disagree with original translator", 'Evaluation details_input'!$O$3:$O$99,"")+COUNTIFS('Evaluation details_input'!$F$3:$F$99,$A18,'Evaluation details_input'!$G$3:$G$99,H$12,'Evaluation details_input'!$I$3:$I$99,"Accepted", 'Evaluation details_input'!$O$3:$O$99,""))</f>
        <v>0</v>
      </c>
      <c r="I18" s="210"/>
      <c r="J18" s="362">
        <f t="shared" si="1"/>
        <v>0</v>
      </c>
      <c r="K18" s="363"/>
      <c r="L18" s="208">
        <f t="shared" si="2"/>
        <v>0</v>
      </c>
      <c r="M18" s="209"/>
      <c r="P18" s="10"/>
      <c r="Q18" s="2"/>
      <c r="R18" s="2"/>
      <c r="S18" s="2"/>
      <c r="T18" s="2"/>
      <c r="U18" s="8"/>
    </row>
    <row r="19" spans="1:28" x14ac:dyDescent="0.2">
      <c r="A19" s="129" t="s">
        <v>5</v>
      </c>
      <c r="B19" s="221" t="s">
        <v>57</v>
      </c>
      <c r="C19" s="211"/>
      <c r="D19" s="245">
        <f xml:space="preserve"> IF(COUNTIF('Evaluation details_input'!$I$4:$I$500,"*accepted")=0,'Evaluation Report_Initial'!D19,COUNTIFS('Evaluation details_input'!$O$3:$O$99,$A19,'Evaluation details_input'!$P$3:$P$99,D$12)+COUNTIFS('Evaluation details_input'!$F$3:$F$99,$A19,'Evaluation details_input'!$G$3:$G$99,D$12,'Evaluation details_input'!$I$3:$I$99,"Not accepted",'Evaluation details_input'!$M$3:$M$99,"Disagree with original translator", 'Evaluation details_input'!$O$3:$O$99,"")+COUNTIFS('Evaluation details_input'!$F$3:$F$99,$A19,'Evaluation details_input'!$G$3:$G$99,D$12,'Evaluation details_input'!$I$3:$I$99,"Accepted", 'Evaluation details_input'!$O$3:$O$99,""))</f>
        <v>0</v>
      </c>
      <c r="E19" s="210"/>
      <c r="F19" s="221">
        <f t="shared" si="0"/>
        <v>0</v>
      </c>
      <c r="G19" s="221"/>
      <c r="H19" s="245">
        <f xml:space="preserve"> IF(COUNTIF('Evaluation details_input'!$I$4:$I$500,"*accepted")=0,'Evaluation Report_Initial'!H19,COUNTIFS('Evaluation details_input'!$O$3:$O$99,$A19,'Evaluation details_input'!$P$3:$P$99,H$12)+COUNTIFS('Evaluation details_input'!$F$3:$F$99,$A19,'Evaluation details_input'!$G$3:$G$99,H$12,'Evaluation details_input'!$I$3:$I$99,"Not accepted",'Evaluation details_input'!$M$3:$M$99,"Disagree with original translator", 'Evaluation details_input'!$O$3:$O$99,"")+COUNTIFS('Evaluation details_input'!$F$3:$F$99,$A19,'Evaluation details_input'!$G$3:$G$99,H$12,'Evaluation details_input'!$I$3:$I$99,"Accepted", 'Evaluation details_input'!$O$3:$O$99,""))</f>
        <v>0</v>
      </c>
      <c r="I19" s="210"/>
      <c r="J19" s="362">
        <f t="shared" si="1"/>
        <v>0</v>
      </c>
      <c r="K19" s="363"/>
      <c r="L19" s="208">
        <f t="shared" si="2"/>
        <v>0</v>
      </c>
      <c r="M19" s="209"/>
      <c r="P19" s="137" t="s">
        <v>6292</v>
      </c>
      <c r="Q19" s="138"/>
      <c r="R19" s="138"/>
      <c r="S19" s="145" t="s">
        <v>6293</v>
      </c>
      <c r="T19" s="144"/>
      <c r="U19" s="140"/>
    </row>
    <row r="20" spans="1:28" ht="15" thickBot="1" x14ac:dyDescent="0.25">
      <c r="A20" s="130" t="s">
        <v>64</v>
      </c>
      <c r="B20" s="222" t="s">
        <v>58</v>
      </c>
      <c r="C20" s="223"/>
      <c r="D20" s="224">
        <f xml:space="preserve"> IF(COUNTIF('Evaluation details_input'!$I$4:$I$500,"*accepted")=0,'Evaluation Report_Initial'!D20,COUNTIFS('Evaluation details_input'!$O$3:$O$99,$A20,'Evaluation details_input'!$P$3:$P$99,D$12)+COUNTIFS('Evaluation details_input'!$F$3:$F$99,$A20,'Evaluation details_input'!$G$3:$G$99,D$12,'Evaluation details_input'!$I$3:$I$99,"Not accepted",'Evaluation details_input'!$M$3:$M$99,"Disagree with original translator", 'Evaluation details_input'!$O$3:$O$99,"")+COUNTIFS('Evaluation details_input'!$F$3:$F$99,$A20,'Evaluation details_input'!$G$3:$G$99,D$12,'Evaluation details_input'!$I$3:$I$99,"Accepted", 'Evaluation details_input'!$O$3:$O$99,""))</f>
        <v>0</v>
      </c>
      <c r="E20" s="224"/>
      <c r="F20" s="222">
        <f t="shared" si="0"/>
        <v>0</v>
      </c>
      <c r="G20" s="223"/>
      <c r="H20" s="224">
        <f xml:space="preserve"> IF(COUNTIF('Evaluation details_input'!$I$4:$I$500,"*accepted")=0,'Evaluation Report_Initial'!H20,COUNTIFS('Evaluation details_input'!$O$3:$O$99,$A20,'Evaluation details_input'!$P$3:$P$99,H$12)+COUNTIFS('Evaluation details_input'!$F$3:$F$99,$A20,'Evaluation details_input'!$G$3:$G$99,H$12,'Evaluation details_input'!$I$3:$I$99,"Not accepted",'Evaluation details_input'!$M$3:$M$99,"Disagree with original translator", 'Evaluation details_input'!$O$3:$O$99,"")+COUNTIFS('Evaluation details_input'!$F$3:$F$99,$A20,'Evaluation details_input'!$G$3:$G$99,H$12,'Evaluation details_input'!$I$3:$I$99,"Accepted", 'Evaluation details_input'!$O$3:$O$99,""))</f>
        <v>0</v>
      </c>
      <c r="I20" s="224"/>
      <c r="J20" s="222">
        <f t="shared" si="1"/>
        <v>0</v>
      </c>
      <c r="K20" s="223"/>
      <c r="L20" s="239">
        <f t="shared" si="2"/>
        <v>0</v>
      </c>
      <c r="M20" s="240"/>
      <c r="P20" s="332">
        <f>IF(P14+T14=0,0,P17/(P14+T14)*100)</f>
        <v>0</v>
      </c>
      <c r="Q20" s="333"/>
      <c r="R20" s="143"/>
      <c r="S20" s="143"/>
      <c r="T20" s="147">
        <f>IF(P14+T14=0,0,T14/(P14+T14)*100)</f>
        <v>0</v>
      </c>
      <c r="U20" s="146"/>
    </row>
    <row r="21" spans="1:28" ht="9.9499999999999993" customHeight="1" thickTop="1" thickBot="1" x14ac:dyDescent="0.25">
      <c r="A21" s="39"/>
      <c r="B21" s="35"/>
      <c r="C21" s="36"/>
      <c r="D21" s="35"/>
      <c r="E21" s="35"/>
      <c r="F21" s="35"/>
      <c r="G21" s="35"/>
      <c r="H21" s="35"/>
      <c r="I21" s="35"/>
      <c r="J21" s="36"/>
      <c r="K21" s="36"/>
      <c r="L21" s="36"/>
      <c r="M21" s="4"/>
    </row>
    <row r="22" spans="1:28" ht="14.25" customHeight="1" thickBot="1" x14ac:dyDescent="0.25">
      <c r="A22" s="39"/>
      <c r="B22" s="376" t="s">
        <v>6304</v>
      </c>
      <c r="C22" s="377"/>
      <c r="D22" s="377"/>
      <c r="E22" s="377"/>
      <c r="F22" s="58">
        <f>COUNTIF('Evaluation details_input'!$R$4:$R$100,1)</f>
        <v>0</v>
      </c>
      <c r="G22" s="42"/>
      <c r="H22" s="378" t="s">
        <v>65</v>
      </c>
      <c r="I22" s="379"/>
      <c r="J22" s="379"/>
      <c r="K22" s="379"/>
      <c r="L22" s="58">
        <f>COUNTIF('Evaluation details_input'!$S$4:$S$100,1)</f>
        <v>0</v>
      </c>
      <c r="M22" s="4"/>
    </row>
    <row r="23" spans="1:28" ht="9.9499999999999993" customHeight="1" thickBot="1" x14ac:dyDescent="0.25">
      <c r="A23" s="3"/>
      <c r="B23" s="242"/>
      <c r="C23" s="242"/>
      <c r="D23" s="4"/>
      <c r="E23" s="4"/>
      <c r="F23" s="228"/>
      <c r="G23" s="228"/>
      <c r="H23" s="4"/>
      <c r="I23" s="4"/>
      <c r="J23" s="19"/>
      <c r="K23" s="18"/>
      <c r="L23" s="18"/>
      <c r="M23" s="14"/>
    </row>
    <row r="24" spans="1:28" ht="18.75" thickTop="1" x14ac:dyDescent="0.25">
      <c r="A24" s="325" t="s">
        <v>4</v>
      </c>
      <c r="B24" s="326"/>
      <c r="C24" s="326"/>
      <c r="D24" s="326"/>
      <c r="E24" s="326"/>
      <c r="F24" s="326"/>
      <c r="G24" s="326"/>
      <c r="H24" s="326"/>
      <c r="I24" s="326"/>
      <c r="J24" s="326"/>
      <c r="K24" s="326"/>
      <c r="L24" s="326"/>
      <c r="M24" s="327"/>
      <c r="N24" s="43"/>
      <c r="P24" s="325" t="s">
        <v>6284</v>
      </c>
      <c r="Q24" s="326"/>
      <c r="R24" s="326"/>
      <c r="S24" s="326"/>
      <c r="T24" s="326"/>
      <c r="U24" s="327"/>
      <c r="V24" s="135"/>
      <c r="W24" s="136"/>
      <c r="X24" s="136"/>
      <c r="Y24" s="136"/>
      <c r="Z24" s="136"/>
      <c r="AA24" s="136"/>
      <c r="AB24" s="136"/>
    </row>
    <row r="25" spans="1:28" ht="15.75" thickBot="1" x14ac:dyDescent="0.3">
      <c r="A25" s="7"/>
      <c r="B25" s="5"/>
      <c r="C25" s="5"/>
      <c r="D25" s="5"/>
      <c r="E25" s="5"/>
      <c r="F25" s="5"/>
      <c r="G25" s="5"/>
      <c r="H25" s="5"/>
      <c r="I25" s="2"/>
      <c r="J25" s="2"/>
      <c r="K25" s="2"/>
      <c r="L25" s="2"/>
      <c r="M25" s="8"/>
      <c r="N25" s="7"/>
      <c r="P25" s="10"/>
      <c r="Q25" s="2"/>
      <c r="R25" s="2"/>
      <c r="S25" s="2"/>
      <c r="T25" s="2"/>
      <c r="U25" s="8"/>
    </row>
    <row r="26" spans="1:28" ht="14.25" customHeight="1" x14ac:dyDescent="0.25">
      <c r="A26" s="9"/>
      <c r="B26" s="308" t="s">
        <v>97</v>
      </c>
      <c r="C26" s="309"/>
      <c r="D26" s="2"/>
      <c r="E26" s="319" t="s">
        <v>121</v>
      </c>
      <c r="F26" s="320"/>
      <c r="G26" s="321"/>
      <c r="H26" s="2"/>
      <c r="I26" s="312" t="s">
        <v>6263</v>
      </c>
      <c r="J26" s="313"/>
      <c r="K26" s="314"/>
      <c r="L26" s="38"/>
      <c r="M26" s="29"/>
      <c r="N26" s="9"/>
      <c r="P26" s="337" t="s">
        <v>6282</v>
      </c>
      <c r="Q26" s="338"/>
      <c r="R26" s="133">
        <f>COUNTIF('Evaluation details_input'!Q4:Q500,P26)</f>
        <v>0</v>
      </c>
      <c r="S26" s="2"/>
      <c r="T26" s="2"/>
      <c r="U26" s="8"/>
    </row>
    <row r="27" spans="1:28" ht="15" x14ac:dyDescent="0.25">
      <c r="A27" s="30"/>
      <c r="B27" s="310"/>
      <c r="C27" s="311"/>
      <c r="D27" s="2"/>
      <c r="E27" s="322"/>
      <c r="F27" s="323"/>
      <c r="G27" s="324"/>
      <c r="H27" s="2"/>
      <c r="I27" s="315"/>
      <c r="J27" s="316"/>
      <c r="K27" s="317"/>
      <c r="L27" s="38"/>
      <c r="M27" s="29"/>
      <c r="N27" s="30"/>
      <c r="P27" s="337" t="s">
        <v>6283</v>
      </c>
      <c r="Q27" s="338"/>
      <c r="R27" s="133">
        <f>COUNTIF('Evaluation details_input'!Q4:Q500,P27)</f>
        <v>0</v>
      </c>
      <c r="S27" s="2"/>
      <c r="T27" s="2"/>
      <c r="U27" s="8"/>
    </row>
    <row r="28" spans="1:28" ht="15.75" thickBot="1" x14ac:dyDescent="0.3">
      <c r="A28" s="31"/>
      <c r="B28" s="305">
        <f>ROUND('Evaluation Report_Final Result'!$J$9*(1/100),0)</f>
        <v>10</v>
      </c>
      <c r="C28" s="305"/>
      <c r="D28" s="2"/>
      <c r="E28" s="208">
        <f>SUM(L13:L20)</f>
        <v>0</v>
      </c>
      <c r="F28" s="328"/>
      <c r="G28" s="329"/>
      <c r="H28" s="2"/>
      <c r="I28" s="302">
        <f>1-(E28/J9)</f>
        <v>1</v>
      </c>
      <c r="J28" s="303"/>
      <c r="K28" s="304"/>
      <c r="L28" s="60"/>
      <c r="M28" s="8"/>
      <c r="N28" s="31"/>
      <c r="P28" s="337" t="s">
        <v>6289</v>
      </c>
      <c r="Q28" s="338"/>
      <c r="R28" s="133">
        <f>COUNTIF('Evaluation details_input'!Q4:Q500,P28)</f>
        <v>0</v>
      </c>
      <c r="S28" s="2"/>
      <c r="T28" s="2"/>
      <c r="U28" s="8"/>
    </row>
    <row r="29" spans="1:28" ht="15" thickBot="1" x14ac:dyDescent="0.25">
      <c r="A29" s="31"/>
      <c r="B29" s="2"/>
      <c r="C29" s="2"/>
      <c r="D29" s="32"/>
      <c r="E29" s="238"/>
      <c r="F29" s="238"/>
      <c r="G29" s="6"/>
      <c r="H29" s="2"/>
      <c r="J29" s="48"/>
      <c r="K29" s="48"/>
      <c r="L29" s="37"/>
      <c r="M29" s="29"/>
      <c r="N29" s="31"/>
      <c r="P29" s="10"/>
      <c r="Q29" s="2"/>
      <c r="R29" s="2"/>
      <c r="S29" s="2"/>
      <c r="T29" s="2"/>
      <c r="U29" s="8"/>
    </row>
    <row r="30" spans="1:28" ht="14.25" customHeight="1" x14ac:dyDescent="0.25">
      <c r="A30" s="31"/>
      <c r="B30" s="231" t="s">
        <v>101</v>
      </c>
      <c r="C30" s="231"/>
      <c r="D30" s="231"/>
      <c r="E30" s="231"/>
      <c r="F30" s="231"/>
      <c r="G30" s="231"/>
      <c r="H30" s="241" t="str">
        <f>IF(J30&gt;=4,"Pass","No Pass")</f>
        <v>Pass</v>
      </c>
      <c r="I30" s="241"/>
      <c r="J30" s="232">
        <f>7-(3*E28/B28)</f>
        <v>7</v>
      </c>
      <c r="K30" s="233"/>
      <c r="L30" s="234"/>
      <c r="M30" s="29"/>
      <c r="N30" s="31"/>
      <c r="P30" s="337" t="s">
        <v>6286</v>
      </c>
      <c r="Q30" s="338"/>
      <c r="R30" s="338"/>
      <c r="S30" s="134" t="str">
        <f>IF(R26+R27=0,"N/A",R26/(R26+R27)*100)</f>
        <v>N/A</v>
      </c>
      <c r="T30" s="2"/>
      <c r="U30" s="8"/>
    </row>
    <row r="31" spans="1:28" ht="14.25" customHeight="1" thickBot="1" x14ac:dyDescent="0.3">
      <c r="A31" s="31"/>
      <c r="B31" s="65" t="s">
        <v>122</v>
      </c>
      <c r="C31" s="46"/>
      <c r="D31" s="229">
        <v>4</v>
      </c>
      <c r="E31" s="230"/>
      <c r="F31" s="47"/>
      <c r="G31" s="66" t="s">
        <v>102</v>
      </c>
      <c r="H31" s="241"/>
      <c r="I31" s="241"/>
      <c r="J31" s="235"/>
      <c r="K31" s="236"/>
      <c r="L31" s="237"/>
      <c r="M31" s="49"/>
      <c r="N31" s="31"/>
      <c r="P31" s="337" t="s">
        <v>6285</v>
      </c>
      <c r="Q31" s="338"/>
      <c r="R31" s="338"/>
      <c r="S31" s="6" t="str">
        <f>IF(S30="N/A","N/A",IF(S30&gt;=95,"PASS","FAIL"))</f>
        <v>N/A</v>
      </c>
      <c r="T31" s="2"/>
      <c r="U31" s="8"/>
    </row>
    <row r="32" spans="1:28" x14ac:dyDescent="0.2">
      <c r="A32" s="31"/>
      <c r="B32" s="40" t="s">
        <v>22</v>
      </c>
      <c r="C32" s="33"/>
      <c r="D32" s="34"/>
      <c r="E32" s="34"/>
      <c r="F32" s="44"/>
      <c r="G32" s="41" t="s">
        <v>23</v>
      </c>
      <c r="I32" s="59"/>
      <c r="J32" s="227" t="s">
        <v>100</v>
      </c>
      <c r="K32" s="227"/>
      <c r="L32" s="227"/>
      <c r="M32" s="50"/>
      <c r="N32" s="31"/>
      <c r="P32" s="10"/>
      <c r="Q32" s="2"/>
      <c r="R32" s="2"/>
      <c r="S32" s="2"/>
      <c r="T32" s="2"/>
      <c r="U32" s="8"/>
    </row>
    <row r="33" spans="1:21" ht="15" thickBot="1" x14ac:dyDescent="0.25">
      <c r="A33" s="11"/>
      <c r="B33" s="12"/>
      <c r="C33" s="12"/>
      <c r="D33" s="12"/>
      <c r="E33" s="12"/>
      <c r="F33" s="12"/>
      <c r="G33" s="12"/>
      <c r="H33" s="12"/>
      <c r="I33" s="12"/>
      <c r="J33" s="12"/>
      <c r="K33" s="12"/>
      <c r="L33" s="12"/>
      <c r="M33" s="13"/>
      <c r="N33" s="10"/>
      <c r="P33" s="11"/>
      <c r="Q33" s="12"/>
      <c r="R33" s="12"/>
      <c r="S33" s="12"/>
      <c r="T33" s="12"/>
      <c r="U33" s="13"/>
    </row>
    <row r="34" spans="1:21" ht="15" thickTop="1" x14ac:dyDescent="0.2"/>
    <row r="35" spans="1:21" x14ac:dyDescent="0.2">
      <c r="A35" s="103" t="s">
        <v>9</v>
      </c>
      <c r="B35" s="104" t="s">
        <v>388</v>
      </c>
      <c r="C35" s="104"/>
      <c r="D35" s="104"/>
      <c r="E35" s="104"/>
      <c r="F35" s="104"/>
      <c r="G35" s="104"/>
      <c r="H35" s="104"/>
    </row>
    <row r="36" spans="1:21" x14ac:dyDescent="0.2">
      <c r="B36" s="104" t="s">
        <v>119</v>
      </c>
      <c r="C36" s="104"/>
      <c r="D36" s="104"/>
      <c r="E36" s="104"/>
      <c r="F36" s="104"/>
      <c r="G36" s="104"/>
      <c r="H36" s="104"/>
    </row>
    <row r="37" spans="1:21" ht="15" thickBot="1" x14ac:dyDescent="0.25">
      <c r="A37" s="15"/>
      <c r="B37" s="16"/>
      <c r="C37" s="16"/>
      <c r="D37" s="16"/>
      <c r="E37" s="16"/>
      <c r="F37" s="16"/>
      <c r="G37" s="16"/>
      <c r="H37" s="16"/>
      <c r="I37" s="17"/>
      <c r="J37" s="17"/>
      <c r="K37" s="17"/>
      <c r="L37" s="17"/>
      <c r="M37" s="17"/>
    </row>
    <row r="38" spans="1:21" ht="29.25" customHeight="1" thickTop="1" thickBot="1" x14ac:dyDescent="0.25">
      <c r="A38" s="219" t="s">
        <v>6294</v>
      </c>
      <c r="B38" s="220"/>
      <c r="C38" s="220"/>
      <c r="D38" s="220"/>
      <c r="E38" s="220"/>
      <c r="F38" s="148" t="s">
        <v>6296</v>
      </c>
      <c r="G38" s="148"/>
      <c r="H38" s="148"/>
      <c r="I38" s="148"/>
      <c r="J38" s="148"/>
      <c r="K38" s="148"/>
      <c r="L38" s="374">
        <f>'Evaluation Report_Initial'!L38:L38</f>
        <v>0</v>
      </c>
      <c r="M38" s="375"/>
    </row>
    <row r="39" spans="1:21" ht="15" thickTop="1" x14ac:dyDescent="0.2">
      <c r="A39" s="364">
        <f>'Evaluation Report_Initial'!A39:M47</f>
        <v>0</v>
      </c>
      <c r="B39" s="365"/>
      <c r="C39" s="365"/>
      <c r="D39" s="365"/>
      <c r="E39" s="365"/>
      <c r="F39" s="365"/>
      <c r="G39" s="365"/>
      <c r="H39" s="365"/>
      <c r="I39" s="365"/>
      <c r="J39" s="365"/>
      <c r="K39" s="365"/>
      <c r="L39" s="365"/>
      <c r="M39" s="366"/>
    </row>
    <row r="40" spans="1:21" x14ac:dyDescent="0.2">
      <c r="A40" s="364"/>
      <c r="B40" s="365"/>
      <c r="C40" s="365"/>
      <c r="D40" s="365"/>
      <c r="E40" s="365"/>
      <c r="F40" s="365"/>
      <c r="G40" s="365"/>
      <c r="H40" s="365"/>
      <c r="I40" s="365"/>
      <c r="J40" s="365"/>
      <c r="K40" s="365"/>
      <c r="L40" s="365"/>
      <c r="M40" s="366"/>
    </row>
    <row r="41" spans="1:21" x14ac:dyDescent="0.2">
      <c r="A41" s="364"/>
      <c r="B41" s="365"/>
      <c r="C41" s="365"/>
      <c r="D41" s="365"/>
      <c r="E41" s="365"/>
      <c r="F41" s="365"/>
      <c r="G41" s="365"/>
      <c r="H41" s="365"/>
      <c r="I41" s="365"/>
      <c r="J41" s="365"/>
      <c r="K41" s="365"/>
      <c r="L41" s="365"/>
      <c r="M41" s="366"/>
    </row>
    <row r="42" spans="1:21" x14ac:dyDescent="0.2">
      <c r="A42" s="364"/>
      <c r="B42" s="365"/>
      <c r="C42" s="365"/>
      <c r="D42" s="365"/>
      <c r="E42" s="365"/>
      <c r="F42" s="365"/>
      <c r="G42" s="365"/>
      <c r="H42" s="365"/>
      <c r="I42" s="365"/>
      <c r="J42" s="365"/>
      <c r="K42" s="365"/>
      <c r="L42" s="365"/>
      <c r="M42" s="366"/>
    </row>
    <row r="43" spans="1:21" x14ac:dyDescent="0.2">
      <c r="A43" s="364"/>
      <c r="B43" s="365"/>
      <c r="C43" s="365"/>
      <c r="D43" s="365"/>
      <c r="E43" s="365"/>
      <c r="F43" s="365"/>
      <c r="G43" s="365"/>
      <c r="H43" s="365"/>
      <c r="I43" s="365"/>
      <c r="J43" s="365"/>
      <c r="K43" s="365"/>
      <c r="L43" s="365"/>
      <c r="M43" s="366"/>
    </row>
    <row r="44" spans="1:21" x14ac:dyDescent="0.2">
      <c r="A44" s="364"/>
      <c r="B44" s="365"/>
      <c r="C44" s="365"/>
      <c r="D44" s="365"/>
      <c r="E44" s="365"/>
      <c r="F44" s="365"/>
      <c r="G44" s="365"/>
      <c r="H44" s="365"/>
      <c r="I44" s="365"/>
      <c r="J44" s="365"/>
      <c r="K44" s="365"/>
      <c r="L44" s="365"/>
      <c r="M44" s="366"/>
    </row>
    <row r="45" spans="1:21" x14ac:dyDescent="0.2">
      <c r="A45" s="364"/>
      <c r="B45" s="365"/>
      <c r="C45" s="365"/>
      <c r="D45" s="365"/>
      <c r="E45" s="365"/>
      <c r="F45" s="365"/>
      <c r="G45" s="365"/>
      <c r="H45" s="365"/>
      <c r="I45" s="365"/>
      <c r="J45" s="365"/>
      <c r="K45" s="365"/>
      <c r="L45" s="365"/>
      <c r="M45" s="366"/>
    </row>
    <row r="46" spans="1:21" x14ac:dyDescent="0.2">
      <c r="A46" s="364"/>
      <c r="B46" s="365"/>
      <c r="C46" s="365"/>
      <c r="D46" s="365"/>
      <c r="E46" s="365"/>
      <c r="F46" s="365"/>
      <c r="G46" s="365"/>
      <c r="H46" s="365"/>
      <c r="I46" s="365"/>
      <c r="J46" s="365"/>
      <c r="K46" s="365"/>
      <c r="L46" s="365"/>
      <c r="M46" s="366"/>
    </row>
    <row r="47" spans="1:21" ht="15" thickBot="1" x14ac:dyDescent="0.25">
      <c r="A47" s="367"/>
      <c r="B47" s="368"/>
      <c r="C47" s="368"/>
      <c r="D47" s="368"/>
      <c r="E47" s="368"/>
      <c r="F47" s="368"/>
      <c r="G47" s="368"/>
      <c r="H47" s="368"/>
      <c r="I47" s="368"/>
      <c r="J47" s="368"/>
      <c r="K47" s="368"/>
      <c r="L47" s="368"/>
      <c r="M47" s="369"/>
    </row>
    <row r="48" spans="1:21" ht="15" thickTop="1" x14ac:dyDescent="0.2"/>
  </sheetData>
  <sheetProtection password="DAFD" sheet="1" objects="1" scenarios="1" formatCells="0" selectLockedCells="1"/>
  <protectedRanges>
    <protectedRange sqref="K38:L38" name="Range1"/>
  </protectedRanges>
  <mergeCells count="109">
    <mergeCell ref="A1:M1"/>
    <mergeCell ref="J32:L32"/>
    <mergeCell ref="A38:E38"/>
    <mergeCell ref="L38:M38"/>
    <mergeCell ref="H19:I19"/>
    <mergeCell ref="J19:K19"/>
    <mergeCell ref="B26:C27"/>
    <mergeCell ref="E26:G27"/>
    <mergeCell ref="I26:K27"/>
    <mergeCell ref="B20:C20"/>
    <mergeCell ref="D20:E20"/>
    <mergeCell ref="F20:G20"/>
    <mergeCell ref="H20:I20"/>
    <mergeCell ref="J20:K20"/>
    <mergeCell ref="B22:E22"/>
    <mergeCell ref="H22:K22"/>
    <mergeCell ref="B23:C23"/>
    <mergeCell ref="F23:G23"/>
    <mergeCell ref="A24:M24"/>
    <mergeCell ref="L20:M20"/>
    <mergeCell ref="L19:M19"/>
    <mergeCell ref="L18:M18"/>
    <mergeCell ref="B17:C17"/>
    <mergeCell ref="J18:K18"/>
    <mergeCell ref="A39:M47"/>
    <mergeCell ref="B28:C28"/>
    <mergeCell ref="E28:G28"/>
    <mergeCell ref="I28:K28"/>
    <mergeCell ref="E29:F29"/>
    <mergeCell ref="B30:G30"/>
    <mergeCell ref="H30:I31"/>
    <mergeCell ref="J30:L31"/>
    <mergeCell ref="D31:E31"/>
    <mergeCell ref="B19:C19"/>
    <mergeCell ref="D19:E19"/>
    <mergeCell ref="F19:G19"/>
    <mergeCell ref="L16:M16"/>
    <mergeCell ref="B15:C15"/>
    <mergeCell ref="D15:E15"/>
    <mergeCell ref="F15:G15"/>
    <mergeCell ref="H15:I15"/>
    <mergeCell ref="J15:K15"/>
    <mergeCell ref="L15:M15"/>
    <mergeCell ref="B16:C16"/>
    <mergeCell ref="D16:E16"/>
    <mergeCell ref="F16:G16"/>
    <mergeCell ref="H16:I16"/>
    <mergeCell ref="J16:K16"/>
    <mergeCell ref="D17:E17"/>
    <mergeCell ref="F17:G17"/>
    <mergeCell ref="H17:I17"/>
    <mergeCell ref="J17:K17"/>
    <mergeCell ref="L17:M17"/>
    <mergeCell ref="B18:C18"/>
    <mergeCell ref="D18:E18"/>
    <mergeCell ref="F18:G18"/>
    <mergeCell ref="H18:I18"/>
    <mergeCell ref="L14:M14"/>
    <mergeCell ref="B13:C13"/>
    <mergeCell ref="D13:E13"/>
    <mergeCell ref="F13:G13"/>
    <mergeCell ref="H13:I13"/>
    <mergeCell ref="J13:K13"/>
    <mergeCell ref="L13:M13"/>
    <mergeCell ref="B14:C14"/>
    <mergeCell ref="D14:E14"/>
    <mergeCell ref="F14:G14"/>
    <mergeCell ref="H14:I14"/>
    <mergeCell ref="J14:K14"/>
    <mergeCell ref="L12:M12"/>
    <mergeCell ref="B8:E8"/>
    <mergeCell ref="F8:I8"/>
    <mergeCell ref="J8:M8"/>
    <mergeCell ref="B9:E9"/>
    <mergeCell ref="B10:E10"/>
    <mergeCell ref="B12:C12"/>
    <mergeCell ref="D12:E12"/>
    <mergeCell ref="F12:G12"/>
    <mergeCell ref="H12:I12"/>
    <mergeCell ref="J12:K12"/>
    <mergeCell ref="J9:M9"/>
    <mergeCell ref="J10:M10"/>
    <mergeCell ref="F9:I9"/>
    <mergeCell ref="F10:I10"/>
    <mergeCell ref="B7:E7"/>
    <mergeCell ref="F7:I7"/>
    <mergeCell ref="J7:M7"/>
    <mergeCell ref="A2:M2"/>
    <mergeCell ref="B3:E3"/>
    <mergeCell ref="F3:I3"/>
    <mergeCell ref="J3:M3"/>
    <mergeCell ref="B4:E4"/>
    <mergeCell ref="F4:I4"/>
    <mergeCell ref="J4:M4"/>
    <mergeCell ref="B5:E5"/>
    <mergeCell ref="F5:I5"/>
    <mergeCell ref="J5:M5"/>
    <mergeCell ref="B6:E6"/>
    <mergeCell ref="J6:M6"/>
    <mergeCell ref="P14:Q14"/>
    <mergeCell ref="P17:Q17"/>
    <mergeCell ref="P20:Q20"/>
    <mergeCell ref="P12:U12"/>
    <mergeCell ref="P30:R30"/>
    <mergeCell ref="P31:R31"/>
    <mergeCell ref="P27:Q27"/>
    <mergeCell ref="P28:Q28"/>
    <mergeCell ref="P24:U24"/>
    <mergeCell ref="P26:Q26"/>
  </mergeCells>
  <conditionalFormatting sqref="M23">
    <cfRule type="cellIs" dxfId="5" priority="9" stopIfTrue="1" operator="greaterThanOrEqual">
      <formula>1</formula>
    </cfRule>
  </conditionalFormatting>
  <conditionalFormatting sqref="E28">
    <cfRule type="expression" dxfId="4" priority="10">
      <formula>#REF!&gt;(#REF!*0.5)</formula>
    </cfRule>
  </conditionalFormatting>
  <conditionalFormatting sqref="J30">
    <cfRule type="iconSet" priority="6">
      <iconSet iconSet="3TrafficLights2">
        <cfvo type="percent" val="0"/>
        <cfvo type="num" val="4"/>
        <cfvo type="num" val="5"/>
      </iconSet>
    </cfRule>
  </conditionalFormatting>
  <conditionalFormatting sqref="S31">
    <cfRule type="containsText" dxfId="3" priority="1" operator="containsText" text="N/A">
      <formula>NOT(ISERROR(SEARCH("N/A",S31)))</formula>
    </cfRule>
    <cfRule type="containsText" dxfId="2" priority="2" operator="containsText" text="PASS">
      <formula>NOT(ISERROR(SEARCH("PASS",S31)))</formula>
    </cfRule>
    <cfRule type="containsText" dxfId="1" priority="3" operator="containsText" text="FAIL">
      <formula>NOT(ISERROR(SEARCH("FAIL",S31)))</formula>
    </cfRule>
  </conditionalFormatting>
  <pageMargins left="0.59055118110236227" right="0.47244094488188981" top="0.70866141732283472" bottom="0.55118110236220474" header="0.31496062992125984" footer="0.19685039370078741"/>
  <pageSetup paperSize="9" scale="97" orientation="portrait" horizontalDpi="300" verticalDpi="300" r:id="rId1"/>
  <headerFooter alignWithMargins="0">
    <oddFooter>&amp;L&amp;8QRF-121 J2450 Quality Evaluation Report
Revision: 12&amp;C&amp;8Page &amp;P
Classification: 2&amp;R&amp;8Revision Date: 19/02/2014
Approved by: P. McManus &amp; C. Burkimsher</oddFooter>
  </headerFooter>
  <ignoredErrors>
    <ignoredError sqref="C3:E3 B4:E8 K3:M3 J4:M4 J3 J7:M8 K5:M5 K6:M6 B10:E10 C9:E9 J9" unlockedFormula="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AO100"/>
  <sheetViews>
    <sheetView zoomScale="85" zoomScaleNormal="85" workbookViewId="0">
      <selection activeCell="A4" sqref="A4"/>
    </sheetView>
  </sheetViews>
  <sheetFormatPr defaultColWidth="11.42578125" defaultRowHeight="12" x14ac:dyDescent="0.2"/>
  <cols>
    <col min="1" max="1" width="14.7109375" style="23" customWidth="1"/>
    <col min="2" max="2" width="12.5703125" style="23" bestFit="1" customWidth="1"/>
    <col min="3" max="5" width="30.7109375" style="20" customWidth="1"/>
    <col min="6" max="7" width="13.7109375" style="23" customWidth="1"/>
    <col min="8" max="8" width="30.7109375" style="23" customWidth="1"/>
    <col min="9" max="9" width="17.85546875" style="23" customWidth="1"/>
    <col min="10" max="10" width="19.85546875" style="23" bestFit="1" customWidth="1"/>
    <col min="11" max="11" width="25.42578125" style="23" customWidth="1"/>
    <col min="12" max="12" width="26.140625" style="23" customWidth="1"/>
    <col min="13" max="13" width="34.7109375" style="22" customWidth="1"/>
    <col min="14" max="14" width="17.42578125" style="22" customWidth="1"/>
    <col min="15" max="15" width="12.7109375" style="22" customWidth="1"/>
    <col min="16" max="16" width="14.42578125" style="22" customWidth="1"/>
    <col min="17" max="17" width="14.28515625" style="22" customWidth="1"/>
    <col min="18" max="19" width="11.42578125" style="22" hidden="1" customWidth="1"/>
    <col min="20" max="20" width="32.140625" style="22" customWidth="1"/>
    <col min="21" max="31" width="11.42578125" style="22"/>
    <col min="32" max="33" width="11.42578125" style="22" hidden="1" customWidth="1"/>
    <col min="34" max="35" width="11.42578125" style="22"/>
    <col min="36" max="41" width="11.42578125" style="22" hidden="1" customWidth="1"/>
    <col min="42" max="16384" width="11.42578125" style="22"/>
  </cols>
  <sheetData>
    <row r="1" spans="1:20" ht="126" customHeight="1" x14ac:dyDescent="0.2">
      <c r="A1" s="380" t="s">
        <v>6892</v>
      </c>
      <c r="B1" s="381"/>
      <c r="C1" s="381"/>
      <c r="D1" s="381"/>
      <c r="E1" s="381"/>
      <c r="F1" s="381"/>
      <c r="G1" s="381"/>
      <c r="H1" s="381"/>
      <c r="I1" s="381"/>
      <c r="J1" s="381"/>
      <c r="K1" s="381"/>
      <c r="L1" s="381"/>
      <c r="M1" s="381"/>
      <c r="N1" s="381"/>
    </row>
    <row r="2" spans="1:20" s="20" customFormat="1" ht="73.5" customHeight="1" x14ac:dyDescent="0.2">
      <c r="A2" s="28" t="s">
        <v>37</v>
      </c>
      <c r="B2" s="28" t="s">
        <v>38</v>
      </c>
      <c r="C2" s="28" t="s">
        <v>39</v>
      </c>
      <c r="D2" s="28" t="s">
        <v>40</v>
      </c>
      <c r="E2" s="28" t="s">
        <v>45</v>
      </c>
      <c r="F2" s="28" t="s">
        <v>41</v>
      </c>
      <c r="G2" s="28" t="s">
        <v>42</v>
      </c>
      <c r="H2" s="28" t="s">
        <v>35</v>
      </c>
      <c r="I2" s="26" t="s">
        <v>420</v>
      </c>
      <c r="J2" s="26" t="s">
        <v>421</v>
      </c>
      <c r="K2" s="26"/>
      <c r="L2" s="26"/>
      <c r="M2" s="27" t="s">
        <v>44</v>
      </c>
      <c r="N2" s="96" t="s">
        <v>44</v>
      </c>
      <c r="O2" s="382" t="s">
        <v>678</v>
      </c>
      <c r="P2" s="382"/>
      <c r="Q2" s="26" t="s">
        <v>6280</v>
      </c>
      <c r="T2" s="26" t="s">
        <v>6849</v>
      </c>
    </row>
    <row r="3" spans="1:20" s="21" customFormat="1" ht="20.25" customHeight="1" x14ac:dyDescent="0.2">
      <c r="A3" s="121" t="s">
        <v>29</v>
      </c>
      <c r="B3" s="121" t="s">
        <v>36</v>
      </c>
      <c r="C3" s="121" t="s">
        <v>24</v>
      </c>
      <c r="D3" s="121" t="s">
        <v>30</v>
      </c>
      <c r="E3" s="121" t="s">
        <v>31</v>
      </c>
      <c r="F3" s="121" t="s">
        <v>34</v>
      </c>
      <c r="G3" s="121" t="s">
        <v>28</v>
      </c>
      <c r="H3" s="121" t="s">
        <v>33</v>
      </c>
      <c r="I3" s="25" t="s">
        <v>32</v>
      </c>
      <c r="J3" s="25" t="s">
        <v>43</v>
      </c>
      <c r="K3" s="25" t="s">
        <v>6277</v>
      </c>
      <c r="L3" s="25" t="s">
        <v>6278</v>
      </c>
      <c r="M3" s="24" t="s">
        <v>25</v>
      </c>
      <c r="N3" s="24" t="s">
        <v>427</v>
      </c>
      <c r="O3" s="131" t="s">
        <v>34</v>
      </c>
      <c r="P3" s="131" t="s">
        <v>28</v>
      </c>
      <c r="Q3" s="132" t="s">
        <v>6281</v>
      </c>
      <c r="S3" s="97">
        <f>COUNTIF($O$4:$O$100,"")</f>
        <v>97</v>
      </c>
      <c r="T3" s="132" t="s">
        <v>6893</v>
      </c>
    </row>
    <row r="4" spans="1:20" s="20" customFormat="1" x14ac:dyDescent="0.2">
      <c r="A4" s="98"/>
      <c r="B4" s="98"/>
      <c r="C4" s="98"/>
      <c r="D4" s="98"/>
      <c r="E4" s="98"/>
      <c r="F4" s="161"/>
      <c r="G4" s="161"/>
      <c r="H4" s="98"/>
      <c r="I4" s="99"/>
      <c r="J4" s="98"/>
      <c r="K4" s="98"/>
      <c r="L4" s="98"/>
      <c r="M4" s="162"/>
      <c r="N4" s="102"/>
      <c r="O4" s="163"/>
      <c r="P4" s="163"/>
      <c r="Q4" s="102"/>
      <c r="R4" s="20">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20">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65"/>
    </row>
    <row r="5" spans="1:20" s="20" customFormat="1" x14ac:dyDescent="0.2">
      <c r="A5" s="98"/>
      <c r="B5" s="98"/>
      <c r="C5" s="100"/>
      <c r="D5" s="98"/>
      <c r="E5" s="98"/>
      <c r="F5" s="161"/>
      <c r="G5" s="161"/>
      <c r="H5" s="98"/>
      <c r="I5" s="99"/>
      <c r="J5" s="98"/>
      <c r="K5" s="98"/>
      <c r="L5" s="98"/>
      <c r="M5" s="162"/>
      <c r="N5" s="102"/>
      <c r="O5" s="163"/>
      <c r="P5" s="163"/>
      <c r="Q5" s="102"/>
      <c r="R5" s="20">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20">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65"/>
    </row>
    <row r="6" spans="1:20" s="20" customFormat="1" x14ac:dyDescent="0.2">
      <c r="A6" s="98"/>
      <c r="B6" s="98"/>
      <c r="C6" s="98"/>
      <c r="D6" s="98"/>
      <c r="E6" s="98"/>
      <c r="F6" s="161"/>
      <c r="G6" s="161"/>
      <c r="H6" s="98"/>
      <c r="I6" s="99"/>
      <c r="J6" s="98"/>
      <c r="K6" s="98"/>
      <c r="L6" s="98"/>
      <c r="M6" s="162"/>
      <c r="N6" s="102"/>
      <c r="O6" s="163"/>
      <c r="P6" s="163"/>
      <c r="Q6" s="102"/>
      <c r="R6" s="20">
        <f t="shared" si="0"/>
        <v>0</v>
      </c>
      <c r="S6" s="20">
        <f t="shared" si="1"/>
        <v>0</v>
      </c>
      <c r="T6" s="165"/>
    </row>
    <row r="7" spans="1:20" s="20" customFormat="1" x14ac:dyDescent="0.2">
      <c r="A7" s="98"/>
      <c r="B7" s="98"/>
      <c r="C7" s="98"/>
      <c r="D7" s="98"/>
      <c r="E7" s="98"/>
      <c r="F7" s="161"/>
      <c r="G7" s="161"/>
      <c r="H7" s="98"/>
      <c r="I7" s="99"/>
      <c r="J7" s="98"/>
      <c r="K7" s="98"/>
      <c r="L7" s="98"/>
      <c r="M7" s="162"/>
      <c r="N7" s="102"/>
      <c r="O7" s="163"/>
      <c r="P7" s="163"/>
      <c r="Q7" s="102"/>
      <c r="R7" s="20">
        <f t="shared" si="0"/>
        <v>0</v>
      </c>
      <c r="S7" s="20">
        <f t="shared" si="1"/>
        <v>0</v>
      </c>
      <c r="T7" s="165"/>
    </row>
    <row r="8" spans="1:20" s="20" customFormat="1" x14ac:dyDescent="0.2">
      <c r="A8" s="98"/>
      <c r="B8" s="98"/>
      <c r="C8" s="98"/>
      <c r="D8" s="98"/>
      <c r="E8" s="98"/>
      <c r="F8" s="161"/>
      <c r="G8" s="161"/>
      <c r="H8" s="98"/>
      <c r="I8" s="99"/>
      <c r="J8" s="98"/>
      <c r="K8" s="98"/>
      <c r="L8" s="98"/>
      <c r="M8" s="162"/>
      <c r="N8" s="102"/>
      <c r="O8" s="163"/>
      <c r="P8" s="163"/>
      <c r="Q8" s="102"/>
      <c r="R8" s="20">
        <f t="shared" si="0"/>
        <v>0</v>
      </c>
      <c r="S8" s="20">
        <f t="shared" si="1"/>
        <v>0</v>
      </c>
      <c r="T8" s="165"/>
    </row>
    <row r="9" spans="1:20" s="20" customFormat="1" x14ac:dyDescent="0.2">
      <c r="A9" s="98"/>
      <c r="B9" s="98"/>
      <c r="C9" s="98"/>
      <c r="D9" s="98"/>
      <c r="E9" s="98"/>
      <c r="F9" s="161"/>
      <c r="G9" s="161"/>
      <c r="H9" s="98"/>
      <c r="I9" s="99"/>
      <c r="J9" s="98"/>
      <c r="K9" s="98"/>
      <c r="L9" s="98"/>
      <c r="M9" s="162"/>
      <c r="N9" s="102"/>
      <c r="O9" s="163"/>
      <c r="P9" s="163"/>
      <c r="Q9" s="102"/>
      <c r="R9" s="20">
        <f t="shared" si="0"/>
        <v>0</v>
      </c>
      <c r="S9" s="20">
        <f t="shared" si="1"/>
        <v>0</v>
      </c>
      <c r="T9" s="165"/>
    </row>
    <row r="10" spans="1:20" s="20" customFormat="1" x14ac:dyDescent="0.2">
      <c r="A10" s="98"/>
      <c r="B10" s="98"/>
      <c r="C10" s="98"/>
      <c r="D10" s="98"/>
      <c r="E10" s="98"/>
      <c r="F10" s="161"/>
      <c r="G10" s="161"/>
      <c r="H10" s="98"/>
      <c r="I10" s="99"/>
      <c r="J10" s="98"/>
      <c r="K10" s="98"/>
      <c r="L10" s="98"/>
      <c r="M10" s="162"/>
      <c r="N10" s="102"/>
      <c r="O10" s="163"/>
      <c r="P10" s="163"/>
      <c r="Q10" s="102"/>
      <c r="R10" s="20">
        <f t="shared" si="0"/>
        <v>0</v>
      </c>
      <c r="S10" s="20">
        <f t="shared" si="1"/>
        <v>0</v>
      </c>
      <c r="T10" s="165"/>
    </row>
    <row r="11" spans="1:20" s="20" customFormat="1" x14ac:dyDescent="0.2">
      <c r="A11" s="98"/>
      <c r="B11" s="98"/>
      <c r="C11" s="98"/>
      <c r="D11" s="98"/>
      <c r="E11" s="98"/>
      <c r="F11" s="161"/>
      <c r="G11" s="161"/>
      <c r="H11" s="98"/>
      <c r="I11" s="99"/>
      <c r="J11" s="98"/>
      <c r="K11" s="98"/>
      <c r="L11" s="98"/>
      <c r="M11" s="162"/>
      <c r="N11" s="102"/>
      <c r="O11" s="163"/>
      <c r="P11" s="163"/>
      <c r="Q11" s="102"/>
      <c r="R11" s="20">
        <f t="shared" si="0"/>
        <v>0</v>
      </c>
      <c r="S11" s="20">
        <f t="shared" si="1"/>
        <v>0</v>
      </c>
      <c r="T11" s="165"/>
    </row>
    <row r="12" spans="1:20" s="20" customFormat="1" x14ac:dyDescent="0.2">
      <c r="A12" s="98"/>
      <c r="B12" s="98"/>
      <c r="C12" s="98"/>
      <c r="D12" s="98"/>
      <c r="E12" s="98"/>
      <c r="F12" s="161"/>
      <c r="G12" s="161"/>
      <c r="H12" s="98"/>
      <c r="I12" s="99"/>
      <c r="J12" s="98"/>
      <c r="K12" s="98"/>
      <c r="L12" s="98"/>
      <c r="M12" s="162"/>
      <c r="N12" s="102"/>
      <c r="O12" s="163"/>
      <c r="P12" s="163"/>
      <c r="Q12" s="102"/>
      <c r="R12" s="20">
        <f t="shared" si="0"/>
        <v>0</v>
      </c>
      <c r="S12" s="20">
        <f t="shared" si="1"/>
        <v>0</v>
      </c>
      <c r="T12" s="165"/>
    </row>
    <row r="13" spans="1:20" s="20" customFormat="1" x14ac:dyDescent="0.2">
      <c r="A13" s="98"/>
      <c r="B13" s="98"/>
      <c r="C13" s="98"/>
      <c r="D13" s="98"/>
      <c r="E13" s="98"/>
      <c r="F13" s="161"/>
      <c r="G13" s="161"/>
      <c r="H13" s="98"/>
      <c r="I13" s="99"/>
      <c r="J13" s="98"/>
      <c r="K13" s="98"/>
      <c r="L13" s="98"/>
      <c r="M13" s="162"/>
      <c r="N13" s="102"/>
      <c r="O13" s="163"/>
      <c r="P13" s="163"/>
      <c r="Q13" s="102"/>
      <c r="R13" s="20">
        <f t="shared" si="0"/>
        <v>0</v>
      </c>
      <c r="S13" s="20">
        <f t="shared" si="1"/>
        <v>0</v>
      </c>
      <c r="T13" s="165"/>
    </row>
    <row r="14" spans="1:20" s="20" customFormat="1" x14ac:dyDescent="0.2">
      <c r="A14" s="98"/>
      <c r="B14" s="98"/>
      <c r="C14" s="98"/>
      <c r="D14" s="98"/>
      <c r="E14" s="98"/>
      <c r="F14" s="161"/>
      <c r="G14" s="161"/>
      <c r="H14" s="98"/>
      <c r="I14" s="99"/>
      <c r="J14" s="98"/>
      <c r="K14" s="98"/>
      <c r="L14" s="98"/>
      <c r="M14" s="162"/>
      <c r="N14" s="102"/>
      <c r="O14" s="163"/>
      <c r="P14" s="163"/>
      <c r="Q14" s="102"/>
      <c r="R14" s="20">
        <f t="shared" si="0"/>
        <v>0</v>
      </c>
      <c r="S14" s="20">
        <f t="shared" si="1"/>
        <v>0</v>
      </c>
      <c r="T14" s="165"/>
    </row>
    <row r="15" spans="1:20" s="20" customFormat="1" x14ac:dyDescent="0.2">
      <c r="A15" s="98"/>
      <c r="B15" s="98"/>
      <c r="C15" s="98"/>
      <c r="D15" s="98"/>
      <c r="E15" s="98"/>
      <c r="F15" s="161"/>
      <c r="G15" s="161"/>
      <c r="H15" s="98"/>
      <c r="I15" s="99"/>
      <c r="J15" s="98"/>
      <c r="K15" s="98"/>
      <c r="L15" s="98"/>
      <c r="M15" s="162"/>
      <c r="N15" s="102"/>
      <c r="O15" s="163"/>
      <c r="P15" s="163"/>
      <c r="Q15" s="102"/>
      <c r="R15" s="20">
        <f t="shared" si="0"/>
        <v>0</v>
      </c>
      <c r="S15" s="20">
        <f t="shared" si="1"/>
        <v>0</v>
      </c>
      <c r="T15" s="165"/>
    </row>
    <row r="16" spans="1:20" s="20" customFormat="1" x14ac:dyDescent="0.2">
      <c r="A16" s="98"/>
      <c r="B16" s="98"/>
      <c r="C16" s="98"/>
      <c r="D16" s="98"/>
      <c r="E16" s="98"/>
      <c r="F16" s="161"/>
      <c r="G16" s="161"/>
      <c r="H16" s="98"/>
      <c r="I16" s="99"/>
      <c r="J16" s="98"/>
      <c r="K16" s="98"/>
      <c r="L16" s="98"/>
      <c r="M16" s="162"/>
      <c r="N16" s="102"/>
      <c r="O16" s="163"/>
      <c r="P16" s="163"/>
      <c r="Q16" s="102"/>
      <c r="R16" s="20">
        <f t="shared" si="0"/>
        <v>0</v>
      </c>
      <c r="S16" s="20">
        <f t="shared" si="1"/>
        <v>0</v>
      </c>
      <c r="T16" s="165"/>
    </row>
    <row r="17" spans="1:20" s="20" customFormat="1" x14ac:dyDescent="0.2">
      <c r="A17" s="98"/>
      <c r="B17" s="98"/>
      <c r="C17" s="98"/>
      <c r="D17" s="98"/>
      <c r="E17" s="98"/>
      <c r="F17" s="161"/>
      <c r="G17" s="161"/>
      <c r="H17" s="98"/>
      <c r="I17" s="99"/>
      <c r="J17" s="98"/>
      <c r="K17" s="98"/>
      <c r="L17" s="98"/>
      <c r="M17" s="162"/>
      <c r="N17" s="102"/>
      <c r="O17" s="163"/>
      <c r="P17" s="163"/>
      <c r="Q17" s="102"/>
      <c r="R17" s="20">
        <f t="shared" si="0"/>
        <v>0</v>
      </c>
      <c r="S17" s="20">
        <f t="shared" si="1"/>
        <v>0</v>
      </c>
      <c r="T17" s="165"/>
    </row>
    <row r="18" spans="1:20" s="20" customFormat="1" x14ac:dyDescent="0.2">
      <c r="A18" s="98"/>
      <c r="B18" s="98"/>
      <c r="C18" s="98"/>
      <c r="D18" s="98"/>
      <c r="E18" s="98"/>
      <c r="F18" s="161"/>
      <c r="G18" s="161"/>
      <c r="H18" s="98"/>
      <c r="I18" s="99"/>
      <c r="J18" s="98"/>
      <c r="K18" s="98"/>
      <c r="L18" s="98"/>
      <c r="M18" s="162"/>
      <c r="N18" s="102"/>
      <c r="O18" s="163"/>
      <c r="P18" s="163"/>
      <c r="Q18" s="102"/>
      <c r="R18" s="20">
        <f t="shared" si="0"/>
        <v>0</v>
      </c>
      <c r="S18" s="20">
        <f t="shared" si="1"/>
        <v>0</v>
      </c>
      <c r="T18" s="165"/>
    </row>
    <row r="19" spans="1:20" s="20" customFormat="1" x14ac:dyDescent="0.2">
      <c r="A19" s="98"/>
      <c r="B19" s="98"/>
      <c r="C19" s="98"/>
      <c r="D19" s="98"/>
      <c r="E19" s="98"/>
      <c r="F19" s="161"/>
      <c r="G19" s="161"/>
      <c r="H19" s="98"/>
      <c r="I19" s="99"/>
      <c r="J19" s="98"/>
      <c r="K19" s="98"/>
      <c r="L19" s="98"/>
      <c r="M19" s="162"/>
      <c r="N19" s="102"/>
      <c r="O19" s="163"/>
      <c r="P19" s="163"/>
      <c r="Q19" s="102"/>
      <c r="R19" s="20">
        <f t="shared" si="0"/>
        <v>0</v>
      </c>
      <c r="S19" s="20">
        <f t="shared" si="1"/>
        <v>0</v>
      </c>
      <c r="T19" s="165"/>
    </row>
    <row r="20" spans="1:20" s="20" customFormat="1" x14ac:dyDescent="0.2">
      <c r="A20" s="98"/>
      <c r="B20" s="98"/>
      <c r="C20" s="98"/>
      <c r="D20" s="98"/>
      <c r="E20" s="98"/>
      <c r="F20" s="161"/>
      <c r="G20" s="161"/>
      <c r="H20" s="98"/>
      <c r="I20" s="99"/>
      <c r="J20" s="98"/>
      <c r="K20" s="98"/>
      <c r="L20" s="98"/>
      <c r="M20" s="162"/>
      <c r="N20" s="102"/>
      <c r="O20" s="163"/>
      <c r="P20" s="163"/>
      <c r="Q20" s="102"/>
      <c r="R20" s="20">
        <f t="shared" si="0"/>
        <v>0</v>
      </c>
      <c r="S20" s="20">
        <f t="shared" si="1"/>
        <v>0</v>
      </c>
      <c r="T20" s="165"/>
    </row>
    <row r="21" spans="1:20" s="20" customFormat="1" x14ac:dyDescent="0.2">
      <c r="A21" s="98"/>
      <c r="B21" s="98"/>
      <c r="C21" s="98"/>
      <c r="D21" s="98"/>
      <c r="E21" s="98"/>
      <c r="F21" s="161"/>
      <c r="G21" s="161"/>
      <c r="H21" s="98"/>
      <c r="I21" s="99"/>
      <c r="J21" s="98"/>
      <c r="K21" s="98"/>
      <c r="L21" s="98"/>
      <c r="M21" s="162"/>
      <c r="N21" s="102"/>
      <c r="O21" s="163"/>
      <c r="P21" s="163"/>
      <c r="Q21" s="102"/>
      <c r="R21" s="20">
        <f t="shared" si="0"/>
        <v>0</v>
      </c>
      <c r="S21" s="20">
        <f t="shared" si="1"/>
        <v>0</v>
      </c>
      <c r="T21" s="165"/>
    </row>
    <row r="22" spans="1:20" s="20" customFormat="1" x14ac:dyDescent="0.2">
      <c r="A22" s="98"/>
      <c r="B22" s="98"/>
      <c r="C22" s="98"/>
      <c r="D22" s="98"/>
      <c r="E22" s="98"/>
      <c r="F22" s="161"/>
      <c r="G22" s="161"/>
      <c r="H22" s="98"/>
      <c r="I22" s="99"/>
      <c r="J22" s="98"/>
      <c r="K22" s="98"/>
      <c r="L22" s="98"/>
      <c r="M22" s="162"/>
      <c r="N22" s="102"/>
      <c r="O22" s="163"/>
      <c r="P22" s="163"/>
      <c r="Q22" s="102"/>
      <c r="R22" s="20">
        <f t="shared" si="0"/>
        <v>0</v>
      </c>
      <c r="S22" s="20">
        <f t="shared" si="1"/>
        <v>0</v>
      </c>
      <c r="T22" s="165"/>
    </row>
    <row r="23" spans="1:20" s="20" customFormat="1" x14ac:dyDescent="0.2">
      <c r="A23" s="98"/>
      <c r="B23" s="98"/>
      <c r="C23" s="98"/>
      <c r="D23" s="98"/>
      <c r="E23" s="98"/>
      <c r="F23" s="161"/>
      <c r="G23" s="161"/>
      <c r="H23" s="98"/>
      <c r="I23" s="99"/>
      <c r="J23" s="98"/>
      <c r="K23" s="98"/>
      <c r="L23" s="98"/>
      <c r="M23" s="162"/>
      <c r="N23" s="102"/>
      <c r="O23" s="163"/>
      <c r="P23" s="163"/>
      <c r="Q23" s="102"/>
      <c r="R23" s="20">
        <f t="shared" si="0"/>
        <v>0</v>
      </c>
      <c r="S23" s="20">
        <f t="shared" si="1"/>
        <v>0</v>
      </c>
      <c r="T23" s="165"/>
    </row>
    <row r="24" spans="1:20" s="20" customFormat="1" x14ac:dyDescent="0.2">
      <c r="A24" s="98"/>
      <c r="B24" s="98"/>
      <c r="C24" s="98"/>
      <c r="D24" s="98"/>
      <c r="E24" s="98"/>
      <c r="F24" s="161"/>
      <c r="G24" s="161"/>
      <c r="H24" s="98"/>
      <c r="I24" s="99"/>
      <c r="J24" s="98"/>
      <c r="K24" s="98"/>
      <c r="L24" s="98"/>
      <c r="M24" s="162"/>
      <c r="N24" s="102"/>
      <c r="O24" s="163"/>
      <c r="P24" s="163"/>
      <c r="Q24" s="102"/>
      <c r="R24" s="20">
        <f t="shared" si="0"/>
        <v>0</v>
      </c>
      <c r="S24" s="20">
        <f t="shared" si="1"/>
        <v>0</v>
      </c>
      <c r="T24" s="165"/>
    </row>
    <row r="25" spans="1:20" s="20" customFormat="1" x14ac:dyDescent="0.2">
      <c r="A25" s="98"/>
      <c r="B25" s="98"/>
      <c r="C25" s="98"/>
      <c r="D25" s="98"/>
      <c r="E25" s="98"/>
      <c r="F25" s="161"/>
      <c r="G25" s="161"/>
      <c r="H25" s="98"/>
      <c r="I25" s="99"/>
      <c r="J25" s="98"/>
      <c r="K25" s="98"/>
      <c r="L25" s="98"/>
      <c r="M25" s="162"/>
      <c r="N25" s="102"/>
      <c r="O25" s="163"/>
      <c r="P25" s="163"/>
      <c r="Q25" s="102"/>
      <c r="R25" s="20">
        <f t="shared" si="0"/>
        <v>0</v>
      </c>
      <c r="S25" s="20">
        <f t="shared" si="1"/>
        <v>0</v>
      </c>
      <c r="T25" s="165"/>
    </row>
    <row r="26" spans="1:20" s="20" customFormat="1" x14ac:dyDescent="0.2">
      <c r="A26" s="98"/>
      <c r="B26" s="98"/>
      <c r="C26" s="98"/>
      <c r="D26" s="98"/>
      <c r="E26" s="98"/>
      <c r="F26" s="161"/>
      <c r="G26" s="161"/>
      <c r="H26" s="98"/>
      <c r="I26" s="99"/>
      <c r="J26" s="98"/>
      <c r="K26" s="98"/>
      <c r="L26" s="98"/>
      <c r="M26" s="162"/>
      <c r="N26" s="102"/>
      <c r="O26" s="163"/>
      <c r="P26" s="163"/>
      <c r="Q26" s="102"/>
      <c r="R26" s="20">
        <f t="shared" si="0"/>
        <v>0</v>
      </c>
      <c r="S26" s="20">
        <f t="shared" si="1"/>
        <v>0</v>
      </c>
      <c r="T26" s="165"/>
    </row>
    <row r="27" spans="1:20" s="20" customFormat="1" x14ac:dyDescent="0.2">
      <c r="A27" s="98"/>
      <c r="B27" s="98"/>
      <c r="C27" s="98"/>
      <c r="D27" s="98"/>
      <c r="E27" s="98"/>
      <c r="F27" s="161"/>
      <c r="G27" s="161"/>
      <c r="H27" s="98"/>
      <c r="I27" s="99"/>
      <c r="J27" s="98"/>
      <c r="K27" s="98"/>
      <c r="L27" s="98"/>
      <c r="M27" s="162"/>
      <c r="N27" s="102"/>
      <c r="O27" s="163"/>
      <c r="P27" s="163"/>
      <c r="Q27" s="102"/>
      <c r="R27" s="20">
        <f t="shared" si="0"/>
        <v>0</v>
      </c>
      <c r="S27" s="20">
        <f t="shared" si="1"/>
        <v>0</v>
      </c>
      <c r="T27" s="165"/>
    </row>
    <row r="28" spans="1:20" s="20" customFormat="1" x14ac:dyDescent="0.2">
      <c r="A28" s="98"/>
      <c r="B28" s="98"/>
      <c r="C28" s="98"/>
      <c r="D28" s="98"/>
      <c r="E28" s="98"/>
      <c r="F28" s="161"/>
      <c r="G28" s="161"/>
      <c r="H28" s="98"/>
      <c r="I28" s="99"/>
      <c r="J28" s="98"/>
      <c r="K28" s="98"/>
      <c r="L28" s="98"/>
      <c r="M28" s="162"/>
      <c r="N28" s="102"/>
      <c r="O28" s="163"/>
      <c r="P28" s="163"/>
      <c r="Q28" s="102"/>
      <c r="R28" s="20">
        <f t="shared" si="0"/>
        <v>0</v>
      </c>
      <c r="S28" s="20">
        <f t="shared" si="1"/>
        <v>0</v>
      </c>
      <c r="T28" s="165"/>
    </row>
    <row r="29" spans="1:20" s="20" customFormat="1" x14ac:dyDescent="0.2">
      <c r="A29" s="98"/>
      <c r="B29" s="98"/>
      <c r="C29" s="98"/>
      <c r="D29" s="98"/>
      <c r="E29" s="98"/>
      <c r="F29" s="161"/>
      <c r="G29" s="161"/>
      <c r="H29" s="98"/>
      <c r="I29" s="99"/>
      <c r="J29" s="98"/>
      <c r="K29" s="98"/>
      <c r="L29" s="98"/>
      <c r="M29" s="162"/>
      <c r="N29" s="102"/>
      <c r="O29" s="163"/>
      <c r="P29" s="163"/>
      <c r="Q29" s="102"/>
      <c r="R29" s="20">
        <f t="shared" si="0"/>
        <v>0</v>
      </c>
      <c r="S29" s="20">
        <f t="shared" si="1"/>
        <v>0</v>
      </c>
      <c r="T29" s="165"/>
    </row>
    <row r="30" spans="1:20" s="20" customFormat="1" x14ac:dyDescent="0.2">
      <c r="A30" s="98"/>
      <c r="B30" s="98"/>
      <c r="C30" s="98"/>
      <c r="D30" s="98"/>
      <c r="E30" s="98"/>
      <c r="F30" s="161"/>
      <c r="G30" s="161"/>
      <c r="H30" s="98"/>
      <c r="I30" s="99"/>
      <c r="J30" s="98"/>
      <c r="K30" s="98"/>
      <c r="L30" s="98"/>
      <c r="M30" s="162"/>
      <c r="N30" s="102"/>
      <c r="O30" s="163"/>
      <c r="P30" s="163"/>
      <c r="Q30" s="102"/>
      <c r="R30" s="20">
        <f t="shared" si="0"/>
        <v>0</v>
      </c>
      <c r="S30" s="20">
        <f t="shared" si="1"/>
        <v>0</v>
      </c>
      <c r="T30" s="165"/>
    </row>
    <row r="31" spans="1:20" x14ac:dyDescent="0.2">
      <c r="A31" s="101"/>
      <c r="B31" s="101"/>
      <c r="C31" s="102"/>
      <c r="D31" s="102"/>
      <c r="E31" s="102"/>
      <c r="F31" s="161"/>
      <c r="G31" s="161"/>
      <c r="H31" s="98"/>
      <c r="I31" s="99"/>
      <c r="J31" s="98"/>
      <c r="K31" s="98"/>
      <c r="L31" s="98"/>
      <c r="M31" s="162"/>
      <c r="N31" s="102"/>
      <c r="O31" s="163"/>
      <c r="P31" s="163"/>
      <c r="Q31" s="102"/>
      <c r="R31" s="20">
        <f t="shared" si="0"/>
        <v>0</v>
      </c>
      <c r="S31" s="20">
        <f t="shared" si="1"/>
        <v>0</v>
      </c>
      <c r="T31" s="165"/>
    </row>
    <row r="32" spans="1:20" x14ac:dyDescent="0.2">
      <c r="A32" s="101"/>
      <c r="B32" s="101"/>
      <c r="C32" s="102"/>
      <c r="D32" s="102"/>
      <c r="E32" s="102"/>
      <c r="F32" s="161"/>
      <c r="G32" s="161"/>
      <c r="H32" s="98"/>
      <c r="I32" s="99"/>
      <c r="J32" s="98"/>
      <c r="K32" s="98"/>
      <c r="L32" s="98"/>
      <c r="M32" s="162"/>
      <c r="N32" s="102"/>
      <c r="O32" s="163"/>
      <c r="P32" s="163"/>
      <c r="Q32" s="102"/>
      <c r="R32" s="20">
        <f t="shared" si="0"/>
        <v>0</v>
      </c>
      <c r="S32" s="20">
        <f t="shared" si="1"/>
        <v>0</v>
      </c>
      <c r="T32" s="165"/>
    </row>
    <row r="33" spans="1:20" x14ac:dyDescent="0.2">
      <c r="A33" s="101"/>
      <c r="B33" s="101"/>
      <c r="C33" s="102"/>
      <c r="D33" s="102"/>
      <c r="E33" s="102"/>
      <c r="F33" s="161"/>
      <c r="G33" s="161"/>
      <c r="H33" s="98"/>
      <c r="I33" s="99"/>
      <c r="J33" s="98"/>
      <c r="K33" s="98"/>
      <c r="L33" s="98"/>
      <c r="M33" s="162"/>
      <c r="N33" s="102"/>
      <c r="O33" s="163"/>
      <c r="P33" s="163"/>
      <c r="Q33" s="102"/>
      <c r="R33" s="20">
        <f t="shared" si="0"/>
        <v>0</v>
      </c>
      <c r="S33" s="20">
        <f t="shared" si="1"/>
        <v>0</v>
      </c>
      <c r="T33" s="165"/>
    </row>
    <row r="34" spans="1:20" x14ac:dyDescent="0.2">
      <c r="A34" s="101"/>
      <c r="B34" s="101"/>
      <c r="C34" s="102"/>
      <c r="D34" s="102"/>
      <c r="E34" s="102"/>
      <c r="F34" s="161"/>
      <c r="G34" s="161"/>
      <c r="H34" s="98"/>
      <c r="I34" s="99"/>
      <c r="J34" s="98"/>
      <c r="K34" s="98"/>
      <c r="L34" s="98"/>
      <c r="M34" s="162"/>
      <c r="N34" s="102"/>
      <c r="O34" s="163"/>
      <c r="P34" s="163"/>
      <c r="Q34" s="102"/>
      <c r="R34" s="20">
        <f t="shared" si="0"/>
        <v>0</v>
      </c>
      <c r="S34" s="20">
        <f t="shared" si="1"/>
        <v>0</v>
      </c>
      <c r="T34" s="165"/>
    </row>
    <row r="35" spans="1:20" x14ac:dyDescent="0.2">
      <c r="A35" s="101"/>
      <c r="B35" s="101"/>
      <c r="C35" s="102"/>
      <c r="D35" s="102"/>
      <c r="E35" s="102"/>
      <c r="F35" s="161"/>
      <c r="G35" s="161"/>
      <c r="H35" s="98"/>
      <c r="I35" s="99"/>
      <c r="J35" s="98"/>
      <c r="K35" s="98"/>
      <c r="L35" s="98"/>
      <c r="M35" s="162"/>
      <c r="N35" s="102"/>
      <c r="O35" s="163"/>
      <c r="P35" s="163"/>
      <c r="Q35" s="102"/>
      <c r="R35" s="20">
        <f t="shared" si="0"/>
        <v>0</v>
      </c>
      <c r="S35" s="20">
        <f t="shared" si="1"/>
        <v>0</v>
      </c>
      <c r="T35" s="165"/>
    </row>
    <row r="36" spans="1:20" x14ac:dyDescent="0.2">
      <c r="A36" s="101"/>
      <c r="B36" s="101"/>
      <c r="C36" s="102"/>
      <c r="D36" s="102"/>
      <c r="E36" s="102"/>
      <c r="F36" s="161"/>
      <c r="G36" s="161"/>
      <c r="H36" s="98"/>
      <c r="I36" s="99"/>
      <c r="J36" s="98"/>
      <c r="K36" s="98"/>
      <c r="L36" s="98"/>
      <c r="M36" s="162"/>
      <c r="N36" s="102"/>
      <c r="O36" s="163"/>
      <c r="P36" s="163"/>
      <c r="Q36" s="102"/>
      <c r="R36" s="20">
        <f t="shared" si="0"/>
        <v>0</v>
      </c>
      <c r="S36" s="20">
        <f t="shared" si="1"/>
        <v>0</v>
      </c>
      <c r="T36" s="165"/>
    </row>
    <row r="37" spans="1:20" x14ac:dyDescent="0.2">
      <c r="A37" s="101"/>
      <c r="B37" s="101"/>
      <c r="C37" s="102"/>
      <c r="D37" s="102"/>
      <c r="E37" s="102"/>
      <c r="F37" s="161"/>
      <c r="G37" s="161"/>
      <c r="H37" s="98"/>
      <c r="I37" s="99"/>
      <c r="J37" s="98"/>
      <c r="K37" s="98"/>
      <c r="L37" s="98"/>
      <c r="M37" s="162"/>
      <c r="N37" s="102"/>
      <c r="O37" s="163"/>
      <c r="P37" s="163"/>
      <c r="Q37" s="102"/>
      <c r="R37" s="20">
        <f t="shared" si="0"/>
        <v>0</v>
      </c>
      <c r="S37" s="20">
        <f t="shared" si="1"/>
        <v>0</v>
      </c>
      <c r="T37" s="165"/>
    </row>
    <row r="38" spans="1:20" x14ac:dyDescent="0.2">
      <c r="A38" s="101"/>
      <c r="B38" s="101"/>
      <c r="C38" s="102"/>
      <c r="D38" s="102"/>
      <c r="E38" s="102"/>
      <c r="F38" s="161"/>
      <c r="G38" s="161"/>
      <c r="H38" s="98"/>
      <c r="I38" s="99"/>
      <c r="J38" s="98"/>
      <c r="K38" s="98"/>
      <c r="L38" s="98"/>
      <c r="M38" s="162"/>
      <c r="N38" s="102"/>
      <c r="O38" s="163"/>
      <c r="P38" s="163"/>
      <c r="Q38" s="102"/>
      <c r="R38" s="20">
        <f t="shared" si="0"/>
        <v>0</v>
      </c>
      <c r="S38" s="20">
        <f t="shared" si="1"/>
        <v>0</v>
      </c>
      <c r="T38" s="165"/>
    </row>
    <row r="39" spans="1:20" x14ac:dyDescent="0.2">
      <c r="A39" s="101"/>
      <c r="B39" s="101"/>
      <c r="C39" s="102"/>
      <c r="D39" s="102"/>
      <c r="E39" s="102"/>
      <c r="F39" s="161"/>
      <c r="G39" s="161"/>
      <c r="H39" s="98"/>
      <c r="I39" s="99"/>
      <c r="J39" s="98"/>
      <c r="K39" s="98"/>
      <c r="L39" s="98"/>
      <c r="M39" s="162"/>
      <c r="N39" s="102"/>
      <c r="O39" s="163"/>
      <c r="P39" s="163"/>
      <c r="Q39" s="102"/>
      <c r="R39" s="20">
        <f t="shared" si="0"/>
        <v>0</v>
      </c>
      <c r="S39" s="20">
        <f t="shared" si="1"/>
        <v>0</v>
      </c>
      <c r="T39" s="165"/>
    </row>
    <row r="40" spans="1:20" x14ac:dyDescent="0.2">
      <c r="A40" s="101"/>
      <c r="B40" s="101"/>
      <c r="C40" s="102"/>
      <c r="D40" s="102"/>
      <c r="E40" s="102"/>
      <c r="F40" s="161"/>
      <c r="G40" s="161"/>
      <c r="H40" s="98"/>
      <c r="I40" s="99"/>
      <c r="J40" s="98"/>
      <c r="K40" s="98"/>
      <c r="L40" s="98"/>
      <c r="M40" s="162"/>
      <c r="N40" s="102"/>
      <c r="O40" s="163"/>
      <c r="P40" s="163"/>
      <c r="Q40" s="102"/>
      <c r="R40" s="20">
        <f t="shared" si="0"/>
        <v>0</v>
      </c>
      <c r="S40" s="20">
        <f t="shared" si="1"/>
        <v>0</v>
      </c>
      <c r="T40" s="165"/>
    </row>
    <row r="41" spans="1:20" x14ac:dyDescent="0.2">
      <c r="A41" s="101"/>
      <c r="B41" s="101"/>
      <c r="C41" s="102"/>
      <c r="D41" s="102"/>
      <c r="E41" s="102"/>
      <c r="F41" s="161"/>
      <c r="G41" s="161"/>
      <c r="H41" s="98"/>
      <c r="I41" s="99"/>
      <c r="J41" s="98"/>
      <c r="K41" s="98"/>
      <c r="L41" s="98"/>
      <c r="M41" s="162"/>
      <c r="N41" s="102"/>
      <c r="O41" s="163"/>
      <c r="P41" s="163"/>
      <c r="Q41" s="102"/>
      <c r="R41" s="20">
        <f t="shared" si="0"/>
        <v>0</v>
      </c>
      <c r="S41" s="20">
        <f t="shared" si="1"/>
        <v>0</v>
      </c>
      <c r="T41" s="165"/>
    </row>
    <row r="42" spans="1:20" x14ac:dyDescent="0.2">
      <c r="A42" s="101"/>
      <c r="B42" s="101"/>
      <c r="C42" s="102"/>
      <c r="D42" s="102"/>
      <c r="E42" s="102"/>
      <c r="F42" s="161"/>
      <c r="G42" s="161"/>
      <c r="H42" s="98"/>
      <c r="I42" s="99"/>
      <c r="J42" s="98"/>
      <c r="K42" s="98"/>
      <c r="L42" s="98"/>
      <c r="M42" s="162"/>
      <c r="N42" s="102"/>
      <c r="O42" s="163"/>
      <c r="P42" s="163"/>
      <c r="Q42" s="102"/>
      <c r="R42" s="20">
        <f t="shared" si="0"/>
        <v>0</v>
      </c>
      <c r="S42" s="20">
        <f t="shared" si="1"/>
        <v>0</v>
      </c>
      <c r="T42" s="165"/>
    </row>
    <row r="43" spans="1:20" x14ac:dyDescent="0.2">
      <c r="A43" s="101"/>
      <c r="B43" s="101"/>
      <c r="C43" s="102"/>
      <c r="D43" s="102"/>
      <c r="E43" s="102"/>
      <c r="F43" s="161"/>
      <c r="G43" s="161"/>
      <c r="H43" s="98"/>
      <c r="I43" s="99"/>
      <c r="J43" s="98"/>
      <c r="K43" s="98"/>
      <c r="L43" s="98"/>
      <c r="M43" s="162"/>
      <c r="N43" s="102"/>
      <c r="O43" s="163"/>
      <c r="P43" s="163"/>
      <c r="Q43" s="102"/>
      <c r="R43" s="20">
        <f t="shared" si="0"/>
        <v>0</v>
      </c>
      <c r="S43" s="20">
        <f t="shared" si="1"/>
        <v>0</v>
      </c>
      <c r="T43" s="165"/>
    </row>
    <row r="44" spans="1:20" x14ac:dyDescent="0.2">
      <c r="A44" s="101"/>
      <c r="B44" s="101"/>
      <c r="C44" s="102"/>
      <c r="D44" s="102"/>
      <c r="E44" s="102"/>
      <c r="F44" s="161"/>
      <c r="G44" s="161"/>
      <c r="H44" s="98"/>
      <c r="I44" s="99"/>
      <c r="J44" s="98"/>
      <c r="K44" s="98"/>
      <c r="L44" s="98"/>
      <c r="M44" s="162"/>
      <c r="N44" s="102"/>
      <c r="O44" s="163"/>
      <c r="P44" s="163"/>
      <c r="Q44" s="102"/>
      <c r="R44" s="20">
        <f t="shared" si="0"/>
        <v>0</v>
      </c>
      <c r="S44" s="20">
        <f t="shared" si="1"/>
        <v>0</v>
      </c>
      <c r="T44" s="165"/>
    </row>
    <row r="45" spans="1:20" x14ac:dyDescent="0.2">
      <c r="A45" s="101"/>
      <c r="B45" s="101"/>
      <c r="C45" s="102"/>
      <c r="D45" s="102"/>
      <c r="E45" s="102"/>
      <c r="F45" s="161"/>
      <c r="G45" s="161"/>
      <c r="H45" s="98"/>
      <c r="I45" s="99"/>
      <c r="J45" s="98"/>
      <c r="K45" s="98"/>
      <c r="L45" s="98"/>
      <c r="M45" s="162"/>
      <c r="N45" s="102"/>
      <c r="O45" s="163"/>
      <c r="P45" s="163"/>
      <c r="Q45" s="102"/>
      <c r="R45" s="20">
        <f t="shared" si="0"/>
        <v>0</v>
      </c>
      <c r="S45" s="20">
        <f t="shared" si="1"/>
        <v>0</v>
      </c>
      <c r="T45" s="165"/>
    </row>
    <row r="46" spans="1:20" x14ac:dyDescent="0.2">
      <c r="A46" s="101"/>
      <c r="B46" s="101"/>
      <c r="C46" s="102"/>
      <c r="D46" s="102"/>
      <c r="E46" s="102"/>
      <c r="F46" s="161"/>
      <c r="G46" s="161"/>
      <c r="H46" s="98"/>
      <c r="I46" s="99"/>
      <c r="J46" s="98"/>
      <c r="K46" s="98"/>
      <c r="L46" s="98"/>
      <c r="M46" s="162"/>
      <c r="N46" s="102"/>
      <c r="O46" s="163"/>
      <c r="P46" s="163"/>
      <c r="Q46" s="102"/>
      <c r="R46" s="20">
        <f t="shared" si="0"/>
        <v>0</v>
      </c>
      <c r="S46" s="20">
        <f t="shared" si="1"/>
        <v>0</v>
      </c>
      <c r="T46" s="165"/>
    </row>
    <row r="47" spans="1:20" x14ac:dyDescent="0.2">
      <c r="A47" s="101"/>
      <c r="B47" s="101"/>
      <c r="C47" s="102"/>
      <c r="D47" s="102"/>
      <c r="E47" s="102"/>
      <c r="F47" s="161"/>
      <c r="G47" s="161"/>
      <c r="H47" s="98"/>
      <c r="I47" s="99"/>
      <c r="J47" s="98"/>
      <c r="K47" s="98"/>
      <c r="L47" s="98"/>
      <c r="M47" s="162"/>
      <c r="N47" s="102"/>
      <c r="O47" s="163"/>
      <c r="P47" s="163"/>
      <c r="Q47" s="102"/>
      <c r="R47" s="20">
        <f t="shared" si="0"/>
        <v>0</v>
      </c>
      <c r="S47" s="20">
        <f t="shared" si="1"/>
        <v>0</v>
      </c>
      <c r="T47" s="165"/>
    </row>
    <row r="48" spans="1:20" x14ac:dyDescent="0.2">
      <c r="A48" s="101"/>
      <c r="B48" s="101"/>
      <c r="C48" s="102"/>
      <c r="D48" s="102"/>
      <c r="E48" s="102"/>
      <c r="F48" s="161"/>
      <c r="G48" s="161"/>
      <c r="H48" s="98"/>
      <c r="I48" s="99"/>
      <c r="J48" s="98"/>
      <c r="K48" s="98"/>
      <c r="L48" s="98"/>
      <c r="M48" s="162"/>
      <c r="N48" s="102"/>
      <c r="O48" s="163"/>
      <c r="P48" s="163"/>
      <c r="Q48" s="102"/>
      <c r="R48" s="20">
        <f t="shared" si="0"/>
        <v>0</v>
      </c>
      <c r="S48" s="20">
        <f t="shared" si="1"/>
        <v>0</v>
      </c>
      <c r="T48" s="165"/>
    </row>
    <row r="49" spans="1:20" x14ac:dyDescent="0.2">
      <c r="A49" s="101"/>
      <c r="B49" s="101"/>
      <c r="C49" s="102"/>
      <c r="D49" s="102"/>
      <c r="E49" s="102"/>
      <c r="F49" s="161"/>
      <c r="G49" s="161"/>
      <c r="H49" s="98"/>
      <c r="I49" s="99"/>
      <c r="J49" s="98"/>
      <c r="K49" s="98"/>
      <c r="L49" s="98"/>
      <c r="M49" s="162"/>
      <c r="N49" s="102"/>
      <c r="O49" s="163"/>
      <c r="P49" s="163"/>
      <c r="Q49" s="102"/>
      <c r="R49" s="20">
        <f t="shared" si="0"/>
        <v>0</v>
      </c>
      <c r="S49" s="20">
        <f t="shared" si="1"/>
        <v>0</v>
      </c>
      <c r="T49" s="165"/>
    </row>
    <row r="50" spans="1:20" x14ac:dyDescent="0.2">
      <c r="A50" s="101"/>
      <c r="B50" s="101"/>
      <c r="C50" s="102"/>
      <c r="D50" s="102"/>
      <c r="E50" s="102"/>
      <c r="F50" s="161"/>
      <c r="G50" s="161"/>
      <c r="H50" s="98"/>
      <c r="I50" s="99"/>
      <c r="J50" s="98"/>
      <c r="K50" s="98"/>
      <c r="L50" s="98"/>
      <c r="M50" s="162"/>
      <c r="N50" s="102"/>
      <c r="O50" s="163"/>
      <c r="P50" s="163"/>
      <c r="Q50" s="102"/>
      <c r="R50" s="20">
        <f t="shared" si="0"/>
        <v>0</v>
      </c>
      <c r="S50" s="20">
        <f t="shared" si="1"/>
        <v>0</v>
      </c>
      <c r="T50" s="165"/>
    </row>
    <row r="51" spans="1:20" x14ac:dyDescent="0.2">
      <c r="A51" s="101"/>
      <c r="B51" s="101"/>
      <c r="C51" s="102"/>
      <c r="D51" s="102"/>
      <c r="E51" s="102"/>
      <c r="F51" s="161"/>
      <c r="G51" s="161"/>
      <c r="H51" s="98"/>
      <c r="I51" s="99"/>
      <c r="J51" s="98"/>
      <c r="K51" s="98"/>
      <c r="L51" s="98"/>
      <c r="M51" s="162"/>
      <c r="N51" s="102"/>
      <c r="O51" s="163"/>
      <c r="P51" s="163"/>
      <c r="Q51" s="102"/>
      <c r="R51" s="20">
        <f t="shared" si="0"/>
        <v>0</v>
      </c>
      <c r="S51" s="20">
        <f t="shared" si="1"/>
        <v>0</v>
      </c>
      <c r="T51" s="165"/>
    </row>
    <row r="52" spans="1:20" x14ac:dyDescent="0.2">
      <c r="A52" s="101"/>
      <c r="B52" s="101"/>
      <c r="C52" s="102"/>
      <c r="D52" s="102"/>
      <c r="E52" s="102"/>
      <c r="F52" s="161"/>
      <c r="G52" s="161"/>
      <c r="H52" s="98"/>
      <c r="I52" s="99"/>
      <c r="J52" s="98"/>
      <c r="K52" s="98"/>
      <c r="L52" s="98"/>
      <c r="M52" s="162"/>
      <c r="N52" s="102"/>
      <c r="O52" s="163"/>
      <c r="P52" s="163"/>
      <c r="Q52" s="102"/>
      <c r="R52" s="20">
        <f t="shared" si="0"/>
        <v>0</v>
      </c>
      <c r="S52" s="20">
        <f t="shared" si="1"/>
        <v>0</v>
      </c>
      <c r="T52" s="165"/>
    </row>
    <row r="53" spans="1:20" x14ac:dyDescent="0.2">
      <c r="A53" s="101"/>
      <c r="B53" s="101"/>
      <c r="C53" s="102"/>
      <c r="D53" s="102"/>
      <c r="E53" s="102"/>
      <c r="F53" s="161"/>
      <c r="G53" s="161"/>
      <c r="H53" s="98"/>
      <c r="I53" s="99"/>
      <c r="J53" s="98"/>
      <c r="K53" s="98"/>
      <c r="L53" s="98"/>
      <c r="M53" s="162"/>
      <c r="N53" s="102"/>
      <c r="O53" s="163"/>
      <c r="P53" s="163"/>
      <c r="Q53" s="102"/>
      <c r="R53" s="20">
        <f t="shared" si="0"/>
        <v>0</v>
      </c>
      <c r="S53" s="20">
        <f t="shared" si="1"/>
        <v>0</v>
      </c>
      <c r="T53" s="165"/>
    </row>
    <row r="54" spans="1:20" x14ac:dyDescent="0.2">
      <c r="A54" s="101"/>
      <c r="B54" s="101"/>
      <c r="C54" s="102"/>
      <c r="D54" s="102"/>
      <c r="E54" s="102"/>
      <c r="F54" s="161"/>
      <c r="G54" s="161"/>
      <c r="H54" s="98"/>
      <c r="I54" s="99"/>
      <c r="J54" s="98"/>
      <c r="K54" s="98"/>
      <c r="L54" s="98"/>
      <c r="M54" s="162"/>
      <c r="N54" s="102"/>
      <c r="O54" s="163"/>
      <c r="P54" s="163"/>
      <c r="Q54" s="102"/>
      <c r="R54" s="20">
        <f t="shared" si="0"/>
        <v>0</v>
      </c>
      <c r="S54" s="20">
        <f t="shared" si="1"/>
        <v>0</v>
      </c>
      <c r="T54" s="165"/>
    </row>
    <row r="55" spans="1:20" x14ac:dyDescent="0.2">
      <c r="A55" s="101"/>
      <c r="B55" s="101"/>
      <c r="C55" s="102"/>
      <c r="D55" s="102"/>
      <c r="E55" s="102"/>
      <c r="F55" s="161"/>
      <c r="G55" s="161"/>
      <c r="H55" s="98"/>
      <c r="I55" s="99"/>
      <c r="J55" s="98"/>
      <c r="K55" s="98"/>
      <c r="L55" s="98"/>
      <c r="M55" s="162"/>
      <c r="N55" s="102"/>
      <c r="O55" s="163"/>
      <c r="P55" s="163"/>
      <c r="Q55" s="102"/>
      <c r="R55" s="20">
        <f t="shared" si="0"/>
        <v>0</v>
      </c>
      <c r="S55" s="20">
        <f t="shared" si="1"/>
        <v>0</v>
      </c>
      <c r="T55" s="165"/>
    </row>
    <row r="56" spans="1:20" x14ac:dyDescent="0.2">
      <c r="A56" s="101"/>
      <c r="B56" s="101"/>
      <c r="C56" s="102"/>
      <c r="D56" s="102"/>
      <c r="E56" s="102"/>
      <c r="F56" s="161"/>
      <c r="G56" s="161"/>
      <c r="H56" s="98"/>
      <c r="I56" s="99"/>
      <c r="J56" s="98"/>
      <c r="K56" s="98"/>
      <c r="L56" s="98"/>
      <c r="M56" s="162"/>
      <c r="N56" s="102"/>
      <c r="O56" s="163"/>
      <c r="P56" s="163"/>
      <c r="Q56" s="102"/>
      <c r="R56" s="20">
        <f t="shared" si="0"/>
        <v>0</v>
      </c>
      <c r="S56" s="20">
        <f t="shared" si="1"/>
        <v>0</v>
      </c>
      <c r="T56" s="165"/>
    </row>
    <row r="57" spans="1:20" x14ac:dyDescent="0.2">
      <c r="A57" s="101"/>
      <c r="B57" s="101"/>
      <c r="C57" s="102"/>
      <c r="D57" s="102"/>
      <c r="E57" s="102"/>
      <c r="F57" s="161"/>
      <c r="G57" s="161"/>
      <c r="H57" s="98"/>
      <c r="I57" s="99"/>
      <c r="J57" s="98"/>
      <c r="K57" s="98"/>
      <c r="L57" s="98"/>
      <c r="M57" s="162"/>
      <c r="N57" s="102"/>
      <c r="O57" s="163"/>
      <c r="P57" s="163"/>
      <c r="Q57" s="102"/>
      <c r="R57" s="20">
        <f t="shared" si="0"/>
        <v>0</v>
      </c>
      <c r="S57" s="20">
        <f t="shared" si="1"/>
        <v>0</v>
      </c>
      <c r="T57" s="165"/>
    </row>
    <row r="58" spans="1:20" x14ac:dyDescent="0.2">
      <c r="A58" s="101"/>
      <c r="B58" s="101"/>
      <c r="C58" s="102"/>
      <c r="D58" s="102"/>
      <c r="E58" s="102"/>
      <c r="F58" s="161"/>
      <c r="G58" s="161"/>
      <c r="H58" s="98"/>
      <c r="I58" s="99"/>
      <c r="J58" s="98"/>
      <c r="K58" s="98"/>
      <c r="L58" s="98"/>
      <c r="M58" s="162"/>
      <c r="N58" s="102"/>
      <c r="O58" s="163"/>
      <c r="P58" s="163"/>
      <c r="Q58" s="102"/>
      <c r="R58" s="20">
        <f t="shared" si="0"/>
        <v>0</v>
      </c>
      <c r="S58" s="20">
        <f t="shared" si="1"/>
        <v>0</v>
      </c>
      <c r="T58" s="165"/>
    </row>
    <row r="59" spans="1:20" x14ac:dyDescent="0.2">
      <c r="A59" s="101"/>
      <c r="B59" s="101"/>
      <c r="C59" s="102"/>
      <c r="D59" s="102"/>
      <c r="E59" s="102"/>
      <c r="F59" s="161"/>
      <c r="G59" s="161"/>
      <c r="H59" s="98"/>
      <c r="I59" s="99"/>
      <c r="J59" s="98"/>
      <c r="K59" s="98"/>
      <c r="L59" s="98"/>
      <c r="M59" s="162"/>
      <c r="N59" s="102"/>
      <c r="O59" s="163"/>
      <c r="P59" s="163"/>
      <c r="Q59" s="102"/>
      <c r="R59" s="20">
        <f t="shared" si="0"/>
        <v>0</v>
      </c>
      <c r="S59" s="20">
        <f t="shared" si="1"/>
        <v>0</v>
      </c>
      <c r="T59" s="165"/>
    </row>
    <row r="60" spans="1:20" x14ac:dyDescent="0.2">
      <c r="A60" s="101"/>
      <c r="B60" s="101"/>
      <c r="C60" s="102"/>
      <c r="D60" s="102"/>
      <c r="E60" s="102"/>
      <c r="F60" s="161"/>
      <c r="G60" s="161"/>
      <c r="H60" s="98"/>
      <c r="I60" s="99"/>
      <c r="J60" s="98"/>
      <c r="K60" s="98"/>
      <c r="L60" s="98"/>
      <c r="M60" s="162"/>
      <c r="N60" s="102"/>
      <c r="O60" s="163"/>
      <c r="P60" s="163"/>
      <c r="Q60" s="102"/>
      <c r="R60" s="20">
        <f t="shared" si="0"/>
        <v>0</v>
      </c>
      <c r="S60" s="20">
        <f t="shared" si="1"/>
        <v>0</v>
      </c>
      <c r="T60" s="165"/>
    </row>
    <row r="61" spans="1:20" x14ac:dyDescent="0.2">
      <c r="A61" s="101"/>
      <c r="B61" s="101"/>
      <c r="C61" s="102"/>
      <c r="D61" s="102"/>
      <c r="E61" s="102"/>
      <c r="F61" s="161"/>
      <c r="G61" s="161"/>
      <c r="H61" s="98"/>
      <c r="I61" s="99"/>
      <c r="J61" s="98"/>
      <c r="K61" s="98"/>
      <c r="L61" s="98"/>
      <c r="M61" s="162"/>
      <c r="N61" s="102"/>
      <c r="O61" s="163"/>
      <c r="P61" s="163"/>
      <c r="Q61" s="102"/>
      <c r="R61" s="20">
        <f t="shared" si="0"/>
        <v>0</v>
      </c>
      <c r="S61" s="20">
        <f t="shared" si="1"/>
        <v>0</v>
      </c>
      <c r="T61" s="165"/>
    </row>
    <row r="62" spans="1:20" x14ac:dyDescent="0.2">
      <c r="A62" s="101"/>
      <c r="B62" s="101"/>
      <c r="C62" s="102"/>
      <c r="D62" s="102"/>
      <c r="E62" s="102"/>
      <c r="F62" s="161"/>
      <c r="G62" s="161"/>
      <c r="H62" s="98"/>
      <c r="I62" s="99"/>
      <c r="J62" s="98"/>
      <c r="K62" s="98"/>
      <c r="L62" s="98"/>
      <c r="M62" s="162"/>
      <c r="N62" s="102"/>
      <c r="O62" s="163"/>
      <c r="P62" s="163"/>
      <c r="Q62" s="102"/>
      <c r="R62" s="20">
        <f t="shared" si="0"/>
        <v>0</v>
      </c>
      <c r="S62" s="20">
        <f t="shared" si="1"/>
        <v>0</v>
      </c>
      <c r="T62" s="165"/>
    </row>
    <row r="63" spans="1:20" x14ac:dyDescent="0.2">
      <c r="A63" s="101"/>
      <c r="B63" s="101"/>
      <c r="C63" s="102"/>
      <c r="D63" s="102"/>
      <c r="E63" s="102"/>
      <c r="F63" s="161"/>
      <c r="G63" s="161"/>
      <c r="H63" s="98"/>
      <c r="I63" s="99"/>
      <c r="J63" s="98"/>
      <c r="K63" s="98"/>
      <c r="L63" s="98"/>
      <c r="M63" s="162"/>
      <c r="N63" s="102"/>
      <c r="O63" s="163"/>
      <c r="P63" s="163"/>
      <c r="Q63" s="102"/>
      <c r="R63" s="20">
        <f t="shared" si="0"/>
        <v>0</v>
      </c>
      <c r="S63" s="20">
        <f t="shared" si="1"/>
        <v>0</v>
      </c>
      <c r="T63" s="165"/>
    </row>
    <row r="64" spans="1:20" x14ac:dyDescent="0.2">
      <c r="A64" s="101"/>
      <c r="B64" s="101"/>
      <c r="C64" s="102"/>
      <c r="D64" s="102"/>
      <c r="E64" s="102"/>
      <c r="F64" s="161"/>
      <c r="G64" s="161"/>
      <c r="H64" s="98"/>
      <c r="I64" s="99"/>
      <c r="J64" s="98"/>
      <c r="K64" s="98"/>
      <c r="L64" s="98"/>
      <c r="M64" s="162"/>
      <c r="N64" s="102"/>
      <c r="O64" s="163"/>
      <c r="P64" s="163"/>
      <c r="Q64" s="102"/>
      <c r="R64" s="20">
        <f t="shared" si="0"/>
        <v>0</v>
      </c>
      <c r="S64" s="20">
        <f t="shared" si="1"/>
        <v>0</v>
      </c>
      <c r="T64" s="165"/>
    </row>
    <row r="65" spans="1:20" x14ac:dyDescent="0.2">
      <c r="A65" s="101"/>
      <c r="B65" s="101"/>
      <c r="C65" s="102"/>
      <c r="D65" s="102"/>
      <c r="E65" s="102"/>
      <c r="F65" s="161"/>
      <c r="G65" s="161"/>
      <c r="H65" s="98"/>
      <c r="I65" s="99"/>
      <c r="J65" s="98"/>
      <c r="K65" s="98"/>
      <c r="L65" s="98"/>
      <c r="M65" s="162"/>
      <c r="N65" s="102"/>
      <c r="O65" s="163"/>
      <c r="P65" s="163"/>
      <c r="Q65" s="102"/>
      <c r="R65" s="20">
        <f t="shared" si="0"/>
        <v>0</v>
      </c>
      <c r="S65" s="20">
        <f t="shared" si="1"/>
        <v>0</v>
      </c>
      <c r="T65" s="165"/>
    </row>
    <row r="66" spans="1:20" x14ac:dyDescent="0.2">
      <c r="A66" s="101"/>
      <c r="B66" s="101"/>
      <c r="C66" s="102"/>
      <c r="D66" s="102"/>
      <c r="E66" s="102"/>
      <c r="F66" s="161"/>
      <c r="G66" s="161"/>
      <c r="H66" s="98"/>
      <c r="I66" s="99"/>
      <c r="J66" s="98"/>
      <c r="K66" s="98"/>
      <c r="L66" s="98"/>
      <c r="M66" s="162"/>
      <c r="N66" s="102"/>
      <c r="O66" s="163"/>
      <c r="P66" s="163"/>
      <c r="Q66" s="102"/>
      <c r="R66" s="20">
        <f t="shared" si="0"/>
        <v>0</v>
      </c>
      <c r="S66" s="20">
        <f t="shared" si="1"/>
        <v>0</v>
      </c>
      <c r="T66" s="165"/>
    </row>
    <row r="67" spans="1:20" x14ac:dyDescent="0.2">
      <c r="A67" s="101"/>
      <c r="B67" s="101"/>
      <c r="C67" s="102"/>
      <c r="D67" s="102"/>
      <c r="E67" s="102"/>
      <c r="F67" s="161"/>
      <c r="G67" s="161"/>
      <c r="H67" s="98"/>
      <c r="I67" s="99"/>
      <c r="J67" s="98"/>
      <c r="K67" s="98"/>
      <c r="L67" s="98"/>
      <c r="M67" s="162"/>
      <c r="N67" s="102"/>
      <c r="O67" s="163"/>
      <c r="P67" s="163"/>
      <c r="Q67" s="102"/>
      <c r="R67" s="20">
        <f t="shared" si="0"/>
        <v>0</v>
      </c>
      <c r="S67" s="20">
        <f t="shared" si="1"/>
        <v>0</v>
      </c>
      <c r="T67" s="165"/>
    </row>
    <row r="68" spans="1:20" x14ac:dyDescent="0.2">
      <c r="A68" s="101"/>
      <c r="B68" s="101"/>
      <c r="C68" s="102"/>
      <c r="D68" s="102"/>
      <c r="E68" s="102"/>
      <c r="F68" s="161"/>
      <c r="G68" s="161"/>
      <c r="H68" s="98"/>
      <c r="I68" s="99"/>
      <c r="J68" s="98"/>
      <c r="K68" s="98"/>
      <c r="L68" s="98"/>
      <c r="M68" s="162"/>
      <c r="N68" s="164"/>
      <c r="O68" s="163"/>
      <c r="P68" s="163"/>
      <c r="Q68" s="102"/>
      <c r="R68" s="20">
        <f t="shared" si="0"/>
        <v>0</v>
      </c>
      <c r="S68" s="20">
        <f t="shared" si="1"/>
        <v>0</v>
      </c>
      <c r="T68" s="165"/>
    </row>
    <row r="69" spans="1:20" x14ac:dyDescent="0.2">
      <c r="A69" s="101"/>
      <c r="B69" s="101"/>
      <c r="C69" s="102"/>
      <c r="D69" s="102"/>
      <c r="E69" s="102"/>
      <c r="F69" s="161"/>
      <c r="G69" s="161"/>
      <c r="H69" s="98"/>
      <c r="I69" s="99"/>
      <c r="J69" s="98"/>
      <c r="K69" s="98"/>
      <c r="L69" s="98"/>
      <c r="M69" s="162"/>
      <c r="N69" s="164"/>
      <c r="O69" s="163"/>
      <c r="P69" s="163"/>
      <c r="Q69" s="102"/>
      <c r="R69" s="20">
        <f t="shared" ref="R69:R100"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20">
        <f t="shared" ref="S69:S100"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65"/>
    </row>
    <row r="70" spans="1:20" x14ac:dyDescent="0.2">
      <c r="A70" s="101"/>
      <c r="B70" s="101"/>
      <c r="C70" s="102"/>
      <c r="D70" s="102"/>
      <c r="E70" s="102"/>
      <c r="F70" s="161"/>
      <c r="G70" s="161"/>
      <c r="H70" s="98"/>
      <c r="I70" s="99"/>
      <c r="J70" s="98"/>
      <c r="K70" s="98"/>
      <c r="L70" s="98"/>
      <c r="M70" s="162"/>
      <c r="N70" s="164"/>
      <c r="O70" s="163"/>
      <c r="P70" s="163"/>
      <c r="Q70" s="102"/>
      <c r="R70" s="20">
        <f t="shared" si="2"/>
        <v>0</v>
      </c>
      <c r="S70" s="20">
        <f t="shared" si="3"/>
        <v>0</v>
      </c>
      <c r="T70" s="165"/>
    </row>
    <row r="71" spans="1:20" x14ac:dyDescent="0.2">
      <c r="A71" s="101"/>
      <c r="B71" s="101"/>
      <c r="C71" s="102"/>
      <c r="D71" s="102"/>
      <c r="E71" s="102"/>
      <c r="F71" s="161"/>
      <c r="G71" s="161"/>
      <c r="H71" s="98"/>
      <c r="I71" s="99"/>
      <c r="J71" s="98"/>
      <c r="K71" s="98"/>
      <c r="L71" s="98"/>
      <c r="M71" s="162"/>
      <c r="N71" s="164"/>
      <c r="O71" s="163"/>
      <c r="P71" s="163"/>
      <c r="Q71" s="102"/>
      <c r="R71" s="20">
        <f t="shared" si="2"/>
        <v>0</v>
      </c>
      <c r="S71" s="20">
        <f t="shared" si="3"/>
        <v>0</v>
      </c>
      <c r="T71" s="165"/>
    </row>
    <row r="72" spans="1:20" x14ac:dyDescent="0.2">
      <c r="A72" s="101"/>
      <c r="B72" s="101"/>
      <c r="C72" s="102"/>
      <c r="D72" s="102"/>
      <c r="E72" s="102"/>
      <c r="F72" s="161"/>
      <c r="G72" s="161"/>
      <c r="H72" s="98"/>
      <c r="I72" s="99"/>
      <c r="J72" s="98"/>
      <c r="K72" s="98"/>
      <c r="L72" s="98"/>
      <c r="M72" s="162"/>
      <c r="N72" s="164"/>
      <c r="O72" s="163"/>
      <c r="P72" s="163"/>
      <c r="Q72" s="102"/>
      <c r="R72" s="20">
        <f t="shared" si="2"/>
        <v>0</v>
      </c>
      <c r="S72" s="20">
        <f t="shared" si="3"/>
        <v>0</v>
      </c>
      <c r="T72" s="165"/>
    </row>
    <row r="73" spans="1:20" x14ac:dyDescent="0.2">
      <c r="A73" s="101"/>
      <c r="B73" s="101"/>
      <c r="C73" s="102"/>
      <c r="D73" s="102"/>
      <c r="E73" s="102"/>
      <c r="F73" s="161"/>
      <c r="G73" s="161"/>
      <c r="H73" s="98"/>
      <c r="I73" s="99"/>
      <c r="J73" s="98"/>
      <c r="K73" s="98"/>
      <c r="L73" s="98"/>
      <c r="M73" s="162"/>
      <c r="N73" s="164"/>
      <c r="O73" s="163"/>
      <c r="P73" s="163"/>
      <c r="Q73" s="102"/>
      <c r="R73" s="20">
        <f t="shared" si="2"/>
        <v>0</v>
      </c>
      <c r="S73" s="20">
        <f t="shared" si="3"/>
        <v>0</v>
      </c>
      <c r="T73" s="165"/>
    </row>
    <row r="74" spans="1:20" x14ac:dyDescent="0.2">
      <c r="A74" s="101"/>
      <c r="B74" s="101"/>
      <c r="C74" s="102"/>
      <c r="D74" s="102"/>
      <c r="E74" s="102"/>
      <c r="F74" s="161"/>
      <c r="G74" s="161"/>
      <c r="H74" s="98"/>
      <c r="I74" s="99"/>
      <c r="J74" s="98"/>
      <c r="K74" s="98"/>
      <c r="L74" s="98"/>
      <c r="M74" s="162"/>
      <c r="N74" s="164"/>
      <c r="O74" s="163"/>
      <c r="P74" s="163"/>
      <c r="Q74" s="102"/>
      <c r="R74" s="20">
        <f t="shared" si="2"/>
        <v>0</v>
      </c>
      <c r="S74" s="20">
        <f t="shared" si="3"/>
        <v>0</v>
      </c>
      <c r="T74" s="165"/>
    </row>
    <row r="75" spans="1:20" x14ac:dyDescent="0.2">
      <c r="A75" s="101"/>
      <c r="B75" s="101"/>
      <c r="C75" s="102"/>
      <c r="D75" s="102"/>
      <c r="E75" s="102"/>
      <c r="F75" s="161"/>
      <c r="G75" s="161"/>
      <c r="H75" s="98"/>
      <c r="I75" s="99"/>
      <c r="J75" s="98"/>
      <c r="K75" s="98"/>
      <c r="L75" s="98"/>
      <c r="M75" s="162"/>
      <c r="N75" s="164"/>
      <c r="O75" s="163"/>
      <c r="P75" s="163"/>
      <c r="Q75" s="102"/>
      <c r="R75" s="20">
        <f t="shared" si="2"/>
        <v>0</v>
      </c>
      <c r="S75" s="20">
        <f t="shared" si="3"/>
        <v>0</v>
      </c>
      <c r="T75" s="165"/>
    </row>
    <row r="76" spans="1:20" x14ac:dyDescent="0.2">
      <c r="A76" s="101"/>
      <c r="B76" s="101"/>
      <c r="C76" s="102"/>
      <c r="D76" s="102"/>
      <c r="E76" s="102"/>
      <c r="F76" s="161"/>
      <c r="G76" s="161"/>
      <c r="H76" s="98"/>
      <c r="I76" s="99"/>
      <c r="J76" s="98"/>
      <c r="K76" s="98"/>
      <c r="L76" s="98"/>
      <c r="M76" s="162"/>
      <c r="N76" s="164"/>
      <c r="O76" s="163"/>
      <c r="P76" s="163"/>
      <c r="Q76" s="102"/>
      <c r="R76" s="20">
        <f t="shared" si="2"/>
        <v>0</v>
      </c>
      <c r="S76" s="20">
        <f t="shared" si="3"/>
        <v>0</v>
      </c>
      <c r="T76" s="165"/>
    </row>
    <row r="77" spans="1:20" x14ac:dyDescent="0.2">
      <c r="A77" s="101"/>
      <c r="B77" s="101"/>
      <c r="C77" s="102"/>
      <c r="D77" s="102"/>
      <c r="E77" s="102"/>
      <c r="F77" s="161"/>
      <c r="G77" s="161"/>
      <c r="H77" s="98"/>
      <c r="I77" s="99"/>
      <c r="J77" s="98"/>
      <c r="K77" s="98"/>
      <c r="L77" s="98"/>
      <c r="M77" s="162"/>
      <c r="N77" s="164"/>
      <c r="O77" s="163"/>
      <c r="P77" s="163"/>
      <c r="Q77" s="102"/>
      <c r="R77" s="20">
        <f t="shared" si="2"/>
        <v>0</v>
      </c>
      <c r="S77" s="20">
        <f t="shared" si="3"/>
        <v>0</v>
      </c>
      <c r="T77" s="165"/>
    </row>
    <row r="78" spans="1:20" x14ac:dyDescent="0.2">
      <c r="A78" s="101"/>
      <c r="B78" s="101"/>
      <c r="C78" s="102"/>
      <c r="D78" s="102"/>
      <c r="E78" s="102"/>
      <c r="F78" s="161"/>
      <c r="G78" s="161"/>
      <c r="H78" s="98"/>
      <c r="I78" s="99"/>
      <c r="J78" s="98"/>
      <c r="K78" s="98"/>
      <c r="L78" s="98"/>
      <c r="M78" s="162"/>
      <c r="N78" s="164"/>
      <c r="O78" s="163"/>
      <c r="P78" s="163"/>
      <c r="Q78" s="102"/>
      <c r="R78" s="20">
        <f t="shared" si="2"/>
        <v>0</v>
      </c>
      <c r="S78" s="20">
        <f t="shared" si="3"/>
        <v>0</v>
      </c>
      <c r="T78" s="165"/>
    </row>
    <row r="79" spans="1:20" x14ac:dyDescent="0.2">
      <c r="A79" s="101"/>
      <c r="B79" s="101"/>
      <c r="C79" s="102"/>
      <c r="D79" s="102"/>
      <c r="E79" s="102"/>
      <c r="F79" s="161"/>
      <c r="G79" s="161"/>
      <c r="H79" s="98"/>
      <c r="I79" s="99"/>
      <c r="J79" s="98"/>
      <c r="K79" s="98"/>
      <c r="L79" s="98"/>
      <c r="M79" s="162"/>
      <c r="N79" s="164"/>
      <c r="O79" s="163"/>
      <c r="P79" s="163"/>
      <c r="Q79" s="102"/>
      <c r="R79" s="20">
        <f t="shared" si="2"/>
        <v>0</v>
      </c>
      <c r="S79" s="20">
        <f t="shared" si="3"/>
        <v>0</v>
      </c>
      <c r="T79" s="165"/>
    </row>
    <row r="80" spans="1:20" x14ac:dyDescent="0.2">
      <c r="A80" s="101"/>
      <c r="B80" s="101"/>
      <c r="C80" s="102"/>
      <c r="D80" s="102"/>
      <c r="E80" s="102"/>
      <c r="F80" s="161"/>
      <c r="G80" s="161"/>
      <c r="H80" s="98"/>
      <c r="I80" s="99"/>
      <c r="J80" s="98"/>
      <c r="K80" s="98"/>
      <c r="L80" s="98"/>
      <c r="M80" s="162"/>
      <c r="N80" s="164"/>
      <c r="O80" s="163"/>
      <c r="P80" s="163"/>
      <c r="Q80" s="102"/>
      <c r="R80" s="20">
        <f t="shared" si="2"/>
        <v>0</v>
      </c>
      <c r="S80" s="20">
        <f t="shared" si="3"/>
        <v>0</v>
      </c>
      <c r="T80" s="165"/>
    </row>
    <row r="81" spans="1:20" x14ac:dyDescent="0.2">
      <c r="A81" s="101"/>
      <c r="B81" s="101"/>
      <c r="C81" s="102"/>
      <c r="D81" s="102"/>
      <c r="E81" s="102"/>
      <c r="F81" s="161"/>
      <c r="G81" s="161"/>
      <c r="H81" s="98"/>
      <c r="I81" s="99"/>
      <c r="J81" s="98"/>
      <c r="K81" s="98"/>
      <c r="L81" s="98"/>
      <c r="M81" s="162"/>
      <c r="N81" s="164"/>
      <c r="O81" s="163"/>
      <c r="P81" s="163"/>
      <c r="Q81" s="102"/>
      <c r="R81" s="20">
        <f t="shared" si="2"/>
        <v>0</v>
      </c>
      <c r="S81" s="20">
        <f t="shared" si="3"/>
        <v>0</v>
      </c>
      <c r="T81" s="165"/>
    </row>
    <row r="82" spans="1:20" x14ac:dyDescent="0.2">
      <c r="A82" s="101"/>
      <c r="B82" s="101"/>
      <c r="C82" s="102"/>
      <c r="D82" s="102"/>
      <c r="E82" s="102"/>
      <c r="F82" s="161"/>
      <c r="G82" s="161"/>
      <c r="H82" s="98"/>
      <c r="I82" s="99"/>
      <c r="J82" s="98"/>
      <c r="K82" s="98"/>
      <c r="L82" s="98"/>
      <c r="M82" s="162"/>
      <c r="N82" s="164"/>
      <c r="O82" s="163"/>
      <c r="P82" s="163"/>
      <c r="Q82" s="102"/>
      <c r="R82" s="20">
        <f t="shared" si="2"/>
        <v>0</v>
      </c>
      <c r="S82" s="20">
        <f t="shared" si="3"/>
        <v>0</v>
      </c>
      <c r="T82" s="165"/>
    </row>
    <row r="83" spans="1:20" x14ac:dyDescent="0.2">
      <c r="A83" s="101"/>
      <c r="B83" s="101"/>
      <c r="C83" s="102"/>
      <c r="D83" s="102"/>
      <c r="E83" s="102"/>
      <c r="F83" s="161"/>
      <c r="G83" s="161"/>
      <c r="H83" s="98"/>
      <c r="I83" s="99"/>
      <c r="J83" s="98"/>
      <c r="K83" s="98"/>
      <c r="L83" s="98"/>
      <c r="M83" s="162"/>
      <c r="N83" s="164"/>
      <c r="O83" s="163"/>
      <c r="P83" s="163"/>
      <c r="Q83" s="102"/>
      <c r="R83" s="20">
        <f t="shared" si="2"/>
        <v>0</v>
      </c>
      <c r="S83" s="20">
        <f t="shared" si="3"/>
        <v>0</v>
      </c>
      <c r="T83" s="165"/>
    </row>
    <row r="84" spans="1:20" x14ac:dyDescent="0.2">
      <c r="A84" s="101"/>
      <c r="B84" s="101"/>
      <c r="C84" s="102"/>
      <c r="D84" s="102"/>
      <c r="E84" s="102"/>
      <c r="F84" s="161"/>
      <c r="G84" s="161"/>
      <c r="H84" s="98"/>
      <c r="I84" s="99"/>
      <c r="J84" s="98"/>
      <c r="K84" s="98"/>
      <c r="L84" s="98"/>
      <c r="M84" s="162"/>
      <c r="N84" s="164"/>
      <c r="O84" s="163"/>
      <c r="P84" s="163"/>
      <c r="Q84" s="102"/>
      <c r="R84" s="20">
        <f t="shared" si="2"/>
        <v>0</v>
      </c>
      <c r="S84" s="20">
        <f t="shared" si="3"/>
        <v>0</v>
      </c>
      <c r="T84" s="165"/>
    </row>
    <row r="85" spans="1:20" x14ac:dyDescent="0.2">
      <c r="A85" s="101"/>
      <c r="B85" s="101"/>
      <c r="C85" s="102"/>
      <c r="D85" s="102"/>
      <c r="E85" s="102"/>
      <c r="F85" s="161"/>
      <c r="G85" s="161"/>
      <c r="H85" s="98"/>
      <c r="I85" s="99"/>
      <c r="J85" s="98"/>
      <c r="K85" s="98"/>
      <c r="L85" s="98"/>
      <c r="M85" s="162"/>
      <c r="N85" s="164"/>
      <c r="O85" s="163"/>
      <c r="P85" s="163"/>
      <c r="Q85" s="102"/>
      <c r="R85" s="20">
        <f t="shared" si="2"/>
        <v>0</v>
      </c>
      <c r="S85" s="20">
        <f t="shared" si="3"/>
        <v>0</v>
      </c>
      <c r="T85" s="165"/>
    </row>
    <row r="86" spans="1:20" x14ac:dyDescent="0.2">
      <c r="A86" s="101"/>
      <c r="B86" s="101"/>
      <c r="C86" s="102"/>
      <c r="D86" s="102"/>
      <c r="E86" s="102"/>
      <c r="F86" s="161"/>
      <c r="G86" s="161"/>
      <c r="H86" s="98"/>
      <c r="I86" s="99"/>
      <c r="J86" s="98"/>
      <c r="K86" s="98"/>
      <c r="L86" s="98"/>
      <c r="M86" s="162"/>
      <c r="N86" s="164"/>
      <c r="O86" s="163"/>
      <c r="P86" s="163"/>
      <c r="Q86" s="102"/>
      <c r="R86" s="20">
        <f t="shared" si="2"/>
        <v>0</v>
      </c>
      <c r="S86" s="20">
        <f t="shared" si="3"/>
        <v>0</v>
      </c>
      <c r="T86" s="165"/>
    </row>
    <row r="87" spans="1:20" x14ac:dyDescent="0.2">
      <c r="A87" s="101"/>
      <c r="B87" s="101"/>
      <c r="C87" s="102"/>
      <c r="D87" s="102"/>
      <c r="E87" s="102"/>
      <c r="F87" s="161"/>
      <c r="G87" s="161"/>
      <c r="H87" s="98"/>
      <c r="I87" s="99"/>
      <c r="J87" s="98"/>
      <c r="K87" s="98"/>
      <c r="L87" s="98"/>
      <c r="M87" s="162"/>
      <c r="N87" s="164"/>
      <c r="O87" s="163"/>
      <c r="P87" s="163"/>
      <c r="Q87" s="102"/>
      <c r="R87" s="20">
        <f t="shared" si="2"/>
        <v>0</v>
      </c>
      <c r="S87" s="20">
        <f t="shared" si="3"/>
        <v>0</v>
      </c>
      <c r="T87" s="165"/>
    </row>
    <row r="88" spans="1:20" x14ac:dyDescent="0.2">
      <c r="A88" s="101"/>
      <c r="B88" s="101"/>
      <c r="C88" s="102"/>
      <c r="D88" s="102"/>
      <c r="E88" s="102"/>
      <c r="F88" s="161"/>
      <c r="G88" s="161"/>
      <c r="H88" s="98"/>
      <c r="I88" s="99"/>
      <c r="J88" s="98"/>
      <c r="K88" s="98"/>
      <c r="L88" s="98"/>
      <c r="M88" s="162"/>
      <c r="N88" s="164"/>
      <c r="O88" s="163"/>
      <c r="P88" s="163"/>
      <c r="Q88" s="102"/>
      <c r="R88" s="20">
        <f t="shared" si="2"/>
        <v>0</v>
      </c>
      <c r="S88" s="20">
        <f t="shared" si="3"/>
        <v>0</v>
      </c>
      <c r="T88" s="165"/>
    </row>
    <row r="89" spans="1:20" x14ac:dyDescent="0.2">
      <c r="A89" s="101"/>
      <c r="B89" s="101"/>
      <c r="C89" s="102"/>
      <c r="D89" s="102"/>
      <c r="E89" s="102"/>
      <c r="F89" s="161"/>
      <c r="G89" s="161"/>
      <c r="H89" s="98"/>
      <c r="I89" s="99"/>
      <c r="J89" s="98"/>
      <c r="K89" s="98"/>
      <c r="L89" s="98"/>
      <c r="M89" s="162"/>
      <c r="N89" s="164"/>
      <c r="O89" s="163"/>
      <c r="P89" s="163"/>
      <c r="Q89" s="102"/>
      <c r="R89" s="20">
        <f t="shared" si="2"/>
        <v>0</v>
      </c>
      <c r="S89" s="20">
        <f t="shared" si="3"/>
        <v>0</v>
      </c>
      <c r="T89" s="165"/>
    </row>
    <row r="90" spans="1:20" x14ac:dyDescent="0.2">
      <c r="A90" s="101"/>
      <c r="B90" s="101"/>
      <c r="C90" s="102"/>
      <c r="D90" s="102"/>
      <c r="E90" s="102"/>
      <c r="F90" s="161"/>
      <c r="G90" s="161"/>
      <c r="H90" s="98"/>
      <c r="I90" s="99"/>
      <c r="J90" s="98"/>
      <c r="K90" s="98"/>
      <c r="L90" s="98"/>
      <c r="M90" s="162"/>
      <c r="N90" s="164"/>
      <c r="O90" s="163"/>
      <c r="P90" s="163"/>
      <c r="Q90" s="102"/>
      <c r="R90" s="20">
        <f t="shared" si="2"/>
        <v>0</v>
      </c>
      <c r="S90" s="20">
        <f t="shared" si="3"/>
        <v>0</v>
      </c>
      <c r="T90" s="165"/>
    </row>
    <row r="91" spans="1:20" x14ac:dyDescent="0.2">
      <c r="A91" s="101"/>
      <c r="B91" s="101"/>
      <c r="C91" s="102"/>
      <c r="D91" s="102"/>
      <c r="E91" s="102"/>
      <c r="F91" s="161"/>
      <c r="G91" s="161"/>
      <c r="H91" s="98"/>
      <c r="I91" s="99"/>
      <c r="J91" s="98"/>
      <c r="K91" s="98"/>
      <c r="L91" s="98"/>
      <c r="M91" s="162"/>
      <c r="N91" s="164"/>
      <c r="O91" s="163"/>
      <c r="P91" s="163"/>
      <c r="Q91" s="102"/>
      <c r="R91" s="20">
        <f t="shared" si="2"/>
        <v>0</v>
      </c>
      <c r="S91" s="20">
        <f t="shared" si="3"/>
        <v>0</v>
      </c>
      <c r="T91" s="165"/>
    </row>
    <row r="92" spans="1:20" x14ac:dyDescent="0.2">
      <c r="A92" s="101"/>
      <c r="B92" s="101"/>
      <c r="C92" s="102"/>
      <c r="D92" s="102"/>
      <c r="E92" s="102"/>
      <c r="F92" s="161"/>
      <c r="G92" s="161"/>
      <c r="H92" s="98"/>
      <c r="I92" s="99"/>
      <c r="J92" s="98"/>
      <c r="K92" s="98"/>
      <c r="L92" s="98"/>
      <c r="M92" s="162"/>
      <c r="N92" s="164"/>
      <c r="O92" s="163"/>
      <c r="P92" s="163"/>
      <c r="Q92" s="102"/>
      <c r="R92" s="20">
        <f t="shared" si="2"/>
        <v>0</v>
      </c>
      <c r="S92" s="20">
        <f t="shared" si="3"/>
        <v>0</v>
      </c>
      <c r="T92" s="165"/>
    </row>
    <row r="93" spans="1:20" x14ac:dyDescent="0.2">
      <c r="A93" s="101"/>
      <c r="B93" s="101"/>
      <c r="C93" s="102"/>
      <c r="D93" s="102"/>
      <c r="E93" s="102"/>
      <c r="F93" s="161"/>
      <c r="G93" s="161"/>
      <c r="H93" s="98"/>
      <c r="I93" s="99"/>
      <c r="J93" s="98"/>
      <c r="K93" s="98"/>
      <c r="L93" s="98"/>
      <c r="M93" s="162"/>
      <c r="N93" s="164"/>
      <c r="O93" s="163"/>
      <c r="P93" s="163"/>
      <c r="Q93" s="102"/>
      <c r="R93" s="20">
        <f t="shared" si="2"/>
        <v>0</v>
      </c>
      <c r="S93" s="20">
        <f t="shared" si="3"/>
        <v>0</v>
      </c>
      <c r="T93" s="165"/>
    </row>
    <row r="94" spans="1:20" x14ac:dyDescent="0.2">
      <c r="A94" s="101"/>
      <c r="B94" s="101"/>
      <c r="C94" s="102"/>
      <c r="D94" s="102"/>
      <c r="E94" s="102"/>
      <c r="F94" s="161"/>
      <c r="G94" s="161"/>
      <c r="H94" s="98"/>
      <c r="I94" s="99"/>
      <c r="J94" s="98"/>
      <c r="K94" s="98"/>
      <c r="L94" s="98"/>
      <c r="M94" s="162"/>
      <c r="N94" s="164"/>
      <c r="O94" s="163"/>
      <c r="P94" s="163"/>
      <c r="Q94" s="102"/>
      <c r="R94" s="20">
        <f t="shared" si="2"/>
        <v>0</v>
      </c>
      <c r="S94" s="20">
        <f t="shared" si="3"/>
        <v>0</v>
      </c>
      <c r="T94" s="165"/>
    </row>
    <row r="95" spans="1:20" x14ac:dyDescent="0.2">
      <c r="A95" s="101"/>
      <c r="B95" s="101"/>
      <c r="C95" s="102"/>
      <c r="D95" s="102"/>
      <c r="E95" s="102"/>
      <c r="F95" s="161"/>
      <c r="G95" s="161"/>
      <c r="H95" s="98"/>
      <c r="I95" s="99"/>
      <c r="J95" s="98"/>
      <c r="K95" s="98"/>
      <c r="L95" s="98"/>
      <c r="M95" s="162"/>
      <c r="N95" s="164"/>
      <c r="O95" s="163"/>
      <c r="P95" s="163"/>
      <c r="Q95" s="102"/>
      <c r="R95" s="20">
        <f t="shared" si="2"/>
        <v>0</v>
      </c>
      <c r="S95" s="20">
        <f t="shared" si="3"/>
        <v>0</v>
      </c>
      <c r="T95" s="165"/>
    </row>
    <row r="96" spans="1:20" x14ac:dyDescent="0.2">
      <c r="A96" s="101"/>
      <c r="B96" s="101"/>
      <c r="C96" s="102"/>
      <c r="D96" s="102"/>
      <c r="E96" s="102"/>
      <c r="F96" s="161"/>
      <c r="G96" s="161"/>
      <c r="H96" s="98"/>
      <c r="I96" s="99"/>
      <c r="J96" s="98"/>
      <c r="K96" s="98"/>
      <c r="L96" s="98"/>
      <c r="M96" s="162"/>
      <c r="N96" s="164"/>
      <c r="O96" s="163"/>
      <c r="P96" s="163"/>
      <c r="Q96" s="102"/>
      <c r="R96" s="20">
        <f t="shared" si="2"/>
        <v>0</v>
      </c>
      <c r="S96" s="20">
        <f t="shared" si="3"/>
        <v>0</v>
      </c>
      <c r="T96" s="165"/>
    </row>
    <row r="97" spans="1:20" x14ac:dyDescent="0.2">
      <c r="A97" s="101"/>
      <c r="B97" s="101"/>
      <c r="C97" s="102"/>
      <c r="D97" s="102"/>
      <c r="E97" s="102"/>
      <c r="F97" s="161"/>
      <c r="G97" s="161"/>
      <c r="H97" s="98"/>
      <c r="I97" s="99"/>
      <c r="J97" s="98"/>
      <c r="K97" s="98"/>
      <c r="L97" s="98"/>
      <c r="M97" s="162"/>
      <c r="N97" s="164"/>
      <c r="O97" s="163"/>
      <c r="P97" s="163"/>
      <c r="Q97" s="102"/>
      <c r="R97" s="20">
        <f t="shared" si="2"/>
        <v>0</v>
      </c>
      <c r="S97" s="20">
        <f t="shared" si="3"/>
        <v>0</v>
      </c>
      <c r="T97" s="165"/>
    </row>
    <row r="98" spans="1:20" x14ac:dyDescent="0.2">
      <c r="A98" s="101"/>
      <c r="B98" s="101"/>
      <c r="C98" s="102"/>
      <c r="D98" s="102"/>
      <c r="E98" s="102"/>
      <c r="F98" s="161"/>
      <c r="G98" s="161"/>
      <c r="H98" s="98"/>
      <c r="I98" s="99"/>
      <c r="J98" s="98"/>
      <c r="K98" s="98"/>
      <c r="L98" s="98"/>
      <c r="M98" s="162"/>
      <c r="N98" s="164"/>
      <c r="O98" s="163"/>
      <c r="P98" s="163"/>
      <c r="Q98" s="102"/>
      <c r="R98" s="20">
        <f t="shared" si="2"/>
        <v>0</v>
      </c>
      <c r="S98" s="20">
        <f t="shared" si="3"/>
        <v>0</v>
      </c>
      <c r="T98" s="165"/>
    </row>
    <row r="99" spans="1:20" x14ac:dyDescent="0.2">
      <c r="A99" s="101"/>
      <c r="B99" s="101"/>
      <c r="C99" s="102"/>
      <c r="D99" s="102"/>
      <c r="E99" s="102"/>
      <c r="F99" s="161"/>
      <c r="G99" s="161"/>
      <c r="H99" s="98"/>
      <c r="I99" s="99"/>
      <c r="J99" s="98"/>
      <c r="K99" s="98"/>
      <c r="L99" s="98"/>
      <c r="M99" s="162"/>
      <c r="N99" s="164"/>
      <c r="O99" s="163"/>
      <c r="P99" s="163"/>
      <c r="Q99" s="102"/>
      <c r="R99" s="20">
        <f t="shared" si="2"/>
        <v>0</v>
      </c>
      <c r="S99" s="20">
        <f t="shared" si="3"/>
        <v>0</v>
      </c>
      <c r="T99" s="165"/>
    </row>
    <row r="100" spans="1:20" x14ac:dyDescent="0.2">
      <c r="A100" s="101"/>
      <c r="B100" s="101"/>
      <c r="C100" s="102"/>
      <c r="D100" s="102"/>
      <c r="E100" s="102"/>
      <c r="F100" s="161"/>
      <c r="G100" s="161"/>
      <c r="H100" s="98"/>
      <c r="I100" s="99"/>
      <c r="J100" s="98"/>
      <c r="K100" s="98"/>
      <c r="L100" s="98"/>
      <c r="M100" s="162"/>
      <c r="N100" s="164"/>
      <c r="O100" s="163"/>
      <c r="P100" s="163"/>
      <c r="Q100" s="102"/>
      <c r="R100" s="20">
        <f t="shared" si="2"/>
        <v>0</v>
      </c>
      <c r="S100" s="20">
        <f t="shared" si="3"/>
        <v>0</v>
      </c>
      <c r="T100" s="165"/>
    </row>
  </sheetData>
  <dataConsolidate/>
  <mergeCells count="2">
    <mergeCell ref="A1:N1"/>
    <mergeCell ref="O2:P2"/>
  </mergeCells>
  <conditionalFormatting sqref="H4:H100">
    <cfRule type="containsBlanks" dxfId="0" priority="2">
      <formula>LEN(TRIM(H4))=0</formula>
    </cfRule>
  </conditionalFormatting>
  <dataValidations count="10">
    <dataValidation type="list" allowBlank="1" showInputMessage="1" showErrorMessage="1" sqref="M4:M100">
      <formula1>"Agree with original translator,Disagree with original translator"</formula1>
    </dataValidation>
    <dataValidation type="list" allowBlank="1" showInputMessage="1" showErrorMessage="1" sqref="I4:I100">
      <formula1>"Accepted,Not accepted"</formula1>
    </dataValidation>
    <dataValidation type="list" allowBlank="1" showInputMessage="1" showErrorMessage="1" sqref="Q5:Q100">
      <formula1>"Implemented, Not implemented, Invalid"</formula1>
    </dataValidation>
    <dataValidation type="list" allowBlank="1" showInputMessage="1" showErrorMessage="1" sqref="O4:O100">
      <formula1>IF($I4="Accepted",BlankList,aLevel2)</formula1>
    </dataValidation>
    <dataValidation type="list" allowBlank="1" showInputMessage="1" showErrorMessage="1" sqref="P5:P100">
      <formula1>IF($I5="Accepted",BlankList,Error_categories)</formula1>
    </dataValidation>
    <dataValidation type="list" allowBlank="1" showInputMessage="1" showErrorMessage="1" sqref="F4:F100">
      <formula1>IF(Adequacy="Understandable",aLevel1,aLevel2)</formula1>
    </dataValidation>
    <dataValidation type="list" allowBlank="1" showInputMessage="1" showErrorMessage="1" sqref="G4:G100">
      <formula1>Error_categories</formula1>
    </dataValidation>
    <dataValidation type="list" allowBlank="1" showInputMessage="1" showErrorMessage="1" sqref="P4">
      <formula1>IF($I4="Accepted",BlankList,Error_categories)</formula1>
    </dataValidation>
    <dataValidation type="list" allowBlank="1" showInputMessage="1" showErrorMessage="1" sqref="Q4">
      <formula1>SignOff</formula1>
    </dataValidation>
    <dataValidation type="list" allowBlank="1" showInputMessage="1" showErrorMessage="1" sqref="T4:T100">
      <formula1>IF($Q4="Not Implemented",NotImp,"")</formula1>
    </dataValidation>
  </dataValidations>
  <pageMargins left="0.59055118110236227" right="0.47244094488188981" top="0.70866141732283472" bottom="0.55118110236220474" header="0.31496062992125984" footer="0.19685039370078741"/>
  <pageSetup paperSize="9" scale="51" orientation="landscape" r:id="rId1"/>
  <headerFooter alignWithMargins="0">
    <oddFooter>&amp;L&amp;8QRF-121 J2450 Quality Evaluation Report
Revision: 12&amp;C&amp;8Page &amp;P
Classification: 2&amp;R&amp;8Revision Date: 19/02/2014
Approved by: P. McManus &amp; C. Burkimsher</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14</xdr:col>
                <xdr:colOff>552450</xdr:colOff>
                <xdr:row>0</xdr:row>
                <xdr:rowOff>542925</xdr:rowOff>
              </from>
              <to>
                <xdr:col>19</xdr:col>
                <xdr:colOff>1143000</xdr:colOff>
                <xdr:row>0</xdr:row>
                <xdr:rowOff>1104900</xdr:rowOff>
              </to>
            </anchor>
          </controlPr>
        </control>
      </mc:Choice>
      <mc:Fallback>
        <control shapeId="11266"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J69"/>
  <sheetViews>
    <sheetView showGridLines="0" zoomScaleNormal="100" workbookViewId="0">
      <selection activeCell="F27" sqref="F27"/>
    </sheetView>
  </sheetViews>
  <sheetFormatPr defaultColWidth="9.140625" defaultRowHeight="12.75" x14ac:dyDescent="0.2"/>
  <cols>
    <col min="1" max="1" width="2.7109375" style="51" customWidth="1"/>
    <col min="2" max="2" width="9.140625" style="51" customWidth="1"/>
    <col min="3" max="3" width="20" style="51" customWidth="1"/>
    <col min="4" max="4" width="16" style="51" customWidth="1"/>
    <col min="5" max="5" width="9.140625" style="51" customWidth="1"/>
    <col min="6" max="6" width="55.5703125" style="51" customWidth="1"/>
    <col min="7" max="7" width="27" style="51" customWidth="1"/>
    <col min="8" max="8" width="14.7109375" style="51" customWidth="1"/>
    <col min="9" max="9" width="9.140625" style="51" customWidth="1"/>
    <col min="10" max="10" width="14.7109375" style="51" customWidth="1"/>
    <col min="11" max="11" width="9.140625" style="51" customWidth="1"/>
    <col min="12" max="12" width="28.42578125" style="51" customWidth="1"/>
    <col min="13" max="13" width="9.42578125" style="51" customWidth="1"/>
    <col min="14" max="14" width="2.7109375" style="51" customWidth="1"/>
    <col min="15" max="16384" width="9.140625" style="51"/>
  </cols>
  <sheetData>
    <row r="1" spans="1:10" s="52" customFormat="1" ht="54" customHeight="1" x14ac:dyDescent="0.2">
      <c r="A1" s="383"/>
      <c r="B1" s="384"/>
      <c r="C1" s="384"/>
      <c r="D1" s="384"/>
      <c r="E1" s="384"/>
      <c r="F1" s="384"/>
      <c r="G1" s="51"/>
      <c r="H1" s="51"/>
      <c r="I1" s="51"/>
      <c r="J1" s="51"/>
    </row>
    <row r="2" spans="1:10" ht="15.75" x14ac:dyDescent="0.2">
      <c r="B2" s="53" t="s">
        <v>392</v>
      </c>
      <c r="C2" s="54"/>
    </row>
    <row r="4" spans="1:10" x14ac:dyDescent="0.2">
      <c r="B4" s="55" t="s">
        <v>68</v>
      </c>
      <c r="C4" s="54"/>
    </row>
    <row r="5" spans="1:10" x14ac:dyDescent="0.2">
      <c r="B5" s="51" t="s">
        <v>89</v>
      </c>
    </row>
    <row r="6" spans="1:10" x14ac:dyDescent="0.2">
      <c r="B6" s="51" t="s">
        <v>69</v>
      </c>
      <c r="D6" s="56"/>
    </row>
    <row r="7" spans="1:10" x14ac:dyDescent="0.2">
      <c r="B7" s="51" t="s">
        <v>105</v>
      </c>
      <c r="F7" s="56"/>
    </row>
    <row r="8" spans="1:10" x14ac:dyDescent="0.2">
      <c r="B8" s="51" t="s">
        <v>70</v>
      </c>
    </row>
    <row r="9" spans="1:10" x14ac:dyDescent="0.2">
      <c r="B9" s="51" t="s">
        <v>71</v>
      </c>
    </row>
    <row r="10" spans="1:10" x14ac:dyDescent="0.2">
      <c r="B10" s="51" t="s">
        <v>109</v>
      </c>
    </row>
    <row r="11" spans="1:10" x14ac:dyDescent="0.2">
      <c r="B11" s="57" t="s">
        <v>72</v>
      </c>
    </row>
    <row r="13" spans="1:10" x14ac:dyDescent="0.2">
      <c r="B13" s="51" t="s">
        <v>90</v>
      </c>
    </row>
    <row r="14" spans="1:10" x14ac:dyDescent="0.2">
      <c r="B14" s="51" t="s">
        <v>73</v>
      </c>
    </row>
    <row r="15" spans="1:10" x14ac:dyDescent="0.2">
      <c r="B15" s="51" t="s">
        <v>74</v>
      </c>
    </row>
    <row r="16" spans="1:10" x14ac:dyDescent="0.2">
      <c r="B16" s="57" t="s">
        <v>72</v>
      </c>
    </row>
    <row r="18" spans="2:2" x14ac:dyDescent="0.2">
      <c r="B18" s="51" t="s">
        <v>91</v>
      </c>
    </row>
    <row r="19" spans="2:2" x14ac:dyDescent="0.2">
      <c r="B19" s="51" t="s">
        <v>75</v>
      </c>
    </row>
    <row r="20" spans="2:2" x14ac:dyDescent="0.2">
      <c r="B20" s="51" t="s">
        <v>76</v>
      </c>
    </row>
    <row r="21" spans="2:2" x14ac:dyDescent="0.2">
      <c r="B21" s="51" t="s">
        <v>77</v>
      </c>
    </row>
    <row r="22" spans="2:2" x14ac:dyDescent="0.2">
      <c r="B22" s="57" t="s">
        <v>78</v>
      </c>
    </row>
    <row r="23" spans="2:2" x14ac:dyDescent="0.2">
      <c r="B23" s="57"/>
    </row>
    <row r="24" spans="2:2" x14ac:dyDescent="0.2">
      <c r="B24" s="51" t="s">
        <v>93</v>
      </c>
    </row>
    <row r="25" spans="2:2" x14ac:dyDescent="0.2">
      <c r="B25" s="51" t="s">
        <v>79</v>
      </c>
    </row>
    <row r="26" spans="2:2" x14ac:dyDescent="0.2">
      <c r="B26" s="51" t="s">
        <v>110</v>
      </c>
    </row>
    <row r="27" spans="2:2" x14ac:dyDescent="0.2">
      <c r="B27" s="51" t="s">
        <v>111</v>
      </c>
    </row>
    <row r="28" spans="2:2" x14ac:dyDescent="0.2">
      <c r="B28" s="51" t="s">
        <v>80</v>
      </c>
    </row>
    <row r="29" spans="2:2" x14ac:dyDescent="0.2">
      <c r="B29" s="51" t="s">
        <v>112</v>
      </c>
    </row>
    <row r="30" spans="2:2" x14ac:dyDescent="0.2">
      <c r="B30" s="51" t="s">
        <v>81</v>
      </c>
    </row>
    <row r="31" spans="2:2" x14ac:dyDescent="0.2">
      <c r="B31" s="51" t="s">
        <v>113</v>
      </c>
    </row>
    <row r="32" spans="2:2" x14ac:dyDescent="0.2">
      <c r="B32" s="51" t="s">
        <v>82</v>
      </c>
    </row>
    <row r="33" spans="2:2" x14ac:dyDescent="0.2">
      <c r="B33" s="51" t="s">
        <v>108</v>
      </c>
    </row>
    <row r="34" spans="2:2" x14ac:dyDescent="0.2">
      <c r="B34" s="57" t="s">
        <v>78</v>
      </c>
    </row>
    <row r="36" spans="2:2" x14ac:dyDescent="0.2">
      <c r="B36" s="51" t="s">
        <v>94</v>
      </c>
    </row>
    <row r="37" spans="2:2" x14ac:dyDescent="0.2">
      <c r="B37" s="51" t="s">
        <v>114</v>
      </c>
    </row>
    <row r="38" spans="2:2" x14ac:dyDescent="0.2">
      <c r="B38" s="51" t="s">
        <v>115</v>
      </c>
    </row>
    <row r="39" spans="2:2" x14ac:dyDescent="0.2">
      <c r="B39" s="51" t="s">
        <v>83</v>
      </c>
    </row>
    <row r="40" spans="2:2" x14ac:dyDescent="0.2">
      <c r="B40" s="57" t="s">
        <v>84</v>
      </c>
    </row>
    <row r="42" spans="2:2" x14ac:dyDescent="0.2">
      <c r="B42" s="51" t="s">
        <v>104</v>
      </c>
    </row>
    <row r="43" spans="2:2" x14ac:dyDescent="0.2">
      <c r="B43" s="57" t="s">
        <v>85</v>
      </c>
    </row>
    <row r="45" spans="2:2" x14ac:dyDescent="0.2">
      <c r="B45" s="51" t="s">
        <v>106</v>
      </c>
    </row>
    <row r="46" spans="2:2" x14ac:dyDescent="0.2">
      <c r="B46" s="51" t="s">
        <v>116</v>
      </c>
    </row>
    <row r="47" spans="2:2" x14ac:dyDescent="0.2">
      <c r="B47" s="51" t="s">
        <v>107</v>
      </c>
    </row>
    <row r="48" spans="2:2" x14ac:dyDescent="0.2">
      <c r="B48" s="57" t="s">
        <v>85</v>
      </c>
    </row>
    <row r="50" spans="2:6" x14ac:dyDescent="0.2">
      <c r="B50" s="51" t="s">
        <v>103</v>
      </c>
    </row>
    <row r="51" spans="2:6" x14ac:dyDescent="0.2">
      <c r="B51" s="51" t="s">
        <v>86</v>
      </c>
    </row>
    <row r="52" spans="2:6" x14ac:dyDescent="0.2">
      <c r="B52" s="57" t="s">
        <v>84</v>
      </c>
    </row>
    <row r="54" spans="2:6" x14ac:dyDescent="0.2">
      <c r="B54" s="51" t="s">
        <v>87</v>
      </c>
    </row>
    <row r="55" spans="2:6" x14ac:dyDescent="0.2">
      <c r="B55" s="51" t="s">
        <v>118</v>
      </c>
    </row>
    <row r="56" spans="2:6" x14ac:dyDescent="0.2">
      <c r="B56" s="51" t="s">
        <v>117</v>
      </c>
    </row>
    <row r="57" spans="2:6" x14ac:dyDescent="0.2">
      <c r="B57" s="51" t="s">
        <v>88</v>
      </c>
    </row>
    <row r="59" spans="2:6" ht="15.75" x14ac:dyDescent="0.2">
      <c r="B59" s="53" t="s">
        <v>67</v>
      </c>
      <c r="C59" s="54"/>
    </row>
    <row r="60" spans="2:6" x14ac:dyDescent="0.2">
      <c r="B60" s="51" t="s">
        <v>400</v>
      </c>
    </row>
    <row r="61" spans="2:6" x14ac:dyDescent="0.2">
      <c r="B61" s="51" t="s">
        <v>379</v>
      </c>
    </row>
    <row r="63" spans="2:6" x14ac:dyDescent="0.2">
      <c r="B63" s="123" t="s">
        <v>60</v>
      </c>
      <c r="C63" s="124"/>
      <c r="D63" s="125"/>
      <c r="E63" s="125"/>
      <c r="F63" s="122"/>
    </row>
    <row r="64" spans="2:6" x14ac:dyDescent="0.2">
      <c r="B64" s="387" t="s">
        <v>12</v>
      </c>
      <c r="C64" s="388"/>
      <c r="D64" s="87" t="s">
        <v>11</v>
      </c>
      <c r="E64" s="61"/>
      <c r="F64" s="62"/>
    </row>
    <row r="65" spans="2:6" x14ac:dyDescent="0.2">
      <c r="B65" s="389" t="s">
        <v>13</v>
      </c>
      <c r="C65" s="390"/>
      <c r="D65" s="87" t="s">
        <v>383</v>
      </c>
      <c r="E65" s="63"/>
      <c r="F65" s="64"/>
    </row>
    <row r="66" spans="2:6" x14ac:dyDescent="0.2">
      <c r="B66" s="391" t="s">
        <v>16</v>
      </c>
      <c r="C66" s="392"/>
      <c r="D66" s="87" t="s">
        <v>17</v>
      </c>
      <c r="E66" s="63"/>
      <c r="F66" s="64"/>
    </row>
    <row r="67" spans="2:6" x14ac:dyDescent="0.2">
      <c r="B67" s="389" t="s">
        <v>18</v>
      </c>
      <c r="C67" s="390"/>
      <c r="D67" s="87" t="s">
        <v>20</v>
      </c>
      <c r="E67" s="63"/>
      <c r="F67" s="64"/>
    </row>
    <row r="68" spans="2:6" x14ac:dyDescent="0.2">
      <c r="B68" s="389" t="s">
        <v>19</v>
      </c>
      <c r="C68" s="390"/>
      <c r="D68" s="87" t="s">
        <v>14</v>
      </c>
      <c r="E68" s="63"/>
      <c r="F68" s="64"/>
    </row>
    <row r="69" spans="2:6" ht="25.5" customHeight="1" x14ac:dyDescent="0.2">
      <c r="B69" s="393" t="s">
        <v>15</v>
      </c>
      <c r="C69" s="394"/>
      <c r="D69" s="385" t="s">
        <v>382</v>
      </c>
      <c r="E69" s="385"/>
      <c r="F69" s="386"/>
    </row>
  </sheetData>
  <sheetProtection password="DAFD" sheet="1" objects="1" scenarios="1" formatCells="0" selectLockedCells="1"/>
  <mergeCells count="8">
    <mergeCell ref="A1:F1"/>
    <mergeCell ref="D69:F69"/>
    <mergeCell ref="B64:C64"/>
    <mergeCell ref="B65:C65"/>
    <mergeCell ref="B66:C66"/>
    <mergeCell ref="B67:C67"/>
    <mergeCell ref="B68:C68"/>
    <mergeCell ref="B69:C69"/>
  </mergeCells>
  <pageMargins left="0.59055118110236227" right="0.47244094488188981" top="0.70866141732283472" bottom="0.55118110236220474" header="0.31496062992125984" footer="0.19685039370078741"/>
  <pageSetup paperSize="9" scale="82" fitToWidth="0" orientation="portrait" r:id="rId1"/>
  <headerFooter alignWithMargins="0">
    <oddFooter>&amp;L&amp;8QRF-121 J2450 Quality Evaluation Report
Revision: 12&amp;C&amp;8Page &amp;P
Classification: 2&amp;R&amp;8Revision Date: 19/02/2014
Approved by: P. McManus &amp; C. Burkimsher</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sheetPr>
  <dimension ref="A1:U222"/>
  <sheetViews>
    <sheetView showGridLines="0" topLeftCell="A193" zoomScaleNormal="100" workbookViewId="0">
      <selection activeCell="Q217" sqref="Q217"/>
    </sheetView>
  </sheetViews>
  <sheetFormatPr defaultRowHeight="12.75" x14ac:dyDescent="0.2"/>
  <sheetData>
    <row r="1" spans="1:21" s="52" customFormat="1" ht="54" customHeight="1" x14ac:dyDescent="0.2">
      <c r="A1" s="383"/>
      <c r="B1" s="384"/>
      <c r="C1" s="384"/>
      <c r="D1" s="384"/>
      <c r="E1" s="384"/>
      <c r="F1" s="384"/>
      <c r="G1" s="395"/>
      <c r="H1" s="395"/>
      <c r="I1" s="395"/>
      <c r="J1" s="395"/>
      <c r="K1" s="395"/>
      <c r="L1" s="395"/>
      <c r="M1" s="395"/>
      <c r="N1" s="395"/>
      <c r="O1" s="395"/>
      <c r="P1" s="395"/>
      <c r="Q1" s="395"/>
      <c r="R1" s="395"/>
      <c r="S1" s="395"/>
      <c r="T1" s="395"/>
      <c r="U1" s="395"/>
    </row>
    <row r="2" spans="1:21" ht="15.75" x14ac:dyDescent="0.2">
      <c r="A2" s="126" t="s">
        <v>282</v>
      </c>
      <c r="B2" s="127"/>
      <c r="C2" s="127"/>
    </row>
    <row r="3" spans="1:21" s="81" customFormat="1" x14ac:dyDescent="0.2">
      <c r="A3" s="80" t="s">
        <v>308</v>
      </c>
      <c r="B3" s="80"/>
    </row>
    <row r="4" spans="1:21" x14ac:dyDescent="0.2">
      <c r="A4" s="71" t="s">
        <v>297</v>
      </c>
    </row>
    <row r="5" spans="1:21" x14ac:dyDescent="0.2">
      <c r="A5" s="72" t="s">
        <v>345</v>
      </c>
    </row>
    <row r="6" spans="1:21" x14ac:dyDescent="0.2">
      <c r="A6" s="72" t="s">
        <v>399</v>
      </c>
    </row>
    <row r="7" spans="1:21" x14ac:dyDescent="0.2">
      <c r="A7" s="72" t="s">
        <v>346</v>
      </c>
    </row>
    <row r="8" spans="1:21" x14ac:dyDescent="0.2">
      <c r="A8" s="72" t="s">
        <v>347</v>
      </c>
    </row>
    <row r="9" spans="1:21" s="76" customFormat="1" x14ac:dyDescent="0.2">
      <c r="A9" s="72" t="s">
        <v>348</v>
      </c>
    </row>
    <row r="10" spans="1:21" s="76" customFormat="1" x14ac:dyDescent="0.2">
      <c r="A10" s="72" t="s">
        <v>397</v>
      </c>
    </row>
    <row r="11" spans="1:21" s="76" customFormat="1" x14ac:dyDescent="0.2">
      <c r="A11" s="72" t="s">
        <v>398</v>
      </c>
    </row>
    <row r="12" spans="1:21" s="76" customFormat="1" x14ac:dyDescent="0.2">
      <c r="A12" s="71"/>
    </row>
    <row r="13" spans="1:21" s="76" customFormat="1" x14ac:dyDescent="0.2">
      <c r="A13" s="71" t="s">
        <v>423</v>
      </c>
    </row>
    <row r="14" spans="1:21" s="76" customFormat="1" x14ac:dyDescent="0.2">
      <c r="A14" s="71" t="s">
        <v>424</v>
      </c>
    </row>
    <row r="15" spans="1:21" x14ac:dyDescent="0.2">
      <c r="A15" s="71"/>
    </row>
    <row r="16" spans="1:21" x14ac:dyDescent="0.2">
      <c r="A16" s="71" t="s">
        <v>278</v>
      </c>
    </row>
    <row r="17" spans="1:3" x14ac:dyDescent="0.2">
      <c r="A17" s="72" t="s">
        <v>279</v>
      </c>
    </row>
    <row r="18" spans="1:3" x14ac:dyDescent="0.2">
      <c r="A18" s="72" t="s">
        <v>394</v>
      </c>
    </row>
    <row r="19" spans="1:3" x14ac:dyDescent="0.2">
      <c r="A19" s="72" t="s">
        <v>286</v>
      </c>
    </row>
    <row r="20" spans="1:3" x14ac:dyDescent="0.2">
      <c r="A20" s="74" t="s">
        <v>285</v>
      </c>
    </row>
    <row r="21" spans="1:3" x14ac:dyDescent="0.2">
      <c r="A21" s="74"/>
    </row>
    <row r="22" spans="1:3" x14ac:dyDescent="0.2">
      <c r="A22" s="71" t="s">
        <v>283</v>
      </c>
    </row>
    <row r="23" spans="1:3" x14ac:dyDescent="0.2">
      <c r="A23" s="72" t="s">
        <v>284</v>
      </c>
    </row>
    <row r="24" spans="1:3" x14ac:dyDescent="0.2">
      <c r="A24" s="71"/>
    </row>
    <row r="25" spans="1:3" x14ac:dyDescent="0.2">
      <c r="A25" s="71" t="s">
        <v>287</v>
      </c>
    </row>
    <row r="26" spans="1:3" x14ac:dyDescent="0.2">
      <c r="A26" s="72" t="s">
        <v>288</v>
      </c>
    </row>
    <row r="27" spans="1:3" x14ac:dyDescent="0.2">
      <c r="A27" s="72" t="s">
        <v>289</v>
      </c>
    </row>
    <row r="28" spans="1:3" x14ac:dyDescent="0.2">
      <c r="A28" s="71"/>
    </row>
    <row r="29" spans="1:3" x14ac:dyDescent="0.2">
      <c r="A29" s="74" t="s">
        <v>280</v>
      </c>
      <c r="C29" s="74" t="s">
        <v>281</v>
      </c>
    </row>
    <row r="31" spans="1:3" s="81" customFormat="1" x14ac:dyDescent="0.2">
      <c r="A31" s="80" t="s">
        <v>307</v>
      </c>
    </row>
    <row r="32" spans="1:3" x14ac:dyDescent="0.2">
      <c r="A32" s="72" t="s">
        <v>290</v>
      </c>
    </row>
    <row r="33" spans="1:3" x14ac:dyDescent="0.2">
      <c r="A33" s="72" t="s">
        <v>291</v>
      </c>
    </row>
    <row r="34" spans="1:3" x14ac:dyDescent="0.2">
      <c r="A34" s="71"/>
    </row>
    <row r="35" spans="1:3" x14ac:dyDescent="0.2">
      <c r="A35" s="71" t="s">
        <v>292</v>
      </c>
    </row>
    <row r="36" spans="1:3" x14ac:dyDescent="0.2">
      <c r="A36" s="72" t="s">
        <v>293</v>
      </c>
    </row>
    <row r="37" spans="1:3" x14ac:dyDescent="0.2">
      <c r="A37" s="71"/>
    </row>
    <row r="38" spans="1:3" x14ac:dyDescent="0.2">
      <c r="A38" s="74" t="s">
        <v>280</v>
      </c>
      <c r="C38" s="74" t="s">
        <v>281</v>
      </c>
    </row>
    <row r="40" spans="1:3" s="81" customFormat="1" x14ac:dyDescent="0.2">
      <c r="A40" s="80" t="s">
        <v>309</v>
      </c>
    </row>
    <row r="41" spans="1:3" x14ac:dyDescent="0.2">
      <c r="A41" s="71" t="s">
        <v>298</v>
      </c>
    </row>
    <row r="42" spans="1:3" x14ac:dyDescent="0.2">
      <c r="A42" s="72" t="s">
        <v>395</v>
      </c>
    </row>
    <row r="43" spans="1:3" x14ac:dyDescent="0.2">
      <c r="A43" s="72" t="s">
        <v>294</v>
      </c>
    </row>
    <row r="44" spans="1:3" x14ac:dyDescent="0.2">
      <c r="A44" s="71"/>
    </row>
    <row r="45" spans="1:3" x14ac:dyDescent="0.2">
      <c r="A45" s="71" t="s">
        <v>299</v>
      </c>
    </row>
    <row r="46" spans="1:3" x14ac:dyDescent="0.2">
      <c r="A46" s="72" t="s">
        <v>300</v>
      </c>
    </row>
    <row r="47" spans="1:3" x14ac:dyDescent="0.2">
      <c r="A47" s="72" t="s">
        <v>301</v>
      </c>
    </row>
    <row r="48" spans="1:3" x14ac:dyDescent="0.2">
      <c r="A48" s="72" t="s">
        <v>302</v>
      </c>
    </row>
    <row r="49" spans="1:3" x14ac:dyDescent="0.2">
      <c r="A49" s="72" t="s">
        <v>295</v>
      </c>
    </row>
    <row r="50" spans="1:3" x14ac:dyDescent="0.2">
      <c r="A50" s="71"/>
    </row>
    <row r="51" spans="1:3" x14ac:dyDescent="0.2">
      <c r="A51" s="71" t="s">
        <v>303</v>
      </c>
    </row>
    <row r="52" spans="1:3" x14ac:dyDescent="0.2">
      <c r="A52" s="71" t="s">
        <v>305</v>
      </c>
    </row>
    <row r="53" spans="1:3" x14ac:dyDescent="0.2">
      <c r="A53" s="71" t="s">
        <v>306</v>
      </c>
    </row>
    <row r="54" spans="1:3" x14ac:dyDescent="0.2">
      <c r="A54" s="71"/>
    </row>
    <row r="55" spans="1:3" x14ac:dyDescent="0.2">
      <c r="A55" s="71" t="s">
        <v>304</v>
      </c>
    </row>
    <row r="56" spans="1:3" x14ac:dyDescent="0.2">
      <c r="A56" s="73"/>
    </row>
    <row r="57" spans="1:3" x14ac:dyDescent="0.2">
      <c r="A57" s="74" t="s">
        <v>296</v>
      </c>
      <c r="C57" s="74" t="s">
        <v>281</v>
      </c>
    </row>
    <row r="59" spans="1:3" s="81" customFormat="1" x14ac:dyDescent="0.2">
      <c r="A59" s="82" t="s">
        <v>318</v>
      </c>
    </row>
    <row r="60" spans="1:3" x14ac:dyDescent="0.2">
      <c r="A60" s="75" t="s">
        <v>317</v>
      </c>
    </row>
    <row r="61" spans="1:3" x14ac:dyDescent="0.2">
      <c r="A61" s="78" t="s">
        <v>310</v>
      </c>
    </row>
    <row r="62" spans="1:3" x14ac:dyDescent="0.2">
      <c r="A62" s="78" t="s">
        <v>311</v>
      </c>
    </row>
    <row r="63" spans="1:3" x14ac:dyDescent="0.2">
      <c r="A63" s="78" t="s">
        <v>312</v>
      </c>
    </row>
    <row r="64" spans="1:3" x14ac:dyDescent="0.2">
      <c r="A64" s="78" t="s">
        <v>313</v>
      </c>
    </row>
    <row r="65" spans="1:1" x14ac:dyDescent="0.2">
      <c r="A65" s="78" t="s">
        <v>314</v>
      </c>
    </row>
    <row r="66" spans="1:1" x14ac:dyDescent="0.2">
      <c r="A66" s="75"/>
    </row>
    <row r="67" spans="1:1" x14ac:dyDescent="0.2">
      <c r="A67" s="75" t="s">
        <v>319</v>
      </c>
    </row>
    <row r="68" spans="1:1" x14ac:dyDescent="0.2">
      <c r="A68" s="75" t="s">
        <v>320</v>
      </c>
    </row>
    <row r="69" spans="1:1" x14ac:dyDescent="0.2">
      <c r="A69" s="75"/>
    </row>
    <row r="70" spans="1:1" x14ac:dyDescent="0.2">
      <c r="A70" s="75" t="s">
        <v>368</v>
      </c>
    </row>
    <row r="71" spans="1:1" x14ac:dyDescent="0.2">
      <c r="A71" s="75" t="s">
        <v>367</v>
      </c>
    </row>
    <row r="72" spans="1:1" x14ac:dyDescent="0.2">
      <c r="A72" s="75"/>
    </row>
    <row r="73" spans="1:1" x14ac:dyDescent="0.2">
      <c r="A73" s="75" t="s">
        <v>315</v>
      </c>
    </row>
    <row r="74" spans="1:1" x14ac:dyDescent="0.2">
      <c r="A74" s="77"/>
    </row>
    <row r="75" spans="1:1" x14ac:dyDescent="0.2">
      <c r="A75" s="77" t="s">
        <v>321</v>
      </c>
    </row>
    <row r="76" spans="1:1" x14ac:dyDescent="0.2">
      <c r="A76" s="75" t="s">
        <v>386</v>
      </c>
    </row>
    <row r="77" spans="1:1" s="84" customFormat="1" x14ac:dyDescent="0.2">
      <c r="A77" s="75" t="s">
        <v>387</v>
      </c>
    </row>
    <row r="78" spans="1:1" x14ac:dyDescent="0.2">
      <c r="A78" s="75"/>
    </row>
    <row r="79" spans="1:1" x14ac:dyDescent="0.2">
      <c r="A79" s="75" t="s">
        <v>322</v>
      </c>
    </row>
    <row r="80" spans="1:1" x14ac:dyDescent="0.2">
      <c r="A80" s="75" t="s">
        <v>323</v>
      </c>
    </row>
    <row r="81" spans="1:3" x14ac:dyDescent="0.2">
      <c r="A81" s="75" t="s">
        <v>316</v>
      </c>
    </row>
    <row r="82" spans="1:3" x14ac:dyDescent="0.2">
      <c r="A82" s="75"/>
    </row>
    <row r="83" spans="1:3" x14ac:dyDescent="0.2">
      <c r="A83" s="75" t="s">
        <v>385</v>
      </c>
    </row>
    <row r="84" spans="1:3" x14ac:dyDescent="0.2">
      <c r="A84" s="75" t="s">
        <v>324</v>
      </c>
    </row>
    <row r="85" spans="1:3" x14ac:dyDescent="0.2">
      <c r="A85" s="75"/>
    </row>
    <row r="86" spans="1:3" x14ac:dyDescent="0.2">
      <c r="A86" s="74" t="s">
        <v>296</v>
      </c>
      <c r="C86" s="74" t="s">
        <v>281</v>
      </c>
    </row>
    <row r="88" spans="1:3" s="81" customFormat="1" x14ac:dyDescent="0.2">
      <c r="A88" s="80" t="s">
        <v>330</v>
      </c>
    </row>
    <row r="89" spans="1:3" x14ac:dyDescent="0.2">
      <c r="A89" s="71" t="s">
        <v>331</v>
      </c>
    </row>
    <row r="90" spans="1:3" x14ac:dyDescent="0.2">
      <c r="A90" s="72" t="s">
        <v>349</v>
      </c>
    </row>
    <row r="91" spans="1:3" x14ac:dyDescent="0.2">
      <c r="A91" s="72" t="s">
        <v>350</v>
      </c>
    </row>
    <row r="92" spans="1:3" x14ac:dyDescent="0.2">
      <c r="A92" s="72" t="s">
        <v>325</v>
      </c>
    </row>
    <row r="93" spans="1:3" x14ac:dyDescent="0.2">
      <c r="A93" s="71"/>
    </row>
    <row r="94" spans="1:3" x14ac:dyDescent="0.2">
      <c r="A94" s="71" t="s">
        <v>326</v>
      </c>
    </row>
    <row r="95" spans="1:3" x14ac:dyDescent="0.2">
      <c r="A95" s="71"/>
    </row>
    <row r="96" spans="1:3" x14ac:dyDescent="0.2">
      <c r="A96" s="71" t="s">
        <v>336</v>
      </c>
    </row>
    <row r="97" spans="1:3" x14ac:dyDescent="0.2">
      <c r="A97" s="71" t="s">
        <v>337</v>
      </c>
    </row>
    <row r="98" spans="1:3" x14ac:dyDescent="0.2">
      <c r="A98" s="71"/>
    </row>
    <row r="99" spans="1:3" x14ac:dyDescent="0.2">
      <c r="A99" s="71" t="s">
        <v>338</v>
      </c>
    </row>
    <row r="100" spans="1:3" x14ac:dyDescent="0.2">
      <c r="A100" s="71" t="s">
        <v>339</v>
      </c>
    </row>
    <row r="101" spans="1:3" x14ac:dyDescent="0.2">
      <c r="A101" s="71" t="s">
        <v>340</v>
      </c>
    </row>
    <row r="102" spans="1:3" x14ac:dyDescent="0.2">
      <c r="A102" s="71"/>
    </row>
    <row r="103" spans="1:3" x14ac:dyDescent="0.2">
      <c r="A103" s="74" t="s">
        <v>327</v>
      </c>
      <c r="C103" s="74" t="s">
        <v>328</v>
      </c>
    </row>
    <row r="104" spans="1:3" x14ac:dyDescent="0.2">
      <c r="A104" s="71"/>
    </row>
    <row r="105" spans="1:3" s="81" customFormat="1" x14ac:dyDescent="0.2">
      <c r="A105" s="80" t="s">
        <v>333</v>
      </c>
    </row>
    <row r="106" spans="1:3" x14ac:dyDescent="0.2">
      <c r="A106" s="71" t="s">
        <v>332</v>
      </c>
    </row>
    <row r="107" spans="1:3" x14ac:dyDescent="0.2">
      <c r="A107" s="71" t="s">
        <v>334</v>
      </c>
    </row>
    <row r="108" spans="1:3" s="76" customFormat="1" x14ac:dyDescent="0.2">
      <c r="A108" s="71" t="s">
        <v>335</v>
      </c>
    </row>
    <row r="109" spans="1:3" x14ac:dyDescent="0.2">
      <c r="A109" s="71"/>
    </row>
    <row r="110" spans="1:3" x14ac:dyDescent="0.2">
      <c r="A110" s="71" t="s">
        <v>341</v>
      </c>
    </row>
    <row r="111" spans="1:3" x14ac:dyDescent="0.2">
      <c r="A111" s="71" t="s">
        <v>342</v>
      </c>
    </row>
    <row r="112" spans="1:3" x14ac:dyDescent="0.2">
      <c r="A112" s="71"/>
    </row>
    <row r="113" spans="1:3" x14ac:dyDescent="0.2">
      <c r="A113" s="74" t="s">
        <v>329</v>
      </c>
      <c r="C113" s="74" t="s">
        <v>328</v>
      </c>
    </row>
    <row r="115" spans="1:3" x14ac:dyDescent="0.2">
      <c r="A115" s="70" t="s">
        <v>343</v>
      </c>
    </row>
    <row r="116" spans="1:3" x14ac:dyDescent="0.2">
      <c r="A116" s="76" t="s">
        <v>344</v>
      </c>
    </row>
    <row r="117" spans="1:3" x14ac:dyDescent="0.2">
      <c r="A117" s="79" t="s">
        <v>351</v>
      </c>
    </row>
    <row r="118" spans="1:3" x14ac:dyDescent="0.2">
      <c r="A118" s="79" t="s">
        <v>352</v>
      </c>
    </row>
    <row r="120" spans="1:3" x14ac:dyDescent="0.2">
      <c r="A120" s="76" t="s">
        <v>356</v>
      </c>
    </row>
    <row r="121" spans="1:3" x14ac:dyDescent="0.2">
      <c r="A121" s="76" t="s">
        <v>357</v>
      </c>
    </row>
    <row r="122" spans="1:3" x14ac:dyDescent="0.2">
      <c r="A122" s="76" t="s">
        <v>358</v>
      </c>
    </row>
    <row r="124" spans="1:3" x14ac:dyDescent="0.2">
      <c r="A124" s="74" t="s">
        <v>329</v>
      </c>
      <c r="C124" s="74" t="s">
        <v>328</v>
      </c>
    </row>
    <row r="126" spans="1:3" s="81" customFormat="1" x14ac:dyDescent="0.2">
      <c r="A126" s="80" t="s">
        <v>355</v>
      </c>
    </row>
    <row r="127" spans="1:3" x14ac:dyDescent="0.2">
      <c r="A127" s="71" t="s">
        <v>396</v>
      </c>
    </row>
    <row r="128" spans="1:3" x14ac:dyDescent="0.2">
      <c r="A128" s="71" t="s">
        <v>359</v>
      </c>
    </row>
    <row r="129" spans="1:1" x14ac:dyDescent="0.2">
      <c r="A129" s="71" t="s">
        <v>360</v>
      </c>
    </row>
    <row r="130" spans="1:1" x14ac:dyDescent="0.2">
      <c r="A130" s="71"/>
    </row>
    <row r="131" spans="1:1" x14ac:dyDescent="0.2">
      <c r="A131" s="71" t="s">
        <v>353</v>
      </c>
    </row>
    <row r="132" spans="1:1" x14ac:dyDescent="0.2">
      <c r="A132" s="71"/>
    </row>
    <row r="133" spans="1:1" x14ac:dyDescent="0.2">
      <c r="A133" s="72" t="s">
        <v>354</v>
      </c>
    </row>
    <row r="134" spans="1:1" s="76" customFormat="1" x14ac:dyDescent="0.2">
      <c r="A134" s="72" t="s">
        <v>370</v>
      </c>
    </row>
    <row r="135" spans="1:1" s="76" customFormat="1" x14ac:dyDescent="0.2">
      <c r="A135" s="72" t="s">
        <v>403</v>
      </c>
    </row>
    <row r="136" spans="1:1" s="76" customFormat="1" x14ac:dyDescent="0.2">
      <c r="A136" s="95" t="s">
        <v>401</v>
      </c>
    </row>
    <row r="137" spans="1:1" s="76" customFormat="1" x14ac:dyDescent="0.2">
      <c r="A137" s="95" t="s">
        <v>402</v>
      </c>
    </row>
    <row r="138" spans="1:1" x14ac:dyDescent="0.2">
      <c r="A138" s="71"/>
    </row>
    <row r="139" spans="1:1" x14ac:dyDescent="0.2">
      <c r="A139" s="71" t="s">
        <v>361</v>
      </c>
    </row>
    <row r="140" spans="1:1" x14ac:dyDescent="0.2">
      <c r="A140" s="71" t="s">
        <v>362</v>
      </c>
    </row>
    <row r="141" spans="1:1" x14ac:dyDescent="0.2">
      <c r="A141" s="71"/>
    </row>
    <row r="142" spans="1:1" x14ac:dyDescent="0.2">
      <c r="A142" s="71" t="s">
        <v>369</v>
      </c>
    </row>
    <row r="143" spans="1:1" x14ac:dyDescent="0.2">
      <c r="A143" s="71" t="s">
        <v>363</v>
      </c>
    </row>
    <row r="144" spans="1:1" x14ac:dyDescent="0.2">
      <c r="A144" s="71"/>
    </row>
    <row r="145" spans="1:3" x14ac:dyDescent="0.2">
      <c r="A145" s="71" t="s">
        <v>364</v>
      </c>
    </row>
    <row r="146" spans="1:3" x14ac:dyDescent="0.2">
      <c r="A146" s="71" t="s">
        <v>365</v>
      </c>
    </row>
    <row r="147" spans="1:3" x14ac:dyDescent="0.2">
      <c r="A147" s="71" t="s">
        <v>366</v>
      </c>
    </row>
    <row r="148" spans="1:3" x14ac:dyDescent="0.2">
      <c r="A148" s="71"/>
    </row>
    <row r="149" spans="1:3" x14ac:dyDescent="0.2">
      <c r="A149" s="74" t="s">
        <v>327</v>
      </c>
      <c r="C149" s="74" t="s">
        <v>328</v>
      </c>
    </row>
    <row r="151" spans="1:3" ht="15.75" x14ac:dyDescent="0.2">
      <c r="A151" s="126" t="s">
        <v>371</v>
      </c>
      <c r="B151" s="127"/>
    </row>
    <row r="152" spans="1:3" x14ac:dyDescent="0.2">
      <c r="A152" s="71" t="s">
        <v>375</v>
      </c>
    </row>
    <row r="153" spans="1:3" x14ac:dyDescent="0.2">
      <c r="A153" s="76" t="s">
        <v>374</v>
      </c>
    </row>
    <row r="154" spans="1:3" x14ac:dyDescent="0.2">
      <c r="A154" t="s">
        <v>373</v>
      </c>
    </row>
    <row r="156" spans="1:3" x14ac:dyDescent="0.2">
      <c r="A156" t="s">
        <v>400</v>
      </c>
    </row>
    <row r="157" spans="1:3" x14ac:dyDescent="0.2">
      <c r="A157" t="s">
        <v>379</v>
      </c>
    </row>
    <row r="159" spans="1:3" x14ac:dyDescent="0.2">
      <c r="A159" s="83" t="s">
        <v>378</v>
      </c>
    </row>
    <row r="160" spans="1:3" x14ac:dyDescent="0.2">
      <c r="A160" s="76" t="s">
        <v>6261</v>
      </c>
    </row>
    <row r="161" spans="1:5" ht="23.25" customHeight="1" x14ac:dyDescent="0.2">
      <c r="A161" s="398" t="s">
        <v>92</v>
      </c>
      <c r="B161" s="399"/>
    </row>
    <row r="162" spans="1:5" x14ac:dyDescent="0.2">
      <c r="A162" s="396" t="s">
        <v>46</v>
      </c>
      <c r="B162" s="397"/>
      <c r="D162" s="76" t="s">
        <v>372</v>
      </c>
    </row>
    <row r="163" spans="1:5" x14ac:dyDescent="0.2">
      <c r="A163" s="396" t="s">
        <v>47</v>
      </c>
      <c r="B163" s="397"/>
    </row>
    <row r="164" spans="1:5" x14ac:dyDescent="0.2">
      <c r="A164" s="396" t="s">
        <v>48</v>
      </c>
      <c r="B164" s="397"/>
    </row>
    <row r="165" spans="1:5" x14ac:dyDescent="0.2">
      <c r="A165" s="396" t="s">
        <v>49</v>
      </c>
      <c r="B165" s="397"/>
    </row>
    <row r="166" spans="1:5" x14ac:dyDescent="0.2">
      <c r="A166" s="396" t="s">
        <v>50</v>
      </c>
      <c r="B166" s="397"/>
    </row>
    <row r="167" spans="1:5" x14ac:dyDescent="0.2">
      <c r="A167" s="396" t="s">
        <v>7</v>
      </c>
      <c r="B167" s="397"/>
    </row>
    <row r="168" spans="1:5" x14ac:dyDescent="0.2">
      <c r="A168" s="396" t="s">
        <v>5</v>
      </c>
      <c r="B168" s="397"/>
    </row>
    <row r="169" spans="1:5" x14ac:dyDescent="0.2">
      <c r="A169" s="396" t="s">
        <v>64</v>
      </c>
      <c r="B169" s="397"/>
    </row>
    <row r="171" spans="1:5" x14ac:dyDescent="0.2">
      <c r="A171" s="70" t="s">
        <v>377</v>
      </c>
      <c r="B171" s="76"/>
    </row>
    <row r="172" spans="1:5" x14ac:dyDescent="0.2">
      <c r="A172" s="71" t="s">
        <v>376</v>
      </c>
    </row>
    <row r="173" spans="1:5" x14ac:dyDescent="0.2">
      <c r="A173" s="76" t="s">
        <v>380</v>
      </c>
    </row>
    <row r="174" spans="1:5" x14ac:dyDescent="0.2">
      <c r="A174" s="76" t="s">
        <v>381</v>
      </c>
    </row>
    <row r="176" spans="1:5" x14ac:dyDescent="0.2">
      <c r="A176" s="93" t="s">
        <v>393</v>
      </c>
      <c r="B176" s="86"/>
      <c r="C176" s="86"/>
      <c r="D176" s="86"/>
      <c r="E176" s="86"/>
    </row>
    <row r="177" spans="1:5" x14ac:dyDescent="0.2">
      <c r="A177" s="88" t="s">
        <v>12</v>
      </c>
      <c r="B177" s="86"/>
      <c r="C177" s="86"/>
      <c r="D177" s="87" t="s">
        <v>11</v>
      </c>
      <c r="E177" s="86"/>
    </row>
    <row r="178" spans="1:5" x14ac:dyDescent="0.2">
      <c r="A178" s="88" t="s">
        <v>13</v>
      </c>
      <c r="B178" s="86"/>
      <c r="C178" s="86"/>
      <c r="D178" s="87" t="s">
        <v>384</v>
      </c>
      <c r="E178" s="86"/>
    </row>
    <row r="179" spans="1:5" x14ac:dyDescent="0.2">
      <c r="A179" s="88" t="s">
        <v>16</v>
      </c>
      <c r="B179" s="86"/>
      <c r="C179" s="86"/>
      <c r="D179" s="87" t="s">
        <v>17</v>
      </c>
      <c r="E179" s="86"/>
    </row>
    <row r="180" spans="1:5" x14ac:dyDescent="0.2">
      <c r="A180" s="88" t="s">
        <v>18</v>
      </c>
      <c r="B180" s="86"/>
      <c r="C180" s="86"/>
      <c r="D180" s="87" t="s">
        <v>20</v>
      </c>
      <c r="E180" s="86"/>
    </row>
    <row r="181" spans="1:5" x14ac:dyDescent="0.2">
      <c r="A181" s="88" t="s">
        <v>19</v>
      </c>
      <c r="B181" s="86"/>
      <c r="C181" s="86"/>
      <c r="D181" s="87" t="s">
        <v>14</v>
      </c>
      <c r="E181" s="86"/>
    </row>
    <row r="182" spans="1:5" x14ac:dyDescent="0.2">
      <c r="A182" s="89" t="s">
        <v>15</v>
      </c>
      <c r="B182" s="86"/>
      <c r="C182" s="86"/>
      <c r="D182" s="85" t="s">
        <v>382</v>
      </c>
      <c r="E182" s="86"/>
    </row>
    <row r="184" spans="1:5" ht="15.75" x14ac:dyDescent="0.2">
      <c r="A184" s="126" t="s">
        <v>404</v>
      </c>
      <c r="B184" s="126"/>
      <c r="C184" s="126"/>
    </row>
    <row r="185" spans="1:5" x14ac:dyDescent="0.2">
      <c r="A185" s="76" t="s">
        <v>405</v>
      </c>
    </row>
    <row r="186" spans="1:5" x14ac:dyDescent="0.2">
      <c r="A186" s="76" t="s">
        <v>406</v>
      </c>
    </row>
    <row r="187" spans="1:5" x14ac:dyDescent="0.2">
      <c r="A187" s="76" t="s">
        <v>409</v>
      </c>
    </row>
    <row r="188" spans="1:5" x14ac:dyDescent="0.2">
      <c r="A188" s="76" t="s">
        <v>407</v>
      </c>
    </row>
    <row r="189" spans="1:5" x14ac:dyDescent="0.2">
      <c r="A189" s="76" t="s">
        <v>410</v>
      </c>
    </row>
    <row r="190" spans="1:5" x14ac:dyDescent="0.2">
      <c r="A190" s="76" t="s">
        <v>408</v>
      </c>
    </row>
    <row r="191" spans="1:5" x14ac:dyDescent="0.2">
      <c r="A191" s="94" t="s">
        <v>411</v>
      </c>
    </row>
    <row r="193" spans="1:7" ht="15.75" x14ac:dyDescent="0.2">
      <c r="A193" s="126" t="s">
        <v>389</v>
      </c>
      <c r="B193" s="127"/>
      <c r="C193" s="126"/>
      <c r="D193" s="126"/>
      <c r="E193" s="126"/>
      <c r="F193" s="126"/>
      <c r="G193" s="126"/>
    </row>
    <row r="194" spans="1:7" x14ac:dyDescent="0.2">
      <c r="A194" s="90" t="s">
        <v>390</v>
      </c>
    </row>
    <row r="195" spans="1:7" x14ac:dyDescent="0.2">
      <c r="A195" s="90" t="s">
        <v>6313</v>
      </c>
    </row>
    <row r="196" spans="1:7" x14ac:dyDescent="0.2">
      <c r="A196" s="90" t="s">
        <v>6314</v>
      </c>
    </row>
    <row r="197" spans="1:7" x14ac:dyDescent="0.2">
      <c r="A197" s="79" t="s">
        <v>6309</v>
      </c>
    </row>
    <row r="198" spans="1:7" x14ac:dyDescent="0.2">
      <c r="A198" s="79" t="s">
        <v>6310</v>
      </c>
    </row>
    <row r="199" spans="1:7" x14ac:dyDescent="0.2">
      <c r="A199" s="91" t="s">
        <v>391</v>
      </c>
    </row>
    <row r="200" spans="1:7" x14ac:dyDescent="0.2">
      <c r="A200" s="79" t="s">
        <v>6311</v>
      </c>
    </row>
    <row r="201" spans="1:7" x14ac:dyDescent="0.2">
      <c r="A201" s="79" t="s">
        <v>6312</v>
      </c>
    </row>
    <row r="203" spans="1:7" x14ac:dyDescent="0.2">
      <c r="A203" s="92" t="s">
        <v>417</v>
      </c>
    </row>
    <row r="204" spans="1:7" x14ac:dyDescent="0.2">
      <c r="A204" s="76" t="s">
        <v>416</v>
      </c>
    </row>
    <row r="205" spans="1:7" x14ac:dyDescent="0.2">
      <c r="A205" s="91" t="s">
        <v>418</v>
      </c>
    </row>
    <row r="207" spans="1:7" ht="15.75" x14ac:dyDescent="0.2">
      <c r="A207" s="126" t="s">
        <v>419</v>
      </c>
      <c r="B207" s="126"/>
      <c r="C207" s="126"/>
      <c r="D207" s="126"/>
      <c r="E207" s="126"/>
      <c r="F207" s="126"/>
      <c r="G207" s="126"/>
    </row>
    <row r="208" spans="1:7" x14ac:dyDescent="0.2">
      <c r="A208" s="76" t="s">
        <v>425</v>
      </c>
    </row>
    <row r="209" spans="1:15" x14ac:dyDescent="0.2">
      <c r="A209" s="76" t="s">
        <v>422</v>
      </c>
    </row>
    <row r="210" spans="1:15" x14ac:dyDescent="0.2">
      <c r="A210" s="76" t="s">
        <v>426</v>
      </c>
    </row>
    <row r="211" spans="1:15" x14ac:dyDescent="0.2">
      <c r="A211" s="76" t="s">
        <v>6262</v>
      </c>
    </row>
    <row r="212" spans="1:15" x14ac:dyDescent="0.2">
      <c r="A212" s="76" t="s">
        <v>6315</v>
      </c>
    </row>
    <row r="213" spans="1:15" x14ac:dyDescent="0.2">
      <c r="A213" s="76" t="s">
        <v>6316</v>
      </c>
    </row>
    <row r="214" spans="1:15" x14ac:dyDescent="0.2">
      <c r="A214" s="76" t="s">
        <v>6317</v>
      </c>
    </row>
    <row r="215" spans="1:15" x14ac:dyDescent="0.2">
      <c r="A215" s="76" t="s">
        <v>6318</v>
      </c>
    </row>
    <row r="216" spans="1:15" x14ac:dyDescent="0.2">
      <c r="A216" s="76" t="s">
        <v>6319</v>
      </c>
    </row>
    <row r="218" spans="1:15" ht="15.75" x14ac:dyDescent="0.2">
      <c r="A218" s="126" t="s">
        <v>433</v>
      </c>
      <c r="B218" s="126"/>
      <c r="C218" s="126"/>
      <c r="D218" s="126"/>
      <c r="E218" s="126"/>
      <c r="F218" s="126"/>
      <c r="G218" s="126"/>
      <c r="H218" s="126"/>
      <c r="I218" s="126"/>
      <c r="J218" s="126"/>
      <c r="K218" s="126"/>
    </row>
    <row r="219" spans="1:15" x14ac:dyDescent="0.2">
      <c r="A219" s="76" t="s">
        <v>6297</v>
      </c>
    </row>
    <row r="221" spans="1:15" ht="15.75" x14ac:dyDescent="0.2">
      <c r="A221" s="126" t="s">
        <v>434</v>
      </c>
      <c r="B221" s="126"/>
      <c r="C221" s="126"/>
      <c r="D221" s="126"/>
      <c r="E221" s="126"/>
      <c r="F221" s="126"/>
      <c r="G221" s="126"/>
      <c r="H221" s="126"/>
      <c r="I221" s="126"/>
      <c r="J221" s="126"/>
      <c r="K221" s="126"/>
      <c r="L221" s="126"/>
      <c r="M221" s="126"/>
      <c r="N221" s="126"/>
      <c r="O221" s="126"/>
    </row>
    <row r="222" spans="1:15" x14ac:dyDescent="0.2">
      <c r="A222" s="76" t="s">
        <v>6297</v>
      </c>
    </row>
  </sheetData>
  <sheetProtection password="DAFD" sheet="1" objects="1" scenarios="1" formatCells="0" selectLockedCells="1"/>
  <mergeCells count="10">
    <mergeCell ref="A1:U1"/>
    <mergeCell ref="A166:B166"/>
    <mergeCell ref="A167:B167"/>
    <mergeCell ref="A168:B168"/>
    <mergeCell ref="A169:B169"/>
    <mergeCell ref="A161:B161"/>
    <mergeCell ref="A162:B162"/>
    <mergeCell ref="A163:B163"/>
    <mergeCell ref="A164:B164"/>
    <mergeCell ref="A165:B165"/>
  </mergeCells>
  <pageMargins left="0.59055118110236227" right="0.47244094488188981" top="0.70866141732283472" bottom="0.55118110236220474" header="0.31496062992125984" footer="0.19685039370078741"/>
  <pageSetup paperSize="9" scale="97" orientation="landscape" r:id="rId1"/>
  <headerFooter alignWithMargins="0">
    <oddFooter>&amp;L&amp;8QRF-121 J2450 Quality Evaluation Report
Revision: 12&amp;C&amp;8Page &amp;P
Classification: 2&amp;R&amp;8Revision Date: 19/02/2014
Approved by: P. McManus &amp; C. Burkimsher</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62"/>
  <sheetViews>
    <sheetView showGridLines="0" workbookViewId="0">
      <selection activeCell="U51" sqref="U51"/>
    </sheetView>
  </sheetViews>
  <sheetFormatPr defaultRowHeight="12.75" x14ac:dyDescent="0.2"/>
  <cols>
    <col min="1" max="1" width="9.5703125" customWidth="1"/>
    <col min="3" max="3" width="8.85546875" customWidth="1"/>
  </cols>
  <sheetData>
    <row r="1" spans="1:22" x14ac:dyDescent="0.2">
      <c r="A1" s="76"/>
      <c r="B1" s="76"/>
      <c r="C1" s="76"/>
      <c r="D1" s="76"/>
      <c r="E1" s="76"/>
      <c r="F1" s="76"/>
      <c r="G1" s="76"/>
      <c r="H1" s="76"/>
      <c r="I1" s="76"/>
      <c r="J1" s="76"/>
      <c r="K1" s="76"/>
      <c r="L1" s="76"/>
      <c r="M1" s="76"/>
      <c r="N1" s="76"/>
      <c r="O1" s="76"/>
      <c r="P1" s="76"/>
      <c r="Q1" s="76"/>
      <c r="R1" s="76"/>
      <c r="S1" s="76"/>
    </row>
    <row r="2" spans="1:22" ht="58.9" customHeight="1" thickBot="1" x14ac:dyDescent="0.25">
      <c r="A2" s="166" t="s">
        <v>6850</v>
      </c>
      <c r="B2" s="167"/>
      <c r="C2" s="167"/>
      <c r="D2" s="167"/>
      <c r="E2" s="167"/>
      <c r="F2" s="167"/>
      <c r="G2" s="167"/>
      <c r="H2" s="167"/>
      <c r="I2" s="167"/>
      <c r="J2" s="167"/>
      <c r="K2" s="167"/>
      <c r="L2" s="167"/>
      <c r="M2" s="167"/>
      <c r="N2" s="167"/>
      <c r="O2" s="167"/>
      <c r="P2" s="167"/>
      <c r="Q2" s="167"/>
      <c r="R2" s="167"/>
      <c r="S2" s="167"/>
    </row>
    <row r="3" spans="1:22" ht="15" x14ac:dyDescent="0.2">
      <c r="A3" s="201" t="s">
        <v>6884</v>
      </c>
      <c r="B3" s="416" t="str">
        <f>'Evaluation Report_Initial'!B3</f>
        <v/>
      </c>
      <c r="C3" s="416"/>
      <c r="D3" s="416"/>
      <c r="E3" s="416"/>
      <c r="F3" s="404"/>
      <c r="G3" s="404"/>
      <c r="H3" s="200" t="s">
        <v>6851</v>
      </c>
      <c r="I3" s="168"/>
      <c r="J3" s="415">
        <f>'Evaluation Report_Initial'!B4</f>
        <v>0</v>
      </c>
      <c r="K3" s="415"/>
      <c r="L3" s="415"/>
      <c r="M3" s="169"/>
      <c r="N3" s="202" t="s">
        <v>6852</v>
      </c>
      <c r="O3" s="169"/>
      <c r="P3" s="413">
        <f>'Evaluation Report_Initial'!B8</f>
        <v>0</v>
      </c>
      <c r="Q3" s="414"/>
      <c r="R3" s="169"/>
      <c r="S3" s="169"/>
      <c r="T3" s="199" t="s">
        <v>6888</v>
      </c>
      <c r="U3" s="199"/>
      <c r="V3" s="199"/>
    </row>
    <row r="4" spans="1:22" x14ac:dyDescent="0.2">
      <c r="A4" s="405" t="s">
        <v>6853</v>
      </c>
      <c r="B4" s="406"/>
      <c r="C4" s="406"/>
      <c r="D4" s="406"/>
      <c r="E4" s="406"/>
      <c r="F4" s="406"/>
      <c r="G4" s="406"/>
      <c r="H4" s="406"/>
      <c r="I4" s="406"/>
      <c r="J4" s="406"/>
      <c r="K4" s="406"/>
      <c r="L4" s="406"/>
      <c r="M4" s="406"/>
      <c r="N4" s="406"/>
      <c r="O4" s="406"/>
      <c r="P4" s="406"/>
      <c r="Q4" s="406"/>
      <c r="R4" s="406"/>
      <c r="S4" s="406"/>
    </row>
    <row r="5" spans="1:22" x14ac:dyDescent="0.2">
      <c r="A5" s="171" t="s">
        <v>6854</v>
      </c>
      <c r="B5" s="170"/>
      <c r="C5" s="170"/>
      <c r="D5" s="170"/>
      <c r="E5" s="170"/>
      <c r="F5" s="170"/>
      <c r="G5" s="170"/>
      <c r="H5" s="170"/>
      <c r="I5" s="175"/>
      <c r="J5" s="175"/>
      <c r="K5" s="175"/>
      <c r="L5" s="175"/>
      <c r="M5" s="175"/>
      <c r="N5" s="175"/>
      <c r="O5" s="175"/>
      <c r="P5" s="175"/>
      <c r="Q5" s="170"/>
      <c r="R5" s="170"/>
      <c r="S5" s="170"/>
    </row>
    <row r="6" spans="1:22" ht="22.9" customHeight="1" x14ac:dyDescent="0.2">
      <c r="A6" s="407" t="s">
        <v>6855</v>
      </c>
      <c r="B6" s="407"/>
      <c r="C6" s="172"/>
      <c r="D6" s="173" t="s">
        <v>6856</v>
      </c>
      <c r="E6" s="174"/>
      <c r="F6" s="174"/>
      <c r="G6" s="174"/>
      <c r="H6" s="172"/>
      <c r="I6" s="175"/>
      <c r="J6" s="175"/>
      <c r="K6" s="175"/>
      <c r="L6" s="175"/>
      <c r="M6" s="175"/>
      <c r="N6" s="175"/>
      <c r="O6" s="175"/>
      <c r="P6" s="175"/>
      <c r="Q6" s="175"/>
      <c r="R6" s="175"/>
      <c r="S6" s="175"/>
    </row>
    <row r="7" spans="1:22" x14ac:dyDescent="0.2">
      <c r="A7" s="408" t="s">
        <v>6857</v>
      </c>
      <c r="B7" s="409"/>
      <c r="C7" s="409"/>
      <c r="D7" s="409"/>
      <c r="E7" s="409"/>
      <c r="F7" s="409"/>
      <c r="G7" s="409"/>
      <c r="H7" s="409"/>
      <c r="I7" s="409"/>
      <c r="J7" s="409"/>
      <c r="K7" s="409"/>
      <c r="L7" s="409"/>
      <c r="M7" s="409"/>
      <c r="N7" s="409"/>
      <c r="O7" s="409"/>
      <c r="P7" s="409"/>
      <c r="Q7" s="409"/>
      <c r="R7" s="409"/>
      <c r="S7" s="171"/>
    </row>
    <row r="8" spans="1:22" ht="70.900000000000006" customHeight="1" thickBot="1" x14ac:dyDescent="0.25">
      <c r="A8" s="402"/>
      <c r="B8" s="403"/>
      <c r="C8" s="403"/>
      <c r="D8" s="403"/>
      <c r="E8" s="403"/>
      <c r="F8" s="403"/>
      <c r="G8" s="403"/>
      <c r="H8" s="403"/>
      <c r="I8" s="403"/>
      <c r="J8" s="403"/>
      <c r="K8" s="403"/>
      <c r="L8" s="403"/>
      <c r="M8" s="403"/>
      <c r="N8" s="403"/>
      <c r="O8" s="403"/>
      <c r="P8" s="403"/>
      <c r="Q8" s="403"/>
      <c r="R8" s="403"/>
      <c r="S8" s="176"/>
    </row>
    <row r="9" spans="1:22" ht="14.25" thickTop="1" thickBot="1" x14ac:dyDescent="0.25">
      <c r="A9" s="410" t="s">
        <v>6861</v>
      </c>
      <c r="B9" s="411"/>
      <c r="C9" s="411"/>
      <c r="D9" s="411"/>
      <c r="E9" s="411"/>
      <c r="F9" s="411"/>
      <c r="G9" s="411"/>
      <c r="H9" s="411"/>
      <c r="I9" s="411"/>
      <c r="J9" s="411"/>
      <c r="K9" s="411"/>
      <c r="L9" s="411"/>
      <c r="M9" s="411"/>
      <c r="N9" s="411"/>
      <c r="O9" s="411"/>
      <c r="P9" s="411"/>
      <c r="Q9" s="411"/>
      <c r="R9" s="411"/>
      <c r="S9" s="411"/>
    </row>
    <row r="10" spans="1:22" ht="27.6" customHeight="1" thickTop="1" x14ac:dyDescent="0.2">
      <c r="A10" s="177">
        <v>1</v>
      </c>
      <c r="B10" s="178" t="s">
        <v>6862</v>
      </c>
      <c r="C10" s="412" t="s">
        <v>6863</v>
      </c>
      <c r="D10" s="412"/>
      <c r="E10" s="412"/>
      <c r="F10" s="412"/>
      <c r="G10" s="412"/>
      <c r="H10" s="412"/>
      <c r="I10" s="412"/>
      <c r="J10" s="412"/>
      <c r="K10" s="412"/>
      <c r="L10" s="412"/>
      <c r="M10" s="412"/>
      <c r="N10" s="412"/>
      <c r="O10" s="412"/>
      <c r="P10" s="412"/>
      <c r="Q10" s="412"/>
      <c r="R10" s="412"/>
      <c r="S10" s="412"/>
    </row>
    <row r="11" spans="1:22" ht="26.45" customHeight="1" x14ac:dyDescent="0.2">
      <c r="A11" s="177"/>
      <c r="B11" s="179"/>
      <c r="C11" s="401" t="s">
        <v>6864</v>
      </c>
      <c r="D11" s="401"/>
      <c r="E11" s="401"/>
      <c r="F11" s="401"/>
      <c r="G11" s="401"/>
      <c r="H11" s="401"/>
      <c r="I11" s="401"/>
      <c r="J11" s="401"/>
      <c r="K11" s="401"/>
      <c r="L11" s="401"/>
      <c r="M11" s="401"/>
      <c r="N11" s="401"/>
      <c r="O11" s="401"/>
      <c r="P11" s="401"/>
      <c r="Q11" s="401"/>
      <c r="R11" s="401"/>
      <c r="S11" s="401"/>
    </row>
    <row r="12" spans="1:22" ht="26.45" hidden="1" customHeight="1" x14ac:dyDescent="0.2">
      <c r="A12" s="177">
        <v>2</v>
      </c>
      <c r="B12" s="180" t="s">
        <v>6862</v>
      </c>
      <c r="C12" s="401" t="s">
        <v>6863</v>
      </c>
      <c r="D12" s="401"/>
      <c r="E12" s="401"/>
      <c r="F12" s="401"/>
      <c r="G12" s="401"/>
      <c r="H12" s="401"/>
      <c r="I12" s="401"/>
      <c r="J12" s="401"/>
      <c r="K12" s="401"/>
      <c r="L12" s="401"/>
      <c r="M12" s="401"/>
      <c r="N12" s="401"/>
      <c r="O12" s="401"/>
      <c r="P12" s="401"/>
      <c r="Q12" s="401"/>
      <c r="R12" s="401"/>
      <c r="S12" s="401"/>
    </row>
    <row r="13" spans="1:22" ht="26.45" hidden="1" customHeight="1" x14ac:dyDescent="0.2">
      <c r="A13" s="177"/>
      <c r="B13" s="180"/>
      <c r="C13" s="401" t="s">
        <v>6864</v>
      </c>
      <c r="D13" s="401"/>
      <c r="E13" s="401"/>
      <c r="F13" s="401"/>
      <c r="G13" s="401"/>
      <c r="H13" s="401"/>
      <c r="I13" s="401"/>
      <c r="J13" s="401"/>
      <c r="K13" s="401"/>
      <c r="L13" s="401"/>
      <c r="M13" s="401"/>
      <c r="N13" s="401"/>
      <c r="O13" s="401"/>
      <c r="P13" s="401"/>
      <c r="Q13" s="401"/>
      <c r="R13" s="401"/>
      <c r="S13" s="401"/>
    </row>
    <row r="14" spans="1:22" ht="26.45" hidden="1" customHeight="1" x14ac:dyDescent="0.2">
      <c r="A14" s="177">
        <v>3</v>
      </c>
      <c r="B14" s="180" t="s">
        <v>6862</v>
      </c>
      <c r="C14" s="401" t="s">
        <v>6863</v>
      </c>
      <c r="D14" s="401"/>
      <c r="E14" s="401"/>
      <c r="F14" s="401"/>
      <c r="G14" s="401"/>
      <c r="H14" s="401"/>
      <c r="I14" s="401"/>
      <c r="J14" s="401"/>
      <c r="K14" s="401"/>
      <c r="L14" s="401"/>
      <c r="M14" s="401"/>
      <c r="N14" s="401"/>
      <c r="O14" s="401"/>
      <c r="P14" s="401"/>
      <c r="Q14" s="401"/>
      <c r="R14" s="401"/>
      <c r="S14" s="401"/>
    </row>
    <row r="15" spans="1:22" ht="26.45" hidden="1" customHeight="1" x14ac:dyDescent="0.2">
      <c r="A15" s="177"/>
      <c r="B15" s="180"/>
      <c r="C15" s="401" t="s">
        <v>6864</v>
      </c>
      <c r="D15" s="401"/>
      <c r="E15" s="401"/>
      <c r="F15" s="401"/>
      <c r="G15" s="401"/>
      <c r="H15" s="401"/>
      <c r="I15" s="401"/>
      <c r="J15" s="401"/>
      <c r="K15" s="401"/>
      <c r="L15" s="401"/>
      <c r="M15" s="401"/>
      <c r="N15" s="401"/>
      <c r="O15" s="401"/>
      <c r="P15" s="401"/>
      <c r="Q15" s="401"/>
      <c r="R15" s="401"/>
      <c r="S15" s="401"/>
    </row>
    <row r="16" spans="1:22" ht="26.45" hidden="1" customHeight="1" x14ac:dyDescent="0.2">
      <c r="A16" s="177">
        <v>4</v>
      </c>
      <c r="B16" s="180" t="s">
        <v>6862</v>
      </c>
      <c r="C16" s="401" t="s">
        <v>6863</v>
      </c>
      <c r="D16" s="401"/>
      <c r="E16" s="401"/>
      <c r="F16" s="401"/>
      <c r="G16" s="401"/>
      <c r="H16" s="401"/>
      <c r="I16" s="401"/>
      <c r="J16" s="401"/>
      <c r="K16" s="401"/>
      <c r="L16" s="401"/>
      <c r="M16" s="401"/>
      <c r="N16" s="401"/>
      <c r="O16" s="401"/>
      <c r="P16" s="401"/>
      <c r="Q16" s="401"/>
      <c r="R16" s="401"/>
      <c r="S16" s="401"/>
    </row>
    <row r="17" spans="1:19" ht="25.9" hidden="1" customHeight="1" x14ac:dyDescent="0.2">
      <c r="A17" s="177"/>
      <c r="B17" s="180"/>
      <c r="C17" s="401" t="s">
        <v>6864</v>
      </c>
      <c r="D17" s="401"/>
      <c r="E17" s="401"/>
      <c r="F17" s="401"/>
      <c r="G17" s="401"/>
      <c r="H17" s="401"/>
      <c r="I17" s="401"/>
      <c r="J17" s="401"/>
      <c r="K17" s="401"/>
      <c r="L17" s="401"/>
      <c r="M17" s="401"/>
      <c r="N17" s="401"/>
      <c r="O17" s="401"/>
      <c r="P17" s="401"/>
      <c r="Q17" s="401"/>
      <c r="R17" s="401"/>
      <c r="S17" s="401"/>
    </row>
    <row r="18" spans="1:19" ht="26.45" hidden="1" customHeight="1" x14ac:dyDescent="0.2">
      <c r="A18" s="177">
        <v>5</v>
      </c>
      <c r="B18" s="180" t="s">
        <v>6862</v>
      </c>
      <c r="C18" s="401" t="s">
        <v>6863</v>
      </c>
      <c r="D18" s="401"/>
      <c r="E18" s="401"/>
      <c r="F18" s="401"/>
      <c r="G18" s="401"/>
      <c r="H18" s="401"/>
      <c r="I18" s="401"/>
      <c r="J18" s="401"/>
      <c r="K18" s="401"/>
      <c r="L18" s="401"/>
      <c r="M18" s="401"/>
      <c r="N18" s="401"/>
      <c r="O18" s="401"/>
      <c r="P18" s="401"/>
      <c r="Q18" s="401"/>
      <c r="R18" s="401"/>
      <c r="S18" s="401"/>
    </row>
    <row r="19" spans="1:19" ht="26.45" hidden="1" customHeight="1" x14ac:dyDescent="0.2">
      <c r="A19" s="177"/>
      <c r="B19" s="181"/>
      <c r="C19" s="401" t="s">
        <v>6864</v>
      </c>
      <c r="D19" s="401"/>
      <c r="E19" s="401"/>
      <c r="F19" s="401"/>
      <c r="G19" s="401"/>
      <c r="H19" s="401"/>
      <c r="I19" s="401"/>
      <c r="J19" s="401"/>
      <c r="K19" s="401"/>
      <c r="L19" s="401"/>
      <c r="M19" s="401"/>
      <c r="N19" s="401"/>
      <c r="O19" s="401"/>
      <c r="P19" s="401"/>
      <c r="Q19" s="401"/>
      <c r="R19" s="401"/>
      <c r="S19" s="182"/>
    </row>
    <row r="20" spans="1:19" ht="26.45" hidden="1" customHeight="1" x14ac:dyDescent="0.2">
      <c r="A20" s="183">
        <v>6</v>
      </c>
      <c r="B20" s="181" t="s">
        <v>6862</v>
      </c>
      <c r="C20" s="417" t="s">
        <v>6863</v>
      </c>
      <c r="D20" s="417"/>
      <c r="E20" s="417"/>
      <c r="F20" s="417"/>
      <c r="G20" s="417"/>
      <c r="H20" s="417"/>
      <c r="I20" s="417"/>
      <c r="J20" s="417"/>
      <c r="K20" s="417"/>
      <c r="L20" s="417"/>
      <c r="M20" s="417"/>
      <c r="N20" s="417"/>
      <c r="O20" s="417"/>
      <c r="P20" s="417"/>
      <c r="Q20" s="417"/>
      <c r="R20" s="417"/>
      <c r="S20" s="417"/>
    </row>
    <row r="21" spans="1:19" ht="26.45" hidden="1" customHeight="1" x14ac:dyDescent="0.2">
      <c r="A21" s="183"/>
      <c r="B21" s="181"/>
      <c r="C21" s="401" t="s">
        <v>6864</v>
      </c>
      <c r="D21" s="401"/>
      <c r="E21" s="401"/>
      <c r="F21" s="401"/>
      <c r="G21" s="401"/>
      <c r="H21" s="401"/>
      <c r="I21" s="401"/>
      <c r="J21" s="401"/>
      <c r="K21" s="401"/>
      <c r="L21" s="401"/>
      <c r="M21" s="401"/>
      <c r="N21" s="401"/>
      <c r="O21" s="401"/>
      <c r="P21" s="401"/>
      <c r="Q21" s="401"/>
      <c r="R21" s="401"/>
      <c r="S21" s="401"/>
    </row>
    <row r="22" spans="1:19" ht="26.45" hidden="1" customHeight="1" x14ac:dyDescent="0.2">
      <c r="A22" s="183">
        <v>7</v>
      </c>
      <c r="B22" s="181" t="s">
        <v>6862</v>
      </c>
      <c r="C22" s="401" t="s">
        <v>6863</v>
      </c>
      <c r="D22" s="401"/>
      <c r="E22" s="401"/>
      <c r="F22" s="401"/>
      <c r="G22" s="401"/>
      <c r="H22" s="401"/>
      <c r="I22" s="401"/>
      <c r="J22" s="401"/>
      <c r="K22" s="401"/>
      <c r="L22" s="401"/>
      <c r="M22" s="401"/>
      <c r="N22" s="401"/>
      <c r="O22" s="401"/>
      <c r="P22" s="401"/>
      <c r="Q22" s="401"/>
      <c r="R22" s="401"/>
      <c r="S22" s="401"/>
    </row>
    <row r="23" spans="1:19" ht="26.45" hidden="1" customHeight="1" x14ac:dyDescent="0.2">
      <c r="A23" s="183"/>
      <c r="B23" s="181"/>
      <c r="C23" s="401" t="s">
        <v>6864</v>
      </c>
      <c r="D23" s="401"/>
      <c r="E23" s="401"/>
      <c r="F23" s="401"/>
      <c r="G23" s="401"/>
      <c r="H23" s="401"/>
      <c r="I23" s="401"/>
      <c r="J23" s="401"/>
      <c r="K23" s="401"/>
      <c r="L23" s="401"/>
      <c r="M23" s="401"/>
      <c r="N23" s="401"/>
      <c r="O23" s="401"/>
      <c r="P23" s="401"/>
      <c r="Q23" s="401"/>
      <c r="R23" s="401"/>
      <c r="S23" s="401"/>
    </row>
    <row r="24" spans="1:19" ht="26.45" hidden="1" customHeight="1" x14ac:dyDescent="0.2">
      <c r="A24" s="183">
        <v>8</v>
      </c>
      <c r="B24" s="181" t="s">
        <v>6862</v>
      </c>
      <c r="C24" s="401" t="s">
        <v>6863</v>
      </c>
      <c r="D24" s="401"/>
      <c r="E24" s="401"/>
      <c r="F24" s="401"/>
      <c r="G24" s="401"/>
      <c r="H24" s="401"/>
      <c r="I24" s="401"/>
      <c r="J24" s="401"/>
      <c r="K24" s="401"/>
      <c r="L24" s="401"/>
      <c r="M24" s="401"/>
      <c r="N24" s="401"/>
      <c r="O24" s="401"/>
      <c r="P24" s="401"/>
      <c r="Q24" s="401"/>
      <c r="R24" s="401"/>
      <c r="S24" s="401"/>
    </row>
    <row r="25" spans="1:19" ht="26.45" hidden="1" customHeight="1" x14ac:dyDescent="0.2">
      <c r="A25" s="183"/>
      <c r="B25" s="181"/>
      <c r="C25" s="401" t="s">
        <v>6864</v>
      </c>
      <c r="D25" s="401"/>
      <c r="E25" s="401"/>
      <c r="F25" s="401"/>
      <c r="G25" s="401"/>
      <c r="H25" s="401"/>
      <c r="I25" s="401"/>
      <c r="J25" s="401"/>
      <c r="K25" s="401"/>
      <c r="L25" s="401"/>
      <c r="M25" s="401"/>
      <c r="N25" s="401"/>
      <c r="O25" s="401"/>
      <c r="P25" s="401"/>
      <c r="Q25" s="401"/>
      <c r="R25" s="401"/>
      <c r="S25" s="401"/>
    </row>
    <row r="26" spans="1:19" ht="27.6" hidden="1" customHeight="1" x14ac:dyDescent="0.2">
      <c r="A26" s="183">
        <v>9</v>
      </c>
      <c r="B26" s="181" t="s">
        <v>6862</v>
      </c>
      <c r="C26" s="401" t="s">
        <v>6863</v>
      </c>
      <c r="D26" s="401"/>
      <c r="E26" s="401"/>
      <c r="F26" s="401"/>
      <c r="G26" s="401"/>
      <c r="H26" s="401"/>
      <c r="I26" s="401"/>
      <c r="J26" s="401"/>
      <c r="K26" s="401"/>
      <c r="L26" s="401"/>
      <c r="M26" s="401"/>
      <c r="N26" s="401"/>
      <c r="O26" s="401"/>
      <c r="P26" s="401"/>
      <c r="Q26" s="401"/>
      <c r="R26" s="401"/>
      <c r="S26" s="401"/>
    </row>
    <row r="27" spans="1:19" ht="25.9" hidden="1" customHeight="1" x14ac:dyDescent="0.2">
      <c r="A27" s="183"/>
      <c r="B27" s="181"/>
      <c r="C27" s="401" t="s">
        <v>6864</v>
      </c>
      <c r="D27" s="401"/>
      <c r="E27" s="401"/>
      <c r="F27" s="401"/>
      <c r="G27" s="401"/>
      <c r="H27" s="401"/>
      <c r="I27" s="401"/>
      <c r="J27" s="401"/>
      <c r="K27" s="401"/>
      <c r="L27" s="401"/>
      <c r="M27" s="401"/>
      <c r="N27" s="401"/>
      <c r="O27" s="401"/>
      <c r="P27" s="401"/>
      <c r="Q27" s="401"/>
      <c r="R27" s="401"/>
      <c r="S27" s="401"/>
    </row>
    <row r="28" spans="1:19" ht="25.9" hidden="1" customHeight="1" x14ac:dyDescent="0.2">
      <c r="A28" s="183">
        <v>10</v>
      </c>
      <c r="B28" s="181" t="s">
        <v>6862</v>
      </c>
      <c r="C28" s="401" t="s">
        <v>6863</v>
      </c>
      <c r="D28" s="401"/>
      <c r="E28" s="401"/>
      <c r="F28" s="401"/>
      <c r="G28" s="401"/>
      <c r="H28" s="401"/>
      <c r="I28" s="401"/>
      <c r="J28" s="401"/>
      <c r="K28" s="401"/>
      <c r="L28" s="401"/>
      <c r="M28" s="401"/>
      <c r="N28" s="401"/>
      <c r="O28" s="401"/>
      <c r="P28" s="401"/>
      <c r="Q28" s="401"/>
      <c r="R28" s="401"/>
      <c r="S28" s="401"/>
    </row>
    <row r="29" spans="1:19" ht="25.15" hidden="1" customHeight="1" x14ac:dyDescent="0.2">
      <c r="A29" s="177"/>
      <c r="B29" s="181"/>
      <c r="C29" s="417" t="s">
        <v>6864</v>
      </c>
      <c r="D29" s="417"/>
      <c r="E29" s="417"/>
      <c r="F29" s="417"/>
      <c r="G29" s="417"/>
      <c r="H29" s="417"/>
      <c r="I29" s="417"/>
      <c r="J29" s="417"/>
      <c r="K29" s="417"/>
      <c r="L29" s="417"/>
      <c r="M29" s="417"/>
      <c r="N29" s="417"/>
      <c r="O29" s="417"/>
      <c r="P29" s="417"/>
      <c r="Q29" s="417"/>
      <c r="R29" s="417"/>
      <c r="S29" s="417"/>
    </row>
    <row r="30" spans="1:19" x14ac:dyDescent="0.2">
      <c r="A30" s="418" t="s">
        <v>6865</v>
      </c>
      <c r="B30" s="419"/>
      <c r="C30" s="419"/>
      <c r="D30" s="419"/>
      <c r="E30" s="419"/>
      <c r="F30" s="419"/>
      <c r="G30" s="419"/>
      <c r="H30" s="419"/>
      <c r="I30" s="419"/>
      <c r="J30" s="419"/>
      <c r="K30" s="419"/>
      <c r="L30" s="419"/>
      <c r="M30" s="419"/>
      <c r="N30" s="419"/>
      <c r="O30" s="419"/>
      <c r="P30" s="419"/>
      <c r="Q30" s="419"/>
      <c r="R30" s="419"/>
      <c r="S30" s="419"/>
    </row>
    <row r="31" spans="1:19" x14ac:dyDescent="0.2">
      <c r="A31" s="184"/>
      <c r="B31" s="185"/>
      <c r="C31" s="185"/>
      <c r="D31" s="185"/>
      <c r="E31" s="207"/>
      <c r="F31" s="186"/>
      <c r="G31" s="185"/>
      <c r="H31" s="185"/>
      <c r="I31" s="185"/>
      <c r="J31" s="86"/>
      <c r="K31" s="185"/>
      <c r="L31" s="185"/>
      <c r="M31" s="185"/>
      <c r="N31" s="185"/>
      <c r="O31" s="86"/>
      <c r="P31" s="185"/>
      <c r="Q31" s="185"/>
      <c r="R31" s="185"/>
      <c r="S31" s="185"/>
    </row>
    <row r="32" spans="1:19" x14ac:dyDescent="0.2">
      <c r="A32" s="420" t="s">
        <v>6886</v>
      </c>
      <c r="B32" s="420"/>
      <c r="C32" s="203"/>
      <c r="D32" s="187"/>
      <c r="F32" s="421" t="s">
        <v>6894</v>
      </c>
      <c r="G32" s="421"/>
      <c r="H32" s="421"/>
      <c r="I32" s="187"/>
      <c r="K32" s="421" t="s">
        <v>6887</v>
      </c>
      <c r="L32" s="421"/>
      <c r="M32" s="421"/>
      <c r="N32" s="187"/>
      <c r="P32" s="400" t="s">
        <v>6866</v>
      </c>
      <c r="Q32" s="400"/>
      <c r="R32" s="400"/>
      <c r="S32" s="187"/>
    </row>
    <row r="33" spans="1:19" x14ac:dyDescent="0.2">
      <c r="A33" s="420" t="s">
        <v>6867</v>
      </c>
      <c r="B33" s="420"/>
      <c r="C33" s="203"/>
      <c r="D33" s="187"/>
      <c r="F33" s="421" t="s">
        <v>6868</v>
      </c>
      <c r="G33" s="421"/>
      <c r="H33" s="421"/>
      <c r="I33" s="187"/>
      <c r="K33" s="421" t="s">
        <v>6869</v>
      </c>
      <c r="L33" s="421"/>
      <c r="M33" s="421"/>
      <c r="N33" s="187"/>
      <c r="P33" s="400" t="s">
        <v>6895</v>
      </c>
      <c r="Q33" s="400"/>
      <c r="R33" s="400"/>
      <c r="S33" s="187"/>
    </row>
    <row r="34" spans="1:19" x14ac:dyDescent="0.2">
      <c r="A34" s="420" t="s">
        <v>6885</v>
      </c>
      <c r="B34" s="420"/>
      <c r="C34" s="203"/>
      <c r="D34" s="187"/>
      <c r="F34" s="21" t="s">
        <v>6870</v>
      </c>
      <c r="G34" s="204"/>
      <c r="H34" s="204"/>
      <c r="I34" s="187"/>
      <c r="K34" s="421" t="s">
        <v>6900</v>
      </c>
      <c r="L34" s="421"/>
      <c r="M34" s="421"/>
      <c r="N34" s="187"/>
      <c r="P34" s="400" t="s">
        <v>6896</v>
      </c>
      <c r="Q34" s="400"/>
      <c r="R34" s="400"/>
      <c r="S34" s="187"/>
    </row>
    <row r="35" spans="1:19" x14ac:dyDescent="0.2">
      <c r="A35" s="427"/>
      <c r="B35" s="427"/>
      <c r="C35" s="427"/>
      <c r="D35" s="427"/>
      <c r="E35" s="189"/>
      <c r="F35" s="190"/>
      <c r="G35" s="188"/>
      <c r="H35" s="188"/>
      <c r="I35" s="188"/>
      <c r="J35" s="188"/>
      <c r="K35" s="188"/>
      <c r="L35" s="188"/>
      <c r="M35" s="188"/>
      <c r="N35" s="188"/>
      <c r="O35" s="188"/>
      <c r="P35" s="188"/>
      <c r="Q35" s="188"/>
      <c r="R35" s="188"/>
      <c r="S35" s="188"/>
    </row>
    <row r="36" spans="1:19" ht="27.6" customHeight="1" x14ac:dyDescent="0.2">
      <c r="A36" s="428" t="s">
        <v>6871</v>
      </c>
      <c r="B36" s="429"/>
      <c r="C36" s="429"/>
      <c r="D36" s="429"/>
      <c r="E36" s="429"/>
      <c r="F36" s="429"/>
      <c r="G36" s="429"/>
      <c r="H36" s="429"/>
      <c r="I36" s="429"/>
      <c r="J36" s="429"/>
      <c r="K36" s="429"/>
      <c r="L36" s="429"/>
      <c r="M36" s="429"/>
      <c r="N36" s="429"/>
      <c r="O36" s="429"/>
      <c r="P36" s="429"/>
      <c r="Q36" s="429"/>
      <c r="R36" s="429"/>
      <c r="S36" s="429"/>
    </row>
    <row r="37" spans="1:19" x14ac:dyDescent="0.2">
      <c r="A37" s="430" t="s">
        <v>6858</v>
      </c>
      <c r="B37" s="431"/>
      <c r="C37" s="431"/>
      <c r="D37" s="431"/>
      <c r="E37" s="431"/>
      <c r="F37" s="431"/>
      <c r="G37" s="431"/>
      <c r="H37" s="431"/>
      <c r="I37" s="432"/>
      <c r="J37" s="191" t="s">
        <v>6872</v>
      </c>
      <c r="K37" s="192" t="s">
        <v>6873</v>
      </c>
      <c r="L37" s="433" t="s">
        <v>6859</v>
      </c>
      <c r="M37" s="434"/>
      <c r="N37" s="434"/>
      <c r="O37" s="435"/>
      <c r="P37" s="433" t="s">
        <v>6860</v>
      </c>
      <c r="Q37" s="434"/>
      <c r="R37" s="434"/>
      <c r="S37" s="435"/>
    </row>
    <row r="38" spans="1:19" ht="24.6" customHeight="1" x14ac:dyDescent="0.2">
      <c r="A38" s="424"/>
      <c r="B38" s="425"/>
      <c r="C38" s="425"/>
      <c r="D38" s="425"/>
      <c r="E38" s="425"/>
      <c r="F38" s="425"/>
      <c r="G38" s="425"/>
      <c r="H38" s="425"/>
      <c r="I38" s="425"/>
      <c r="J38" s="193"/>
      <c r="K38" s="193"/>
      <c r="L38" s="424"/>
      <c r="M38" s="425"/>
      <c r="N38" s="425"/>
      <c r="O38" s="425"/>
      <c r="P38" s="424"/>
      <c r="Q38" s="425"/>
      <c r="R38" s="425"/>
      <c r="S38" s="426"/>
    </row>
    <row r="39" spans="1:19" ht="26.45" hidden="1" customHeight="1" x14ac:dyDescent="0.2">
      <c r="A39" s="422"/>
      <c r="B39" s="423"/>
      <c r="C39" s="423"/>
      <c r="D39" s="423"/>
      <c r="E39" s="423"/>
      <c r="F39" s="423"/>
      <c r="G39" s="423"/>
      <c r="H39" s="423"/>
      <c r="I39" s="423"/>
      <c r="J39" s="193"/>
      <c r="K39" s="193"/>
      <c r="L39" s="424"/>
      <c r="M39" s="425"/>
      <c r="N39" s="425"/>
      <c r="O39" s="425"/>
      <c r="P39" s="424"/>
      <c r="Q39" s="425"/>
      <c r="R39" s="425"/>
      <c r="S39" s="426"/>
    </row>
    <row r="40" spans="1:19" ht="25.9" hidden="1" customHeight="1" x14ac:dyDescent="0.2">
      <c r="A40" s="422"/>
      <c r="B40" s="423"/>
      <c r="C40" s="423"/>
      <c r="D40" s="423"/>
      <c r="E40" s="423"/>
      <c r="F40" s="423"/>
      <c r="G40" s="423"/>
      <c r="H40" s="423"/>
      <c r="I40" s="423"/>
      <c r="J40" s="193"/>
      <c r="K40" s="193"/>
      <c r="L40" s="424"/>
      <c r="M40" s="425"/>
      <c r="N40" s="425"/>
      <c r="O40" s="425"/>
      <c r="P40" s="424"/>
      <c r="Q40" s="425"/>
      <c r="R40" s="425"/>
      <c r="S40" s="426"/>
    </row>
    <row r="41" spans="1:19" ht="27.6" hidden="1" customHeight="1" x14ac:dyDescent="0.2">
      <c r="A41" s="422"/>
      <c r="B41" s="423"/>
      <c r="C41" s="423"/>
      <c r="D41" s="423"/>
      <c r="E41" s="423"/>
      <c r="F41" s="423"/>
      <c r="G41" s="423"/>
      <c r="H41" s="423"/>
      <c r="I41" s="423"/>
      <c r="J41" s="193"/>
      <c r="K41" s="193"/>
      <c r="L41" s="424"/>
      <c r="M41" s="425"/>
      <c r="N41" s="425"/>
      <c r="O41" s="425"/>
      <c r="P41" s="424"/>
      <c r="Q41" s="425"/>
      <c r="R41" s="425"/>
      <c r="S41" s="426"/>
    </row>
    <row r="42" spans="1:19" ht="25.15" hidden="1" customHeight="1" x14ac:dyDescent="0.2">
      <c r="A42" s="422"/>
      <c r="B42" s="423"/>
      <c r="C42" s="423"/>
      <c r="D42" s="423"/>
      <c r="E42" s="423"/>
      <c r="F42" s="423"/>
      <c r="G42" s="423"/>
      <c r="H42" s="423"/>
      <c r="I42" s="423"/>
      <c r="J42" s="193"/>
      <c r="K42" s="193"/>
      <c r="L42" s="424"/>
      <c r="M42" s="425"/>
      <c r="N42" s="425"/>
      <c r="O42" s="425"/>
      <c r="P42" s="424"/>
      <c r="Q42" s="425"/>
      <c r="R42" s="425"/>
      <c r="S42" s="426"/>
    </row>
    <row r="43" spans="1:19" x14ac:dyDescent="0.2">
      <c r="A43" s="405" t="s">
        <v>6874</v>
      </c>
      <c r="B43" s="406"/>
      <c r="C43" s="406"/>
      <c r="D43" s="406"/>
      <c r="E43" s="406"/>
      <c r="F43" s="406"/>
      <c r="G43" s="406"/>
      <c r="H43" s="406"/>
      <c r="I43" s="406"/>
      <c r="J43" s="406"/>
      <c r="K43" s="406"/>
      <c r="L43" s="406"/>
      <c r="M43" s="406"/>
      <c r="N43" s="406"/>
      <c r="O43" s="406"/>
      <c r="P43" s="406"/>
      <c r="Q43" s="406"/>
      <c r="R43" s="406"/>
      <c r="S43" s="406"/>
    </row>
    <row r="44" spans="1:19" x14ac:dyDescent="0.2">
      <c r="A44" s="442" t="s">
        <v>6875</v>
      </c>
      <c r="B44" s="443"/>
      <c r="C44" s="443"/>
      <c r="D44" s="443"/>
      <c r="E44" s="443"/>
      <c r="F44" s="443"/>
      <c r="G44" s="443"/>
      <c r="H44" s="443"/>
      <c r="I44" s="443"/>
      <c r="J44" s="443"/>
      <c r="K44" s="443"/>
      <c r="L44" s="443"/>
      <c r="M44" s="443"/>
      <c r="N44" s="443"/>
      <c r="O44" s="443"/>
      <c r="P44" s="443"/>
      <c r="Q44" s="443"/>
      <c r="R44" s="443"/>
      <c r="S44" s="443"/>
    </row>
    <row r="45" spans="1:19" x14ac:dyDescent="0.2">
      <c r="A45" s="444" t="s">
        <v>6858</v>
      </c>
      <c r="B45" s="445"/>
      <c r="C45" s="445"/>
      <c r="D45" s="445"/>
      <c r="E45" s="445"/>
      <c r="F45" s="445"/>
      <c r="G45" s="445"/>
      <c r="H45" s="445"/>
      <c r="I45" s="445"/>
      <c r="J45" s="445"/>
      <c r="K45" s="445"/>
      <c r="L45" s="445"/>
      <c r="M45" s="445"/>
      <c r="N45" s="446"/>
      <c r="O45" s="447" t="s">
        <v>6859</v>
      </c>
      <c r="P45" s="448"/>
      <c r="Q45" s="449"/>
      <c r="R45" s="447" t="s">
        <v>6860</v>
      </c>
      <c r="S45" s="448"/>
    </row>
    <row r="46" spans="1:19" ht="22.9" customHeight="1" thickBot="1" x14ac:dyDescent="0.25">
      <c r="A46" s="436"/>
      <c r="B46" s="437"/>
      <c r="C46" s="437"/>
      <c r="D46" s="437"/>
      <c r="E46" s="437"/>
      <c r="F46" s="437"/>
      <c r="G46" s="437"/>
      <c r="H46" s="437"/>
      <c r="I46" s="437"/>
      <c r="J46" s="437"/>
      <c r="K46" s="437"/>
      <c r="L46" s="437"/>
      <c r="M46" s="437"/>
      <c r="N46" s="437"/>
      <c r="O46" s="438"/>
      <c r="P46" s="439"/>
      <c r="Q46" s="440"/>
      <c r="R46" s="441"/>
      <c r="S46" s="438"/>
    </row>
    <row r="47" spans="1:19" ht="22.9" hidden="1" customHeight="1" x14ac:dyDescent="0.2">
      <c r="A47" s="450"/>
      <c r="B47" s="451"/>
      <c r="C47" s="451"/>
      <c r="D47" s="451"/>
      <c r="E47" s="451"/>
      <c r="F47" s="451"/>
      <c r="G47" s="451"/>
      <c r="H47" s="451"/>
      <c r="I47" s="451"/>
      <c r="J47" s="451"/>
      <c r="K47" s="451"/>
      <c r="L47" s="451"/>
      <c r="M47" s="451"/>
      <c r="N47" s="451"/>
      <c r="O47" s="438"/>
      <c r="P47" s="439"/>
      <c r="Q47" s="440"/>
      <c r="R47" s="441"/>
      <c r="S47" s="438"/>
    </row>
    <row r="48" spans="1:19" ht="23.45" hidden="1" customHeight="1" x14ac:dyDescent="0.2">
      <c r="A48" s="450"/>
      <c r="B48" s="451"/>
      <c r="C48" s="451"/>
      <c r="D48" s="451"/>
      <c r="E48" s="451"/>
      <c r="F48" s="451"/>
      <c r="G48" s="451"/>
      <c r="H48" s="451"/>
      <c r="I48" s="451"/>
      <c r="J48" s="451"/>
      <c r="K48" s="451"/>
      <c r="L48" s="451"/>
      <c r="M48" s="451"/>
      <c r="N48" s="451"/>
      <c r="O48" s="438"/>
      <c r="P48" s="439"/>
      <c r="Q48" s="440"/>
      <c r="R48" s="441"/>
      <c r="S48" s="438"/>
    </row>
    <row r="49" spans="1:20" ht="22.15" hidden="1" customHeight="1" x14ac:dyDescent="0.2">
      <c r="A49" s="450"/>
      <c r="B49" s="451"/>
      <c r="C49" s="451"/>
      <c r="D49" s="451"/>
      <c r="E49" s="451"/>
      <c r="F49" s="451"/>
      <c r="G49" s="451"/>
      <c r="H49" s="451"/>
      <c r="I49" s="451"/>
      <c r="J49" s="451"/>
      <c r="K49" s="451"/>
      <c r="L49" s="451"/>
      <c r="M49" s="451"/>
      <c r="N49" s="451"/>
      <c r="O49" s="438"/>
      <c r="P49" s="439"/>
      <c r="Q49" s="440"/>
      <c r="R49" s="441"/>
      <c r="S49" s="438"/>
    </row>
    <row r="50" spans="1:20" ht="25.15" hidden="1" customHeight="1" thickBot="1" x14ac:dyDescent="0.25">
      <c r="A50" s="452"/>
      <c r="B50" s="453"/>
      <c r="C50" s="453"/>
      <c r="D50" s="453"/>
      <c r="E50" s="453"/>
      <c r="F50" s="453"/>
      <c r="G50" s="453"/>
      <c r="H50" s="453"/>
      <c r="I50" s="453"/>
      <c r="J50" s="453"/>
      <c r="K50" s="453"/>
      <c r="L50" s="453"/>
      <c r="M50" s="453"/>
      <c r="N50" s="453"/>
      <c r="O50" s="454"/>
      <c r="P50" s="455"/>
      <c r="Q50" s="456"/>
      <c r="R50" s="457"/>
      <c r="S50" s="454"/>
    </row>
    <row r="51" spans="1:20" ht="14.25" thickTop="1" thickBot="1" x14ac:dyDescent="0.25">
      <c r="A51" s="458" t="s">
        <v>6876</v>
      </c>
      <c r="B51" s="459"/>
      <c r="C51" s="459"/>
      <c r="D51" s="459"/>
      <c r="E51" s="459"/>
      <c r="F51" s="459"/>
      <c r="G51" s="459"/>
      <c r="H51" s="459"/>
      <c r="I51" s="459"/>
      <c r="J51" s="459"/>
      <c r="K51" s="459"/>
      <c r="L51" s="459"/>
      <c r="M51" s="459"/>
      <c r="N51" s="459"/>
      <c r="O51" s="459"/>
      <c r="P51" s="459"/>
      <c r="Q51" s="459"/>
      <c r="R51" s="459"/>
      <c r="S51" s="459"/>
    </row>
    <row r="52" spans="1:20" ht="24" customHeight="1" thickTop="1" x14ac:dyDescent="0.2">
      <c r="A52" s="460" t="s">
        <v>6877</v>
      </c>
      <c r="B52" s="460"/>
      <c r="C52" s="460"/>
      <c r="D52" s="461"/>
      <c r="E52" s="461"/>
      <c r="F52" s="461"/>
      <c r="G52" s="461"/>
      <c r="H52" s="461"/>
      <c r="I52" s="194" t="s">
        <v>6878</v>
      </c>
      <c r="J52" s="462"/>
      <c r="K52" s="462"/>
      <c r="L52" s="460" t="s">
        <v>6879</v>
      </c>
      <c r="M52" s="460"/>
      <c r="N52" s="462"/>
      <c r="O52" s="462"/>
      <c r="P52" s="462"/>
      <c r="Q52" s="462"/>
      <c r="R52" s="462"/>
      <c r="S52" s="462"/>
    </row>
    <row r="53" spans="1:20" ht="23.45" customHeight="1" x14ac:dyDescent="0.2">
      <c r="A53" s="467" t="s">
        <v>6880</v>
      </c>
      <c r="B53" s="467"/>
      <c r="C53" s="467"/>
      <c r="D53" s="468"/>
      <c r="E53" s="468"/>
      <c r="F53" s="468"/>
      <c r="G53" s="468"/>
      <c r="H53" s="468"/>
      <c r="I53" s="195" t="s">
        <v>6878</v>
      </c>
      <c r="J53" s="469"/>
      <c r="K53" s="469"/>
      <c r="L53" s="467" t="s">
        <v>6879</v>
      </c>
      <c r="M53" s="467"/>
      <c r="N53" s="469"/>
      <c r="O53" s="469"/>
      <c r="P53" s="469"/>
      <c r="Q53" s="469"/>
      <c r="R53" s="469"/>
      <c r="S53" s="469"/>
    </row>
    <row r="54" spans="1:20" ht="27" customHeight="1" thickBot="1" x14ac:dyDescent="0.25">
      <c r="A54" s="470" t="s">
        <v>6881</v>
      </c>
      <c r="B54" s="470"/>
      <c r="C54" s="470"/>
      <c r="D54" s="471"/>
      <c r="E54" s="471"/>
      <c r="F54" s="471"/>
      <c r="G54" s="471"/>
      <c r="H54" s="471"/>
      <c r="I54" s="196" t="s">
        <v>6878</v>
      </c>
      <c r="J54" s="472"/>
      <c r="K54" s="472"/>
      <c r="L54" s="470" t="s">
        <v>6879</v>
      </c>
      <c r="M54" s="470"/>
      <c r="N54" s="472"/>
      <c r="O54" s="472"/>
      <c r="P54" s="472"/>
      <c r="Q54" s="472"/>
      <c r="R54" s="472"/>
      <c r="S54" s="472"/>
    </row>
    <row r="55" spans="1:20" ht="14.25" thickTop="1" thickBot="1" x14ac:dyDescent="0.25">
      <c r="A55" s="463" t="s">
        <v>6882</v>
      </c>
      <c r="B55" s="459"/>
      <c r="C55" s="459"/>
      <c r="D55" s="459"/>
      <c r="E55" s="459"/>
      <c r="F55" s="459"/>
      <c r="G55" s="459"/>
      <c r="H55" s="459"/>
      <c r="I55" s="459"/>
      <c r="J55" s="459"/>
      <c r="K55" s="459"/>
      <c r="L55" s="459"/>
      <c r="M55" s="459"/>
      <c r="N55" s="459"/>
      <c r="O55" s="459"/>
      <c r="P55" s="459"/>
      <c r="Q55" s="459"/>
      <c r="R55" s="459"/>
      <c r="S55" s="464"/>
    </row>
    <row r="56" spans="1:20" ht="20.45" customHeight="1" thickTop="1" thickBot="1" x14ac:dyDescent="0.25">
      <c r="A56" s="465" t="s">
        <v>6883</v>
      </c>
      <c r="B56" s="465"/>
      <c r="C56" s="466"/>
      <c r="D56" s="466"/>
      <c r="E56" s="466"/>
      <c r="F56" s="466"/>
      <c r="G56" s="197"/>
      <c r="H56" s="197"/>
      <c r="I56" s="197"/>
      <c r="J56" s="197"/>
      <c r="K56" s="197"/>
      <c r="L56" s="197"/>
      <c r="M56" s="197"/>
      <c r="N56" s="197"/>
      <c r="O56" s="197"/>
      <c r="P56" s="197"/>
      <c r="Q56" s="197"/>
      <c r="R56" s="197"/>
      <c r="S56" s="197"/>
    </row>
    <row r="57" spans="1:20" ht="13.5" thickTop="1" x14ac:dyDescent="0.2">
      <c r="A57" s="198"/>
      <c r="B57" s="198"/>
      <c r="C57" s="198"/>
      <c r="D57" s="198"/>
      <c r="E57" s="198"/>
      <c r="F57" s="198"/>
      <c r="G57" s="198"/>
      <c r="H57" s="198"/>
      <c r="I57" s="198"/>
      <c r="J57" s="198"/>
      <c r="K57" s="198"/>
      <c r="L57" s="198"/>
      <c r="M57" s="198"/>
      <c r="N57" s="198"/>
      <c r="O57" s="198"/>
      <c r="P57" s="198"/>
      <c r="Q57" s="198"/>
      <c r="R57" s="198"/>
      <c r="S57" s="198"/>
    </row>
    <row r="59" spans="1:20" x14ac:dyDescent="0.2">
      <c r="T59" s="206"/>
    </row>
    <row r="62" spans="1:20" x14ac:dyDescent="0.2">
      <c r="J62" s="205"/>
    </row>
  </sheetData>
  <mergeCells count="100">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D52:H52"/>
    <mergeCell ref="J52:K52"/>
    <mergeCell ref="L52:M52"/>
    <mergeCell ref="N52:S52"/>
    <mergeCell ref="A49:N49"/>
    <mergeCell ref="O49:Q49"/>
    <mergeCell ref="R49:S49"/>
    <mergeCell ref="A50:N50"/>
    <mergeCell ref="O50:Q50"/>
    <mergeCell ref="R50:S50"/>
    <mergeCell ref="R45:S45"/>
    <mergeCell ref="A47:N47"/>
    <mergeCell ref="O47:Q47"/>
    <mergeCell ref="R47:S47"/>
    <mergeCell ref="A48:N48"/>
    <mergeCell ref="O48:Q48"/>
    <mergeCell ref="R48:S48"/>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3:B33"/>
    <mergeCell ref="A34:B34"/>
    <mergeCell ref="A39:I39"/>
    <mergeCell ref="L39:O39"/>
    <mergeCell ref="P39:S39"/>
    <mergeCell ref="A38:I38"/>
    <mergeCell ref="L38:O38"/>
    <mergeCell ref="P38:S38"/>
    <mergeCell ref="A35:D35"/>
    <mergeCell ref="A36:S36"/>
    <mergeCell ref="A37:I37"/>
    <mergeCell ref="L37:O37"/>
    <mergeCell ref="P37:S37"/>
    <mergeCell ref="F33:H33"/>
    <mergeCell ref="K33:M33"/>
    <mergeCell ref="K34:M34"/>
    <mergeCell ref="C27:S27"/>
    <mergeCell ref="C28:S28"/>
    <mergeCell ref="C29:S29"/>
    <mergeCell ref="A30:S30"/>
    <mergeCell ref="A32:B32"/>
    <mergeCell ref="F32:H32"/>
    <mergeCell ref="K32:M32"/>
    <mergeCell ref="P32:R32"/>
    <mergeCell ref="C26:S26"/>
    <mergeCell ref="C15:S15"/>
    <mergeCell ref="C16:S16"/>
    <mergeCell ref="C17:S17"/>
    <mergeCell ref="C18:S18"/>
    <mergeCell ref="C19:R19"/>
    <mergeCell ref="C20:S20"/>
    <mergeCell ref="C21:S21"/>
    <mergeCell ref="C22:S22"/>
    <mergeCell ref="C23:S23"/>
    <mergeCell ref="C24:S24"/>
    <mergeCell ref="C25:S25"/>
    <mergeCell ref="P33:R33"/>
    <mergeCell ref="P34:R34"/>
    <mergeCell ref="C14:S14"/>
    <mergeCell ref="A8:R8"/>
    <mergeCell ref="F3:G3"/>
    <mergeCell ref="A4:S4"/>
    <mergeCell ref="A6:B6"/>
    <mergeCell ref="A7:R7"/>
    <mergeCell ref="A9:S9"/>
    <mergeCell ref="C10:S10"/>
    <mergeCell ref="C11:S11"/>
    <mergeCell ref="C12:S12"/>
    <mergeCell ref="C13:S13"/>
    <mergeCell ref="P3:Q3"/>
    <mergeCell ref="J3:L3"/>
    <mergeCell ref="B3:E3"/>
  </mergeCells>
  <pageMargins left="0.7" right="0.7" top="0.75" bottom="0.75" header="0.3" footer="0.3"/>
  <pageSetup orientation="portrait" r:id="rId1"/>
  <drawing r:id="rId2"/>
  <legacyDrawing r:id="rId3"/>
  <controls>
    <mc:AlternateContent xmlns:mc="http://schemas.openxmlformats.org/markup-compatibility/2006">
      <mc:Choice Requires="x14">
        <control shapeId="16409" r:id="rId4" name="CommandButton3">
          <controlPr defaultSize="0" autoLine="0" r:id="rId5">
            <anchor moveWithCells="1">
              <from>
                <xdr:col>19</xdr:col>
                <xdr:colOff>285750</xdr:colOff>
                <xdr:row>42</xdr:row>
                <xdr:rowOff>133350</xdr:rowOff>
              </from>
              <to>
                <xdr:col>21</xdr:col>
                <xdr:colOff>504825</xdr:colOff>
                <xdr:row>45</xdr:row>
                <xdr:rowOff>190500</xdr:rowOff>
              </to>
            </anchor>
          </controlPr>
        </control>
      </mc:Choice>
      <mc:Fallback>
        <control shapeId="16409" r:id="rId4" name="CommandButton3"/>
      </mc:Fallback>
    </mc:AlternateContent>
    <mc:AlternateContent xmlns:mc="http://schemas.openxmlformats.org/markup-compatibility/2006">
      <mc:Choice Requires="x14">
        <control shapeId="16408" r:id="rId6" name="CommandButton2">
          <controlPr defaultSize="0" autoLine="0" r:id="rId7">
            <anchor moveWithCells="1">
              <from>
                <xdr:col>19</xdr:col>
                <xdr:colOff>285750</xdr:colOff>
                <xdr:row>35</xdr:row>
                <xdr:rowOff>95250</xdr:rowOff>
              </from>
              <to>
                <xdr:col>21</xdr:col>
                <xdr:colOff>504825</xdr:colOff>
                <xdr:row>37</xdr:row>
                <xdr:rowOff>133350</xdr:rowOff>
              </to>
            </anchor>
          </controlPr>
        </control>
      </mc:Choice>
      <mc:Fallback>
        <control shapeId="16408" r:id="rId6" name="CommandButton2"/>
      </mc:Fallback>
    </mc:AlternateContent>
    <mc:AlternateContent xmlns:mc="http://schemas.openxmlformats.org/markup-compatibility/2006">
      <mc:Choice Requires="x14">
        <control shapeId="16407" r:id="rId8" name="CommandButton1">
          <controlPr defaultSize="0" autoLine="0" r:id="rId9">
            <anchor moveWithCells="1">
              <from>
                <xdr:col>19</xdr:col>
                <xdr:colOff>257175</xdr:colOff>
                <xdr:row>8</xdr:row>
                <xdr:rowOff>104775</xdr:rowOff>
              </from>
              <to>
                <xdr:col>21</xdr:col>
                <xdr:colOff>476250</xdr:colOff>
                <xdr:row>10</xdr:row>
                <xdr:rowOff>123825</xdr:rowOff>
              </to>
            </anchor>
          </controlPr>
        </control>
      </mc:Choice>
      <mc:Fallback>
        <control shapeId="16407" r:id="rId8" name="CommandButton1"/>
      </mc:Fallback>
    </mc:AlternateContent>
    <mc:AlternateContent xmlns:mc="http://schemas.openxmlformats.org/markup-compatibility/2006">
      <mc:Choice Requires="x14">
        <control shapeId="16396" r:id="rId10"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6399" r:id="rId13"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6400" r:id="rId14"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6401" r:id="rId15"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6402" r:id="rId16"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6403" r:id="rId17"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6404" r:id="rId18"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6405" r:id="rId19" name="Check Box 21">
          <controlPr defaultSize="0" autoFill="0" autoLine="0" autoPict="0">
            <anchor moveWithCells="1">
              <from>
                <xdr:col>12</xdr:col>
                <xdr:colOff>600075</xdr:colOff>
                <xdr:row>31</xdr:row>
                <xdr:rowOff>180975</xdr:rowOff>
              </from>
              <to>
                <xdr:col>13</xdr:col>
                <xdr:colOff>552450</xdr:colOff>
                <xdr:row>33</xdr:row>
                <xdr:rowOff>28575</xdr:rowOff>
              </to>
            </anchor>
          </controlPr>
        </control>
      </mc:Choice>
    </mc:AlternateContent>
    <mc:AlternateContent xmlns:mc="http://schemas.openxmlformats.org/markup-compatibility/2006">
      <mc:Choice Requires="x14">
        <control shapeId="16406" r:id="rId20" name="Check Box 22">
          <controlPr defaultSize="0" autoFill="0" autoLine="0" autoPict="0">
            <anchor moveWithCells="1">
              <from>
                <xdr:col>13</xdr:col>
                <xdr:colOff>0</xdr:colOff>
                <xdr:row>32</xdr:row>
                <xdr:rowOff>171450</xdr:rowOff>
              </from>
              <to>
                <xdr:col>13</xdr:col>
                <xdr:colOff>571500</xdr:colOff>
                <xdr:row>34</xdr:row>
                <xdr:rowOff>28575</xdr:rowOff>
              </to>
            </anchor>
          </controlPr>
        </control>
      </mc:Choice>
    </mc:AlternateContent>
    <mc:AlternateContent xmlns:mc="http://schemas.openxmlformats.org/markup-compatibility/2006">
      <mc:Choice Requires="x14">
        <control shapeId="16410" r:id="rId21"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6411" r:id="rId22" name="Check Box 27">
          <controlPr defaultSize="0" autoFill="0" autoLine="0" autoPict="0">
            <anchor moveWithCells="1">
              <from>
                <xdr:col>17</xdr:col>
                <xdr:colOff>600075</xdr:colOff>
                <xdr:row>31</xdr:row>
                <xdr:rowOff>180975</xdr:rowOff>
              </from>
              <to>
                <xdr:col>18</xdr:col>
                <xdr:colOff>552450</xdr:colOff>
                <xdr:row>33</xdr:row>
                <xdr:rowOff>28575</xdr:rowOff>
              </to>
            </anchor>
          </controlPr>
        </control>
      </mc:Choice>
    </mc:AlternateContent>
    <mc:AlternateContent xmlns:mc="http://schemas.openxmlformats.org/markup-compatibility/2006">
      <mc:Choice Requires="x14">
        <control shapeId="16412" r:id="rId23" name="Check Box 28">
          <controlPr defaultSize="0" autoFill="0" autoLine="0" autoPict="0">
            <anchor moveWithCells="1">
              <from>
                <xdr:col>18</xdr:col>
                <xdr:colOff>0</xdr:colOff>
                <xdr:row>32</xdr:row>
                <xdr:rowOff>171450</xdr:rowOff>
              </from>
              <to>
                <xdr:col>18</xdr:col>
                <xdr:colOff>571500</xdr:colOff>
                <xdr:row>34</xdr:row>
                <xdr:rowOff>28575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278"/>
  <sheetViews>
    <sheetView zoomScaleNormal="100" workbookViewId="0">
      <selection activeCell="B2" sqref="B2:B34"/>
    </sheetView>
  </sheetViews>
  <sheetFormatPr defaultColWidth="9.140625" defaultRowHeight="11.25" x14ac:dyDescent="0.2"/>
  <cols>
    <col min="1" max="1" width="21.85546875" style="67" bestFit="1" customWidth="1"/>
    <col min="2" max="2" width="21.85546875" style="67" customWidth="1"/>
    <col min="3" max="3" width="17.28515625" style="67" bestFit="1" customWidth="1"/>
    <col min="4" max="4" width="17.28515625" style="69" bestFit="1" customWidth="1"/>
    <col min="5" max="5" width="10" style="67" bestFit="1" customWidth="1"/>
    <col min="6" max="16384" width="9.140625" style="67"/>
  </cols>
  <sheetData>
    <row r="1" spans="1:16" s="112" customFormat="1" ht="60" customHeight="1" x14ac:dyDescent="0.2">
      <c r="A1" s="473"/>
      <c r="B1" s="474"/>
      <c r="C1" s="474"/>
      <c r="D1" s="474"/>
      <c r="E1" s="474"/>
    </row>
    <row r="2" spans="1:16" x14ac:dyDescent="0.2">
      <c r="A2" s="67" t="s">
        <v>123</v>
      </c>
      <c r="B2" s="67" t="s">
        <v>123</v>
      </c>
      <c r="C2" s="67" t="s">
        <v>569</v>
      </c>
      <c r="D2" s="68" t="s">
        <v>428</v>
      </c>
      <c r="E2" s="67" t="s">
        <v>414</v>
      </c>
      <c r="G2" s="67" t="s">
        <v>59</v>
      </c>
      <c r="J2" s="67" t="s">
        <v>6890</v>
      </c>
      <c r="L2" s="67" t="s">
        <v>6897</v>
      </c>
      <c r="P2" s="67" t="s">
        <v>6282</v>
      </c>
    </row>
    <row r="3" spans="1:16" x14ac:dyDescent="0.2">
      <c r="A3" s="67" t="s">
        <v>126</v>
      </c>
      <c r="B3" s="67" t="s">
        <v>126</v>
      </c>
      <c r="C3" s="67" t="s">
        <v>245</v>
      </c>
      <c r="D3" s="68" t="s">
        <v>125</v>
      </c>
      <c r="E3" s="67" t="s">
        <v>415</v>
      </c>
      <c r="G3" s="67" t="s">
        <v>62</v>
      </c>
      <c r="J3" s="67" t="s">
        <v>6891</v>
      </c>
      <c r="L3" s="67" t="s">
        <v>6898</v>
      </c>
      <c r="P3" s="67" t="s">
        <v>6889</v>
      </c>
    </row>
    <row r="4" spans="1:16" x14ac:dyDescent="0.2">
      <c r="A4" s="67" t="s">
        <v>129</v>
      </c>
      <c r="B4" s="67" t="s">
        <v>129</v>
      </c>
      <c r="C4" s="67" t="s">
        <v>570</v>
      </c>
      <c r="D4" s="69" t="s">
        <v>429</v>
      </c>
      <c r="G4" s="67" t="s">
        <v>6307</v>
      </c>
      <c r="L4" s="67" t="s">
        <v>6308</v>
      </c>
      <c r="P4" s="67" t="s">
        <v>6289</v>
      </c>
    </row>
    <row r="5" spans="1:16" x14ac:dyDescent="0.2">
      <c r="A5" s="67" t="s">
        <v>132</v>
      </c>
      <c r="B5" s="67" t="s">
        <v>132</v>
      </c>
      <c r="C5" s="67" t="s">
        <v>246</v>
      </c>
      <c r="D5" s="68" t="s">
        <v>128</v>
      </c>
      <c r="G5" s="67" t="s">
        <v>6308</v>
      </c>
    </row>
    <row r="6" spans="1:16" x14ac:dyDescent="0.2">
      <c r="A6" s="67" t="s">
        <v>135</v>
      </c>
      <c r="B6" s="67" t="s">
        <v>135</v>
      </c>
      <c r="C6" s="67" t="s">
        <v>124</v>
      </c>
      <c r="D6" s="69" t="s">
        <v>430</v>
      </c>
    </row>
    <row r="7" spans="1:16" x14ac:dyDescent="0.2">
      <c r="A7" s="67" t="s">
        <v>138</v>
      </c>
      <c r="B7" s="67" t="s">
        <v>138</v>
      </c>
      <c r="C7" s="67" t="s">
        <v>127</v>
      </c>
      <c r="D7" s="68" t="s">
        <v>131</v>
      </c>
    </row>
    <row r="8" spans="1:16" x14ac:dyDescent="0.2">
      <c r="A8" s="67" t="s">
        <v>141</v>
      </c>
      <c r="B8" s="67" t="s">
        <v>141</v>
      </c>
      <c r="C8" s="67" t="s">
        <v>247</v>
      </c>
      <c r="D8" s="68" t="s">
        <v>134</v>
      </c>
    </row>
    <row r="9" spans="1:16" x14ac:dyDescent="0.2">
      <c r="A9" s="67" t="s">
        <v>144</v>
      </c>
      <c r="B9" s="67" t="s">
        <v>144</v>
      </c>
      <c r="C9" s="67" t="s">
        <v>130</v>
      </c>
      <c r="D9" s="68" t="s">
        <v>137</v>
      </c>
    </row>
    <row r="10" spans="1:16" x14ac:dyDescent="0.2">
      <c r="A10" s="67" t="s">
        <v>147</v>
      </c>
      <c r="B10" s="67" t="s">
        <v>148</v>
      </c>
      <c r="C10" s="67" t="s">
        <v>571</v>
      </c>
      <c r="D10" s="69" t="s">
        <v>431</v>
      </c>
    </row>
    <row r="11" spans="1:16" x14ac:dyDescent="0.2">
      <c r="A11" s="67" t="s">
        <v>148</v>
      </c>
      <c r="B11" s="67" t="s">
        <v>151</v>
      </c>
      <c r="C11" s="67" t="s">
        <v>248</v>
      </c>
      <c r="D11" s="68" t="s">
        <v>140</v>
      </c>
    </row>
    <row r="12" spans="1:16" x14ac:dyDescent="0.2">
      <c r="A12" s="67" t="s">
        <v>154</v>
      </c>
      <c r="B12" s="67" t="s">
        <v>155</v>
      </c>
      <c r="C12" s="67" t="s">
        <v>572</v>
      </c>
      <c r="D12" s="68" t="s">
        <v>143</v>
      </c>
    </row>
    <row r="13" spans="1:16" x14ac:dyDescent="0.2">
      <c r="A13" s="67" t="s">
        <v>151</v>
      </c>
      <c r="B13" s="67" t="s">
        <v>158</v>
      </c>
      <c r="C13" s="67" t="s">
        <v>133</v>
      </c>
      <c r="D13" s="68" t="s">
        <v>146</v>
      </c>
    </row>
    <row r="14" spans="1:16" x14ac:dyDescent="0.2">
      <c r="A14" s="67" t="s">
        <v>161</v>
      </c>
      <c r="B14" s="67" t="s">
        <v>162</v>
      </c>
      <c r="C14" s="67" t="s">
        <v>249</v>
      </c>
      <c r="D14" s="68" t="s">
        <v>150</v>
      </c>
    </row>
    <row r="15" spans="1:16" x14ac:dyDescent="0.2">
      <c r="A15" s="67" t="s">
        <v>164</v>
      </c>
      <c r="B15" s="67" t="s">
        <v>165</v>
      </c>
      <c r="C15" s="67" t="s">
        <v>573</v>
      </c>
      <c r="D15" s="68" t="s">
        <v>153</v>
      </c>
    </row>
    <row r="16" spans="1:16" x14ac:dyDescent="0.2">
      <c r="A16" s="67" t="s">
        <v>155</v>
      </c>
      <c r="B16" s="67" t="s">
        <v>167</v>
      </c>
      <c r="C16" s="67" t="s">
        <v>136</v>
      </c>
      <c r="D16" s="69" t="s">
        <v>432</v>
      </c>
    </row>
    <row r="17" spans="1:4" x14ac:dyDescent="0.2">
      <c r="A17" s="67" t="s">
        <v>169</v>
      </c>
      <c r="B17" s="67" t="s">
        <v>170</v>
      </c>
      <c r="C17" s="67" t="s">
        <v>574</v>
      </c>
      <c r="D17" s="68" t="s">
        <v>157</v>
      </c>
    </row>
    <row r="18" spans="1:4" x14ac:dyDescent="0.2">
      <c r="A18" s="67" t="s">
        <v>158</v>
      </c>
      <c r="B18" s="67" t="s">
        <v>171</v>
      </c>
      <c r="C18" s="67" t="s">
        <v>139</v>
      </c>
      <c r="D18" s="68" t="s">
        <v>160</v>
      </c>
    </row>
    <row r="19" spans="1:4" x14ac:dyDescent="0.2">
      <c r="A19" s="67" t="s">
        <v>173</v>
      </c>
      <c r="B19" s="67" t="s">
        <v>174</v>
      </c>
      <c r="C19" s="67" t="s">
        <v>142</v>
      </c>
      <c r="D19" s="67"/>
    </row>
    <row r="20" spans="1:4" x14ac:dyDescent="0.2">
      <c r="A20" s="67" t="s">
        <v>162</v>
      </c>
      <c r="B20" s="67" t="s">
        <v>176</v>
      </c>
      <c r="C20" s="67" t="s">
        <v>145</v>
      </c>
      <c r="D20" s="67"/>
    </row>
    <row r="21" spans="1:4" x14ac:dyDescent="0.2">
      <c r="A21" s="67" t="s">
        <v>178</v>
      </c>
      <c r="B21" s="67" t="s">
        <v>179</v>
      </c>
      <c r="C21" s="67" t="s">
        <v>149</v>
      </c>
      <c r="D21" s="67"/>
    </row>
    <row r="22" spans="1:4" x14ac:dyDescent="0.2">
      <c r="A22" s="67" t="s">
        <v>165</v>
      </c>
      <c r="B22" s="67" t="s">
        <v>181</v>
      </c>
      <c r="C22" s="67" t="s">
        <v>250</v>
      </c>
      <c r="D22" s="67"/>
    </row>
    <row r="23" spans="1:4" x14ac:dyDescent="0.2">
      <c r="A23" s="67" t="s">
        <v>167</v>
      </c>
      <c r="B23" s="67" t="s">
        <v>6899</v>
      </c>
      <c r="C23" s="67" t="s">
        <v>6264</v>
      </c>
      <c r="D23" s="67"/>
    </row>
    <row r="24" spans="1:4" x14ac:dyDescent="0.2">
      <c r="A24" s="67" t="s">
        <v>170</v>
      </c>
      <c r="B24" s="67" t="s">
        <v>183</v>
      </c>
      <c r="C24" s="67" t="s">
        <v>575</v>
      </c>
      <c r="D24" s="67"/>
    </row>
    <row r="25" spans="1:4" x14ac:dyDescent="0.2">
      <c r="A25" s="67" t="s">
        <v>171</v>
      </c>
      <c r="B25" s="67" t="s">
        <v>185</v>
      </c>
      <c r="C25" s="67" t="s">
        <v>152</v>
      </c>
      <c r="D25" s="67"/>
    </row>
    <row r="26" spans="1:4" x14ac:dyDescent="0.2">
      <c r="A26" s="67" t="s">
        <v>174</v>
      </c>
      <c r="B26" s="67" t="s">
        <v>186</v>
      </c>
      <c r="C26" s="67" t="s">
        <v>576</v>
      </c>
      <c r="D26" s="67"/>
    </row>
    <row r="27" spans="1:4" x14ac:dyDescent="0.2">
      <c r="A27" s="67" t="s">
        <v>190</v>
      </c>
      <c r="B27" s="67" t="s">
        <v>188</v>
      </c>
      <c r="C27" s="67" t="s">
        <v>156</v>
      </c>
      <c r="D27" s="67"/>
    </row>
    <row r="28" spans="1:4" x14ac:dyDescent="0.2">
      <c r="A28" s="67" t="s">
        <v>176</v>
      </c>
      <c r="B28" s="67" t="s">
        <v>191</v>
      </c>
      <c r="C28" s="67" t="s">
        <v>577</v>
      </c>
      <c r="D28" s="67"/>
    </row>
    <row r="29" spans="1:4" x14ac:dyDescent="0.2">
      <c r="A29" s="67" t="s">
        <v>179</v>
      </c>
      <c r="B29" s="67" t="s">
        <v>193</v>
      </c>
      <c r="C29" s="67" t="s">
        <v>251</v>
      </c>
      <c r="D29" s="67"/>
    </row>
    <row r="30" spans="1:4" x14ac:dyDescent="0.2">
      <c r="A30" s="67" t="s">
        <v>196</v>
      </c>
      <c r="B30" s="67" t="s">
        <v>194</v>
      </c>
      <c r="C30" s="67" t="s">
        <v>159</v>
      </c>
      <c r="D30" s="67"/>
    </row>
    <row r="31" spans="1:4" x14ac:dyDescent="0.2">
      <c r="A31" s="67" t="s">
        <v>199</v>
      </c>
      <c r="B31" s="67" t="s">
        <v>197</v>
      </c>
      <c r="C31" s="67" t="s">
        <v>163</v>
      </c>
      <c r="D31" s="67"/>
    </row>
    <row r="32" spans="1:4" x14ac:dyDescent="0.2">
      <c r="A32" s="67" t="s">
        <v>181</v>
      </c>
      <c r="B32" s="67" t="s">
        <v>200</v>
      </c>
      <c r="C32" s="67" t="s">
        <v>166</v>
      </c>
      <c r="D32" s="67"/>
    </row>
    <row r="33" spans="1:4" x14ac:dyDescent="0.2">
      <c r="A33" s="67" t="s">
        <v>183</v>
      </c>
      <c r="B33" s="67" t="s">
        <v>563</v>
      </c>
      <c r="C33" s="67" t="s">
        <v>252</v>
      </c>
      <c r="D33" s="67"/>
    </row>
    <row r="34" spans="1:4" x14ac:dyDescent="0.2">
      <c r="A34" s="67" t="s">
        <v>185</v>
      </c>
      <c r="B34" s="67" t="s">
        <v>568</v>
      </c>
      <c r="C34" s="67" t="s">
        <v>579</v>
      </c>
      <c r="D34" s="67"/>
    </row>
    <row r="35" spans="1:4" x14ac:dyDescent="0.2">
      <c r="A35" s="67" t="s">
        <v>186</v>
      </c>
      <c r="C35" s="67" t="s">
        <v>168</v>
      </c>
      <c r="D35" s="67"/>
    </row>
    <row r="36" spans="1:4" x14ac:dyDescent="0.2">
      <c r="A36" s="67" t="s">
        <v>188</v>
      </c>
      <c r="C36" s="67" t="s">
        <v>580</v>
      </c>
      <c r="D36" s="67"/>
    </row>
    <row r="37" spans="1:4" x14ac:dyDescent="0.2">
      <c r="A37" s="67" t="s">
        <v>191</v>
      </c>
      <c r="C37" s="67" t="s">
        <v>581</v>
      </c>
      <c r="D37" s="67"/>
    </row>
    <row r="38" spans="1:4" x14ac:dyDescent="0.2">
      <c r="A38" s="67" t="s">
        <v>208</v>
      </c>
      <c r="C38" s="67" t="s">
        <v>582</v>
      </c>
      <c r="D38" s="67"/>
    </row>
    <row r="39" spans="1:4" x14ac:dyDescent="0.2">
      <c r="A39" s="67" t="s">
        <v>193</v>
      </c>
      <c r="C39" s="67" t="s">
        <v>583</v>
      </c>
      <c r="D39" s="67"/>
    </row>
    <row r="40" spans="1:4" x14ac:dyDescent="0.2">
      <c r="A40" s="67" t="s">
        <v>194</v>
      </c>
      <c r="C40" s="67" t="s">
        <v>584</v>
      </c>
      <c r="D40" s="67"/>
    </row>
    <row r="41" spans="1:4" x14ac:dyDescent="0.2">
      <c r="A41" s="67" t="s">
        <v>197</v>
      </c>
      <c r="C41" s="67" t="s">
        <v>172</v>
      </c>
      <c r="D41" s="67"/>
    </row>
    <row r="42" spans="1:4" x14ac:dyDescent="0.2">
      <c r="A42" s="67" t="s">
        <v>200</v>
      </c>
      <c r="C42" s="67" t="s">
        <v>175</v>
      </c>
      <c r="D42" s="67"/>
    </row>
    <row r="43" spans="1:4" x14ac:dyDescent="0.2">
      <c r="C43" s="67" t="s">
        <v>276</v>
      </c>
      <c r="D43" s="67"/>
    </row>
    <row r="44" spans="1:4" x14ac:dyDescent="0.2">
      <c r="C44" s="67" t="s">
        <v>585</v>
      </c>
      <c r="D44" s="67"/>
    </row>
    <row r="45" spans="1:4" x14ac:dyDescent="0.2">
      <c r="C45" s="67" t="s">
        <v>586</v>
      </c>
      <c r="D45" s="67"/>
    </row>
    <row r="46" spans="1:4" x14ac:dyDescent="0.2">
      <c r="C46" s="67" t="s">
        <v>177</v>
      </c>
      <c r="D46" s="67"/>
    </row>
    <row r="47" spans="1:4" x14ac:dyDescent="0.2">
      <c r="C47" s="67" t="s">
        <v>587</v>
      </c>
      <c r="D47" s="67"/>
    </row>
    <row r="48" spans="1:4" x14ac:dyDescent="0.2">
      <c r="C48" s="67" t="s">
        <v>180</v>
      </c>
      <c r="D48" s="67"/>
    </row>
    <row r="49" spans="3:4" x14ac:dyDescent="0.2">
      <c r="C49" s="67" t="s">
        <v>6265</v>
      </c>
      <c r="D49" s="67"/>
    </row>
    <row r="50" spans="3:4" x14ac:dyDescent="0.2">
      <c r="C50" s="67" t="s">
        <v>253</v>
      </c>
      <c r="D50" s="67"/>
    </row>
    <row r="51" spans="3:4" x14ac:dyDescent="0.2">
      <c r="C51" s="67" t="s">
        <v>182</v>
      </c>
      <c r="D51" s="67"/>
    </row>
    <row r="52" spans="3:4" x14ac:dyDescent="0.2">
      <c r="C52" s="67" t="s">
        <v>184</v>
      </c>
      <c r="D52" s="67"/>
    </row>
    <row r="53" spans="3:4" x14ac:dyDescent="0.2">
      <c r="C53" s="67" t="s">
        <v>6846</v>
      </c>
      <c r="D53" s="67"/>
    </row>
    <row r="54" spans="3:4" x14ac:dyDescent="0.2">
      <c r="C54" s="67" t="s">
        <v>589</v>
      </c>
      <c r="D54" s="67"/>
    </row>
    <row r="55" spans="3:4" x14ac:dyDescent="0.2">
      <c r="C55" s="67" t="s">
        <v>277</v>
      </c>
      <c r="D55" s="67"/>
    </row>
    <row r="56" spans="3:4" x14ac:dyDescent="0.2">
      <c r="C56" s="67" t="s">
        <v>588</v>
      </c>
      <c r="D56" s="67"/>
    </row>
    <row r="57" spans="3:4" x14ac:dyDescent="0.2">
      <c r="C57" s="67" t="s">
        <v>590</v>
      </c>
      <c r="D57" s="67"/>
    </row>
    <row r="58" spans="3:4" x14ac:dyDescent="0.2">
      <c r="C58" s="67" t="s">
        <v>591</v>
      </c>
      <c r="D58" s="67"/>
    </row>
    <row r="59" spans="3:4" x14ac:dyDescent="0.2">
      <c r="C59" s="67" t="s">
        <v>592</v>
      </c>
      <c r="D59" s="67"/>
    </row>
    <row r="60" spans="3:4" x14ac:dyDescent="0.2">
      <c r="C60" s="67" t="s">
        <v>187</v>
      </c>
      <c r="D60" s="67"/>
    </row>
    <row r="61" spans="3:4" x14ac:dyDescent="0.2">
      <c r="C61" s="67" t="s">
        <v>593</v>
      </c>
      <c r="D61" s="67"/>
    </row>
    <row r="62" spans="3:4" x14ac:dyDescent="0.2">
      <c r="C62" s="67" t="s">
        <v>189</v>
      </c>
      <c r="D62" s="67"/>
    </row>
    <row r="63" spans="3:4" x14ac:dyDescent="0.2">
      <c r="C63" s="67" t="s">
        <v>594</v>
      </c>
      <c r="D63" s="67"/>
    </row>
    <row r="64" spans="3:4" x14ac:dyDescent="0.2">
      <c r="C64" s="67" t="s">
        <v>192</v>
      </c>
      <c r="D64" s="67"/>
    </row>
    <row r="65" spans="3:4" x14ac:dyDescent="0.2">
      <c r="C65" s="67" t="s">
        <v>6266</v>
      </c>
      <c r="D65" s="67"/>
    </row>
    <row r="66" spans="3:4" x14ac:dyDescent="0.2">
      <c r="C66" s="67" t="s">
        <v>595</v>
      </c>
      <c r="D66" s="67"/>
    </row>
    <row r="67" spans="3:4" x14ac:dyDescent="0.2">
      <c r="C67" s="67" t="s">
        <v>596</v>
      </c>
      <c r="D67" s="67"/>
    </row>
    <row r="68" spans="3:4" x14ac:dyDescent="0.2">
      <c r="C68" s="67" t="s">
        <v>597</v>
      </c>
      <c r="D68" s="67"/>
    </row>
    <row r="69" spans="3:4" x14ac:dyDescent="0.2">
      <c r="C69" s="67" t="s">
        <v>195</v>
      </c>
      <c r="D69" s="67"/>
    </row>
    <row r="70" spans="3:4" x14ac:dyDescent="0.2">
      <c r="C70" s="67" t="s">
        <v>598</v>
      </c>
      <c r="D70" s="67"/>
    </row>
    <row r="71" spans="3:4" x14ac:dyDescent="0.2">
      <c r="C71" s="67" t="s">
        <v>599</v>
      </c>
      <c r="D71" s="67"/>
    </row>
    <row r="72" spans="3:4" x14ac:dyDescent="0.2">
      <c r="C72" s="67" t="s">
        <v>198</v>
      </c>
      <c r="D72" s="67"/>
    </row>
    <row r="73" spans="3:4" x14ac:dyDescent="0.2">
      <c r="C73" s="67" t="s">
        <v>600</v>
      </c>
      <c r="D73" s="67"/>
    </row>
    <row r="74" spans="3:4" x14ac:dyDescent="0.2">
      <c r="C74" s="67" t="s">
        <v>254</v>
      </c>
      <c r="D74" s="67"/>
    </row>
    <row r="75" spans="3:4" x14ac:dyDescent="0.2">
      <c r="C75" s="67" t="s">
        <v>601</v>
      </c>
      <c r="D75" s="67"/>
    </row>
    <row r="76" spans="3:4" x14ac:dyDescent="0.2">
      <c r="C76" s="67" t="s">
        <v>201</v>
      </c>
      <c r="D76" s="67"/>
    </row>
    <row r="77" spans="3:4" x14ac:dyDescent="0.2">
      <c r="C77" s="67" t="s">
        <v>602</v>
      </c>
      <c r="D77" s="67"/>
    </row>
    <row r="78" spans="3:4" x14ac:dyDescent="0.2">
      <c r="C78" s="67" t="s">
        <v>202</v>
      </c>
      <c r="D78" s="67"/>
    </row>
    <row r="79" spans="3:4" x14ac:dyDescent="0.2">
      <c r="C79" s="67" t="s">
        <v>6267</v>
      </c>
      <c r="D79" s="67"/>
    </row>
    <row r="80" spans="3:4" x14ac:dyDescent="0.2">
      <c r="C80" s="67" t="s">
        <v>255</v>
      </c>
      <c r="D80" s="67"/>
    </row>
    <row r="81" spans="3:4" x14ac:dyDescent="0.2">
      <c r="C81" s="67" t="s">
        <v>203</v>
      </c>
      <c r="D81" s="67"/>
    </row>
    <row r="82" spans="3:4" x14ac:dyDescent="0.2">
      <c r="C82" s="67" t="s">
        <v>603</v>
      </c>
      <c r="D82" s="67"/>
    </row>
    <row r="83" spans="3:4" x14ac:dyDescent="0.2">
      <c r="C83" s="67" t="s">
        <v>204</v>
      </c>
      <c r="D83" s="67"/>
    </row>
    <row r="84" spans="3:4" x14ac:dyDescent="0.2">
      <c r="C84" s="67" t="s">
        <v>604</v>
      </c>
      <c r="D84" s="67"/>
    </row>
    <row r="85" spans="3:4" x14ac:dyDescent="0.2">
      <c r="C85" s="67" t="s">
        <v>605</v>
      </c>
      <c r="D85" s="67"/>
    </row>
    <row r="86" spans="3:4" x14ac:dyDescent="0.2">
      <c r="C86" s="67" t="s">
        <v>205</v>
      </c>
      <c r="D86" s="67"/>
    </row>
    <row r="87" spans="3:4" x14ac:dyDescent="0.2">
      <c r="C87" s="67" t="s">
        <v>256</v>
      </c>
      <c r="D87" s="67"/>
    </row>
    <row r="88" spans="3:4" x14ac:dyDescent="0.2">
      <c r="C88" s="67" t="s">
        <v>606</v>
      </c>
      <c r="D88" s="67"/>
    </row>
    <row r="89" spans="3:4" x14ac:dyDescent="0.2">
      <c r="C89" s="67" t="s">
        <v>206</v>
      </c>
      <c r="D89" s="67"/>
    </row>
    <row r="90" spans="3:4" x14ac:dyDescent="0.2">
      <c r="C90" s="67" t="s">
        <v>607</v>
      </c>
      <c r="D90" s="67"/>
    </row>
    <row r="91" spans="3:4" x14ac:dyDescent="0.2">
      <c r="C91" s="67" t="s">
        <v>207</v>
      </c>
      <c r="D91" s="67"/>
    </row>
    <row r="92" spans="3:4" x14ac:dyDescent="0.2">
      <c r="C92" s="67" t="s">
        <v>257</v>
      </c>
      <c r="D92" s="67"/>
    </row>
    <row r="93" spans="3:4" x14ac:dyDescent="0.2">
      <c r="C93" s="67" t="s">
        <v>608</v>
      </c>
      <c r="D93" s="67"/>
    </row>
    <row r="94" spans="3:4" x14ac:dyDescent="0.2">
      <c r="C94" s="67" t="s">
        <v>611</v>
      </c>
      <c r="D94" s="67"/>
    </row>
    <row r="95" spans="3:4" x14ac:dyDescent="0.2">
      <c r="C95" s="67" t="s">
        <v>209</v>
      </c>
      <c r="D95" s="67"/>
    </row>
    <row r="96" spans="3:4" x14ac:dyDescent="0.2">
      <c r="C96" s="67" t="s">
        <v>609</v>
      </c>
      <c r="D96" s="67"/>
    </row>
    <row r="97" spans="3:4" x14ac:dyDescent="0.2">
      <c r="C97" s="67" t="s">
        <v>610</v>
      </c>
      <c r="D97" s="67"/>
    </row>
    <row r="98" spans="3:4" x14ac:dyDescent="0.2">
      <c r="C98" s="67" t="s">
        <v>210</v>
      </c>
      <c r="D98" s="67"/>
    </row>
    <row r="99" spans="3:4" x14ac:dyDescent="0.2">
      <c r="C99" s="67" t="s">
        <v>211</v>
      </c>
      <c r="D99" s="67"/>
    </row>
    <row r="100" spans="3:4" x14ac:dyDescent="0.2">
      <c r="C100" s="67" t="s">
        <v>612</v>
      </c>
      <c r="D100" s="67"/>
    </row>
    <row r="101" spans="3:4" x14ac:dyDescent="0.2">
      <c r="C101" s="67" t="s">
        <v>613</v>
      </c>
      <c r="D101" s="67"/>
    </row>
    <row r="102" spans="3:4" x14ac:dyDescent="0.2">
      <c r="C102" s="67" t="s">
        <v>614</v>
      </c>
      <c r="D102" s="67"/>
    </row>
    <row r="103" spans="3:4" x14ac:dyDescent="0.2">
      <c r="C103" s="67" t="s">
        <v>615</v>
      </c>
      <c r="D103" s="67"/>
    </row>
    <row r="104" spans="3:4" x14ac:dyDescent="0.2">
      <c r="C104" s="67" t="s">
        <v>212</v>
      </c>
      <c r="D104" s="67"/>
    </row>
    <row r="105" spans="3:4" x14ac:dyDescent="0.2">
      <c r="C105" s="67" t="s">
        <v>616</v>
      </c>
      <c r="D105" s="67"/>
    </row>
    <row r="106" spans="3:4" x14ac:dyDescent="0.2">
      <c r="C106" s="67" t="s">
        <v>258</v>
      </c>
      <c r="D106" s="67"/>
    </row>
    <row r="107" spans="3:4" x14ac:dyDescent="0.2">
      <c r="C107" s="67" t="s">
        <v>259</v>
      </c>
      <c r="D107" s="67"/>
    </row>
    <row r="108" spans="3:4" x14ac:dyDescent="0.2">
      <c r="C108" s="67" t="s">
        <v>213</v>
      </c>
      <c r="D108" s="67"/>
    </row>
    <row r="109" spans="3:4" x14ac:dyDescent="0.2">
      <c r="C109" s="67" t="s">
        <v>260</v>
      </c>
      <c r="D109" s="67"/>
    </row>
    <row r="110" spans="3:4" x14ac:dyDescent="0.2">
      <c r="C110" s="67" t="s">
        <v>214</v>
      </c>
      <c r="D110" s="67"/>
    </row>
    <row r="111" spans="3:4" x14ac:dyDescent="0.2">
      <c r="C111" s="67" t="s">
        <v>618</v>
      </c>
      <c r="D111" s="67"/>
    </row>
    <row r="112" spans="3:4" x14ac:dyDescent="0.2">
      <c r="C112" s="67" t="s">
        <v>215</v>
      </c>
      <c r="D112" s="67"/>
    </row>
    <row r="113" spans="3:4" x14ac:dyDescent="0.2">
      <c r="C113" s="67" t="s">
        <v>619</v>
      </c>
      <c r="D113" s="67"/>
    </row>
    <row r="114" spans="3:4" x14ac:dyDescent="0.2">
      <c r="C114" s="67" t="s">
        <v>620</v>
      </c>
      <c r="D114" s="67"/>
    </row>
    <row r="115" spans="3:4" x14ac:dyDescent="0.2">
      <c r="C115" s="67" t="s">
        <v>216</v>
      </c>
      <c r="D115" s="67"/>
    </row>
    <row r="116" spans="3:4" x14ac:dyDescent="0.2">
      <c r="C116" s="67" t="s">
        <v>621</v>
      </c>
      <c r="D116" s="67"/>
    </row>
    <row r="117" spans="3:4" x14ac:dyDescent="0.2">
      <c r="C117" s="67" t="s">
        <v>622</v>
      </c>
      <c r="D117" s="67"/>
    </row>
    <row r="118" spans="3:4" x14ac:dyDescent="0.2">
      <c r="C118" s="67" t="s">
        <v>217</v>
      </c>
      <c r="D118" s="67"/>
    </row>
    <row r="119" spans="3:4" x14ac:dyDescent="0.2">
      <c r="C119" s="67" t="s">
        <v>218</v>
      </c>
      <c r="D119" s="67"/>
    </row>
    <row r="120" spans="3:4" x14ac:dyDescent="0.2">
      <c r="C120" s="67" t="s">
        <v>623</v>
      </c>
      <c r="D120" s="67"/>
    </row>
    <row r="121" spans="3:4" x14ac:dyDescent="0.2">
      <c r="C121" s="67" t="s">
        <v>219</v>
      </c>
      <c r="D121" s="67"/>
    </row>
    <row r="122" spans="3:4" x14ac:dyDescent="0.2">
      <c r="C122" s="67" t="s">
        <v>261</v>
      </c>
      <c r="D122" s="67"/>
    </row>
    <row r="123" spans="3:4" x14ac:dyDescent="0.2">
      <c r="C123" s="67" t="s">
        <v>220</v>
      </c>
      <c r="D123" s="67"/>
    </row>
    <row r="124" spans="3:4" x14ac:dyDescent="0.2">
      <c r="C124" s="67" t="s">
        <v>624</v>
      </c>
      <c r="D124" s="67"/>
    </row>
    <row r="125" spans="3:4" x14ac:dyDescent="0.2">
      <c r="C125" s="67" t="s">
        <v>262</v>
      </c>
      <c r="D125" s="67"/>
    </row>
    <row r="126" spans="3:4" x14ac:dyDescent="0.2">
      <c r="C126" s="67" t="s">
        <v>263</v>
      </c>
      <c r="D126" s="67"/>
    </row>
    <row r="127" spans="3:4" x14ac:dyDescent="0.2">
      <c r="C127" s="67" t="s">
        <v>6268</v>
      </c>
      <c r="D127" s="67"/>
    </row>
    <row r="128" spans="3:4" x14ac:dyDescent="0.2">
      <c r="C128" s="67" t="s">
        <v>625</v>
      </c>
      <c r="D128" s="67"/>
    </row>
    <row r="129" spans="3:4" x14ac:dyDescent="0.2">
      <c r="C129" s="67" t="s">
        <v>626</v>
      </c>
      <c r="D129" s="67"/>
    </row>
    <row r="130" spans="3:4" x14ac:dyDescent="0.2">
      <c r="C130" s="67" t="s">
        <v>627</v>
      </c>
      <c r="D130" s="67"/>
    </row>
    <row r="131" spans="3:4" x14ac:dyDescent="0.2">
      <c r="C131" s="67" t="s">
        <v>221</v>
      </c>
      <c r="D131" s="67"/>
    </row>
    <row r="132" spans="3:4" x14ac:dyDescent="0.2">
      <c r="C132" s="67" t="s">
        <v>628</v>
      </c>
      <c r="D132" s="67"/>
    </row>
    <row r="133" spans="3:4" x14ac:dyDescent="0.2">
      <c r="C133" s="67" t="s">
        <v>6269</v>
      </c>
      <c r="D133" s="67"/>
    </row>
    <row r="134" spans="3:4" x14ac:dyDescent="0.2">
      <c r="C134" s="67" t="s">
        <v>222</v>
      </c>
      <c r="D134" s="67"/>
    </row>
    <row r="135" spans="3:4" x14ac:dyDescent="0.2">
      <c r="C135" s="67" t="s">
        <v>629</v>
      </c>
      <c r="D135" s="67"/>
    </row>
    <row r="136" spans="3:4" x14ac:dyDescent="0.2">
      <c r="C136" s="67" t="s">
        <v>630</v>
      </c>
      <c r="D136" s="67"/>
    </row>
    <row r="137" spans="3:4" x14ac:dyDescent="0.2">
      <c r="C137" s="67" t="s">
        <v>631</v>
      </c>
      <c r="D137" s="67"/>
    </row>
    <row r="138" spans="3:4" x14ac:dyDescent="0.2">
      <c r="C138" s="67" t="s">
        <v>223</v>
      </c>
      <c r="D138" s="67"/>
    </row>
    <row r="139" spans="3:4" x14ac:dyDescent="0.2">
      <c r="C139" s="67" t="s">
        <v>632</v>
      </c>
      <c r="D139" s="67"/>
    </row>
    <row r="140" spans="3:4" x14ac:dyDescent="0.2">
      <c r="C140" s="67" t="s">
        <v>264</v>
      </c>
      <c r="D140" s="67"/>
    </row>
    <row r="141" spans="3:4" x14ac:dyDescent="0.2">
      <c r="C141" s="67" t="s">
        <v>265</v>
      </c>
      <c r="D141" s="67"/>
    </row>
    <row r="142" spans="3:4" x14ac:dyDescent="0.2">
      <c r="C142" s="67" t="s">
        <v>224</v>
      </c>
      <c r="D142" s="67"/>
    </row>
    <row r="143" spans="3:4" x14ac:dyDescent="0.2">
      <c r="C143" s="67" t="s">
        <v>6847</v>
      </c>
      <c r="D143" s="67"/>
    </row>
    <row r="144" spans="3:4" x14ac:dyDescent="0.2">
      <c r="C144" s="67" t="s">
        <v>266</v>
      </c>
      <c r="D144" s="67"/>
    </row>
    <row r="145" spans="3:4" x14ac:dyDescent="0.2">
      <c r="C145" s="67" t="s">
        <v>633</v>
      </c>
      <c r="D145" s="67"/>
    </row>
    <row r="146" spans="3:4" x14ac:dyDescent="0.2">
      <c r="C146" s="67" t="s">
        <v>634</v>
      </c>
      <c r="D146" s="67"/>
    </row>
    <row r="147" spans="3:4" x14ac:dyDescent="0.2">
      <c r="C147" s="67" t="s">
        <v>635</v>
      </c>
      <c r="D147" s="67"/>
    </row>
    <row r="148" spans="3:4" x14ac:dyDescent="0.2">
      <c r="C148" s="67" t="s">
        <v>225</v>
      </c>
      <c r="D148" s="67"/>
    </row>
    <row r="149" spans="3:4" x14ac:dyDescent="0.2">
      <c r="C149" s="67" t="s">
        <v>636</v>
      </c>
      <c r="D149" s="67"/>
    </row>
    <row r="150" spans="3:4" x14ac:dyDescent="0.2">
      <c r="C150" s="67" t="s">
        <v>637</v>
      </c>
      <c r="D150" s="67"/>
    </row>
    <row r="151" spans="3:4" x14ac:dyDescent="0.2">
      <c r="C151" s="67" t="s">
        <v>226</v>
      </c>
      <c r="D151" s="67"/>
    </row>
    <row r="152" spans="3:4" x14ac:dyDescent="0.2">
      <c r="C152" s="67" t="s">
        <v>638</v>
      </c>
      <c r="D152" s="67"/>
    </row>
    <row r="153" spans="3:4" x14ac:dyDescent="0.2">
      <c r="C153" s="67" t="s">
        <v>639</v>
      </c>
      <c r="D153" s="67"/>
    </row>
    <row r="154" spans="3:4" x14ac:dyDescent="0.2">
      <c r="C154" s="67" t="s">
        <v>640</v>
      </c>
      <c r="D154" s="67"/>
    </row>
    <row r="155" spans="3:4" x14ac:dyDescent="0.2">
      <c r="C155" s="67" t="s">
        <v>641</v>
      </c>
      <c r="D155" s="67"/>
    </row>
    <row r="156" spans="3:4" x14ac:dyDescent="0.2">
      <c r="C156" s="67" t="s">
        <v>227</v>
      </c>
      <c r="D156" s="67"/>
    </row>
    <row r="157" spans="3:4" x14ac:dyDescent="0.2">
      <c r="C157" s="67" t="s">
        <v>228</v>
      </c>
      <c r="D157" s="67"/>
    </row>
    <row r="158" spans="3:4" x14ac:dyDescent="0.2">
      <c r="C158" s="67" t="s">
        <v>267</v>
      </c>
      <c r="D158" s="67"/>
    </row>
    <row r="159" spans="3:4" x14ac:dyDescent="0.2">
      <c r="C159" s="67" t="s">
        <v>642</v>
      </c>
      <c r="D159" s="67"/>
    </row>
    <row r="160" spans="3:4" x14ac:dyDescent="0.2">
      <c r="C160" s="67" t="s">
        <v>643</v>
      </c>
      <c r="D160" s="67"/>
    </row>
    <row r="161" spans="3:4" x14ac:dyDescent="0.2">
      <c r="C161" s="67" t="s">
        <v>229</v>
      </c>
      <c r="D161" s="67"/>
    </row>
    <row r="162" spans="3:4" x14ac:dyDescent="0.2">
      <c r="C162" s="67" t="s">
        <v>617</v>
      </c>
      <c r="D162" s="67"/>
    </row>
    <row r="163" spans="3:4" x14ac:dyDescent="0.2">
      <c r="C163" s="67" t="s">
        <v>578</v>
      </c>
      <c r="D163" s="67"/>
    </row>
    <row r="164" spans="3:4" x14ac:dyDescent="0.2">
      <c r="C164" s="67" t="s">
        <v>644</v>
      </c>
      <c r="D164" s="67"/>
    </row>
    <row r="165" spans="3:4" x14ac:dyDescent="0.2">
      <c r="C165" s="67" t="s">
        <v>230</v>
      </c>
      <c r="D165" s="67"/>
    </row>
    <row r="166" spans="3:4" x14ac:dyDescent="0.2">
      <c r="C166" s="67" t="s">
        <v>231</v>
      </c>
      <c r="D166" s="67"/>
    </row>
    <row r="167" spans="3:4" x14ac:dyDescent="0.2">
      <c r="C167" s="67" t="s">
        <v>232</v>
      </c>
      <c r="D167" s="67"/>
    </row>
    <row r="168" spans="3:4" x14ac:dyDescent="0.2">
      <c r="C168" s="67" t="s">
        <v>645</v>
      </c>
      <c r="D168" s="67"/>
    </row>
    <row r="169" spans="3:4" x14ac:dyDescent="0.2">
      <c r="C169" s="67" t="s">
        <v>647</v>
      </c>
      <c r="D169" s="67"/>
    </row>
    <row r="170" spans="3:4" x14ac:dyDescent="0.2">
      <c r="C170" s="67" t="s">
        <v>648</v>
      </c>
      <c r="D170" s="67"/>
    </row>
    <row r="171" spans="3:4" x14ac:dyDescent="0.2">
      <c r="C171" s="67" t="s">
        <v>235</v>
      </c>
      <c r="D171" s="67"/>
    </row>
    <row r="172" spans="3:4" x14ac:dyDescent="0.2">
      <c r="C172" s="67" t="s">
        <v>653</v>
      </c>
      <c r="D172" s="67"/>
    </row>
    <row r="173" spans="3:4" x14ac:dyDescent="0.2">
      <c r="C173" s="67" t="s">
        <v>233</v>
      </c>
      <c r="D173" s="67"/>
    </row>
    <row r="174" spans="3:4" x14ac:dyDescent="0.2">
      <c r="C174" s="67" t="s">
        <v>234</v>
      </c>
      <c r="D174" s="67"/>
    </row>
    <row r="175" spans="3:4" x14ac:dyDescent="0.2">
      <c r="C175" s="67" t="s">
        <v>654</v>
      </c>
      <c r="D175" s="67"/>
    </row>
    <row r="176" spans="3:4" x14ac:dyDescent="0.2">
      <c r="C176" s="67" t="s">
        <v>658</v>
      </c>
      <c r="D176" s="67"/>
    </row>
    <row r="177" spans="3:4" x14ac:dyDescent="0.2">
      <c r="C177" s="67" t="s">
        <v>659</v>
      </c>
      <c r="D177" s="67"/>
    </row>
    <row r="178" spans="3:4" x14ac:dyDescent="0.2">
      <c r="C178" s="67" t="s">
        <v>660</v>
      </c>
      <c r="D178" s="67"/>
    </row>
    <row r="179" spans="3:4" x14ac:dyDescent="0.2">
      <c r="C179" s="67" t="s">
        <v>646</v>
      </c>
      <c r="D179" s="67"/>
    </row>
    <row r="180" spans="3:4" x14ac:dyDescent="0.2">
      <c r="C180" s="67" t="s">
        <v>649</v>
      </c>
      <c r="D180" s="67"/>
    </row>
    <row r="181" spans="3:4" x14ac:dyDescent="0.2">
      <c r="C181" s="67" t="s">
        <v>651</v>
      </c>
      <c r="D181" s="67"/>
    </row>
    <row r="182" spans="3:4" x14ac:dyDescent="0.2">
      <c r="C182" s="67" t="s">
        <v>652</v>
      </c>
      <c r="D182" s="67"/>
    </row>
    <row r="183" spans="3:4" x14ac:dyDescent="0.2">
      <c r="C183" s="67" t="s">
        <v>655</v>
      </c>
      <c r="D183" s="67"/>
    </row>
    <row r="184" spans="3:4" x14ac:dyDescent="0.2">
      <c r="C184" s="67" t="s">
        <v>656</v>
      </c>
      <c r="D184" s="67"/>
    </row>
    <row r="185" spans="3:4" x14ac:dyDescent="0.2">
      <c r="C185" s="67" t="s">
        <v>657</v>
      </c>
      <c r="D185" s="67"/>
    </row>
    <row r="186" spans="3:4" x14ac:dyDescent="0.2">
      <c r="C186" s="67" t="s">
        <v>275</v>
      </c>
      <c r="D186" s="67"/>
    </row>
    <row r="187" spans="3:4" x14ac:dyDescent="0.2">
      <c r="C187" s="67" t="s">
        <v>650</v>
      </c>
      <c r="D187" s="67"/>
    </row>
    <row r="188" spans="3:4" x14ac:dyDescent="0.2">
      <c r="C188" s="67" t="s">
        <v>661</v>
      </c>
      <c r="D188" s="67"/>
    </row>
    <row r="189" spans="3:4" x14ac:dyDescent="0.2">
      <c r="C189" s="67" t="s">
        <v>662</v>
      </c>
      <c r="D189" s="67"/>
    </row>
    <row r="190" spans="3:4" x14ac:dyDescent="0.2">
      <c r="C190" s="67" t="s">
        <v>268</v>
      </c>
      <c r="D190" s="67"/>
    </row>
    <row r="191" spans="3:4" x14ac:dyDescent="0.2">
      <c r="C191" s="67" t="s">
        <v>663</v>
      </c>
      <c r="D191" s="67"/>
    </row>
    <row r="192" spans="3:4" x14ac:dyDescent="0.2">
      <c r="C192" s="67" t="s">
        <v>236</v>
      </c>
      <c r="D192" s="67"/>
    </row>
    <row r="193" spans="3:4" x14ac:dyDescent="0.2">
      <c r="C193" s="67" t="s">
        <v>237</v>
      </c>
      <c r="D193" s="67"/>
    </row>
    <row r="194" spans="3:4" x14ac:dyDescent="0.2">
      <c r="C194" s="67" t="s">
        <v>664</v>
      </c>
      <c r="D194" s="67"/>
    </row>
    <row r="195" spans="3:4" x14ac:dyDescent="0.2">
      <c r="C195" s="67" t="s">
        <v>238</v>
      </c>
      <c r="D195" s="67"/>
    </row>
    <row r="196" spans="3:4" x14ac:dyDescent="0.2">
      <c r="C196" s="67" t="s">
        <v>665</v>
      </c>
      <c r="D196" s="67"/>
    </row>
    <row r="197" spans="3:4" x14ac:dyDescent="0.2">
      <c r="C197" s="67" t="s">
        <v>239</v>
      </c>
      <c r="D197" s="67"/>
    </row>
    <row r="198" spans="3:4" x14ac:dyDescent="0.2">
      <c r="C198" s="67" t="s">
        <v>240</v>
      </c>
      <c r="D198" s="67"/>
    </row>
    <row r="199" spans="3:4" x14ac:dyDescent="0.2">
      <c r="C199" s="67" t="s">
        <v>269</v>
      </c>
      <c r="D199" s="67"/>
    </row>
    <row r="200" spans="3:4" x14ac:dyDescent="0.2">
      <c r="C200" s="67" t="s">
        <v>666</v>
      </c>
      <c r="D200" s="67"/>
    </row>
    <row r="201" spans="3:4" x14ac:dyDescent="0.2">
      <c r="C201" s="67" t="s">
        <v>667</v>
      </c>
      <c r="D201" s="67"/>
    </row>
    <row r="202" spans="3:4" x14ac:dyDescent="0.2">
      <c r="C202" s="67" t="s">
        <v>668</v>
      </c>
      <c r="D202" s="67"/>
    </row>
    <row r="203" spans="3:4" x14ac:dyDescent="0.2">
      <c r="C203" s="67" t="s">
        <v>669</v>
      </c>
      <c r="D203" s="67"/>
    </row>
    <row r="204" spans="3:4" x14ac:dyDescent="0.2">
      <c r="C204" s="67" t="s">
        <v>670</v>
      </c>
      <c r="D204" s="67"/>
    </row>
    <row r="205" spans="3:4" x14ac:dyDescent="0.2">
      <c r="C205" s="67" t="s">
        <v>241</v>
      </c>
      <c r="D205" s="67"/>
    </row>
    <row r="206" spans="3:4" x14ac:dyDescent="0.2">
      <c r="C206" s="67" t="s">
        <v>671</v>
      </c>
      <c r="D206" s="67"/>
    </row>
    <row r="207" spans="3:4" x14ac:dyDescent="0.2">
      <c r="C207" s="67" t="s">
        <v>672</v>
      </c>
      <c r="D207" s="67"/>
    </row>
    <row r="208" spans="3:4" x14ac:dyDescent="0.2">
      <c r="C208" s="67" t="s">
        <v>242</v>
      </c>
      <c r="D208" s="67"/>
    </row>
    <row r="209" spans="3:4" x14ac:dyDescent="0.2">
      <c r="C209" s="67" t="s">
        <v>243</v>
      </c>
      <c r="D209" s="67"/>
    </row>
    <row r="210" spans="3:4" x14ac:dyDescent="0.2">
      <c r="C210" s="67" t="s">
        <v>270</v>
      </c>
      <c r="D210" s="67"/>
    </row>
    <row r="211" spans="3:4" x14ac:dyDescent="0.2">
      <c r="C211" s="67" t="s">
        <v>673</v>
      </c>
      <c r="D211" s="67"/>
    </row>
    <row r="212" spans="3:4" x14ac:dyDescent="0.2">
      <c r="C212" s="67" t="s">
        <v>674</v>
      </c>
      <c r="D212" s="67"/>
    </row>
    <row r="213" spans="3:4" x14ac:dyDescent="0.2">
      <c r="C213" s="67" t="s">
        <v>675</v>
      </c>
      <c r="D213" s="67"/>
    </row>
    <row r="214" spans="3:4" x14ac:dyDescent="0.2">
      <c r="C214" s="67" t="s">
        <v>244</v>
      </c>
      <c r="D214" s="67"/>
    </row>
    <row r="215" spans="3:4" x14ac:dyDescent="0.2">
      <c r="C215" s="67" t="s">
        <v>271</v>
      </c>
      <c r="D215" s="67"/>
    </row>
    <row r="216" spans="3:4" x14ac:dyDescent="0.2">
      <c r="C216" s="67" t="s">
        <v>272</v>
      </c>
      <c r="D216" s="67"/>
    </row>
    <row r="217" spans="3:4" x14ac:dyDescent="0.2">
      <c r="C217" s="67" t="s">
        <v>676</v>
      </c>
      <c r="D217" s="67"/>
    </row>
    <row r="218" spans="3:4" x14ac:dyDescent="0.2">
      <c r="C218" s="67" t="s">
        <v>273</v>
      </c>
      <c r="D218" s="67"/>
    </row>
    <row r="219" spans="3:4" x14ac:dyDescent="0.2">
      <c r="C219" s="67" t="s">
        <v>677</v>
      </c>
      <c r="D219" s="67"/>
    </row>
    <row r="220" spans="3:4" x14ac:dyDescent="0.2">
      <c r="C220" s="67" t="s">
        <v>274</v>
      </c>
      <c r="D220" s="67"/>
    </row>
    <row r="221" spans="3:4" x14ac:dyDescent="0.2">
      <c r="D221" s="67"/>
    </row>
    <row r="222" spans="3:4" x14ac:dyDescent="0.2">
      <c r="D222" s="67"/>
    </row>
    <row r="223" spans="3:4" x14ac:dyDescent="0.2">
      <c r="D223" s="67"/>
    </row>
    <row r="224" spans="3:4" x14ac:dyDescent="0.2">
      <c r="D224" s="67"/>
    </row>
    <row r="225" spans="4:4" x14ac:dyDescent="0.2">
      <c r="D225" s="67"/>
    </row>
    <row r="226" spans="4:4" x14ac:dyDescent="0.2">
      <c r="D226" s="67"/>
    </row>
    <row r="227" spans="4:4" x14ac:dyDescent="0.2">
      <c r="D227" s="67"/>
    </row>
    <row r="228" spans="4:4" x14ac:dyDescent="0.2">
      <c r="D228" s="67"/>
    </row>
    <row r="229" spans="4:4" x14ac:dyDescent="0.2">
      <c r="D229" s="67"/>
    </row>
    <row r="230" spans="4:4" x14ac:dyDescent="0.2">
      <c r="D230" s="67"/>
    </row>
    <row r="231" spans="4:4" x14ac:dyDescent="0.2">
      <c r="D231" s="67"/>
    </row>
    <row r="232" spans="4:4" x14ac:dyDescent="0.2">
      <c r="D232" s="67"/>
    </row>
    <row r="233" spans="4:4" x14ac:dyDescent="0.2">
      <c r="D233" s="67"/>
    </row>
    <row r="234" spans="4:4" x14ac:dyDescent="0.2">
      <c r="D234" s="67"/>
    </row>
    <row r="235" spans="4:4" x14ac:dyDescent="0.2">
      <c r="D235" s="67"/>
    </row>
    <row r="236" spans="4:4" x14ac:dyDescent="0.2">
      <c r="D236" s="67"/>
    </row>
    <row r="237" spans="4:4" x14ac:dyDescent="0.2">
      <c r="D237" s="67"/>
    </row>
    <row r="238" spans="4:4" x14ac:dyDescent="0.2">
      <c r="D238" s="67"/>
    </row>
    <row r="239" spans="4:4" x14ac:dyDescent="0.2">
      <c r="D239" s="67"/>
    </row>
    <row r="240" spans="4:4" x14ac:dyDescent="0.2">
      <c r="D240" s="67"/>
    </row>
    <row r="241" spans="4:4" x14ac:dyDescent="0.2">
      <c r="D241" s="67"/>
    </row>
    <row r="242" spans="4:4" x14ac:dyDescent="0.2">
      <c r="D242" s="67"/>
    </row>
    <row r="243" spans="4:4" x14ac:dyDescent="0.2">
      <c r="D243" s="67"/>
    </row>
    <row r="244" spans="4:4" x14ac:dyDescent="0.2">
      <c r="D244" s="67"/>
    </row>
    <row r="245" spans="4:4" x14ac:dyDescent="0.2">
      <c r="D245" s="67"/>
    </row>
    <row r="246" spans="4:4" x14ac:dyDescent="0.2">
      <c r="D246" s="67"/>
    </row>
    <row r="247" spans="4:4" x14ac:dyDescent="0.2">
      <c r="D247" s="67"/>
    </row>
    <row r="248" spans="4:4" x14ac:dyDescent="0.2">
      <c r="D248" s="67"/>
    </row>
    <row r="249" spans="4:4" x14ac:dyDescent="0.2">
      <c r="D249" s="67"/>
    </row>
    <row r="250" spans="4:4" x14ac:dyDescent="0.2">
      <c r="D250" s="67"/>
    </row>
    <row r="251" spans="4:4" x14ac:dyDescent="0.2">
      <c r="D251" s="67"/>
    </row>
    <row r="252" spans="4:4" x14ac:dyDescent="0.2">
      <c r="D252" s="67"/>
    </row>
    <row r="253" spans="4:4" x14ac:dyDescent="0.2">
      <c r="D253" s="67"/>
    </row>
    <row r="254" spans="4:4" x14ac:dyDescent="0.2">
      <c r="D254" s="67"/>
    </row>
    <row r="255" spans="4:4" x14ac:dyDescent="0.2">
      <c r="D255" s="67"/>
    </row>
    <row r="256" spans="4:4" x14ac:dyDescent="0.2">
      <c r="D256" s="67"/>
    </row>
    <row r="257" spans="4:4" x14ac:dyDescent="0.2">
      <c r="D257" s="67"/>
    </row>
    <row r="258" spans="4:4" x14ac:dyDescent="0.2">
      <c r="D258" s="67"/>
    </row>
    <row r="259" spans="4:4" x14ac:dyDescent="0.2">
      <c r="D259" s="67"/>
    </row>
    <row r="260" spans="4:4" x14ac:dyDescent="0.2">
      <c r="D260" s="67"/>
    </row>
    <row r="261" spans="4:4" x14ac:dyDescent="0.2">
      <c r="D261" s="67"/>
    </row>
    <row r="262" spans="4:4" x14ac:dyDescent="0.2">
      <c r="D262" s="67"/>
    </row>
    <row r="263" spans="4:4" x14ac:dyDescent="0.2">
      <c r="D263" s="67"/>
    </row>
    <row r="264" spans="4:4" x14ac:dyDescent="0.2">
      <c r="D264" s="67"/>
    </row>
    <row r="265" spans="4:4" x14ac:dyDescent="0.2">
      <c r="D265" s="67"/>
    </row>
    <row r="266" spans="4:4" x14ac:dyDescent="0.2">
      <c r="D266" s="67"/>
    </row>
    <row r="267" spans="4:4" x14ac:dyDescent="0.2">
      <c r="D267" s="67"/>
    </row>
    <row r="268" spans="4:4" x14ac:dyDescent="0.2">
      <c r="D268" s="67"/>
    </row>
    <row r="269" spans="4:4" x14ac:dyDescent="0.2">
      <c r="D269" s="67"/>
    </row>
    <row r="270" spans="4:4" x14ac:dyDescent="0.2">
      <c r="D270" s="67"/>
    </row>
    <row r="271" spans="4:4" x14ac:dyDescent="0.2">
      <c r="D271" s="67"/>
    </row>
    <row r="272" spans="4:4" x14ac:dyDescent="0.2">
      <c r="D272" s="67"/>
    </row>
    <row r="273" spans="4:4" x14ac:dyDescent="0.2">
      <c r="D273" s="67"/>
    </row>
    <row r="274" spans="4:4" x14ac:dyDescent="0.2">
      <c r="D274" s="67"/>
    </row>
    <row r="275" spans="4:4" x14ac:dyDescent="0.2">
      <c r="D275" s="67"/>
    </row>
    <row r="276" spans="4:4" x14ac:dyDescent="0.2">
      <c r="D276" s="67"/>
    </row>
    <row r="277" spans="4:4" x14ac:dyDescent="0.2">
      <c r="D277" s="67"/>
    </row>
    <row r="278" spans="4:4" x14ac:dyDescent="0.2">
      <c r="D278" s="67"/>
    </row>
  </sheetData>
  <sheetProtection formatCells="0" selectLockedCells="1"/>
  <mergeCells count="1">
    <mergeCell ref="A1:E1"/>
  </mergeCells>
  <pageMargins left="0.59055118110236227" right="0.47244094488188981" top="0.70866141732283472" bottom="0.55118110236220474" header="0.31496062992125984" footer="0.19685039370078741"/>
  <pageSetup paperSize="9" scale="97" orientation="portrait" r:id="rId1"/>
  <headerFooter alignWithMargins="0">
    <oddFooter>&amp;L&amp;8QRF-121 J2450 Quality Evaluation Report
Revision: 12&amp;C&amp;8Page &amp;P
Classification: 2&amp;R&amp;8Revision Date: 19/02/2014
Approved by: P. McManus &amp; C. Burkimsher</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
  <sheetViews>
    <sheetView topLeftCell="A13" zoomScaleNormal="100" workbookViewId="0">
      <selection activeCell="J4" sqref="J4:M4"/>
    </sheetView>
  </sheetViews>
  <sheetFormatPr defaultRowHeight="12.75" x14ac:dyDescent="0.2"/>
  <cols>
    <col min="1" max="1" width="51.7109375" customWidth="1"/>
    <col min="2" max="5" width="20.7109375" customWidth="1"/>
  </cols>
  <sheetData>
    <row r="1" spans="1:5" ht="60" customHeight="1" x14ac:dyDescent="0.2">
      <c r="A1" s="475" t="s">
        <v>435</v>
      </c>
      <c r="B1" s="476"/>
      <c r="C1" s="476"/>
      <c r="D1" s="476"/>
      <c r="E1" s="476"/>
    </row>
    <row r="3" spans="1:5" x14ac:dyDescent="0.2">
      <c r="A3" s="83" t="s">
        <v>436</v>
      </c>
    </row>
  </sheetData>
  <sheetProtection password="DAFD" sheet="1" objects="1" scenarios="1" formatCells="0" selectLockedCells="1"/>
  <mergeCells count="1">
    <mergeCell ref="A1:E1"/>
  </mergeCells>
  <pageMargins left="0.59055118110236227" right="0.47244094488188981" top="0.70866141732283472" bottom="0.55118110236220474" header="0.31496062992125984" footer="0.19685039370078741"/>
  <pageSetup paperSize="9" scale="97" orientation="landscape" horizontalDpi="300" verticalDpi="300" r:id="rId1"/>
  <headerFooter alignWithMargins="0">
    <oddFooter>&amp;L&amp;8QRF-121 J2450 Quality Evaluation Report
Revision: 12&amp;C&amp;8Page &amp;P
Classification: 2&amp;R&amp;8Revision Date: 19/02/2014
Approved by: P. McManus &amp; C. Burkimsher</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86"/>
  <sheetViews>
    <sheetView zoomScaleNormal="100" workbookViewId="0">
      <selection activeCell="B10" sqref="B10"/>
    </sheetView>
  </sheetViews>
  <sheetFormatPr defaultRowHeight="12.75" x14ac:dyDescent="0.2"/>
  <cols>
    <col min="1" max="1" width="12.42578125" customWidth="1"/>
    <col min="2" max="2" width="33.140625" bestFit="1" customWidth="1"/>
  </cols>
  <sheetData>
    <row r="1" spans="1:2" x14ac:dyDescent="0.2">
      <c r="A1" s="116" t="s">
        <v>437</v>
      </c>
      <c r="B1" s="116" t="s">
        <v>438</v>
      </c>
    </row>
    <row r="2" spans="1:2" x14ac:dyDescent="0.2">
      <c r="A2" t="s">
        <v>439</v>
      </c>
      <c r="B2" t="s">
        <v>440</v>
      </c>
    </row>
    <row r="3" spans="1:2" x14ac:dyDescent="0.2">
      <c r="A3" t="s">
        <v>441</v>
      </c>
      <c r="B3" t="s">
        <v>442</v>
      </c>
    </row>
    <row r="4" spans="1:2" x14ac:dyDescent="0.2">
      <c r="A4" t="s">
        <v>443</v>
      </c>
      <c r="B4" t="s">
        <v>444</v>
      </c>
    </row>
    <row r="5" spans="1:2" x14ac:dyDescent="0.2">
      <c r="A5" t="s">
        <v>445</v>
      </c>
      <c r="B5" t="s">
        <v>123</v>
      </c>
    </row>
    <row r="6" spans="1:2" x14ac:dyDescent="0.2">
      <c r="A6" t="s">
        <v>446</v>
      </c>
      <c r="B6" t="s">
        <v>447</v>
      </c>
    </row>
    <row r="7" spans="1:2" x14ac:dyDescent="0.2">
      <c r="A7" t="s">
        <v>448</v>
      </c>
      <c r="B7" t="s">
        <v>449</v>
      </c>
    </row>
    <row r="8" spans="1:2" x14ac:dyDescent="0.2">
      <c r="A8" t="s">
        <v>450</v>
      </c>
      <c r="B8" t="s">
        <v>126</v>
      </c>
    </row>
    <row r="9" spans="1:2" x14ac:dyDescent="0.2">
      <c r="A9" t="s">
        <v>451</v>
      </c>
      <c r="B9" t="s">
        <v>452</v>
      </c>
    </row>
    <row r="10" spans="1:2" x14ac:dyDescent="0.2">
      <c r="A10" t="s">
        <v>453</v>
      </c>
      <c r="B10" t="s">
        <v>454</v>
      </c>
    </row>
    <row r="11" spans="1:2" x14ac:dyDescent="0.2">
      <c r="A11" t="s">
        <v>455</v>
      </c>
      <c r="B11" t="s">
        <v>456</v>
      </c>
    </row>
    <row r="12" spans="1:2" x14ac:dyDescent="0.2">
      <c r="A12" t="s">
        <v>457</v>
      </c>
      <c r="B12" t="s">
        <v>458</v>
      </c>
    </row>
    <row r="13" spans="1:2" x14ac:dyDescent="0.2">
      <c r="A13" t="s">
        <v>459</v>
      </c>
      <c r="B13" t="s">
        <v>460</v>
      </c>
    </row>
    <row r="14" spans="1:2" x14ac:dyDescent="0.2">
      <c r="A14" t="s">
        <v>461</v>
      </c>
      <c r="B14" t="s">
        <v>132</v>
      </c>
    </row>
    <row r="15" spans="1:2" x14ac:dyDescent="0.2">
      <c r="A15" t="s">
        <v>462</v>
      </c>
      <c r="B15" t="s">
        <v>135</v>
      </c>
    </row>
    <row r="16" spans="1:2" x14ac:dyDescent="0.2">
      <c r="A16" t="s">
        <v>463</v>
      </c>
      <c r="B16" t="s">
        <v>138</v>
      </c>
    </row>
    <row r="17" spans="1:2" x14ac:dyDescent="0.2">
      <c r="A17" t="s">
        <v>464</v>
      </c>
      <c r="B17" t="s">
        <v>465</v>
      </c>
    </row>
    <row r="18" spans="1:2" x14ac:dyDescent="0.2">
      <c r="A18" t="s">
        <v>466</v>
      </c>
      <c r="B18" t="s">
        <v>141</v>
      </c>
    </row>
    <row r="19" spans="1:2" x14ac:dyDescent="0.2">
      <c r="A19" t="s">
        <v>467</v>
      </c>
      <c r="B19" t="s">
        <v>468</v>
      </c>
    </row>
    <row r="20" spans="1:2" x14ac:dyDescent="0.2">
      <c r="A20" t="s">
        <v>469</v>
      </c>
      <c r="B20" t="s">
        <v>470</v>
      </c>
    </row>
    <row r="21" spans="1:2" x14ac:dyDescent="0.2">
      <c r="A21" t="s">
        <v>471</v>
      </c>
      <c r="B21" t="s">
        <v>144</v>
      </c>
    </row>
    <row r="22" spans="1:2" x14ac:dyDescent="0.2">
      <c r="A22" t="s">
        <v>472</v>
      </c>
      <c r="B22" t="s">
        <v>147</v>
      </c>
    </row>
    <row r="23" spans="1:2" x14ac:dyDescent="0.2">
      <c r="A23" t="s">
        <v>473</v>
      </c>
      <c r="B23" t="s">
        <v>474</v>
      </c>
    </row>
    <row r="24" spans="1:2" x14ac:dyDescent="0.2">
      <c r="A24" t="s">
        <v>475</v>
      </c>
      <c r="B24" t="s">
        <v>148</v>
      </c>
    </row>
    <row r="25" spans="1:2" x14ac:dyDescent="0.2">
      <c r="A25" t="s">
        <v>476</v>
      </c>
      <c r="B25" t="s">
        <v>477</v>
      </c>
    </row>
    <row r="26" spans="1:2" x14ac:dyDescent="0.2">
      <c r="A26" t="s">
        <v>478</v>
      </c>
      <c r="B26" t="s">
        <v>479</v>
      </c>
    </row>
    <row r="27" spans="1:2" x14ac:dyDescent="0.2">
      <c r="A27" t="s">
        <v>480</v>
      </c>
      <c r="B27" t="s">
        <v>154</v>
      </c>
    </row>
    <row r="28" spans="1:2" x14ac:dyDescent="0.2">
      <c r="A28" t="s">
        <v>481</v>
      </c>
      <c r="B28" t="s">
        <v>151</v>
      </c>
    </row>
    <row r="29" spans="1:2" x14ac:dyDescent="0.2">
      <c r="A29" t="s">
        <v>482</v>
      </c>
      <c r="B29" t="s">
        <v>483</v>
      </c>
    </row>
    <row r="30" spans="1:2" x14ac:dyDescent="0.2">
      <c r="A30" t="s">
        <v>484</v>
      </c>
      <c r="B30" t="s">
        <v>161</v>
      </c>
    </row>
    <row r="31" spans="1:2" x14ac:dyDescent="0.2">
      <c r="A31" t="s">
        <v>485</v>
      </c>
      <c r="B31" t="s">
        <v>164</v>
      </c>
    </row>
    <row r="32" spans="1:2" x14ac:dyDescent="0.2">
      <c r="A32" t="s">
        <v>486</v>
      </c>
      <c r="B32" t="s">
        <v>155</v>
      </c>
    </row>
    <row r="33" spans="1:2" x14ac:dyDescent="0.2">
      <c r="A33" t="s">
        <v>487</v>
      </c>
      <c r="B33" t="s">
        <v>488</v>
      </c>
    </row>
    <row r="34" spans="1:2" x14ac:dyDescent="0.2">
      <c r="A34" t="s">
        <v>489</v>
      </c>
      <c r="B34" t="s">
        <v>490</v>
      </c>
    </row>
    <row r="35" spans="1:2" x14ac:dyDescent="0.2">
      <c r="A35" t="s">
        <v>491</v>
      </c>
      <c r="B35" t="s">
        <v>169</v>
      </c>
    </row>
    <row r="36" spans="1:2" x14ac:dyDescent="0.2">
      <c r="A36" t="s">
        <v>492</v>
      </c>
      <c r="B36" t="s">
        <v>158</v>
      </c>
    </row>
    <row r="37" spans="1:2" x14ac:dyDescent="0.2">
      <c r="A37" t="s">
        <v>493</v>
      </c>
      <c r="B37" t="s">
        <v>173</v>
      </c>
    </row>
    <row r="38" spans="1:2" x14ac:dyDescent="0.2">
      <c r="A38" t="s">
        <v>494</v>
      </c>
      <c r="B38" t="s">
        <v>162</v>
      </c>
    </row>
    <row r="39" spans="1:2" x14ac:dyDescent="0.2">
      <c r="A39" t="s">
        <v>495</v>
      </c>
      <c r="B39" t="s">
        <v>178</v>
      </c>
    </row>
    <row r="40" spans="1:2" x14ac:dyDescent="0.2">
      <c r="A40" t="s">
        <v>496</v>
      </c>
      <c r="B40" t="s">
        <v>165</v>
      </c>
    </row>
    <row r="41" spans="1:2" x14ac:dyDescent="0.2">
      <c r="A41" t="s">
        <v>497</v>
      </c>
      <c r="B41" t="s">
        <v>498</v>
      </c>
    </row>
    <row r="42" spans="1:2" x14ac:dyDescent="0.2">
      <c r="A42" t="s">
        <v>140</v>
      </c>
      <c r="B42" t="s">
        <v>167</v>
      </c>
    </row>
    <row r="43" spans="1:2" x14ac:dyDescent="0.2">
      <c r="A43" t="s">
        <v>499</v>
      </c>
      <c r="B43" t="s">
        <v>500</v>
      </c>
    </row>
    <row r="44" spans="1:2" x14ac:dyDescent="0.2">
      <c r="A44" t="s">
        <v>501</v>
      </c>
      <c r="B44" t="s">
        <v>502</v>
      </c>
    </row>
    <row r="45" spans="1:2" x14ac:dyDescent="0.2">
      <c r="A45" t="s">
        <v>503</v>
      </c>
      <c r="B45" t="s">
        <v>504</v>
      </c>
    </row>
    <row r="46" spans="1:2" x14ac:dyDescent="0.2">
      <c r="A46" t="s">
        <v>505</v>
      </c>
      <c r="B46" t="s">
        <v>506</v>
      </c>
    </row>
    <row r="47" spans="1:2" x14ac:dyDescent="0.2">
      <c r="A47" t="s">
        <v>507</v>
      </c>
      <c r="B47" t="s">
        <v>508</v>
      </c>
    </row>
    <row r="48" spans="1:2" x14ac:dyDescent="0.2">
      <c r="A48" t="s">
        <v>509</v>
      </c>
      <c r="B48" t="s">
        <v>510</v>
      </c>
    </row>
    <row r="49" spans="1:2" x14ac:dyDescent="0.2">
      <c r="A49" t="s">
        <v>511</v>
      </c>
      <c r="B49" t="s">
        <v>512</v>
      </c>
    </row>
    <row r="50" spans="1:2" x14ac:dyDescent="0.2">
      <c r="A50" t="s">
        <v>513</v>
      </c>
      <c r="B50" t="s">
        <v>514</v>
      </c>
    </row>
    <row r="51" spans="1:2" x14ac:dyDescent="0.2">
      <c r="A51" t="s">
        <v>515</v>
      </c>
      <c r="B51" t="s">
        <v>516</v>
      </c>
    </row>
    <row r="52" spans="1:2" x14ac:dyDescent="0.2">
      <c r="A52" t="s">
        <v>517</v>
      </c>
      <c r="B52" t="s">
        <v>518</v>
      </c>
    </row>
    <row r="53" spans="1:2" x14ac:dyDescent="0.2">
      <c r="A53" t="s">
        <v>519</v>
      </c>
      <c r="B53" t="s">
        <v>174</v>
      </c>
    </row>
    <row r="54" spans="1:2" x14ac:dyDescent="0.2">
      <c r="A54" t="s">
        <v>520</v>
      </c>
      <c r="B54" t="s">
        <v>521</v>
      </c>
    </row>
    <row r="55" spans="1:2" x14ac:dyDescent="0.2">
      <c r="A55" t="s">
        <v>522</v>
      </c>
      <c r="B55" t="s">
        <v>523</v>
      </c>
    </row>
    <row r="56" spans="1:2" x14ac:dyDescent="0.2">
      <c r="A56" t="s">
        <v>524</v>
      </c>
      <c r="B56" t="s">
        <v>525</v>
      </c>
    </row>
    <row r="57" spans="1:2" x14ac:dyDescent="0.2">
      <c r="A57" t="s">
        <v>57</v>
      </c>
      <c r="B57" t="s">
        <v>190</v>
      </c>
    </row>
    <row r="58" spans="1:2" x14ac:dyDescent="0.2">
      <c r="A58" t="s">
        <v>526</v>
      </c>
      <c r="B58" t="s">
        <v>527</v>
      </c>
    </row>
    <row r="59" spans="1:2" x14ac:dyDescent="0.2">
      <c r="A59" t="s">
        <v>528</v>
      </c>
      <c r="B59" t="s">
        <v>529</v>
      </c>
    </row>
    <row r="60" spans="1:2" x14ac:dyDescent="0.2">
      <c r="A60" t="s">
        <v>530</v>
      </c>
      <c r="B60" t="s">
        <v>176</v>
      </c>
    </row>
    <row r="61" spans="1:2" x14ac:dyDescent="0.2">
      <c r="A61" t="s">
        <v>531</v>
      </c>
      <c r="B61" t="s">
        <v>532</v>
      </c>
    </row>
    <row r="62" spans="1:2" x14ac:dyDescent="0.2">
      <c r="A62" t="s">
        <v>533</v>
      </c>
      <c r="B62" t="s">
        <v>179</v>
      </c>
    </row>
    <row r="63" spans="1:2" x14ac:dyDescent="0.2">
      <c r="A63" t="s">
        <v>534</v>
      </c>
      <c r="B63" t="s">
        <v>196</v>
      </c>
    </row>
    <row r="64" spans="1:2" x14ac:dyDescent="0.2">
      <c r="A64" t="s">
        <v>535</v>
      </c>
      <c r="B64" t="s">
        <v>199</v>
      </c>
    </row>
    <row r="65" spans="1:2" x14ac:dyDescent="0.2">
      <c r="A65" t="s">
        <v>536</v>
      </c>
      <c r="B65" t="s">
        <v>181</v>
      </c>
    </row>
    <row r="66" spans="1:2" x14ac:dyDescent="0.2">
      <c r="A66" t="s">
        <v>537</v>
      </c>
      <c r="B66" t="s">
        <v>538</v>
      </c>
    </row>
    <row r="67" spans="1:2" x14ac:dyDescent="0.2">
      <c r="A67" t="s">
        <v>539</v>
      </c>
      <c r="B67" t="s">
        <v>183</v>
      </c>
    </row>
    <row r="68" spans="1:2" x14ac:dyDescent="0.2">
      <c r="A68" t="s">
        <v>540</v>
      </c>
      <c r="B68" t="s">
        <v>185</v>
      </c>
    </row>
    <row r="69" spans="1:2" x14ac:dyDescent="0.2">
      <c r="A69" t="s">
        <v>541</v>
      </c>
      <c r="B69" t="s">
        <v>542</v>
      </c>
    </row>
    <row r="70" spans="1:2" x14ac:dyDescent="0.2">
      <c r="A70" t="s">
        <v>543</v>
      </c>
      <c r="B70" t="s">
        <v>544</v>
      </c>
    </row>
    <row r="71" spans="1:2" x14ac:dyDescent="0.2">
      <c r="A71" t="s">
        <v>545</v>
      </c>
      <c r="B71" t="s">
        <v>186</v>
      </c>
    </row>
    <row r="72" spans="1:2" x14ac:dyDescent="0.2">
      <c r="A72" t="s">
        <v>546</v>
      </c>
      <c r="B72" t="s">
        <v>188</v>
      </c>
    </row>
    <row r="73" spans="1:2" x14ac:dyDescent="0.2">
      <c r="A73" t="s">
        <v>547</v>
      </c>
      <c r="B73" t="s">
        <v>548</v>
      </c>
    </row>
    <row r="74" spans="1:2" x14ac:dyDescent="0.2">
      <c r="A74" t="s">
        <v>55</v>
      </c>
      <c r="B74" t="s">
        <v>191</v>
      </c>
    </row>
    <row r="75" spans="1:2" x14ac:dyDescent="0.2">
      <c r="A75" t="s">
        <v>549</v>
      </c>
      <c r="B75" t="s">
        <v>208</v>
      </c>
    </row>
    <row r="76" spans="1:2" x14ac:dyDescent="0.2">
      <c r="A76" t="s">
        <v>550</v>
      </c>
      <c r="B76" t="s">
        <v>551</v>
      </c>
    </row>
    <row r="77" spans="1:2" x14ac:dyDescent="0.2">
      <c r="A77" t="s">
        <v>552</v>
      </c>
      <c r="B77" t="s">
        <v>193</v>
      </c>
    </row>
    <row r="78" spans="1:2" x14ac:dyDescent="0.2">
      <c r="A78" t="s">
        <v>553</v>
      </c>
      <c r="B78" t="s">
        <v>194</v>
      </c>
    </row>
    <row r="79" spans="1:2" x14ac:dyDescent="0.2">
      <c r="A79" t="s">
        <v>554</v>
      </c>
      <c r="B79" t="s">
        <v>197</v>
      </c>
    </row>
    <row r="80" spans="1:2" x14ac:dyDescent="0.2">
      <c r="A80" t="s">
        <v>555</v>
      </c>
      <c r="B80" t="s">
        <v>200</v>
      </c>
    </row>
    <row r="81" spans="1:2" x14ac:dyDescent="0.2">
      <c r="A81" t="s">
        <v>556</v>
      </c>
      <c r="B81" t="s">
        <v>557</v>
      </c>
    </row>
    <row r="82" spans="1:2" x14ac:dyDescent="0.2">
      <c r="A82" t="s">
        <v>558</v>
      </c>
      <c r="B82" t="s">
        <v>559</v>
      </c>
    </row>
    <row r="83" spans="1:2" x14ac:dyDescent="0.2">
      <c r="A83" t="s">
        <v>560</v>
      </c>
      <c r="B83" t="s">
        <v>561</v>
      </c>
    </row>
    <row r="84" spans="1:2" x14ac:dyDescent="0.2">
      <c r="A84" t="s">
        <v>562</v>
      </c>
      <c r="B84" t="s">
        <v>563</v>
      </c>
    </row>
    <row r="85" spans="1:2" x14ac:dyDescent="0.2">
      <c r="A85" t="s">
        <v>564</v>
      </c>
      <c r="B85" t="s">
        <v>565</v>
      </c>
    </row>
    <row r="86" spans="1:2" x14ac:dyDescent="0.2">
      <c r="A86" t="s">
        <v>566</v>
      </c>
      <c r="B86" t="s">
        <v>567</v>
      </c>
    </row>
  </sheetData>
  <sheetProtection password="DAFD" sheet="1" objects="1" scenarios="1" formatCells="0" selectLockedCells="1"/>
  <pageMargins left="0.59055118110236227" right="0.47244094488188981" top="0.70866141732283472" bottom="0.55118110236220474" header="0.31496062992125984" footer="0.19685039370078741"/>
  <pageSetup paperSize="9" scale="97" orientation="portrait" r:id="rId1"/>
  <headerFooter alignWithMargins="0">
    <oddFooter>&amp;L&amp;8QRF-121 J2450 Quality Evaluation Report
Revision: 12&amp;C&amp;8Page &amp;P
Classification: 2&amp;R&amp;8Revision Date: 19/02/2014
Approved by: P. McManus &amp; C. Burkimsher</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063"/>
  <sheetViews>
    <sheetView zoomScaleNormal="100" workbookViewId="0">
      <selection activeCell="D22" sqref="D22"/>
    </sheetView>
  </sheetViews>
  <sheetFormatPr defaultColWidth="9.140625" defaultRowHeight="12.75" x14ac:dyDescent="0.2"/>
  <cols>
    <col min="1" max="1" width="10.42578125" style="160" bestFit="1" customWidth="1"/>
    <col min="2" max="2" width="60.85546875" style="160" bestFit="1" customWidth="1"/>
    <col min="3" max="16384" width="9.140625" style="160"/>
  </cols>
  <sheetData>
    <row r="1" spans="1:2" x14ac:dyDescent="0.2">
      <c r="A1" s="160" t="s">
        <v>679</v>
      </c>
      <c r="B1" s="160" t="s">
        <v>6320</v>
      </c>
    </row>
    <row r="2" spans="1:2" x14ac:dyDescent="0.2">
      <c r="A2" s="160" t="s">
        <v>6321</v>
      </c>
      <c r="B2" s="160" t="s">
        <v>6322</v>
      </c>
    </row>
    <row r="3" spans="1:2" x14ac:dyDescent="0.2">
      <c r="A3" s="160">
        <v>360</v>
      </c>
      <c r="B3" s="160" t="s">
        <v>680</v>
      </c>
    </row>
    <row r="4" spans="1:2" x14ac:dyDescent="0.2">
      <c r="A4" s="160" t="s">
        <v>681</v>
      </c>
      <c r="B4" s="160" t="s">
        <v>682</v>
      </c>
    </row>
    <row r="5" spans="1:2" x14ac:dyDescent="0.2">
      <c r="A5" s="160" t="s">
        <v>683</v>
      </c>
      <c r="B5" s="160" t="s">
        <v>684</v>
      </c>
    </row>
    <row r="6" spans="1:2" x14ac:dyDescent="0.2">
      <c r="A6" s="160" t="s">
        <v>685</v>
      </c>
      <c r="B6" s="160" t="s">
        <v>686</v>
      </c>
    </row>
    <row r="7" spans="1:2" x14ac:dyDescent="0.2">
      <c r="A7" s="160" t="s">
        <v>687</v>
      </c>
      <c r="B7" s="160" t="s">
        <v>688</v>
      </c>
    </row>
    <row r="8" spans="1:2" x14ac:dyDescent="0.2">
      <c r="A8" s="160" t="s">
        <v>689</v>
      </c>
      <c r="B8" s="160" t="s">
        <v>690</v>
      </c>
    </row>
    <row r="9" spans="1:2" x14ac:dyDescent="0.2">
      <c r="A9" s="160" t="s">
        <v>691</v>
      </c>
      <c r="B9" s="160" t="s">
        <v>692</v>
      </c>
    </row>
    <row r="10" spans="1:2" x14ac:dyDescent="0.2">
      <c r="A10" s="160" t="s">
        <v>693</v>
      </c>
      <c r="B10" s="160" t="s">
        <v>694</v>
      </c>
    </row>
    <row r="11" spans="1:2" x14ac:dyDescent="0.2">
      <c r="A11" s="160" t="s">
        <v>695</v>
      </c>
      <c r="B11" s="160" t="s">
        <v>696</v>
      </c>
    </row>
    <row r="12" spans="1:2" x14ac:dyDescent="0.2">
      <c r="A12" s="160" t="s">
        <v>697</v>
      </c>
      <c r="B12" s="160" t="s">
        <v>698</v>
      </c>
    </row>
    <row r="13" spans="1:2" x14ac:dyDescent="0.2">
      <c r="A13" s="160" t="s">
        <v>699</v>
      </c>
      <c r="B13" s="160" t="s">
        <v>700</v>
      </c>
    </row>
    <row r="14" spans="1:2" x14ac:dyDescent="0.2">
      <c r="A14" s="160" t="s">
        <v>701</v>
      </c>
      <c r="B14" s="160" t="s">
        <v>702</v>
      </c>
    </row>
    <row r="15" spans="1:2" x14ac:dyDescent="0.2">
      <c r="A15" s="160" t="s">
        <v>703</v>
      </c>
      <c r="B15" s="160" t="s">
        <v>704</v>
      </c>
    </row>
    <row r="16" spans="1:2" x14ac:dyDescent="0.2">
      <c r="A16" s="160" t="s">
        <v>705</v>
      </c>
      <c r="B16" s="160" t="s">
        <v>706</v>
      </c>
    </row>
    <row r="17" spans="1:2" x14ac:dyDescent="0.2">
      <c r="A17" s="160" t="s">
        <v>707</v>
      </c>
      <c r="B17" s="160" t="s">
        <v>708</v>
      </c>
    </row>
    <row r="18" spans="1:2" x14ac:dyDescent="0.2">
      <c r="A18" s="160" t="s">
        <v>709</v>
      </c>
      <c r="B18" s="160" t="s">
        <v>710</v>
      </c>
    </row>
    <row r="19" spans="1:2" x14ac:dyDescent="0.2">
      <c r="A19" s="160" t="s">
        <v>711</v>
      </c>
      <c r="B19" s="160" t="s">
        <v>712</v>
      </c>
    </row>
    <row r="20" spans="1:2" x14ac:dyDescent="0.2">
      <c r="A20" s="160" t="s">
        <v>713</v>
      </c>
      <c r="B20" s="160" t="s">
        <v>714</v>
      </c>
    </row>
    <row r="21" spans="1:2" x14ac:dyDescent="0.2">
      <c r="A21" s="160" t="s">
        <v>715</v>
      </c>
      <c r="B21" s="160" t="s">
        <v>716</v>
      </c>
    </row>
    <row r="22" spans="1:2" x14ac:dyDescent="0.2">
      <c r="A22" s="160" t="s">
        <v>717</v>
      </c>
      <c r="B22" s="160" t="s">
        <v>718</v>
      </c>
    </row>
    <row r="23" spans="1:2" x14ac:dyDescent="0.2">
      <c r="A23" s="160" t="s">
        <v>719</v>
      </c>
      <c r="B23" s="160" t="s">
        <v>720</v>
      </c>
    </row>
    <row r="24" spans="1:2" x14ac:dyDescent="0.2">
      <c r="A24" s="160" t="s">
        <v>721</v>
      </c>
      <c r="B24" s="160" t="s">
        <v>722</v>
      </c>
    </row>
    <row r="25" spans="1:2" x14ac:dyDescent="0.2">
      <c r="A25" s="160" t="s">
        <v>723</v>
      </c>
      <c r="B25" s="160" t="s">
        <v>724</v>
      </c>
    </row>
    <row r="26" spans="1:2" x14ac:dyDescent="0.2">
      <c r="A26" s="160" t="s">
        <v>725</v>
      </c>
      <c r="B26" s="160" t="s">
        <v>726</v>
      </c>
    </row>
    <row r="27" spans="1:2" x14ac:dyDescent="0.2">
      <c r="A27" s="160" t="s">
        <v>727</v>
      </c>
      <c r="B27" s="160" t="s">
        <v>728</v>
      </c>
    </row>
    <row r="28" spans="1:2" x14ac:dyDescent="0.2">
      <c r="A28" s="160" t="s">
        <v>729</v>
      </c>
      <c r="B28" s="160" t="s">
        <v>730</v>
      </c>
    </row>
    <row r="29" spans="1:2" x14ac:dyDescent="0.2">
      <c r="A29" s="160" t="s">
        <v>731</v>
      </c>
      <c r="B29" s="160" t="s">
        <v>732</v>
      </c>
    </row>
    <row r="30" spans="1:2" x14ac:dyDescent="0.2">
      <c r="A30" s="160" t="s">
        <v>733</v>
      </c>
      <c r="B30" s="160" t="s">
        <v>734</v>
      </c>
    </row>
    <row r="31" spans="1:2" x14ac:dyDescent="0.2">
      <c r="A31" s="160" t="s">
        <v>6323</v>
      </c>
      <c r="B31" s="160" t="s">
        <v>6324</v>
      </c>
    </row>
    <row r="32" spans="1:2" x14ac:dyDescent="0.2">
      <c r="A32" s="160" t="s">
        <v>735</v>
      </c>
      <c r="B32" s="160" t="s">
        <v>736</v>
      </c>
    </row>
    <row r="33" spans="1:2" x14ac:dyDescent="0.2">
      <c r="A33" s="160" t="s">
        <v>737</v>
      </c>
      <c r="B33" s="160" t="s">
        <v>738</v>
      </c>
    </row>
    <row r="34" spans="1:2" x14ac:dyDescent="0.2">
      <c r="A34" s="160" t="s">
        <v>739</v>
      </c>
      <c r="B34" s="160" t="s">
        <v>740</v>
      </c>
    </row>
    <row r="35" spans="1:2" x14ac:dyDescent="0.2">
      <c r="A35" s="160" t="s">
        <v>741</v>
      </c>
      <c r="B35" s="160" t="s">
        <v>742</v>
      </c>
    </row>
    <row r="36" spans="1:2" x14ac:dyDescent="0.2">
      <c r="A36" s="160" t="s">
        <v>743</v>
      </c>
      <c r="B36" s="160" t="s">
        <v>744</v>
      </c>
    </row>
    <row r="37" spans="1:2" x14ac:dyDescent="0.2">
      <c r="A37" s="160" t="s">
        <v>745</v>
      </c>
      <c r="B37" s="160" t="s">
        <v>746</v>
      </c>
    </row>
    <row r="38" spans="1:2" x14ac:dyDescent="0.2">
      <c r="A38" s="160" t="s">
        <v>747</v>
      </c>
      <c r="B38" s="160" t="s">
        <v>748</v>
      </c>
    </row>
    <row r="39" spans="1:2" x14ac:dyDescent="0.2">
      <c r="A39" s="160" t="s">
        <v>749</v>
      </c>
      <c r="B39" s="160" t="s">
        <v>750</v>
      </c>
    </row>
    <row r="40" spans="1:2" x14ac:dyDescent="0.2">
      <c r="A40" s="160" t="s">
        <v>6325</v>
      </c>
      <c r="B40" s="160" t="s">
        <v>6326</v>
      </c>
    </row>
    <row r="41" spans="1:2" x14ac:dyDescent="0.2">
      <c r="A41" s="160" t="s">
        <v>6327</v>
      </c>
      <c r="B41" s="160" t="s">
        <v>6328</v>
      </c>
    </row>
    <row r="42" spans="1:2" x14ac:dyDescent="0.2">
      <c r="A42" s="160" t="s">
        <v>751</v>
      </c>
      <c r="B42" s="160" t="s">
        <v>752</v>
      </c>
    </row>
    <row r="43" spans="1:2" x14ac:dyDescent="0.2">
      <c r="A43" s="160" t="s">
        <v>753</v>
      </c>
      <c r="B43" s="160" t="s">
        <v>754</v>
      </c>
    </row>
    <row r="44" spans="1:2" x14ac:dyDescent="0.2">
      <c r="A44" s="160" t="s">
        <v>755</v>
      </c>
      <c r="B44" s="160" t="s">
        <v>756</v>
      </c>
    </row>
    <row r="45" spans="1:2" x14ac:dyDescent="0.2">
      <c r="A45" s="160" t="s">
        <v>757</v>
      </c>
      <c r="B45" s="160" t="s">
        <v>758</v>
      </c>
    </row>
    <row r="46" spans="1:2" x14ac:dyDescent="0.2">
      <c r="A46" s="160" t="s">
        <v>759</v>
      </c>
      <c r="B46" s="160" t="s">
        <v>760</v>
      </c>
    </row>
    <row r="47" spans="1:2" x14ac:dyDescent="0.2">
      <c r="A47" s="160" t="s">
        <v>761</v>
      </c>
      <c r="B47" s="160" t="s">
        <v>762</v>
      </c>
    </row>
    <row r="48" spans="1:2" x14ac:dyDescent="0.2">
      <c r="A48" s="160" t="s">
        <v>763</v>
      </c>
      <c r="B48" s="160" t="s">
        <v>764</v>
      </c>
    </row>
    <row r="49" spans="1:2" x14ac:dyDescent="0.2">
      <c r="A49" s="160" t="s">
        <v>765</v>
      </c>
      <c r="B49" s="160" t="s">
        <v>766</v>
      </c>
    </row>
    <row r="50" spans="1:2" x14ac:dyDescent="0.2">
      <c r="A50" s="160" t="s">
        <v>767</v>
      </c>
      <c r="B50" s="160" t="s">
        <v>768</v>
      </c>
    </row>
    <row r="51" spans="1:2" x14ac:dyDescent="0.2">
      <c r="A51" s="160" t="s">
        <v>769</v>
      </c>
      <c r="B51" s="160" t="s">
        <v>770</v>
      </c>
    </row>
    <row r="52" spans="1:2" x14ac:dyDescent="0.2">
      <c r="A52" s="160" t="s">
        <v>771</v>
      </c>
      <c r="B52" s="160" t="s">
        <v>772</v>
      </c>
    </row>
    <row r="53" spans="1:2" x14ac:dyDescent="0.2">
      <c r="A53" s="160" t="s">
        <v>773</v>
      </c>
      <c r="B53" s="160" t="s">
        <v>774</v>
      </c>
    </row>
    <row r="54" spans="1:2" x14ac:dyDescent="0.2">
      <c r="A54" s="160" t="s">
        <v>775</v>
      </c>
      <c r="B54" s="160" t="s">
        <v>776</v>
      </c>
    </row>
    <row r="55" spans="1:2" x14ac:dyDescent="0.2">
      <c r="A55" s="160" t="s">
        <v>777</v>
      </c>
      <c r="B55" s="160" t="s">
        <v>778</v>
      </c>
    </row>
    <row r="56" spans="1:2" x14ac:dyDescent="0.2">
      <c r="A56" s="160" t="s">
        <v>779</v>
      </c>
      <c r="B56" s="160" t="s">
        <v>780</v>
      </c>
    </row>
    <row r="57" spans="1:2" x14ac:dyDescent="0.2">
      <c r="A57" s="160" t="s">
        <v>781</v>
      </c>
      <c r="B57" s="160" t="s">
        <v>782</v>
      </c>
    </row>
    <row r="58" spans="1:2" x14ac:dyDescent="0.2">
      <c r="A58" s="160" t="s">
        <v>783</v>
      </c>
      <c r="B58" s="160" t="s">
        <v>784</v>
      </c>
    </row>
    <row r="59" spans="1:2" x14ac:dyDescent="0.2">
      <c r="A59" s="160" t="s">
        <v>785</v>
      </c>
      <c r="B59" s="160" t="s">
        <v>786</v>
      </c>
    </row>
    <row r="60" spans="1:2" x14ac:dyDescent="0.2">
      <c r="A60" s="160" t="s">
        <v>787</v>
      </c>
      <c r="B60" s="160" t="s">
        <v>788</v>
      </c>
    </row>
    <row r="61" spans="1:2" x14ac:dyDescent="0.2">
      <c r="A61" s="160" t="s">
        <v>789</v>
      </c>
      <c r="B61" s="160" t="s">
        <v>790</v>
      </c>
    </row>
    <row r="62" spans="1:2" x14ac:dyDescent="0.2">
      <c r="A62" s="160" t="s">
        <v>791</v>
      </c>
      <c r="B62" s="160" t="s">
        <v>792</v>
      </c>
    </row>
    <row r="63" spans="1:2" x14ac:dyDescent="0.2">
      <c r="A63" s="160" t="s">
        <v>793</v>
      </c>
      <c r="B63" s="160" t="s">
        <v>794</v>
      </c>
    </row>
    <row r="64" spans="1:2" x14ac:dyDescent="0.2">
      <c r="A64" s="160" t="s">
        <v>795</v>
      </c>
      <c r="B64" s="160" t="s">
        <v>796</v>
      </c>
    </row>
    <row r="65" spans="1:2" x14ac:dyDescent="0.2">
      <c r="A65" s="160" t="s">
        <v>797</v>
      </c>
      <c r="B65" s="160" t="s">
        <v>798</v>
      </c>
    </row>
    <row r="66" spans="1:2" x14ac:dyDescent="0.2">
      <c r="A66" s="160" t="s">
        <v>780</v>
      </c>
      <c r="B66" s="160" t="s">
        <v>799</v>
      </c>
    </row>
    <row r="67" spans="1:2" x14ac:dyDescent="0.2">
      <c r="A67" s="160" t="s">
        <v>800</v>
      </c>
      <c r="B67" s="160" t="s">
        <v>801</v>
      </c>
    </row>
    <row r="68" spans="1:2" x14ac:dyDescent="0.2">
      <c r="A68" s="160" t="s">
        <v>802</v>
      </c>
      <c r="B68" s="160" t="s">
        <v>803</v>
      </c>
    </row>
    <row r="69" spans="1:2" x14ac:dyDescent="0.2">
      <c r="A69" s="160" t="s">
        <v>804</v>
      </c>
      <c r="B69" s="160" t="s">
        <v>805</v>
      </c>
    </row>
    <row r="70" spans="1:2" x14ac:dyDescent="0.2">
      <c r="A70" s="160" t="s">
        <v>806</v>
      </c>
      <c r="B70" s="160" t="s">
        <v>807</v>
      </c>
    </row>
    <row r="71" spans="1:2" x14ac:dyDescent="0.2">
      <c r="A71" s="160" t="s">
        <v>808</v>
      </c>
      <c r="B71" s="160" t="s">
        <v>809</v>
      </c>
    </row>
    <row r="72" spans="1:2" x14ac:dyDescent="0.2">
      <c r="A72" s="160" t="s">
        <v>810</v>
      </c>
      <c r="B72" s="160" t="s">
        <v>811</v>
      </c>
    </row>
    <row r="73" spans="1:2" x14ac:dyDescent="0.2">
      <c r="A73" s="160" t="s">
        <v>812</v>
      </c>
      <c r="B73" s="160" t="s">
        <v>813</v>
      </c>
    </row>
    <row r="74" spans="1:2" x14ac:dyDescent="0.2">
      <c r="A74" s="160" t="s">
        <v>814</v>
      </c>
      <c r="B74" s="160" t="s">
        <v>815</v>
      </c>
    </row>
    <row r="75" spans="1:2" x14ac:dyDescent="0.2">
      <c r="A75" s="160" t="s">
        <v>816</v>
      </c>
      <c r="B75" s="160" t="s">
        <v>817</v>
      </c>
    </row>
    <row r="76" spans="1:2" x14ac:dyDescent="0.2">
      <c r="A76" s="160" t="s">
        <v>818</v>
      </c>
      <c r="B76" s="160" t="s">
        <v>819</v>
      </c>
    </row>
    <row r="77" spans="1:2" x14ac:dyDescent="0.2">
      <c r="A77" s="160" t="s">
        <v>820</v>
      </c>
      <c r="B77" s="160" t="s">
        <v>821</v>
      </c>
    </row>
    <row r="78" spans="1:2" x14ac:dyDescent="0.2">
      <c r="A78" s="160" t="s">
        <v>822</v>
      </c>
      <c r="B78" s="160" t="s">
        <v>823</v>
      </c>
    </row>
    <row r="79" spans="1:2" x14ac:dyDescent="0.2">
      <c r="A79" s="160" t="s">
        <v>824</v>
      </c>
      <c r="B79" s="160" t="s">
        <v>825</v>
      </c>
    </row>
    <row r="80" spans="1:2" x14ac:dyDescent="0.2">
      <c r="A80" s="160" t="s">
        <v>826</v>
      </c>
      <c r="B80" s="160" t="s">
        <v>827</v>
      </c>
    </row>
    <row r="81" spans="1:2" x14ac:dyDescent="0.2">
      <c r="A81" s="160" t="s">
        <v>828</v>
      </c>
      <c r="B81" s="160" t="s">
        <v>829</v>
      </c>
    </row>
    <row r="82" spans="1:2" x14ac:dyDescent="0.2">
      <c r="A82" s="160" t="s">
        <v>830</v>
      </c>
      <c r="B82" s="160" t="s">
        <v>831</v>
      </c>
    </row>
    <row r="83" spans="1:2" x14ac:dyDescent="0.2">
      <c r="A83" s="160" t="s">
        <v>832</v>
      </c>
      <c r="B83" s="160" t="s">
        <v>833</v>
      </c>
    </row>
    <row r="84" spans="1:2" x14ac:dyDescent="0.2">
      <c r="A84" s="160" t="s">
        <v>834</v>
      </c>
      <c r="B84" s="160" t="s">
        <v>835</v>
      </c>
    </row>
    <row r="85" spans="1:2" x14ac:dyDescent="0.2">
      <c r="A85" s="160" t="s">
        <v>836</v>
      </c>
      <c r="B85" s="160" t="s">
        <v>837</v>
      </c>
    </row>
    <row r="86" spans="1:2" x14ac:dyDescent="0.2">
      <c r="A86" s="160" t="s">
        <v>838</v>
      </c>
      <c r="B86" s="160" t="s">
        <v>839</v>
      </c>
    </row>
    <row r="87" spans="1:2" x14ac:dyDescent="0.2">
      <c r="A87" s="160" t="s">
        <v>840</v>
      </c>
      <c r="B87" s="160" t="s">
        <v>841</v>
      </c>
    </row>
    <row r="88" spans="1:2" x14ac:dyDescent="0.2">
      <c r="A88" s="160" t="s">
        <v>842</v>
      </c>
      <c r="B88" s="160" t="s">
        <v>843</v>
      </c>
    </row>
    <row r="89" spans="1:2" x14ac:dyDescent="0.2">
      <c r="A89" s="160" t="s">
        <v>844</v>
      </c>
      <c r="B89" s="160" t="s">
        <v>845</v>
      </c>
    </row>
    <row r="90" spans="1:2" x14ac:dyDescent="0.2">
      <c r="A90" s="160" t="s">
        <v>846</v>
      </c>
      <c r="B90" s="160" t="s">
        <v>847</v>
      </c>
    </row>
    <row r="91" spans="1:2" x14ac:dyDescent="0.2">
      <c r="A91" s="160" t="s">
        <v>848</v>
      </c>
      <c r="B91" s="160" t="s">
        <v>849</v>
      </c>
    </row>
    <row r="92" spans="1:2" x14ac:dyDescent="0.2">
      <c r="A92" s="160" t="s">
        <v>850</v>
      </c>
      <c r="B92" s="160" t="s">
        <v>851</v>
      </c>
    </row>
    <row r="93" spans="1:2" x14ac:dyDescent="0.2">
      <c r="A93" s="160" t="s">
        <v>6329</v>
      </c>
      <c r="B93" s="160" t="s">
        <v>6330</v>
      </c>
    </row>
    <row r="94" spans="1:2" x14ac:dyDescent="0.2">
      <c r="A94" s="160" t="s">
        <v>852</v>
      </c>
      <c r="B94" s="160" t="s">
        <v>853</v>
      </c>
    </row>
    <row r="95" spans="1:2" x14ac:dyDescent="0.2">
      <c r="A95" s="160" t="s">
        <v>854</v>
      </c>
      <c r="B95" s="160" t="s">
        <v>855</v>
      </c>
    </row>
    <row r="96" spans="1:2" x14ac:dyDescent="0.2">
      <c r="A96" s="160" t="s">
        <v>6331</v>
      </c>
      <c r="B96" s="160" t="s">
        <v>6332</v>
      </c>
    </row>
    <row r="97" spans="1:2" x14ac:dyDescent="0.2">
      <c r="A97" s="160" t="s">
        <v>856</v>
      </c>
      <c r="B97" s="160" t="s">
        <v>857</v>
      </c>
    </row>
    <row r="98" spans="1:2" x14ac:dyDescent="0.2">
      <c r="A98" s="160" t="s">
        <v>858</v>
      </c>
      <c r="B98" s="160" t="s">
        <v>859</v>
      </c>
    </row>
    <row r="99" spans="1:2" x14ac:dyDescent="0.2">
      <c r="A99" s="160" t="s">
        <v>860</v>
      </c>
      <c r="B99" s="160" t="s">
        <v>861</v>
      </c>
    </row>
    <row r="100" spans="1:2" x14ac:dyDescent="0.2">
      <c r="A100" s="160" t="s">
        <v>862</v>
      </c>
      <c r="B100" s="160" t="s">
        <v>863</v>
      </c>
    </row>
    <row r="101" spans="1:2" x14ac:dyDescent="0.2">
      <c r="A101" s="160" t="s">
        <v>6333</v>
      </c>
      <c r="B101" s="160" t="s">
        <v>6334</v>
      </c>
    </row>
    <row r="102" spans="1:2" x14ac:dyDescent="0.2">
      <c r="A102" s="160" t="s">
        <v>864</v>
      </c>
      <c r="B102" s="160" t="s">
        <v>865</v>
      </c>
    </row>
    <row r="103" spans="1:2" x14ac:dyDescent="0.2">
      <c r="A103" s="160" t="s">
        <v>866</v>
      </c>
      <c r="B103" s="160" t="s">
        <v>866</v>
      </c>
    </row>
    <row r="104" spans="1:2" x14ac:dyDescent="0.2">
      <c r="A104" s="160" t="s">
        <v>867</v>
      </c>
      <c r="B104" s="160" t="s">
        <v>868</v>
      </c>
    </row>
    <row r="105" spans="1:2" x14ac:dyDescent="0.2">
      <c r="A105" s="160" t="s">
        <v>869</v>
      </c>
      <c r="B105" s="160" t="s">
        <v>870</v>
      </c>
    </row>
    <row r="106" spans="1:2" x14ac:dyDescent="0.2">
      <c r="A106" s="160" t="s">
        <v>6335</v>
      </c>
      <c r="B106" s="160" t="s">
        <v>6336</v>
      </c>
    </row>
    <row r="107" spans="1:2" x14ac:dyDescent="0.2">
      <c r="A107" s="160" t="s">
        <v>6337</v>
      </c>
      <c r="B107" s="160" t="s">
        <v>6338</v>
      </c>
    </row>
    <row r="108" spans="1:2" x14ac:dyDescent="0.2">
      <c r="A108" s="160" t="s">
        <v>871</v>
      </c>
      <c r="B108" s="160" t="s">
        <v>872</v>
      </c>
    </row>
    <row r="109" spans="1:2" x14ac:dyDescent="0.2">
      <c r="A109" s="160" t="s">
        <v>873</v>
      </c>
      <c r="B109" s="160" t="s">
        <v>874</v>
      </c>
    </row>
    <row r="110" spans="1:2" x14ac:dyDescent="0.2">
      <c r="A110" s="160" t="s">
        <v>875</v>
      </c>
      <c r="B110" s="160" t="s">
        <v>876</v>
      </c>
    </row>
    <row r="111" spans="1:2" x14ac:dyDescent="0.2">
      <c r="A111" s="160" t="s">
        <v>877</v>
      </c>
      <c r="B111" s="160" t="s">
        <v>878</v>
      </c>
    </row>
    <row r="112" spans="1:2" x14ac:dyDescent="0.2">
      <c r="A112" s="160" t="s">
        <v>879</v>
      </c>
      <c r="B112" s="160" t="s">
        <v>880</v>
      </c>
    </row>
    <row r="113" spans="1:2" x14ac:dyDescent="0.2">
      <c r="A113" s="160" t="s">
        <v>881</v>
      </c>
      <c r="B113" s="160" t="s">
        <v>882</v>
      </c>
    </row>
    <row r="114" spans="1:2" x14ac:dyDescent="0.2">
      <c r="A114" s="160" t="s">
        <v>883</v>
      </c>
      <c r="B114" s="160" t="s">
        <v>884</v>
      </c>
    </row>
    <row r="115" spans="1:2" x14ac:dyDescent="0.2">
      <c r="A115" s="160" t="s">
        <v>6339</v>
      </c>
      <c r="B115" s="160" t="s">
        <v>6340</v>
      </c>
    </row>
    <row r="116" spans="1:2" x14ac:dyDescent="0.2">
      <c r="A116" s="160" t="s">
        <v>885</v>
      </c>
      <c r="B116" s="160" t="s">
        <v>886</v>
      </c>
    </row>
    <row r="117" spans="1:2" x14ac:dyDescent="0.2">
      <c r="A117" s="160" t="s">
        <v>887</v>
      </c>
      <c r="B117" s="160" t="s">
        <v>888</v>
      </c>
    </row>
    <row r="118" spans="1:2" x14ac:dyDescent="0.2">
      <c r="A118" s="160" t="s">
        <v>889</v>
      </c>
      <c r="B118" s="160" t="s">
        <v>890</v>
      </c>
    </row>
    <row r="119" spans="1:2" x14ac:dyDescent="0.2">
      <c r="A119" s="160" t="s">
        <v>6341</v>
      </c>
      <c r="B119" s="160" t="s">
        <v>6342</v>
      </c>
    </row>
    <row r="120" spans="1:2" x14ac:dyDescent="0.2">
      <c r="A120" s="160" t="s">
        <v>891</v>
      </c>
      <c r="B120" s="160" t="s">
        <v>892</v>
      </c>
    </row>
    <row r="121" spans="1:2" x14ac:dyDescent="0.2">
      <c r="A121" s="160" t="s">
        <v>893</v>
      </c>
      <c r="B121" s="160" t="s">
        <v>894</v>
      </c>
    </row>
    <row r="122" spans="1:2" x14ac:dyDescent="0.2">
      <c r="A122" s="160" t="s">
        <v>895</v>
      </c>
      <c r="B122" s="160" t="s">
        <v>896</v>
      </c>
    </row>
    <row r="123" spans="1:2" x14ac:dyDescent="0.2">
      <c r="A123" s="160" t="s">
        <v>897</v>
      </c>
      <c r="B123" s="160" t="s">
        <v>898</v>
      </c>
    </row>
    <row r="124" spans="1:2" x14ac:dyDescent="0.2">
      <c r="A124" s="160" t="s">
        <v>899</v>
      </c>
      <c r="B124" s="160" t="s">
        <v>900</v>
      </c>
    </row>
    <row r="125" spans="1:2" x14ac:dyDescent="0.2">
      <c r="A125" s="160" t="s">
        <v>901</v>
      </c>
      <c r="B125" s="160" t="s">
        <v>902</v>
      </c>
    </row>
    <row r="126" spans="1:2" x14ac:dyDescent="0.2">
      <c r="A126" s="160" t="s">
        <v>903</v>
      </c>
      <c r="B126" s="160" t="s">
        <v>904</v>
      </c>
    </row>
    <row r="127" spans="1:2" x14ac:dyDescent="0.2">
      <c r="A127" s="160" t="s">
        <v>6343</v>
      </c>
      <c r="B127" s="160" t="s">
        <v>6344</v>
      </c>
    </row>
    <row r="128" spans="1:2" x14ac:dyDescent="0.2">
      <c r="A128" s="160" t="s">
        <v>905</v>
      </c>
      <c r="B128" s="160" t="s">
        <v>906</v>
      </c>
    </row>
    <row r="129" spans="1:2" x14ac:dyDescent="0.2">
      <c r="A129" s="160" t="s">
        <v>907</v>
      </c>
      <c r="B129" s="160" t="s">
        <v>908</v>
      </c>
    </row>
    <row r="130" spans="1:2" x14ac:dyDescent="0.2">
      <c r="A130" s="160" t="s">
        <v>909</v>
      </c>
      <c r="B130" s="160" t="s">
        <v>910</v>
      </c>
    </row>
    <row r="131" spans="1:2" x14ac:dyDescent="0.2">
      <c r="A131" s="160" t="s">
        <v>911</v>
      </c>
      <c r="B131" s="160" t="s">
        <v>912</v>
      </c>
    </row>
    <row r="132" spans="1:2" x14ac:dyDescent="0.2">
      <c r="A132" s="160" t="s">
        <v>913</v>
      </c>
      <c r="B132" s="160" t="s">
        <v>914</v>
      </c>
    </row>
    <row r="133" spans="1:2" x14ac:dyDescent="0.2">
      <c r="A133" s="160" t="s">
        <v>915</v>
      </c>
      <c r="B133" s="160" t="s">
        <v>916</v>
      </c>
    </row>
    <row r="134" spans="1:2" x14ac:dyDescent="0.2">
      <c r="A134" s="160" t="s">
        <v>917</v>
      </c>
      <c r="B134" s="160" t="s">
        <v>918</v>
      </c>
    </row>
    <row r="135" spans="1:2" x14ac:dyDescent="0.2">
      <c r="A135" s="160" t="s">
        <v>919</v>
      </c>
      <c r="B135" s="160" t="s">
        <v>920</v>
      </c>
    </row>
    <row r="136" spans="1:2" x14ac:dyDescent="0.2">
      <c r="A136" s="160" t="s">
        <v>921</v>
      </c>
      <c r="B136" s="160" t="s">
        <v>922</v>
      </c>
    </row>
    <row r="137" spans="1:2" x14ac:dyDescent="0.2">
      <c r="A137" s="160" t="s">
        <v>923</v>
      </c>
      <c r="B137" s="160" t="s">
        <v>924</v>
      </c>
    </row>
    <row r="138" spans="1:2" x14ac:dyDescent="0.2">
      <c r="A138" s="160" t="s">
        <v>925</v>
      </c>
      <c r="B138" s="160" t="s">
        <v>926</v>
      </c>
    </row>
    <row r="139" spans="1:2" x14ac:dyDescent="0.2">
      <c r="A139" s="160" t="s">
        <v>927</v>
      </c>
      <c r="B139" s="160" t="s">
        <v>928</v>
      </c>
    </row>
    <row r="140" spans="1:2" x14ac:dyDescent="0.2">
      <c r="A140" s="160" t="s">
        <v>929</v>
      </c>
      <c r="B140" s="160" t="s">
        <v>930</v>
      </c>
    </row>
    <row r="141" spans="1:2" x14ac:dyDescent="0.2">
      <c r="A141" s="160" t="s">
        <v>6345</v>
      </c>
      <c r="B141" s="160" t="s">
        <v>6346</v>
      </c>
    </row>
    <row r="142" spans="1:2" x14ac:dyDescent="0.2">
      <c r="A142" s="160" t="s">
        <v>931</v>
      </c>
      <c r="B142" s="160" t="s">
        <v>932</v>
      </c>
    </row>
    <row r="143" spans="1:2" x14ac:dyDescent="0.2">
      <c r="A143" s="160" t="s">
        <v>933</v>
      </c>
      <c r="B143" s="160" t="s">
        <v>934</v>
      </c>
    </row>
    <row r="144" spans="1:2" x14ac:dyDescent="0.2">
      <c r="A144" s="160" t="s">
        <v>935</v>
      </c>
      <c r="B144" s="160" t="s">
        <v>936</v>
      </c>
    </row>
    <row r="145" spans="1:2" x14ac:dyDescent="0.2">
      <c r="A145" s="160" t="s">
        <v>937</v>
      </c>
      <c r="B145" s="160" t="s">
        <v>938</v>
      </c>
    </row>
    <row r="146" spans="1:2" x14ac:dyDescent="0.2">
      <c r="A146" s="160" t="s">
        <v>939</v>
      </c>
      <c r="B146" s="160" t="s">
        <v>940</v>
      </c>
    </row>
    <row r="147" spans="1:2" x14ac:dyDescent="0.2">
      <c r="A147" s="160" t="s">
        <v>941</v>
      </c>
      <c r="B147" s="160" t="s">
        <v>942</v>
      </c>
    </row>
    <row r="148" spans="1:2" x14ac:dyDescent="0.2">
      <c r="A148" s="160" t="s">
        <v>943</v>
      </c>
      <c r="B148" s="160" t="s">
        <v>944</v>
      </c>
    </row>
    <row r="149" spans="1:2" x14ac:dyDescent="0.2">
      <c r="A149" s="160" t="s">
        <v>945</v>
      </c>
      <c r="B149" s="160" t="s">
        <v>946</v>
      </c>
    </row>
    <row r="150" spans="1:2" x14ac:dyDescent="0.2">
      <c r="A150" s="160" t="s">
        <v>6347</v>
      </c>
      <c r="B150" s="160" t="s">
        <v>6348</v>
      </c>
    </row>
    <row r="151" spans="1:2" x14ac:dyDescent="0.2">
      <c r="A151" s="160" t="s">
        <v>947</v>
      </c>
      <c r="B151" s="160" t="s">
        <v>948</v>
      </c>
    </row>
    <row r="152" spans="1:2" x14ac:dyDescent="0.2">
      <c r="A152" s="160" t="s">
        <v>949</v>
      </c>
      <c r="B152" s="160" t="s">
        <v>950</v>
      </c>
    </row>
    <row r="153" spans="1:2" x14ac:dyDescent="0.2">
      <c r="A153" s="160" t="s">
        <v>951</v>
      </c>
      <c r="B153" s="160" t="s">
        <v>952</v>
      </c>
    </row>
    <row r="154" spans="1:2" x14ac:dyDescent="0.2">
      <c r="A154" s="160" t="s">
        <v>953</v>
      </c>
      <c r="B154" s="160" t="s">
        <v>954</v>
      </c>
    </row>
    <row r="155" spans="1:2" x14ac:dyDescent="0.2">
      <c r="A155" s="160" t="s">
        <v>955</v>
      </c>
      <c r="B155" s="160" t="s">
        <v>956</v>
      </c>
    </row>
    <row r="156" spans="1:2" x14ac:dyDescent="0.2">
      <c r="A156" s="160" t="s">
        <v>957</v>
      </c>
      <c r="B156" s="160" t="s">
        <v>958</v>
      </c>
    </row>
    <row r="157" spans="1:2" x14ac:dyDescent="0.2">
      <c r="A157" s="160" t="s">
        <v>959</v>
      </c>
      <c r="B157" s="160" t="s">
        <v>960</v>
      </c>
    </row>
    <row r="158" spans="1:2" x14ac:dyDescent="0.2">
      <c r="A158" s="160" t="s">
        <v>6349</v>
      </c>
      <c r="B158" s="160" t="s">
        <v>6350</v>
      </c>
    </row>
    <row r="159" spans="1:2" x14ac:dyDescent="0.2">
      <c r="A159" s="160" t="s">
        <v>961</v>
      </c>
      <c r="B159" s="160" t="s">
        <v>962</v>
      </c>
    </row>
    <row r="160" spans="1:2" x14ac:dyDescent="0.2">
      <c r="A160" s="160" t="s">
        <v>963</v>
      </c>
      <c r="B160" s="160" t="s">
        <v>964</v>
      </c>
    </row>
    <row r="161" spans="1:2" x14ac:dyDescent="0.2">
      <c r="A161" s="160" t="s">
        <v>965</v>
      </c>
      <c r="B161" s="160" t="s">
        <v>966</v>
      </c>
    </row>
    <row r="162" spans="1:2" x14ac:dyDescent="0.2">
      <c r="A162" s="160" t="s">
        <v>967</v>
      </c>
      <c r="B162" s="160" t="s">
        <v>6351</v>
      </c>
    </row>
    <row r="163" spans="1:2" x14ac:dyDescent="0.2">
      <c r="A163" s="160" t="s">
        <v>968</v>
      </c>
      <c r="B163" s="160" t="s">
        <v>969</v>
      </c>
    </row>
    <row r="164" spans="1:2" x14ac:dyDescent="0.2">
      <c r="A164" s="160" t="s">
        <v>970</v>
      </c>
      <c r="B164" s="160" t="s">
        <v>971</v>
      </c>
    </row>
    <row r="165" spans="1:2" x14ac:dyDescent="0.2">
      <c r="A165" s="160" t="s">
        <v>972</v>
      </c>
      <c r="B165" s="160" t="s">
        <v>973</v>
      </c>
    </row>
    <row r="166" spans="1:2" x14ac:dyDescent="0.2">
      <c r="A166" s="160" t="s">
        <v>974</v>
      </c>
      <c r="B166" s="160" t="s">
        <v>975</v>
      </c>
    </row>
    <row r="167" spans="1:2" x14ac:dyDescent="0.2">
      <c r="A167" s="160" t="s">
        <v>976</v>
      </c>
      <c r="B167" s="160" t="s">
        <v>977</v>
      </c>
    </row>
    <row r="168" spans="1:2" x14ac:dyDescent="0.2">
      <c r="A168" s="160" t="s">
        <v>978</v>
      </c>
      <c r="B168" s="160" t="s">
        <v>979</v>
      </c>
    </row>
    <row r="169" spans="1:2" x14ac:dyDescent="0.2">
      <c r="A169" s="160" t="s">
        <v>980</v>
      </c>
      <c r="B169" s="160" t="s">
        <v>981</v>
      </c>
    </row>
    <row r="170" spans="1:2" x14ac:dyDescent="0.2">
      <c r="A170" s="160" t="s">
        <v>982</v>
      </c>
      <c r="B170" s="160" t="s">
        <v>983</v>
      </c>
    </row>
    <row r="171" spans="1:2" x14ac:dyDescent="0.2">
      <c r="A171" s="160" t="s">
        <v>984</v>
      </c>
      <c r="B171" s="160" t="s">
        <v>985</v>
      </c>
    </row>
    <row r="172" spans="1:2" x14ac:dyDescent="0.2">
      <c r="A172" s="160" t="s">
        <v>986</v>
      </c>
      <c r="B172" s="160" t="s">
        <v>987</v>
      </c>
    </row>
    <row r="173" spans="1:2" x14ac:dyDescent="0.2">
      <c r="A173" s="160" t="s">
        <v>988</v>
      </c>
      <c r="B173" s="160" t="s">
        <v>989</v>
      </c>
    </row>
    <row r="174" spans="1:2" x14ac:dyDescent="0.2">
      <c r="A174" s="160" t="s">
        <v>990</v>
      </c>
      <c r="B174" s="160" t="s">
        <v>991</v>
      </c>
    </row>
    <row r="175" spans="1:2" x14ac:dyDescent="0.2">
      <c r="A175" s="160" t="s">
        <v>992</v>
      </c>
      <c r="B175" s="160" t="s">
        <v>993</v>
      </c>
    </row>
    <row r="176" spans="1:2" x14ac:dyDescent="0.2">
      <c r="A176" s="160" t="s">
        <v>994</v>
      </c>
      <c r="B176" s="160" t="s">
        <v>995</v>
      </c>
    </row>
    <row r="177" spans="1:2" x14ac:dyDescent="0.2">
      <c r="A177" s="160" t="s">
        <v>996</v>
      </c>
      <c r="B177" s="160" t="s">
        <v>997</v>
      </c>
    </row>
    <row r="178" spans="1:2" x14ac:dyDescent="0.2">
      <c r="A178" s="160" t="s">
        <v>998</v>
      </c>
      <c r="B178" s="160" t="s">
        <v>999</v>
      </c>
    </row>
    <row r="179" spans="1:2" x14ac:dyDescent="0.2">
      <c r="A179" s="160" t="s">
        <v>1000</v>
      </c>
      <c r="B179" s="160" t="s">
        <v>1001</v>
      </c>
    </row>
    <row r="180" spans="1:2" x14ac:dyDescent="0.2">
      <c r="A180" s="160" t="s">
        <v>1002</v>
      </c>
      <c r="B180" s="160" t="s">
        <v>1003</v>
      </c>
    </row>
    <row r="181" spans="1:2" x14ac:dyDescent="0.2">
      <c r="A181" s="160" t="s">
        <v>1004</v>
      </c>
      <c r="B181" s="160" t="s">
        <v>1005</v>
      </c>
    </row>
    <row r="182" spans="1:2" x14ac:dyDescent="0.2">
      <c r="A182" s="160" t="s">
        <v>6352</v>
      </c>
      <c r="B182" s="160" t="s">
        <v>6353</v>
      </c>
    </row>
    <row r="183" spans="1:2" x14ac:dyDescent="0.2">
      <c r="A183" s="160" t="s">
        <v>1006</v>
      </c>
      <c r="B183" s="160" t="s">
        <v>1007</v>
      </c>
    </row>
    <row r="184" spans="1:2" x14ac:dyDescent="0.2">
      <c r="A184" s="160" t="s">
        <v>1008</v>
      </c>
      <c r="B184" s="160" t="s">
        <v>1009</v>
      </c>
    </row>
    <row r="185" spans="1:2" x14ac:dyDescent="0.2">
      <c r="A185" s="160" t="s">
        <v>1010</v>
      </c>
      <c r="B185" s="160" t="s">
        <v>1011</v>
      </c>
    </row>
    <row r="186" spans="1:2" x14ac:dyDescent="0.2">
      <c r="A186" s="160" t="s">
        <v>1012</v>
      </c>
      <c r="B186" s="160" t="s">
        <v>1013</v>
      </c>
    </row>
    <row r="187" spans="1:2" x14ac:dyDescent="0.2">
      <c r="A187" s="160" t="s">
        <v>1014</v>
      </c>
      <c r="B187" s="160" t="s">
        <v>1015</v>
      </c>
    </row>
    <row r="188" spans="1:2" x14ac:dyDescent="0.2">
      <c r="A188" s="160" t="s">
        <v>1016</v>
      </c>
      <c r="B188" s="160" t="s">
        <v>1017</v>
      </c>
    </row>
    <row r="189" spans="1:2" x14ac:dyDescent="0.2">
      <c r="A189" s="160" t="s">
        <v>1018</v>
      </c>
      <c r="B189" s="160" t="s">
        <v>1019</v>
      </c>
    </row>
    <row r="190" spans="1:2" x14ac:dyDescent="0.2">
      <c r="A190" s="160" t="s">
        <v>1020</v>
      </c>
      <c r="B190" s="160" t="s">
        <v>1021</v>
      </c>
    </row>
    <row r="191" spans="1:2" x14ac:dyDescent="0.2">
      <c r="A191" s="160" t="s">
        <v>1022</v>
      </c>
      <c r="B191" s="160" t="s">
        <v>1023</v>
      </c>
    </row>
    <row r="192" spans="1:2" x14ac:dyDescent="0.2">
      <c r="A192" s="160" t="s">
        <v>1024</v>
      </c>
      <c r="B192" s="160" t="s">
        <v>1025</v>
      </c>
    </row>
    <row r="193" spans="1:2" x14ac:dyDescent="0.2">
      <c r="A193" s="160" t="s">
        <v>1026</v>
      </c>
      <c r="B193" s="160" t="s">
        <v>1027</v>
      </c>
    </row>
    <row r="194" spans="1:2" x14ac:dyDescent="0.2">
      <c r="A194" s="160" t="s">
        <v>1028</v>
      </c>
      <c r="B194" s="160" t="s">
        <v>1029</v>
      </c>
    </row>
    <row r="195" spans="1:2" x14ac:dyDescent="0.2">
      <c r="A195" s="160" t="s">
        <v>1030</v>
      </c>
      <c r="B195" s="160" t="s">
        <v>1031</v>
      </c>
    </row>
    <row r="196" spans="1:2" x14ac:dyDescent="0.2">
      <c r="A196" s="160" t="s">
        <v>1032</v>
      </c>
      <c r="B196" s="160" t="s">
        <v>1033</v>
      </c>
    </row>
    <row r="197" spans="1:2" x14ac:dyDescent="0.2">
      <c r="A197" s="160" t="s">
        <v>1034</v>
      </c>
      <c r="B197" s="160" t="s">
        <v>1035</v>
      </c>
    </row>
    <row r="198" spans="1:2" x14ac:dyDescent="0.2">
      <c r="A198" s="160" t="s">
        <v>1036</v>
      </c>
      <c r="B198" s="160" t="s">
        <v>1037</v>
      </c>
    </row>
    <row r="199" spans="1:2" x14ac:dyDescent="0.2">
      <c r="A199" s="160" t="s">
        <v>1038</v>
      </c>
      <c r="B199" s="160" t="s">
        <v>1039</v>
      </c>
    </row>
    <row r="200" spans="1:2" x14ac:dyDescent="0.2">
      <c r="A200" s="160" t="s">
        <v>1040</v>
      </c>
      <c r="B200" s="160" t="s">
        <v>1041</v>
      </c>
    </row>
    <row r="201" spans="1:2" x14ac:dyDescent="0.2">
      <c r="A201" s="160" t="s">
        <v>1042</v>
      </c>
      <c r="B201" s="160" t="s">
        <v>1043</v>
      </c>
    </row>
    <row r="202" spans="1:2" x14ac:dyDescent="0.2">
      <c r="A202" s="160" t="s">
        <v>1044</v>
      </c>
      <c r="B202" s="160" t="s">
        <v>1045</v>
      </c>
    </row>
    <row r="203" spans="1:2" x14ac:dyDescent="0.2">
      <c r="A203" s="160" t="s">
        <v>1046</v>
      </c>
      <c r="B203" s="160" t="s">
        <v>1047</v>
      </c>
    </row>
    <row r="204" spans="1:2" x14ac:dyDescent="0.2">
      <c r="A204" s="160" t="s">
        <v>1048</v>
      </c>
      <c r="B204" s="160" t="s">
        <v>1049</v>
      </c>
    </row>
    <row r="205" spans="1:2" x14ac:dyDescent="0.2">
      <c r="A205" s="160" t="s">
        <v>6354</v>
      </c>
      <c r="B205" s="160" t="s">
        <v>6355</v>
      </c>
    </row>
    <row r="206" spans="1:2" x14ac:dyDescent="0.2">
      <c r="A206" s="160" t="s">
        <v>1050</v>
      </c>
      <c r="B206" s="160" t="s">
        <v>1051</v>
      </c>
    </row>
    <row r="207" spans="1:2" x14ac:dyDescent="0.2">
      <c r="A207" s="160" t="s">
        <v>6356</v>
      </c>
      <c r="B207" s="160" t="s">
        <v>6357</v>
      </c>
    </row>
    <row r="208" spans="1:2" x14ac:dyDescent="0.2">
      <c r="A208" s="160" t="s">
        <v>1052</v>
      </c>
      <c r="B208" s="160" t="s">
        <v>1053</v>
      </c>
    </row>
    <row r="209" spans="1:2" x14ac:dyDescent="0.2">
      <c r="A209" s="160" t="s">
        <v>1054</v>
      </c>
      <c r="B209" s="160" t="s">
        <v>1055</v>
      </c>
    </row>
    <row r="210" spans="1:2" x14ac:dyDescent="0.2">
      <c r="A210" s="160" t="s">
        <v>1056</v>
      </c>
      <c r="B210" s="160" t="s">
        <v>1057</v>
      </c>
    </row>
    <row r="211" spans="1:2" x14ac:dyDescent="0.2">
      <c r="A211" s="160" t="s">
        <v>1058</v>
      </c>
      <c r="B211" s="160" t="s">
        <v>1059</v>
      </c>
    </row>
    <row r="212" spans="1:2" x14ac:dyDescent="0.2">
      <c r="A212" s="160" t="s">
        <v>6358</v>
      </c>
      <c r="B212" s="160" t="s">
        <v>6359</v>
      </c>
    </row>
    <row r="213" spans="1:2" x14ac:dyDescent="0.2">
      <c r="A213" s="160" t="s">
        <v>1060</v>
      </c>
      <c r="B213" s="160" t="s">
        <v>1061</v>
      </c>
    </row>
    <row r="214" spans="1:2" x14ac:dyDescent="0.2">
      <c r="A214" s="160" t="s">
        <v>1062</v>
      </c>
      <c r="B214" s="160" t="s">
        <v>1063</v>
      </c>
    </row>
    <row r="215" spans="1:2" x14ac:dyDescent="0.2">
      <c r="A215" s="160" t="s">
        <v>1064</v>
      </c>
      <c r="B215" s="160" t="s">
        <v>1065</v>
      </c>
    </row>
    <row r="216" spans="1:2" x14ac:dyDescent="0.2">
      <c r="A216" s="160" t="s">
        <v>1066</v>
      </c>
      <c r="B216" s="160" t="s">
        <v>1067</v>
      </c>
    </row>
    <row r="217" spans="1:2" x14ac:dyDescent="0.2">
      <c r="A217" s="160" t="s">
        <v>1068</v>
      </c>
      <c r="B217" s="160" t="s">
        <v>1069</v>
      </c>
    </row>
    <row r="218" spans="1:2" x14ac:dyDescent="0.2">
      <c r="A218" s="160" t="s">
        <v>1070</v>
      </c>
      <c r="B218" s="160" t="s">
        <v>1071</v>
      </c>
    </row>
    <row r="219" spans="1:2" x14ac:dyDescent="0.2">
      <c r="A219" s="160" t="s">
        <v>1072</v>
      </c>
      <c r="B219" s="160" t="s">
        <v>1073</v>
      </c>
    </row>
    <row r="220" spans="1:2" x14ac:dyDescent="0.2">
      <c r="A220" s="160" t="s">
        <v>1074</v>
      </c>
      <c r="B220" s="160" t="s">
        <v>1075</v>
      </c>
    </row>
    <row r="221" spans="1:2" x14ac:dyDescent="0.2">
      <c r="A221" s="160" t="s">
        <v>1076</v>
      </c>
      <c r="B221" s="160" t="s">
        <v>1077</v>
      </c>
    </row>
    <row r="222" spans="1:2" x14ac:dyDescent="0.2">
      <c r="A222" s="160" t="s">
        <v>1078</v>
      </c>
      <c r="B222" s="160" t="s">
        <v>1079</v>
      </c>
    </row>
    <row r="223" spans="1:2" x14ac:dyDescent="0.2">
      <c r="A223" s="160" t="s">
        <v>1080</v>
      </c>
      <c r="B223" s="160" t="s">
        <v>1081</v>
      </c>
    </row>
    <row r="224" spans="1:2" x14ac:dyDescent="0.2">
      <c r="A224" s="160" t="s">
        <v>1082</v>
      </c>
      <c r="B224" s="160" t="s">
        <v>1083</v>
      </c>
    </row>
    <row r="225" spans="1:2" x14ac:dyDescent="0.2">
      <c r="A225" s="160" t="s">
        <v>1084</v>
      </c>
      <c r="B225" s="160" t="s">
        <v>1085</v>
      </c>
    </row>
    <row r="226" spans="1:2" x14ac:dyDescent="0.2">
      <c r="A226" s="160" t="s">
        <v>1086</v>
      </c>
      <c r="B226" s="160" t="s">
        <v>1087</v>
      </c>
    </row>
    <row r="227" spans="1:2" x14ac:dyDescent="0.2">
      <c r="A227" s="160" t="s">
        <v>1088</v>
      </c>
      <c r="B227" s="160" t="s">
        <v>1089</v>
      </c>
    </row>
    <row r="228" spans="1:2" x14ac:dyDescent="0.2">
      <c r="A228" s="160" t="s">
        <v>1090</v>
      </c>
      <c r="B228" s="160" t="s">
        <v>1091</v>
      </c>
    </row>
    <row r="229" spans="1:2" x14ac:dyDescent="0.2">
      <c r="A229" s="160" t="s">
        <v>1092</v>
      </c>
      <c r="B229" s="160" t="s">
        <v>1093</v>
      </c>
    </row>
    <row r="230" spans="1:2" x14ac:dyDescent="0.2">
      <c r="A230" s="160" t="s">
        <v>6360</v>
      </c>
      <c r="B230" s="160" t="s">
        <v>6361</v>
      </c>
    </row>
    <row r="231" spans="1:2" x14ac:dyDescent="0.2">
      <c r="A231" s="160" t="s">
        <v>1094</v>
      </c>
      <c r="B231" s="160" t="s">
        <v>1095</v>
      </c>
    </row>
    <row r="232" spans="1:2" x14ac:dyDescent="0.2">
      <c r="A232" s="160" t="s">
        <v>1096</v>
      </c>
      <c r="B232" s="160" t="s">
        <v>1097</v>
      </c>
    </row>
    <row r="233" spans="1:2" x14ac:dyDescent="0.2">
      <c r="A233" s="160" t="s">
        <v>6362</v>
      </c>
      <c r="B233" s="160" t="s">
        <v>6363</v>
      </c>
    </row>
    <row r="234" spans="1:2" x14ac:dyDescent="0.2">
      <c r="A234" s="160" t="s">
        <v>1098</v>
      </c>
      <c r="B234" s="160" t="s">
        <v>1099</v>
      </c>
    </row>
    <row r="235" spans="1:2" x14ac:dyDescent="0.2">
      <c r="A235" s="160" t="s">
        <v>1100</v>
      </c>
      <c r="B235" s="160" t="s">
        <v>1101</v>
      </c>
    </row>
    <row r="236" spans="1:2" x14ac:dyDescent="0.2">
      <c r="A236" s="160" t="s">
        <v>1102</v>
      </c>
      <c r="B236" s="160" t="s">
        <v>1103</v>
      </c>
    </row>
    <row r="237" spans="1:2" x14ac:dyDescent="0.2">
      <c r="A237" s="160" t="s">
        <v>1104</v>
      </c>
      <c r="B237" s="160" t="s">
        <v>1105</v>
      </c>
    </row>
    <row r="238" spans="1:2" x14ac:dyDescent="0.2">
      <c r="A238" s="160" t="s">
        <v>1106</v>
      </c>
      <c r="B238" s="160" t="s">
        <v>1107</v>
      </c>
    </row>
    <row r="239" spans="1:2" x14ac:dyDescent="0.2">
      <c r="A239" s="160" t="s">
        <v>1108</v>
      </c>
      <c r="B239" s="160" t="s">
        <v>1109</v>
      </c>
    </row>
    <row r="240" spans="1:2" x14ac:dyDescent="0.2">
      <c r="A240" s="160" t="s">
        <v>1110</v>
      </c>
      <c r="B240" s="160" t="s">
        <v>1111</v>
      </c>
    </row>
    <row r="241" spans="1:2" x14ac:dyDescent="0.2">
      <c r="A241" s="160" t="s">
        <v>1112</v>
      </c>
      <c r="B241" s="160" t="s">
        <v>1113</v>
      </c>
    </row>
    <row r="242" spans="1:2" x14ac:dyDescent="0.2">
      <c r="A242" s="160" t="s">
        <v>1114</v>
      </c>
      <c r="B242" s="160" t="s">
        <v>1115</v>
      </c>
    </row>
    <row r="243" spans="1:2" x14ac:dyDescent="0.2">
      <c r="A243" s="160" t="s">
        <v>1116</v>
      </c>
      <c r="B243" s="160" t="s">
        <v>1117</v>
      </c>
    </row>
    <row r="244" spans="1:2" x14ac:dyDescent="0.2">
      <c r="A244" s="160" t="s">
        <v>1118</v>
      </c>
      <c r="B244" s="160" t="s">
        <v>1119</v>
      </c>
    </row>
    <row r="245" spans="1:2" x14ac:dyDescent="0.2">
      <c r="A245" s="160" t="s">
        <v>1120</v>
      </c>
      <c r="B245" s="160" t="s">
        <v>1121</v>
      </c>
    </row>
    <row r="246" spans="1:2" x14ac:dyDescent="0.2">
      <c r="A246" s="160" t="s">
        <v>1122</v>
      </c>
      <c r="B246" s="160" t="s">
        <v>1123</v>
      </c>
    </row>
    <row r="247" spans="1:2" x14ac:dyDescent="0.2">
      <c r="A247" s="160" t="s">
        <v>1124</v>
      </c>
      <c r="B247" s="160" t="s">
        <v>1125</v>
      </c>
    </row>
    <row r="248" spans="1:2" x14ac:dyDescent="0.2">
      <c r="A248" s="160" t="s">
        <v>1126</v>
      </c>
      <c r="B248" s="160" t="s">
        <v>1127</v>
      </c>
    </row>
    <row r="249" spans="1:2" x14ac:dyDescent="0.2">
      <c r="A249" s="160" t="s">
        <v>6364</v>
      </c>
      <c r="B249" s="160" t="s">
        <v>6365</v>
      </c>
    </row>
    <row r="250" spans="1:2" x14ac:dyDescent="0.2">
      <c r="A250" s="160" t="s">
        <v>1128</v>
      </c>
      <c r="B250" s="160" t="s">
        <v>1129</v>
      </c>
    </row>
    <row r="251" spans="1:2" x14ac:dyDescent="0.2">
      <c r="A251" s="160" t="s">
        <v>1130</v>
      </c>
      <c r="B251" s="160" t="s">
        <v>1131</v>
      </c>
    </row>
    <row r="252" spans="1:2" x14ac:dyDescent="0.2">
      <c r="A252" s="160" t="s">
        <v>1132</v>
      </c>
      <c r="B252" s="160" t="s">
        <v>1133</v>
      </c>
    </row>
    <row r="253" spans="1:2" x14ac:dyDescent="0.2">
      <c r="A253" s="160" t="s">
        <v>1134</v>
      </c>
      <c r="B253" s="160" t="s">
        <v>1135</v>
      </c>
    </row>
    <row r="254" spans="1:2" x14ac:dyDescent="0.2">
      <c r="A254" s="160" t="s">
        <v>1136</v>
      </c>
      <c r="B254" s="160" t="s">
        <v>1137</v>
      </c>
    </row>
    <row r="255" spans="1:2" x14ac:dyDescent="0.2">
      <c r="A255" s="160" t="s">
        <v>1138</v>
      </c>
      <c r="B255" s="160" t="s">
        <v>1139</v>
      </c>
    </row>
    <row r="256" spans="1:2" x14ac:dyDescent="0.2">
      <c r="A256" s="160" t="s">
        <v>1140</v>
      </c>
      <c r="B256" s="160" t="s">
        <v>1141</v>
      </c>
    </row>
    <row r="257" spans="1:2" x14ac:dyDescent="0.2">
      <c r="A257" s="160" t="s">
        <v>1142</v>
      </c>
      <c r="B257" s="160" t="s">
        <v>1143</v>
      </c>
    </row>
    <row r="258" spans="1:2" x14ac:dyDescent="0.2">
      <c r="A258" s="160" t="s">
        <v>1144</v>
      </c>
      <c r="B258" s="160" t="s">
        <v>1145</v>
      </c>
    </row>
    <row r="259" spans="1:2" x14ac:dyDescent="0.2">
      <c r="A259" s="160" t="s">
        <v>1146</v>
      </c>
      <c r="B259" s="160" t="s">
        <v>1147</v>
      </c>
    </row>
    <row r="260" spans="1:2" x14ac:dyDescent="0.2">
      <c r="A260" s="160" t="s">
        <v>1148</v>
      </c>
      <c r="B260" s="160" t="s">
        <v>1149</v>
      </c>
    </row>
    <row r="261" spans="1:2" x14ac:dyDescent="0.2">
      <c r="A261" s="160" t="s">
        <v>1150</v>
      </c>
      <c r="B261" s="160" t="s">
        <v>1151</v>
      </c>
    </row>
    <row r="262" spans="1:2" x14ac:dyDescent="0.2">
      <c r="A262" s="160" t="s">
        <v>1152</v>
      </c>
      <c r="B262" s="160" t="s">
        <v>1153</v>
      </c>
    </row>
    <row r="263" spans="1:2" x14ac:dyDescent="0.2">
      <c r="A263" s="160" t="s">
        <v>1154</v>
      </c>
      <c r="B263" s="160" t="s">
        <v>1155</v>
      </c>
    </row>
    <row r="264" spans="1:2" x14ac:dyDescent="0.2">
      <c r="A264" s="160" t="s">
        <v>1156</v>
      </c>
      <c r="B264" s="160" t="s">
        <v>1157</v>
      </c>
    </row>
    <row r="265" spans="1:2" x14ac:dyDescent="0.2">
      <c r="A265" s="160" t="s">
        <v>1158</v>
      </c>
      <c r="B265" s="160" t="s">
        <v>1159</v>
      </c>
    </row>
    <row r="266" spans="1:2" x14ac:dyDescent="0.2">
      <c r="A266" s="160" t="s">
        <v>1160</v>
      </c>
      <c r="B266" s="160" t="s">
        <v>1161</v>
      </c>
    </row>
    <row r="267" spans="1:2" x14ac:dyDescent="0.2">
      <c r="A267" s="160" t="s">
        <v>1162</v>
      </c>
      <c r="B267" s="160" t="s">
        <v>1163</v>
      </c>
    </row>
    <row r="268" spans="1:2" x14ac:dyDescent="0.2">
      <c r="A268" s="160" t="s">
        <v>1164</v>
      </c>
      <c r="B268" s="160" t="s">
        <v>1165</v>
      </c>
    </row>
    <row r="269" spans="1:2" x14ac:dyDescent="0.2">
      <c r="A269" s="160" t="s">
        <v>1166</v>
      </c>
      <c r="B269" s="160" t="s">
        <v>1167</v>
      </c>
    </row>
    <row r="270" spans="1:2" x14ac:dyDescent="0.2">
      <c r="A270" s="160" t="s">
        <v>1168</v>
      </c>
      <c r="B270" s="160" t="s">
        <v>1169</v>
      </c>
    </row>
    <row r="271" spans="1:2" x14ac:dyDescent="0.2">
      <c r="A271" s="160" t="s">
        <v>1170</v>
      </c>
      <c r="B271" s="160" t="s">
        <v>1171</v>
      </c>
    </row>
    <row r="272" spans="1:2" x14ac:dyDescent="0.2">
      <c r="A272" s="160" t="s">
        <v>1172</v>
      </c>
      <c r="B272" s="160" t="s">
        <v>1173</v>
      </c>
    </row>
    <row r="273" spans="1:2" x14ac:dyDescent="0.2">
      <c r="A273" s="160" t="s">
        <v>1174</v>
      </c>
      <c r="B273" s="160" t="s">
        <v>1174</v>
      </c>
    </row>
    <row r="274" spans="1:2" x14ac:dyDescent="0.2">
      <c r="A274" s="160" t="s">
        <v>6366</v>
      </c>
      <c r="B274" s="160" t="s">
        <v>6367</v>
      </c>
    </row>
    <row r="275" spans="1:2" x14ac:dyDescent="0.2">
      <c r="A275" s="160" t="s">
        <v>1175</v>
      </c>
      <c r="B275" s="160" t="s">
        <v>1176</v>
      </c>
    </row>
    <row r="276" spans="1:2" x14ac:dyDescent="0.2">
      <c r="A276" s="160" t="s">
        <v>1177</v>
      </c>
      <c r="B276" s="160" t="s">
        <v>1178</v>
      </c>
    </row>
    <row r="277" spans="1:2" x14ac:dyDescent="0.2">
      <c r="A277" s="160" t="s">
        <v>6368</v>
      </c>
      <c r="B277" s="160" t="s">
        <v>6369</v>
      </c>
    </row>
    <row r="278" spans="1:2" x14ac:dyDescent="0.2">
      <c r="A278" s="160" t="s">
        <v>1179</v>
      </c>
      <c r="B278" s="160" t="s">
        <v>1180</v>
      </c>
    </row>
    <row r="279" spans="1:2" x14ac:dyDescent="0.2">
      <c r="A279" s="160" t="s">
        <v>1181</v>
      </c>
      <c r="B279" s="160" t="s">
        <v>1182</v>
      </c>
    </row>
    <row r="280" spans="1:2" x14ac:dyDescent="0.2">
      <c r="A280" s="160" t="s">
        <v>1183</v>
      </c>
      <c r="B280" s="160" t="s">
        <v>1184</v>
      </c>
    </row>
    <row r="281" spans="1:2" x14ac:dyDescent="0.2">
      <c r="A281" s="160" t="s">
        <v>1185</v>
      </c>
      <c r="B281" s="160" t="s">
        <v>1186</v>
      </c>
    </row>
    <row r="282" spans="1:2" x14ac:dyDescent="0.2">
      <c r="A282" s="160" t="s">
        <v>1187</v>
      </c>
      <c r="B282" s="160" t="s">
        <v>1188</v>
      </c>
    </row>
    <row r="283" spans="1:2" x14ac:dyDescent="0.2">
      <c r="A283" s="160" t="s">
        <v>1189</v>
      </c>
      <c r="B283" s="160" t="s">
        <v>1190</v>
      </c>
    </row>
    <row r="284" spans="1:2" x14ac:dyDescent="0.2">
      <c r="A284" s="160" t="s">
        <v>1191</v>
      </c>
      <c r="B284" s="160" t="s">
        <v>1192</v>
      </c>
    </row>
    <row r="285" spans="1:2" x14ac:dyDescent="0.2">
      <c r="A285" s="160" t="s">
        <v>1193</v>
      </c>
      <c r="B285" s="160" t="s">
        <v>1194</v>
      </c>
    </row>
    <row r="286" spans="1:2" x14ac:dyDescent="0.2">
      <c r="A286" s="160" t="s">
        <v>1195</v>
      </c>
      <c r="B286" s="160" t="s">
        <v>1196</v>
      </c>
    </row>
    <row r="287" spans="1:2" x14ac:dyDescent="0.2">
      <c r="A287" s="160" t="s">
        <v>1197</v>
      </c>
      <c r="B287" s="160" t="s">
        <v>1198</v>
      </c>
    </row>
    <row r="288" spans="1:2" x14ac:dyDescent="0.2">
      <c r="A288" s="160" t="s">
        <v>1199</v>
      </c>
      <c r="B288" s="160" t="s">
        <v>1200</v>
      </c>
    </row>
    <row r="289" spans="1:2" x14ac:dyDescent="0.2">
      <c r="A289" s="160" t="s">
        <v>1201</v>
      </c>
      <c r="B289" s="160" t="s">
        <v>1202</v>
      </c>
    </row>
    <row r="290" spans="1:2" x14ac:dyDescent="0.2">
      <c r="A290" s="160" t="s">
        <v>1203</v>
      </c>
      <c r="B290" s="160" t="s">
        <v>1204</v>
      </c>
    </row>
    <row r="291" spans="1:2" x14ac:dyDescent="0.2">
      <c r="A291" s="160" t="s">
        <v>1205</v>
      </c>
      <c r="B291" s="160" t="s">
        <v>1206</v>
      </c>
    </row>
    <row r="292" spans="1:2" x14ac:dyDescent="0.2">
      <c r="A292" s="160" t="s">
        <v>1207</v>
      </c>
      <c r="B292" s="160" t="s">
        <v>1208</v>
      </c>
    </row>
    <row r="293" spans="1:2" x14ac:dyDescent="0.2">
      <c r="A293" s="160" t="s">
        <v>1209</v>
      </c>
      <c r="B293" s="160" t="s">
        <v>1210</v>
      </c>
    </row>
    <row r="294" spans="1:2" x14ac:dyDescent="0.2">
      <c r="A294" s="160" t="s">
        <v>1211</v>
      </c>
      <c r="B294" s="160" t="s">
        <v>1212</v>
      </c>
    </row>
    <row r="295" spans="1:2" x14ac:dyDescent="0.2">
      <c r="A295" s="160" t="s">
        <v>1213</v>
      </c>
      <c r="B295" s="160" t="s">
        <v>1214</v>
      </c>
    </row>
    <row r="296" spans="1:2" x14ac:dyDescent="0.2">
      <c r="A296" s="160" t="s">
        <v>1215</v>
      </c>
      <c r="B296" s="160" t="s">
        <v>1216</v>
      </c>
    </row>
    <row r="297" spans="1:2" x14ac:dyDescent="0.2">
      <c r="A297" s="160" t="s">
        <v>1217</v>
      </c>
      <c r="B297" s="160" t="s">
        <v>1218</v>
      </c>
    </row>
    <row r="298" spans="1:2" x14ac:dyDescent="0.2">
      <c r="A298" s="160" t="s">
        <v>1219</v>
      </c>
      <c r="B298" s="160" t="s">
        <v>1220</v>
      </c>
    </row>
    <row r="299" spans="1:2" x14ac:dyDescent="0.2">
      <c r="A299" s="160" t="s">
        <v>1221</v>
      </c>
      <c r="B299" s="160" t="s">
        <v>1222</v>
      </c>
    </row>
    <row r="300" spans="1:2" x14ac:dyDescent="0.2">
      <c r="A300" s="160" t="s">
        <v>1223</v>
      </c>
      <c r="B300" s="160" t="s">
        <v>1224</v>
      </c>
    </row>
    <row r="301" spans="1:2" x14ac:dyDescent="0.2">
      <c r="A301" s="160" t="s">
        <v>1225</v>
      </c>
      <c r="B301" s="160" t="s">
        <v>1226</v>
      </c>
    </row>
    <row r="302" spans="1:2" x14ac:dyDescent="0.2">
      <c r="A302" s="160" t="s">
        <v>1227</v>
      </c>
      <c r="B302" s="160" t="s">
        <v>1228</v>
      </c>
    </row>
    <row r="303" spans="1:2" x14ac:dyDescent="0.2">
      <c r="A303" s="160" t="s">
        <v>1229</v>
      </c>
      <c r="B303" s="160" t="s">
        <v>1230</v>
      </c>
    </row>
    <row r="304" spans="1:2" x14ac:dyDescent="0.2">
      <c r="A304" s="160" t="s">
        <v>1231</v>
      </c>
      <c r="B304" s="160" t="s">
        <v>1232</v>
      </c>
    </row>
    <row r="305" spans="1:2" x14ac:dyDescent="0.2">
      <c r="A305" s="160" t="s">
        <v>1233</v>
      </c>
      <c r="B305" s="160" t="s">
        <v>1234</v>
      </c>
    </row>
    <row r="306" spans="1:2" x14ac:dyDescent="0.2">
      <c r="A306" s="160" t="s">
        <v>1235</v>
      </c>
      <c r="B306" s="160" t="s">
        <v>1236</v>
      </c>
    </row>
    <row r="307" spans="1:2" x14ac:dyDescent="0.2">
      <c r="A307" s="160" t="s">
        <v>1237</v>
      </c>
      <c r="B307" s="160" t="s">
        <v>1238</v>
      </c>
    </row>
    <row r="308" spans="1:2" x14ac:dyDescent="0.2">
      <c r="A308" s="160" t="s">
        <v>1239</v>
      </c>
      <c r="B308" s="160" t="s">
        <v>1240</v>
      </c>
    </row>
    <row r="309" spans="1:2" x14ac:dyDescent="0.2">
      <c r="A309" s="160" t="s">
        <v>1241</v>
      </c>
      <c r="B309" s="160" t="s">
        <v>1242</v>
      </c>
    </row>
    <row r="310" spans="1:2" x14ac:dyDescent="0.2">
      <c r="A310" s="160" t="s">
        <v>1243</v>
      </c>
      <c r="B310" s="160" t="s">
        <v>1244</v>
      </c>
    </row>
    <row r="311" spans="1:2" x14ac:dyDescent="0.2">
      <c r="A311" s="160" t="s">
        <v>1245</v>
      </c>
      <c r="B311" s="160" t="s">
        <v>1246</v>
      </c>
    </row>
    <row r="312" spans="1:2" x14ac:dyDescent="0.2">
      <c r="A312" s="160" t="s">
        <v>1247</v>
      </c>
      <c r="B312" s="160" t="s">
        <v>1248</v>
      </c>
    </row>
    <row r="313" spans="1:2" x14ac:dyDescent="0.2">
      <c r="A313" s="160" t="s">
        <v>1249</v>
      </c>
      <c r="B313" s="160" t="s">
        <v>1250</v>
      </c>
    </row>
    <row r="314" spans="1:2" x14ac:dyDescent="0.2">
      <c r="A314" s="160" t="s">
        <v>6370</v>
      </c>
      <c r="B314" s="160" t="s">
        <v>6371</v>
      </c>
    </row>
    <row r="315" spans="1:2" x14ac:dyDescent="0.2">
      <c r="A315" s="160" t="s">
        <v>1251</v>
      </c>
      <c r="B315" s="160" t="s">
        <v>1252</v>
      </c>
    </row>
    <row r="316" spans="1:2" x14ac:dyDescent="0.2">
      <c r="A316" s="160" t="s">
        <v>1253</v>
      </c>
      <c r="B316" s="160" t="s">
        <v>1254</v>
      </c>
    </row>
    <row r="317" spans="1:2" x14ac:dyDescent="0.2">
      <c r="A317" s="160" t="s">
        <v>1255</v>
      </c>
      <c r="B317" s="160" t="s">
        <v>1256</v>
      </c>
    </row>
    <row r="318" spans="1:2" x14ac:dyDescent="0.2">
      <c r="A318" s="160" t="s">
        <v>1257</v>
      </c>
      <c r="B318" s="160" t="s">
        <v>1258</v>
      </c>
    </row>
    <row r="319" spans="1:2" x14ac:dyDescent="0.2">
      <c r="A319" s="160" t="s">
        <v>1259</v>
      </c>
      <c r="B319" s="160" t="s">
        <v>1260</v>
      </c>
    </row>
    <row r="320" spans="1:2" x14ac:dyDescent="0.2">
      <c r="A320" s="160" t="s">
        <v>1261</v>
      </c>
      <c r="B320" s="160" t="s">
        <v>1262</v>
      </c>
    </row>
    <row r="321" spans="1:2" x14ac:dyDescent="0.2">
      <c r="A321" s="160" t="s">
        <v>1263</v>
      </c>
      <c r="B321" s="160" t="s">
        <v>1264</v>
      </c>
    </row>
    <row r="322" spans="1:2" x14ac:dyDescent="0.2">
      <c r="A322" s="160" t="s">
        <v>1265</v>
      </c>
      <c r="B322" s="160" t="s">
        <v>1266</v>
      </c>
    </row>
    <row r="323" spans="1:2" x14ac:dyDescent="0.2">
      <c r="A323" s="160" t="s">
        <v>1267</v>
      </c>
      <c r="B323" s="160" t="s">
        <v>1268</v>
      </c>
    </row>
    <row r="324" spans="1:2" x14ac:dyDescent="0.2">
      <c r="A324" s="160" t="s">
        <v>1269</v>
      </c>
      <c r="B324" s="160" t="s">
        <v>1270</v>
      </c>
    </row>
    <row r="325" spans="1:2" x14ac:dyDescent="0.2">
      <c r="A325" s="160" t="s">
        <v>1271</v>
      </c>
      <c r="B325" s="160" t="s">
        <v>1272</v>
      </c>
    </row>
    <row r="326" spans="1:2" x14ac:dyDescent="0.2">
      <c r="A326" s="160" t="s">
        <v>1273</v>
      </c>
      <c r="B326" s="160" t="s">
        <v>1274</v>
      </c>
    </row>
    <row r="327" spans="1:2" x14ac:dyDescent="0.2">
      <c r="A327" s="160" t="s">
        <v>1275</v>
      </c>
      <c r="B327" s="160" t="s">
        <v>1276</v>
      </c>
    </row>
    <row r="328" spans="1:2" x14ac:dyDescent="0.2">
      <c r="A328" s="160" t="s">
        <v>1277</v>
      </c>
      <c r="B328" s="160" t="s">
        <v>1278</v>
      </c>
    </row>
    <row r="329" spans="1:2" x14ac:dyDescent="0.2">
      <c r="A329" s="160" t="s">
        <v>1279</v>
      </c>
      <c r="B329" s="160" t="s">
        <v>1280</v>
      </c>
    </row>
    <row r="330" spans="1:2" x14ac:dyDescent="0.2">
      <c r="A330" s="160" t="s">
        <v>1281</v>
      </c>
      <c r="B330" s="160" t="s">
        <v>1282</v>
      </c>
    </row>
    <row r="331" spans="1:2" x14ac:dyDescent="0.2">
      <c r="A331" s="160" t="s">
        <v>1283</v>
      </c>
      <c r="B331" s="160" t="s">
        <v>1284</v>
      </c>
    </row>
    <row r="332" spans="1:2" x14ac:dyDescent="0.2">
      <c r="A332" s="160" t="s">
        <v>1285</v>
      </c>
      <c r="B332" s="160" t="s">
        <v>1286</v>
      </c>
    </row>
    <row r="333" spans="1:2" x14ac:dyDescent="0.2">
      <c r="A333" s="160" t="s">
        <v>1287</v>
      </c>
      <c r="B333" s="160" t="s">
        <v>1288</v>
      </c>
    </row>
    <row r="334" spans="1:2" x14ac:dyDescent="0.2">
      <c r="A334" s="160" t="s">
        <v>1289</v>
      </c>
      <c r="B334" s="160" t="s">
        <v>1290</v>
      </c>
    </row>
    <row r="335" spans="1:2" x14ac:dyDescent="0.2">
      <c r="A335" s="160" t="s">
        <v>1291</v>
      </c>
      <c r="B335" s="160" t="s">
        <v>1292</v>
      </c>
    </row>
    <row r="336" spans="1:2" x14ac:dyDescent="0.2">
      <c r="A336" s="160" t="s">
        <v>1293</v>
      </c>
      <c r="B336" s="160" t="s">
        <v>1294</v>
      </c>
    </row>
    <row r="337" spans="1:2" x14ac:dyDescent="0.2">
      <c r="A337" s="160" t="s">
        <v>1295</v>
      </c>
      <c r="B337" s="160" t="s">
        <v>1296</v>
      </c>
    </row>
    <row r="338" spans="1:2" x14ac:dyDescent="0.2">
      <c r="A338" s="160" t="s">
        <v>1297</v>
      </c>
      <c r="B338" s="160" t="s">
        <v>1298</v>
      </c>
    </row>
    <row r="339" spans="1:2" x14ac:dyDescent="0.2">
      <c r="A339" s="160" t="s">
        <v>6372</v>
      </c>
      <c r="B339" s="160" t="s">
        <v>6373</v>
      </c>
    </row>
    <row r="340" spans="1:2" x14ac:dyDescent="0.2">
      <c r="A340" s="160" t="s">
        <v>1299</v>
      </c>
      <c r="B340" s="160" t="s">
        <v>1300</v>
      </c>
    </row>
    <row r="341" spans="1:2" x14ac:dyDescent="0.2">
      <c r="A341" s="160" t="s">
        <v>1301</v>
      </c>
      <c r="B341" s="160" t="s">
        <v>1302</v>
      </c>
    </row>
    <row r="342" spans="1:2" x14ac:dyDescent="0.2">
      <c r="A342" s="160" t="s">
        <v>1303</v>
      </c>
      <c r="B342" s="160" t="s">
        <v>1304</v>
      </c>
    </row>
    <row r="343" spans="1:2" x14ac:dyDescent="0.2">
      <c r="A343" s="160" t="s">
        <v>1305</v>
      </c>
      <c r="B343" s="160" t="s">
        <v>1306</v>
      </c>
    </row>
    <row r="344" spans="1:2" x14ac:dyDescent="0.2">
      <c r="A344" s="160" t="s">
        <v>1307</v>
      </c>
      <c r="B344" s="160" t="s">
        <v>1308</v>
      </c>
    </row>
    <row r="345" spans="1:2" x14ac:dyDescent="0.2">
      <c r="A345" s="160" t="s">
        <v>1309</v>
      </c>
      <c r="B345" s="160" t="s">
        <v>1310</v>
      </c>
    </row>
    <row r="346" spans="1:2" x14ac:dyDescent="0.2">
      <c r="A346" s="160" t="s">
        <v>1311</v>
      </c>
      <c r="B346" s="160" t="s">
        <v>1312</v>
      </c>
    </row>
    <row r="347" spans="1:2" x14ac:dyDescent="0.2">
      <c r="A347" s="160" t="s">
        <v>1313</v>
      </c>
      <c r="B347" s="160" t="s">
        <v>1314</v>
      </c>
    </row>
    <row r="348" spans="1:2" x14ac:dyDescent="0.2">
      <c r="A348" s="160" t="s">
        <v>1315</v>
      </c>
      <c r="B348" s="160" t="s">
        <v>1316</v>
      </c>
    </row>
    <row r="349" spans="1:2" x14ac:dyDescent="0.2">
      <c r="A349" s="160" t="s">
        <v>1317</v>
      </c>
      <c r="B349" s="160" t="s">
        <v>1318</v>
      </c>
    </row>
    <row r="350" spans="1:2" x14ac:dyDescent="0.2">
      <c r="A350" s="160" t="s">
        <v>1319</v>
      </c>
      <c r="B350" s="160" t="s">
        <v>1320</v>
      </c>
    </row>
    <row r="351" spans="1:2" x14ac:dyDescent="0.2">
      <c r="A351" s="160" t="s">
        <v>1321</v>
      </c>
      <c r="B351" s="160" t="s">
        <v>1322</v>
      </c>
    </row>
    <row r="352" spans="1:2" x14ac:dyDescent="0.2">
      <c r="A352" s="160" t="s">
        <v>1323</v>
      </c>
      <c r="B352" s="160" t="s">
        <v>1324</v>
      </c>
    </row>
    <row r="353" spans="1:2" x14ac:dyDescent="0.2">
      <c r="A353" s="160" t="s">
        <v>1325</v>
      </c>
      <c r="B353" s="160" t="s">
        <v>1326</v>
      </c>
    </row>
    <row r="354" spans="1:2" x14ac:dyDescent="0.2">
      <c r="A354" s="160" t="s">
        <v>1327</v>
      </c>
      <c r="B354" s="160" t="s">
        <v>1328</v>
      </c>
    </row>
    <row r="355" spans="1:2" x14ac:dyDescent="0.2">
      <c r="A355" s="160" t="s">
        <v>1329</v>
      </c>
      <c r="B355" s="160" t="s">
        <v>1330</v>
      </c>
    </row>
    <row r="356" spans="1:2" x14ac:dyDescent="0.2">
      <c r="A356" s="160" t="s">
        <v>1331</v>
      </c>
      <c r="B356" s="160" t="s">
        <v>1332</v>
      </c>
    </row>
    <row r="357" spans="1:2" x14ac:dyDescent="0.2">
      <c r="A357" s="160" t="s">
        <v>1333</v>
      </c>
      <c r="B357" s="160" t="s">
        <v>1334</v>
      </c>
    </row>
    <row r="358" spans="1:2" x14ac:dyDescent="0.2">
      <c r="A358" s="160" t="s">
        <v>1335</v>
      </c>
      <c r="B358" s="160" t="s">
        <v>1336</v>
      </c>
    </row>
    <row r="359" spans="1:2" x14ac:dyDescent="0.2">
      <c r="A359" s="160" t="s">
        <v>1337</v>
      </c>
      <c r="B359" s="160" t="s">
        <v>1338</v>
      </c>
    </row>
    <row r="360" spans="1:2" x14ac:dyDescent="0.2">
      <c r="A360" s="160" t="s">
        <v>1339</v>
      </c>
      <c r="B360" s="160" t="s">
        <v>1340</v>
      </c>
    </row>
    <row r="361" spans="1:2" x14ac:dyDescent="0.2">
      <c r="A361" s="160" t="s">
        <v>1341</v>
      </c>
      <c r="B361" s="160" t="s">
        <v>1342</v>
      </c>
    </row>
    <row r="362" spans="1:2" x14ac:dyDescent="0.2">
      <c r="A362" s="160" t="s">
        <v>1343</v>
      </c>
      <c r="B362" s="160" t="s">
        <v>1344</v>
      </c>
    </row>
    <row r="363" spans="1:2" x14ac:dyDescent="0.2">
      <c r="A363" s="160" t="s">
        <v>1345</v>
      </c>
      <c r="B363" s="160" t="s">
        <v>1346</v>
      </c>
    </row>
    <row r="364" spans="1:2" x14ac:dyDescent="0.2">
      <c r="A364" s="160" t="s">
        <v>1347</v>
      </c>
      <c r="B364" s="160" t="s">
        <v>1348</v>
      </c>
    </row>
    <row r="365" spans="1:2" x14ac:dyDescent="0.2">
      <c r="A365" s="160" t="s">
        <v>1349</v>
      </c>
      <c r="B365" s="160" t="s">
        <v>1350</v>
      </c>
    </row>
    <row r="366" spans="1:2" x14ac:dyDescent="0.2">
      <c r="A366" s="160" t="s">
        <v>1351</v>
      </c>
      <c r="B366" s="160" t="s">
        <v>1352</v>
      </c>
    </row>
    <row r="367" spans="1:2" x14ac:dyDescent="0.2">
      <c r="A367" s="160" t="s">
        <v>1353</v>
      </c>
      <c r="B367" s="160" t="s">
        <v>1354</v>
      </c>
    </row>
    <row r="368" spans="1:2" x14ac:dyDescent="0.2">
      <c r="A368" s="160" t="s">
        <v>1355</v>
      </c>
      <c r="B368" s="160" t="s">
        <v>1356</v>
      </c>
    </row>
    <row r="369" spans="1:2" x14ac:dyDescent="0.2">
      <c r="A369" s="160" t="s">
        <v>1357</v>
      </c>
      <c r="B369" s="160" t="s">
        <v>1358</v>
      </c>
    </row>
    <row r="370" spans="1:2" x14ac:dyDescent="0.2">
      <c r="A370" s="160" t="s">
        <v>1359</v>
      </c>
      <c r="B370" s="160" t="s">
        <v>1360</v>
      </c>
    </row>
    <row r="371" spans="1:2" x14ac:dyDescent="0.2">
      <c r="A371" s="160" t="s">
        <v>1361</v>
      </c>
      <c r="B371" s="160" t="s">
        <v>1362</v>
      </c>
    </row>
    <row r="372" spans="1:2" x14ac:dyDescent="0.2">
      <c r="A372" s="160" t="s">
        <v>1363</v>
      </c>
      <c r="B372" s="160" t="s">
        <v>1364</v>
      </c>
    </row>
    <row r="373" spans="1:2" x14ac:dyDescent="0.2">
      <c r="A373" s="160" t="s">
        <v>1365</v>
      </c>
      <c r="B373" s="160" t="s">
        <v>1366</v>
      </c>
    </row>
    <row r="374" spans="1:2" x14ac:dyDescent="0.2">
      <c r="A374" s="160" t="s">
        <v>1367</v>
      </c>
      <c r="B374" s="160" t="s">
        <v>1368</v>
      </c>
    </row>
    <row r="375" spans="1:2" x14ac:dyDescent="0.2">
      <c r="A375" s="160" t="s">
        <v>1369</v>
      </c>
      <c r="B375" s="160" t="s">
        <v>1370</v>
      </c>
    </row>
    <row r="376" spans="1:2" x14ac:dyDescent="0.2">
      <c r="A376" s="160" t="s">
        <v>1371</v>
      </c>
      <c r="B376" s="160" t="s">
        <v>1372</v>
      </c>
    </row>
    <row r="377" spans="1:2" x14ac:dyDescent="0.2">
      <c r="A377" s="160" t="s">
        <v>1373</v>
      </c>
      <c r="B377" s="160" t="s">
        <v>1374</v>
      </c>
    </row>
    <row r="378" spans="1:2" x14ac:dyDescent="0.2">
      <c r="A378" s="160" t="s">
        <v>1375</v>
      </c>
      <c r="B378" s="160" t="s">
        <v>1376</v>
      </c>
    </row>
    <row r="379" spans="1:2" x14ac:dyDescent="0.2">
      <c r="A379" s="160" t="s">
        <v>1377</v>
      </c>
      <c r="B379" s="160" t="s">
        <v>1378</v>
      </c>
    </row>
    <row r="380" spans="1:2" x14ac:dyDescent="0.2">
      <c r="A380" s="160" t="s">
        <v>1379</v>
      </c>
      <c r="B380" s="160" t="s">
        <v>1380</v>
      </c>
    </row>
    <row r="381" spans="1:2" x14ac:dyDescent="0.2">
      <c r="A381" s="160" t="s">
        <v>1381</v>
      </c>
      <c r="B381" s="160" t="s">
        <v>1382</v>
      </c>
    </row>
    <row r="382" spans="1:2" x14ac:dyDescent="0.2">
      <c r="A382" s="160" t="s">
        <v>1383</v>
      </c>
      <c r="B382" s="160" t="s">
        <v>1384</v>
      </c>
    </row>
    <row r="383" spans="1:2" x14ac:dyDescent="0.2">
      <c r="A383" s="160" t="s">
        <v>1385</v>
      </c>
      <c r="B383" s="160" t="s">
        <v>1386</v>
      </c>
    </row>
    <row r="384" spans="1:2" x14ac:dyDescent="0.2">
      <c r="A384" s="160" t="s">
        <v>1387</v>
      </c>
      <c r="B384" s="160" t="s">
        <v>1388</v>
      </c>
    </row>
    <row r="385" spans="1:2" x14ac:dyDescent="0.2">
      <c r="A385" s="160" t="s">
        <v>1389</v>
      </c>
      <c r="B385" s="160" t="s">
        <v>1390</v>
      </c>
    </row>
    <row r="386" spans="1:2" x14ac:dyDescent="0.2">
      <c r="A386" s="160" t="s">
        <v>1391</v>
      </c>
      <c r="B386" s="160" t="s">
        <v>1392</v>
      </c>
    </row>
    <row r="387" spans="1:2" x14ac:dyDescent="0.2">
      <c r="A387" s="160" t="s">
        <v>1393</v>
      </c>
      <c r="B387" s="160" t="s">
        <v>1394</v>
      </c>
    </row>
    <row r="388" spans="1:2" x14ac:dyDescent="0.2">
      <c r="A388" s="160" t="s">
        <v>1395</v>
      </c>
      <c r="B388" s="160" t="s">
        <v>1396</v>
      </c>
    </row>
    <row r="389" spans="1:2" x14ac:dyDescent="0.2">
      <c r="A389" s="160" t="s">
        <v>1397</v>
      </c>
      <c r="B389" s="160" t="s">
        <v>1398</v>
      </c>
    </row>
    <row r="390" spans="1:2" x14ac:dyDescent="0.2">
      <c r="A390" s="160" t="s">
        <v>1399</v>
      </c>
      <c r="B390" s="160" t="s">
        <v>1400</v>
      </c>
    </row>
    <row r="391" spans="1:2" x14ac:dyDescent="0.2">
      <c r="A391" s="160" t="s">
        <v>1401</v>
      </c>
      <c r="B391" s="160" t="s">
        <v>1402</v>
      </c>
    </row>
    <row r="392" spans="1:2" x14ac:dyDescent="0.2">
      <c r="A392" s="160" t="s">
        <v>1403</v>
      </c>
      <c r="B392" s="160" t="s">
        <v>1404</v>
      </c>
    </row>
    <row r="393" spans="1:2" x14ac:dyDescent="0.2">
      <c r="A393" s="160" t="s">
        <v>1405</v>
      </c>
      <c r="B393" s="160" t="s">
        <v>1406</v>
      </c>
    </row>
    <row r="394" spans="1:2" x14ac:dyDescent="0.2">
      <c r="A394" s="160" t="s">
        <v>1407</v>
      </c>
      <c r="B394" s="160" t="s">
        <v>1408</v>
      </c>
    </row>
    <row r="395" spans="1:2" x14ac:dyDescent="0.2">
      <c r="A395" s="160" t="s">
        <v>1409</v>
      </c>
      <c r="B395" s="160" t="s">
        <v>1410</v>
      </c>
    </row>
    <row r="396" spans="1:2" x14ac:dyDescent="0.2">
      <c r="A396" s="160" t="s">
        <v>1411</v>
      </c>
      <c r="B396" s="160" t="s">
        <v>1412</v>
      </c>
    </row>
    <row r="397" spans="1:2" x14ac:dyDescent="0.2">
      <c r="A397" s="160" t="s">
        <v>1413</v>
      </c>
      <c r="B397" s="160" t="s">
        <v>1414</v>
      </c>
    </row>
    <row r="398" spans="1:2" x14ac:dyDescent="0.2">
      <c r="A398" s="160" t="s">
        <v>1415</v>
      </c>
      <c r="B398" s="160" t="s">
        <v>1416</v>
      </c>
    </row>
    <row r="399" spans="1:2" x14ac:dyDescent="0.2">
      <c r="A399" s="160" t="s">
        <v>1417</v>
      </c>
      <c r="B399" s="160" t="s">
        <v>1418</v>
      </c>
    </row>
    <row r="400" spans="1:2" x14ac:dyDescent="0.2">
      <c r="A400" s="160" t="s">
        <v>1419</v>
      </c>
      <c r="B400" s="160" t="s">
        <v>1420</v>
      </c>
    </row>
    <row r="401" spans="1:2" x14ac:dyDescent="0.2">
      <c r="A401" s="160" t="s">
        <v>6374</v>
      </c>
      <c r="B401" s="160" t="s">
        <v>6375</v>
      </c>
    </row>
    <row r="402" spans="1:2" x14ac:dyDescent="0.2">
      <c r="A402" s="160" t="s">
        <v>1421</v>
      </c>
      <c r="B402" s="160" t="s">
        <v>1422</v>
      </c>
    </row>
    <row r="403" spans="1:2" x14ac:dyDescent="0.2">
      <c r="A403" s="160" t="s">
        <v>1423</v>
      </c>
      <c r="B403" s="160" t="s">
        <v>1424</v>
      </c>
    </row>
    <row r="404" spans="1:2" x14ac:dyDescent="0.2">
      <c r="A404" s="160" t="s">
        <v>1425</v>
      </c>
      <c r="B404" s="160" t="s">
        <v>1426</v>
      </c>
    </row>
    <row r="405" spans="1:2" x14ac:dyDescent="0.2">
      <c r="A405" s="160" t="s">
        <v>1427</v>
      </c>
      <c r="B405" s="160" t="s">
        <v>1428</v>
      </c>
    </row>
    <row r="406" spans="1:2" x14ac:dyDescent="0.2">
      <c r="A406" s="160" t="s">
        <v>1429</v>
      </c>
      <c r="B406" s="160" t="s">
        <v>1430</v>
      </c>
    </row>
    <row r="407" spans="1:2" x14ac:dyDescent="0.2">
      <c r="A407" s="160" t="s">
        <v>1431</v>
      </c>
      <c r="B407" s="160" t="s">
        <v>1432</v>
      </c>
    </row>
    <row r="408" spans="1:2" x14ac:dyDescent="0.2">
      <c r="A408" s="160" t="s">
        <v>1433</v>
      </c>
      <c r="B408" s="160" t="s">
        <v>1434</v>
      </c>
    </row>
    <row r="409" spans="1:2" x14ac:dyDescent="0.2">
      <c r="A409" s="160" t="s">
        <v>1435</v>
      </c>
      <c r="B409" s="160" t="s">
        <v>1436</v>
      </c>
    </row>
    <row r="410" spans="1:2" x14ac:dyDescent="0.2">
      <c r="A410" s="160" t="s">
        <v>1437</v>
      </c>
      <c r="B410" s="160" t="s">
        <v>1438</v>
      </c>
    </row>
    <row r="411" spans="1:2" x14ac:dyDescent="0.2">
      <c r="A411" s="160" t="s">
        <v>1439</v>
      </c>
      <c r="B411" s="160" t="s">
        <v>1440</v>
      </c>
    </row>
    <row r="412" spans="1:2" x14ac:dyDescent="0.2">
      <c r="A412" s="160" t="s">
        <v>1441</v>
      </c>
      <c r="B412" s="160" t="s">
        <v>1442</v>
      </c>
    </row>
    <row r="413" spans="1:2" x14ac:dyDescent="0.2">
      <c r="A413" s="160" t="s">
        <v>1443</v>
      </c>
      <c r="B413" s="160" t="s">
        <v>1444</v>
      </c>
    </row>
    <row r="414" spans="1:2" x14ac:dyDescent="0.2">
      <c r="A414" s="160" t="s">
        <v>1445</v>
      </c>
      <c r="B414" s="160" t="s">
        <v>1446</v>
      </c>
    </row>
    <row r="415" spans="1:2" x14ac:dyDescent="0.2">
      <c r="A415" s="160" t="s">
        <v>1447</v>
      </c>
      <c r="B415" s="160" t="s">
        <v>1448</v>
      </c>
    </row>
    <row r="416" spans="1:2" x14ac:dyDescent="0.2">
      <c r="A416" s="160" t="s">
        <v>1449</v>
      </c>
      <c r="B416" s="160" t="s">
        <v>1450</v>
      </c>
    </row>
    <row r="417" spans="1:2" x14ac:dyDescent="0.2">
      <c r="A417" s="160" t="s">
        <v>1451</v>
      </c>
      <c r="B417" s="160" t="s">
        <v>1452</v>
      </c>
    </row>
    <row r="418" spans="1:2" x14ac:dyDescent="0.2">
      <c r="A418" s="160" t="s">
        <v>1453</v>
      </c>
      <c r="B418" s="160" t="s">
        <v>1454</v>
      </c>
    </row>
    <row r="419" spans="1:2" x14ac:dyDescent="0.2">
      <c r="A419" s="160" t="s">
        <v>1455</v>
      </c>
      <c r="B419" s="160" t="s">
        <v>1456</v>
      </c>
    </row>
    <row r="420" spans="1:2" x14ac:dyDescent="0.2">
      <c r="A420" s="160" t="s">
        <v>1457</v>
      </c>
      <c r="B420" s="160" t="s">
        <v>1458</v>
      </c>
    </row>
    <row r="421" spans="1:2" x14ac:dyDescent="0.2">
      <c r="A421" s="160" t="s">
        <v>6376</v>
      </c>
      <c r="B421" s="160" t="s">
        <v>6377</v>
      </c>
    </row>
    <row r="422" spans="1:2" x14ac:dyDescent="0.2">
      <c r="A422" s="160" t="s">
        <v>1459</v>
      </c>
      <c r="B422" s="160" t="s">
        <v>1460</v>
      </c>
    </row>
    <row r="423" spans="1:2" x14ac:dyDescent="0.2">
      <c r="A423" s="160" t="s">
        <v>6378</v>
      </c>
      <c r="B423" s="160" t="s">
        <v>6379</v>
      </c>
    </row>
    <row r="424" spans="1:2" x14ac:dyDescent="0.2">
      <c r="A424" s="160" t="s">
        <v>1461</v>
      </c>
      <c r="B424" s="160" t="s">
        <v>1462</v>
      </c>
    </row>
    <row r="425" spans="1:2" x14ac:dyDescent="0.2">
      <c r="A425" s="160" t="s">
        <v>1463</v>
      </c>
      <c r="B425" s="160" t="s">
        <v>1464</v>
      </c>
    </row>
    <row r="426" spans="1:2" x14ac:dyDescent="0.2">
      <c r="A426" s="160" t="s">
        <v>1465</v>
      </c>
      <c r="B426" s="160" t="s">
        <v>1466</v>
      </c>
    </row>
    <row r="427" spans="1:2" x14ac:dyDescent="0.2">
      <c r="A427" s="160" t="s">
        <v>1467</v>
      </c>
      <c r="B427" s="160" t="s">
        <v>1468</v>
      </c>
    </row>
    <row r="428" spans="1:2" x14ac:dyDescent="0.2">
      <c r="A428" s="160" t="s">
        <v>1469</v>
      </c>
      <c r="B428" s="160" t="s">
        <v>1470</v>
      </c>
    </row>
    <row r="429" spans="1:2" x14ac:dyDescent="0.2">
      <c r="A429" s="160" t="s">
        <v>1471</v>
      </c>
      <c r="B429" s="160" t="s">
        <v>1472</v>
      </c>
    </row>
    <row r="430" spans="1:2" x14ac:dyDescent="0.2">
      <c r="A430" s="160" t="s">
        <v>1473</v>
      </c>
      <c r="B430" s="160" t="s">
        <v>1474</v>
      </c>
    </row>
    <row r="431" spans="1:2" x14ac:dyDescent="0.2">
      <c r="A431" s="160" t="s">
        <v>1475</v>
      </c>
      <c r="B431" s="160" t="s">
        <v>1476</v>
      </c>
    </row>
    <row r="432" spans="1:2" x14ac:dyDescent="0.2">
      <c r="A432" s="160" t="s">
        <v>1477</v>
      </c>
      <c r="B432" s="160" t="s">
        <v>1478</v>
      </c>
    </row>
    <row r="433" spans="1:2" x14ac:dyDescent="0.2">
      <c r="A433" s="160" t="s">
        <v>6380</v>
      </c>
      <c r="B433" s="160" t="s">
        <v>6381</v>
      </c>
    </row>
    <row r="434" spans="1:2" x14ac:dyDescent="0.2">
      <c r="A434" s="160" t="s">
        <v>1479</v>
      </c>
      <c r="B434" s="160" t="s">
        <v>1480</v>
      </c>
    </row>
    <row r="435" spans="1:2" x14ac:dyDescent="0.2">
      <c r="A435" s="160" t="s">
        <v>1481</v>
      </c>
      <c r="B435" s="160" t="s">
        <v>1482</v>
      </c>
    </row>
    <row r="436" spans="1:2" x14ac:dyDescent="0.2">
      <c r="A436" s="160" t="s">
        <v>6382</v>
      </c>
      <c r="B436" s="160" t="s">
        <v>6383</v>
      </c>
    </row>
    <row r="437" spans="1:2" x14ac:dyDescent="0.2">
      <c r="A437" s="160" t="s">
        <v>1483</v>
      </c>
      <c r="B437" s="160" t="s">
        <v>1484</v>
      </c>
    </row>
    <row r="438" spans="1:2" x14ac:dyDescent="0.2">
      <c r="A438" s="160" t="s">
        <v>6384</v>
      </c>
      <c r="B438" s="160" t="s">
        <v>6385</v>
      </c>
    </row>
    <row r="439" spans="1:2" x14ac:dyDescent="0.2">
      <c r="A439" s="160" t="s">
        <v>1485</v>
      </c>
      <c r="B439" s="160" t="s">
        <v>1486</v>
      </c>
    </row>
    <row r="440" spans="1:2" x14ac:dyDescent="0.2">
      <c r="A440" s="160" t="s">
        <v>1487</v>
      </c>
      <c r="B440" s="160" t="s">
        <v>1488</v>
      </c>
    </row>
    <row r="441" spans="1:2" x14ac:dyDescent="0.2">
      <c r="A441" s="160" t="s">
        <v>1489</v>
      </c>
      <c r="B441" s="160" t="s">
        <v>1490</v>
      </c>
    </row>
    <row r="442" spans="1:2" x14ac:dyDescent="0.2">
      <c r="A442" s="160" t="s">
        <v>1491</v>
      </c>
      <c r="B442" s="160" t="s">
        <v>1492</v>
      </c>
    </row>
    <row r="443" spans="1:2" x14ac:dyDescent="0.2">
      <c r="A443" s="160" t="s">
        <v>1493</v>
      </c>
      <c r="B443" s="160" t="s">
        <v>1494</v>
      </c>
    </row>
    <row r="444" spans="1:2" x14ac:dyDescent="0.2">
      <c r="A444" s="160" t="s">
        <v>1495</v>
      </c>
      <c r="B444" s="160" t="s">
        <v>1496</v>
      </c>
    </row>
    <row r="445" spans="1:2" x14ac:dyDescent="0.2">
      <c r="A445" s="160" t="s">
        <v>1497</v>
      </c>
      <c r="B445" s="160" t="s">
        <v>1498</v>
      </c>
    </row>
    <row r="446" spans="1:2" x14ac:dyDescent="0.2">
      <c r="A446" s="160" t="s">
        <v>1499</v>
      </c>
      <c r="B446" s="160" t="s">
        <v>1500</v>
      </c>
    </row>
    <row r="447" spans="1:2" x14ac:dyDescent="0.2">
      <c r="A447" s="160" t="s">
        <v>1501</v>
      </c>
      <c r="B447" s="160" t="s">
        <v>1502</v>
      </c>
    </row>
    <row r="448" spans="1:2" x14ac:dyDescent="0.2">
      <c r="A448" s="160" t="s">
        <v>6386</v>
      </c>
      <c r="B448" s="160" t="s">
        <v>6387</v>
      </c>
    </row>
    <row r="449" spans="1:2" x14ac:dyDescent="0.2">
      <c r="A449" s="160" t="s">
        <v>1503</v>
      </c>
      <c r="B449" s="160" t="s">
        <v>1504</v>
      </c>
    </row>
    <row r="450" spans="1:2" x14ac:dyDescent="0.2">
      <c r="A450" s="160" t="s">
        <v>1505</v>
      </c>
      <c r="B450" s="160" t="s">
        <v>1506</v>
      </c>
    </row>
    <row r="451" spans="1:2" x14ac:dyDescent="0.2">
      <c r="A451" s="160" t="s">
        <v>1507</v>
      </c>
      <c r="B451" s="160" t="s">
        <v>1508</v>
      </c>
    </row>
    <row r="452" spans="1:2" x14ac:dyDescent="0.2">
      <c r="A452" s="160" t="s">
        <v>1509</v>
      </c>
      <c r="B452" s="160" t="s">
        <v>1510</v>
      </c>
    </row>
    <row r="453" spans="1:2" x14ac:dyDescent="0.2">
      <c r="A453" s="160" t="s">
        <v>1511</v>
      </c>
      <c r="B453" s="160" t="s">
        <v>1512</v>
      </c>
    </row>
    <row r="454" spans="1:2" x14ac:dyDescent="0.2">
      <c r="A454" s="160" t="s">
        <v>1513</v>
      </c>
      <c r="B454" s="160" t="s">
        <v>1514</v>
      </c>
    </row>
    <row r="455" spans="1:2" x14ac:dyDescent="0.2">
      <c r="A455" s="160" t="s">
        <v>1515</v>
      </c>
      <c r="B455" s="160" t="s">
        <v>1516</v>
      </c>
    </row>
    <row r="456" spans="1:2" x14ac:dyDescent="0.2">
      <c r="A456" s="160" t="s">
        <v>1517</v>
      </c>
      <c r="B456" s="160" t="s">
        <v>1518</v>
      </c>
    </row>
    <row r="457" spans="1:2" x14ac:dyDescent="0.2">
      <c r="A457" s="160" t="s">
        <v>1519</v>
      </c>
      <c r="B457" s="160" t="s">
        <v>1520</v>
      </c>
    </row>
    <row r="458" spans="1:2" x14ac:dyDescent="0.2">
      <c r="A458" s="160" t="s">
        <v>1521</v>
      </c>
      <c r="B458" s="160" t="s">
        <v>1522</v>
      </c>
    </row>
    <row r="459" spans="1:2" x14ac:dyDescent="0.2">
      <c r="A459" s="160" t="s">
        <v>1523</v>
      </c>
      <c r="B459" s="160" t="s">
        <v>1524</v>
      </c>
    </row>
    <row r="460" spans="1:2" x14ac:dyDescent="0.2">
      <c r="A460" s="160" t="s">
        <v>1525</v>
      </c>
      <c r="B460" s="160" t="s">
        <v>1526</v>
      </c>
    </row>
    <row r="461" spans="1:2" x14ac:dyDescent="0.2">
      <c r="A461" s="160" t="s">
        <v>1527</v>
      </c>
      <c r="B461" s="160" t="s">
        <v>1528</v>
      </c>
    </row>
    <row r="462" spans="1:2" x14ac:dyDescent="0.2">
      <c r="A462" s="160" t="s">
        <v>1529</v>
      </c>
      <c r="B462" s="160" t="s">
        <v>1530</v>
      </c>
    </row>
    <row r="463" spans="1:2" x14ac:dyDescent="0.2">
      <c r="A463" s="160" t="s">
        <v>1531</v>
      </c>
      <c r="B463" s="160" t="s">
        <v>1532</v>
      </c>
    </row>
    <row r="464" spans="1:2" x14ac:dyDescent="0.2">
      <c r="A464" s="160" t="s">
        <v>1533</v>
      </c>
      <c r="B464" s="160" t="s">
        <v>1534</v>
      </c>
    </row>
    <row r="465" spans="1:2" x14ac:dyDescent="0.2">
      <c r="A465" s="160" t="s">
        <v>1535</v>
      </c>
      <c r="B465" s="160" t="s">
        <v>1536</v>
      </c>
    </row>
    <row r="466" spans="1:2" x14ac:dyDescent="0.2">
      <c r="A466" s="160" t="s">
        <v>1537</v>
      </c>
      <c r="B466" s="160" t="s">
        <v>1538</v>
      </c>
    </row>
    <row r="467" spans="1:2" x14ac:dyDescent="0.2">
      <c r="A467" s="160" t="s">
        <v>1539</v>
      </c>
      <c r="B467" s="160" t="s">
        <v>1540</v>
      </c>
    </row>
    <row r="468" spans="1:2" x14ac:dyDescent="0.2">
      <c r="A468" s="160" t="s">
        <v>1541</v>
      </c>
      <c r="B468" s="160" t="s">
        <v>6388</v>
      </c>
    </row>
    <row r="469" spans="1:2" x14ac:dyDescent="0.2">
      <c r="A469" s="160" t="s">
        <v>1542</v>
      </c>
      <c r="B469" s="160" t="s">
        <v>1543</v>
      </c>
    </row>
    <row r="470" spans="1:2" x14ac:dyDescent="0.2">
      <c r="A470" s="160" t="s">
        <v>1544</v>
      </c>
      <c r="B470" s="160" t="s">
        <v>1545</v>
      </c>
    </row>
    <row r="471" spans="1:2" x14ac:dyDescent="0.2">
      <c r="A471" s="160" t="s">
        <v>1546</v>
      </c>
      <c r="B471" s="160" t="s">
        <v>1547</v>
      </c>
    </row>
    <row r="472" spans="1:2" x14ac:dyDescent="0.2">
      <c r="A472" s="160" t="s">
        <v>1548</v>
      </c>
      <c r="B472" s="160" t="s">
        <v>1549</v>
      </c>
    </row>
    <row r="473" spans="1:2" x14ac:dyDescent="0.2">
      <c r="A473" s="160" t="s">
        <v>1550</v>
      </c>
      <c r="B473" s="160" t="s">
        <v>1551</v>
      </c>
    </row>
    <row r="474" spans="1:2" x14ac:dyDescent="0.2">
      <c r="A474" s="160" t="s">
        <v>1552</v>
      </c>
      <c r="B474" s="160" t="s">
        <v>1553</v>
      </c>
    </row>
    <row r="475" spans="1:2" x14ac:dyDescent="0.2">
      <c r="A475" s="160" t="s">
        <v>1554</v>
      </c>
      <c r="B475" s="160" t="s">
        <v>1555</v>
      </c>
    </row>
    <row r="476" spans="1:2" x14ac:dyDescent="0.2">
      <c r="A476" s="160" t="s">
        <v>1556</v>
      </c>
      <c r="B476" s="160" t="s">
        <v>1557</v>
      </c>
    </row>
    <row r="477" spans="1:2" x14ac:dyDescent="0.2">
      <c r="A477" s="160" t="s">
        <v>1558</v>
      </c>
      <c r="B477" s="160" t="s">
        <v>1559</v>
      </c>
    </row>
    <row r="478" spans="1:2" x14ac:dyDescent="0.2">
      <c r="A478" s="160" t="s">
        <v>1560</v>
      </c>
      <c r="B478" s="160" t="s">
        <v>1561</v>
      </c>
    </row>
    <row r="479" spans="1:2" x14ac:dyDescent="0.2">
      <c r="A479" s="160" t="s">
        <v>1562</v>
      </c>
      <c r="B479" s="160" t="s">
        <v>1563</v>
      </c>
    </row>
    <row r="480" spans="1:2" x14ac:dyDescent="0.2">
      <c r="A480" s="160" t="s">
        <v>1564</v>
      </c>
      <c r="B480" s="160" t="s">
        <v>1565</v>
      </c>
    </row>
    <row r="481" spans="1:2" x14ac:dyDescent="0.2">
      <c r="A481" s="160" t="s">
        <v>1566</v>
      </c>
      <c r="B481" s="160" t="s">
        <v>1567</v>
      </c>
    </row>
    <row r="482" spans="1:2" x14ac:dyDescent="0.2">
      <c r="A482" s="160" t="s">
        <v>1568</v>
      </c>
      <c r="B482" s="160" t="s">
        <v>1569</v>
      </c>
    </row>
    <row r="483" spans="1:2" x14ac:dyDescent="0.2">
      <c r="A483" s="160" t="s">
        <v>1570</v>
      </c>
      <c r="B483" s="160" t="s">
        <v>1571</v>
      </c>
    </row>
    <row r="484" spans="1:2" x14ac:dyDescent="0.2">
      <c r="A484" s="160" t="s">
        <v>1572</v>
      </c>
      <c r="B484" s="160" t="s">
        <v>1573</v>
      </c>
    </row>
    <row r="485" spans="1:2" x14ac:dyDescent="0.2">
      <c r="A485" s="160" t="s">
        <v>1574</v>
      </c>
      <c r="B485" s="160" t="s">
        <v>1575</v>
      </c>
    </row>
    <row r="486" spans="1:2" x14ac:dyDescent="0.2">
      <c r="A486" s="160" t="s">
        <v>1576</v>
      </c>
      <c r="B486" s="160" t="s">
        <v>1577</v>
      </c>
    </row>
    <row r="487" spans="1:2" x14ac:dyDescent="0.2">
      <c r="A487" s="160" t="s">
        <v>1578</v>
      </c>
      <c r="B487" s="160" t="s">
        <v>1579</v>
      </c>
    </row>
    <row r="488" spans="1:2" x14ac:dyDescent="0.2">
      <c r="A488" s="160" t="s">
        <v>1580</v>
      </c>
      <c r="B488" s="160" t="s">
        <v>1581</v>
      </c>
    </row>
    <row r="489" spans="1:2" x14ac:dyDescent="0.2">
      <c r="A489" s="160" t="s">
        <v>1582</v>
      </c>
      <c r="B489" s="160" t="s">
        <v>1583</v>
      </c>
    </row>
    <row r="490" spans="1:2" x14ac:dyDescent="0.2">
      <c r="A490" s="160" t="s">
        <v>1584</v>
      </c>
      <c r="B490" s="160" t="s">
        <v>1585</v>
      </c>
    </row>
    <row r="491" spans="1:2" x14ac:dyDescent="0.2">
      <c r="A491" s="160" t="s">
        <v>6389</v>
      </c>
      <c r="B491" s="160" t="s">
        <v>6390</v>
      </c>
    </row>
    <row r="492" spans="1:2" x14ac:dyDescent="0.2">
      <c r="A492" s="160" t="s">
        <v>1586</v>
      </c>
      <c r="B492" s="160" t="s">
        <v>1587</v>
      </c>
    </row>
    <row r="493" spans="1:2" x14ac:dyDescent="0.2">
      <c r="A493" s="160" t="s">
        <v>1588</v>
      </c>
      <c r="B493" s="160" t="s">
        <v>1589</v>
      </c>
    </row>
    <row r="494" spans="1:2" x14ac:dyDescent="0.2">
      <c r="A494" s="160" t="s">
        <v>1590</v>
      </c>
      <c r="B494" s="160" t="s">
        <v>1591</v>
      </c>
    </row>
    <row r="495" spans="1:2" x14ac:dyDescent="0.2">
      <c r="A495" s="160" t="s">
        <v>1592</v>
      </c>
      <c r="B495" s="160" t="s">
        <v>1593</v>
      </c>
    </row>
    <row r="496" spans="1:2" x14ac:dyDescent="0.2">
      <c r="A496" s="160" t="s">
        <v>1594</v>
      </c>
      <c r="B496" s="160" t="s">
        <v>1595</v>
      </c>
    </row>
    <row r="497" spans="1:2" x14ac:dyDescent="0.2">
      <c r="A497" s="160" t="s">
        <v>1596</v>
      </c>
      <c r="B497" s="160" t="s">
        <v>1597</v>
      </c>
    </row>
    <row r="498" spans="1:2" x14ac:dyDescent="0.2">
      <c r="A498" s="160" t="s">
        <v>1598</v>
      </c>
      <c r="B498" s="160" t="s">
        <v>1599</v>
      </c>
    </row>
    <row r="499" spans="1:2" x14ac:dyDescent="0.2">
      <c r="A499" s="160" t="s">
        <v>1600</v>
      </c>
      <c r="B499" s="160" t="s">
        <v>1601</v>
      </c>
    </row>
    <row r="500" spans="1:2" x14ac:dyDescent="0.2">
      <c r="A500" s="160" t="s">
        <v>1602</v>
      </c>
      <c r="B500" s="160" t="s">
        <v>1603</v>
      </c>
    </row>
    <row r="501" spans="1:2" x14ac:dyDescent="0.2">
      <c r="A501" s="160" t="s">
        <v>1604</v>
      </c>
      <c r="B501" s="160" t="s">
        <v>1605</v>
      </c>
    </row>
    <row r="502" spans="1:2" x14ac:dyDescent="0.2">
      <c r="A502" s="160" t="s">
        <v>6391</v>
      </c>
      <c r="B502" s="160" t="s">
        <v>6392</v>
      </c>
    </row>
    <row r="503" spans="1:2" x14ac:dyDescent="0.2">
      <c r="A503" s="160" t="s">
        <v>1606</v>
      </c>
      <c r="B503" s="160" t="s">
        <v>1607</v>
      </c>
    </row>
    <row r="504" spans="1:2" x14ac:dyDescent="0.2">
      <c r="A504" s="160" t="s">
        <v>1608</v>
      </c>
      <c r="B504" s="160" t="s">
        <v>1609</v>
      </c>
    </row>
    <row r="505" spans="1:2" x14ac:dyDescent="0.2">
      <c r="A505" s="160" t="s">
        <v>1610</v>
      </c>
      <c r="B505" s="160" t="s">
        <v>1611</v>
      </c>
    </row>
    <row r="506" spans="1:2" x14ac:dyDescent="0.2">
      <c r="A506" s="160" t="s">
        <v>1612</v>
      </c>
      <c r="B506" s="160" t="s">
        <v>1613</v>
      </c>
    </row>
    <row r="507" spans="1:2" x14ac:dyDescent="0.2">
      <c r="A507" s="160" t="s">
        <v>6393</v>
      </c>
      <c r="B507" s="160" t="s">
        <v>6394</v>
      </c>
    </row>
    <row r="508" spans="1:2" x14ac:dyDescent="0.2">
      <c r="A508" s="160" t="s">
        <v>1614</v>
      </c>
      <c r="B508" s="160" t="s">
        <v>1615</v>
      </c>
    </row>
    <row r="509" spans="1:2" x14ac:dyDescent="0.2">
      <c r="A509" s="160" t="s">
        <v>1616</v>
      </c>
      <c r="B509" s="160" t="s">
        <v>1617</v>
      </c>
    </row>
    <row r="510" spans="1:2" x14ac:dyDescent="0.2">
      <c r="A510" s="160" t="s">
        <v>1618</v>
      </c>
      <c r="B510" s="160" t="s">
        <v>1619</v>
      </c>
    </row>
    <row r="511" spans="1:2" x14ac:dyDescent="0.2">
      <c r="A511" s="160" t="s">
        <v>1620</v>
      </c>
      <c r="B511" s="160" t="s">
        <v>1621</v>
      </c>
    </row>
    <row r="512" spans="1:2" x14ac:dyDescent="0.2">
      <c r="A512" s="160" t="s">
        <v>6395</v>
      </c>
      <c r="B512" s="160" t="s">
        <v>6396</v>
      </c>
    </row>
    <row r="513" spans="1:2" x14ac:dyDescent="0.2">
      <c r="A513" s="160" t="s">
        <v>1622</v>
      </c>
      <c r="B513" s="160" t="s">
        <v>1623</v>
      </c>
    </row>
    <row r="514" spans="1:2" x14ac:dyDescent="0.2">
      <c r="A514" s="160" t="s">
        <v>1624</v>
      </c>
      <c r="B514" s="160" t="s">
        <v>1625</v>
      </c>
    </row>
    <row r="515" spans="1:2" x14ac:dyDescent="0.2">
      <c r="A515" s="160" t="s">
        <v>1626</v>
      </c>
      <c r="B515" s="160" t="s">
        <v>1627</v>
      </c>
    </row>
    <row r="516" spans="1:2" x14ac:dyDescent="0.2">
      <c r="A516" s="160" t="s">
        <v>1628</v>
      </c>
      <c r="B516" s="160" t="s">
        <v>1629</v>
      </c>
    </row>
    <row r="517" spans="1:2" x14ac:dyDescent="0.2">
      <c r="A517" s="160" t="s">
        <v>1630</v>
      </c>
      <c r="B517" s="160" t="s">
        <v>1631</v>
      </c>
    </row>
    <row r="518" spans="1:2" x14ac:dyDescent="0.2">
      <c r="A518" s="160" t="s">
        <v>1632</v>
      </c>
      <c r="B518" s="160" t="s">
        <v>1633</v>
      </c>
    </row>
    <row r="519" spans="1:2" x14ac:dyDescent="0.2">
      <c r="A519" s="160" t="s">
        <v>1634</v>
      </c>
      <c r="B519" s="160" t="s">
        <v>1635</v>
      </c>
    </row>
    <row r="520" spans="1:2" x14ac:dyDescent="0.2">
      <c r="A520" s="160" t="s">
        <v>1636</v>
      </c>
      <c r="B520" s="160" t="s">
        <v>1637</v>
      </c>
    </row>
    <row r="521" spans="1:2" x14ac:dyDescent="0.2">
      <c r="A521" s="160" t="s">
        <v>1638</v>
      </c>
      <c r="B521" s="160" t="s">
        <v>1639</v>
      </c>
    </row>
    <row r="522" spans="1:2" x14ac:dyDescent="0.2">
      <c r="A522" s="160" t="s">
        <v>1640</v>
      </c>
      <c r="B522" s="160" t="s">
        <v>1641</v>
      </c>
    </row>
    <row r="523" spans="1:2" x14ac:dyDescent="0.2">
      <c r="A523" s="160" t="s">
        <v>1642</v>
      </c>
      <c r="B523" s="160" t="s">
        <v>1643</v>
      </c>
    </row>
    <row r="524" spans="1:2" x14ac:dyDescent="0.2">
      <c r="A524" s="160" t="s">
        <v>1644</v>
      </c>
      <c r="B524" s="160" t="s">
        <v>1645</v>
      </c>
    </row>
    <row r="525" spans="1:2" x14ac:dyDescent="0.2">
      <c r="A525" s="160" t="s">
        <v>1646</v>
      </c>
      <c r="B525" s="160" t="s">
        <v>1647</v>
      </c>
    </row>
    <row r="526" spans="1:2" x14ac:dyDescent="0.2">
      <c r="A526" s="160" t="s">
        <v>1648</v>
      </c>
      <c r="B526" s="160" t="s">
        <v>1649</v>
      </c>
    </row>
    <row r="527" spans="1:2" x14ac:dyDescent="0.2">
      <c r="A527" s="160" t="s">
        <v>1650</v>
      </c>
      <c r="B527" s="160" t="s">
        <v>1651</v>
      </c>
    </row>
    <row r="528" spans="1:2" x14ac:dyDescent="0.2">
      <c r="A528" s="160" t="s">
        <v>1652</v>
      </c>
      <c r="B528" s="160" t="s">
        <v>1653</v>
      </c>
    </row>
    <row r="529" spans="1:2" x14ac:dyDescent="0.2">
      <c r="A529" s="160" t="s">
        <v>1654</v>
      </c>
      <c r="B529" s="160" t="s">
        <v>1655</v>
      </c>
    </row>
    <row r="530" spans="1:2" x14ac:dyDescent="0.2">
      <c r="A530" s="160" t="s">
        <v>1656</v>
      </c>
      <c r="B530" s="160" t="s">
        <v>1657</v>
      </c>
    </row>
    <row r="531" spans="1:2" x14ac:dyDescent="0.2">
      <c r="A531" s="160" t="s">
        <v>1658</v>
      </c>
      <c r="B531" s="160" t="s">
        <v>1659</v>
      </c>
    </row>
    <row r="532" spans="1:2" x14ac:dyDescent="0.2">
      <c r="A532" s="160" t="s">
        <v>1660</v>
      </c>
      <c r="B532" s="160" t="s">
        <v>1661</v>
      </c>
    </row>
    <row r="533" spans="1:2" x14ac:dyDescent="0.2">
      <c r="A533" s="160" t="s">
        <v>1662</v>
      </c>
      <c r="B533" s="160" t="s">
        <v>1663</v>
      </c>
    </row>
    <row r="534" spans="1:2" x14ac:dyDescent="0.2">
      <c r="A534" s="160" t="s">
        <v>1664</v>
      </c>
      <c r="B534" s="160" t="s">
        <v>1665</v>
      </c>
    </row>
    <row r="535" spans="1:2" x14ac:dyDescent="0.2">
      <c r="A535" s="160" t="s">
        <v>6397</v>
      </c>
      <c r="B535" s="160" t="s">
        <v>6398</v>
      </c>
    </row>
    <row r="536" spans="1:2" x14ac:dyDescent="0.2">
      <c r="A536" s="160" t="s">
        <v>1666</v>
      </c>
      <c r="B536" s="160" t="s">
        <v>1667</v>
      </c>
    </row>
    <row r="537" spans="1:2" x14ac:dyDescent="0.2">
      <c r="A537" s="160" t="s">
        <v>1668</v>
      </c>
      <c r="B537" s="160" t="s">
        <v>1669</v>
      </c>
    </row>
    <row r="538" spans="1:2" x14ac:dyDescent="0.2">
      <c r="A538" s="160" t="s">
        <v>1670</v>
      </c>
      <c r="B538" s="160" t="s">
        <v>1671</v>
      </c>
    </row>
    <row r="539" spans="1:2" x14ac:dyDescent="0.2">
      <c r="A539" s="160" t="s">
        <v>1672</v>
      </c>
      <c r="B539" s="160" t="s">
        <v>1673</v>
      </c>
    </row>
    <row r="540" spans="1:2" x14ac:dyDescent="0.2">
      <c r="A540" s="160" t="s">
        <v>1674</v>
      </c>
      <c r="B540" s="160" t="s">
        <v>1675</v>
      </c>
    </row>
    <row r="541" spans="1:2" x14ac:dyDescent="0.2">
      <c r="A541" s="160" t="s">
        <v>1676</v>
      </c>
      <c r="B541" s="160" t="s">
        <v>1677</v>
      </c>
    </row>
    <row r="542" spans="1:2" x14ac:dyDescent="0.2">
      <c r="A542" s="160" t="s">
        <v>1678</v>
      </c>
      <c r="B542" s="160" t="s">
        <v>1679</v>
      </c>
    </row>
    <row r="543" spans="1:2" x14ac:dyDescent="0.2">
      <c r="A543" s="160" t="s">
        <v>1680</v>
      </c>
      <c r="B543" s="160" t="s">
        <v>1681</v>
      </c>
    </row>
    <row r="544" spans="1:2" x14ac:dyDescent="0.2">
      <c r="A544" s="160" t="s">
        <v>1682</v>
      </c>
      <c r="B544" s="160" t="s">
        <v>1683</v>
      </c>
    </row>
    <row r="545" spans="1:2" x14ac:dyDescent="0.2">
      <c r="A545" s="160" t="s">
        <v>1684</v>
      </c>
      <c r="B545" s="160" t="s">
        <v>1685</v>
      </c>
    </row>
    <row r="546" spans="1:2" x14ac:dyDescent="0.2">
      <c r="A546" s="160" t="s">
        <v>1686</v>
      </c>
      <c r="B546" s="160" t="s">
        <v>1687</v>
      </c>
    </row>
    <row r="547" spans="1:2" x14ac:dyDescent="0.2">
      <c r="A547" s="160" t="s">
        <v>1688</v>
      </c>
      <c r="B547" s="160" t="s">
        <v>1689</v>
      </c>
    </row>
    <row r="548" spans="1:2" x14ac:dyDescent="0.2">
      <c r="A548" s="160" t="s">
        <v>1690</v>
      </c>
      <c r="B548" s="160" t="s">
        <v>1691</v>
      </c>
    </row>
    <row r="549" spans="1:2" x14ac:dyDescent="0.2">
      <c r="A549" s="160" t="s">
        <v>1692</v>
      </c>
      <c r="B549" s="160" t="s">
        <v>1693</v>
      </c>
    </row>
    <row r="550" spans="1:2" x14ac:dyDescent="0.2">
      <c r="A550" s="160" t="s">
        <v>1694</v>
      </c>
      <c r="B550" s="160" t="s">
        <v>1695</v>
      </c>
    </row>
    <row r="551" spans="1:2" x14ac:dyDescent="0.2">
      <c r="A551" s="160" t="s">
        <v>1696</v>
      </c>
      <c r="B551" s="160" t="s">
        <v>1697</v>
      </c>
    </row>
    <row r="552" spans="1:2" x14ac:dyDescent="0.2">
      <c r="A552" s="160" t="s">
        <v>1698</v>
      </c>
      <c r="B552" s="160" t="s">
        <v>1699</v>
      </c>
    </row>
    <row r="553" spans="1:2" x14ac:dyDescent="0.2">
      <c r="A553" s="160" t="s">
        <v>1700</v>
      </c>
      <c r="B553" s="160" t="s">
        <v>1701</v>
      </c>
    </row>
    <row r="554" spans="1:2" x14ac:dyDescent="0.2">
      <c r="A554" s="160" t="s">
        <v>1702</v>
      </c>
      <c r="B554" s="160" t="s">
        <v>1703</v>
      </c>
    </row>
    <row r="555" spans="1:2" x14ac:dyDescent="0.2">
      <c r="A555" s="160" t="s">
        <v>1704</v>
      </c>
      <c r="B555" s="160" t="s">
        <v>1705</v>
      </c>
    </row>
    <row r="556" spans="1:2" x14ac:dyDescent="0.2">
      <c r="A556" s="160" t="s">
        <v>1706</v>
      </c>
      <c r="B556" s="160" t="s">
        <v>1707</v>
      </c>
    </row>
    <row r="557" spans="1:2" x14ac:dyDescent="0.2">
      <c r="A557" s="160" t="s">
        <v>1708</v>
      </c>
      <c r="B557" s="160" t="s">
        <v>6399</v>
      </c>
    </row>
    <row r="558" spans="1:2" x14ac:dyDescent="0.2">
      <c r="A558" s="160" t="s">
        <v>6400</v>
      </c>
      <c r="B558" s="160" t="s">
        <v>6401</v>
      </c>
    </row>
    <row r="559" spans="1:2" x14ac:dyDescent="0.2">
      <c r="A559" s="160" t="s">
        <v>1709</v>
      </c>
      <c r="B559" s="160" t="s">
        <v>1710</v>
      </c>
    </row>
    <row r="560" spans="1:2" x14ac:dyDescent="0.2">
      <c r="A560" s="160" t="s">
        <v>1711</v>
      </c>
      <c r="B560" s="160" t="s">
        <v>1712</v>
      </c>
    </row>
    <row r="561" spans="1:2" x14ac:dyDescent="0.2">
      <c r="A561" s="160" t="s">
        <v>6402</v>
      </c>
      <c r="B561" s="160" t="s">
        <v>6403</v>
      </c>
    </row>
    <row r="562" spans="1:2" x14ac:dyDescent="0.2">
      <c r="A562" s="160" t="s">
        <v>1713</v>
      </c>
      <c r="B562" s="160" t="s">
        <v>1714</v>
      </c>
    </row>
    <row r="563" spans="1:2" x14ac:dyDescent="0.2">
      <c r="A563" s="160" t="s">
        <v>1715</v>
      </c>
      <c r="B563" s="160" t="s">
        <v>1716</v>
      </c>
    </row>
    <row r="564" spans="1:2" x14ac:dyDescent="0.2">
      <c r="A564" s="160" t="s">
        <v>1717</v>
      </c>
      <c r="B564" s="160" t="s">
        <v>1718</v>
      </c>
    </row>
    <row r="565" spans="1:2" x14ac:dyDescent="0.2">
      <c r="A565" s="160" t="s">
        <v>1719</v>
      </c>
      <c r="B565" s="160" t="s">
        <v>1720</v>
      </c>
    </row>
    <row r="566" spans="1:2" x14ac:dyDescent="0.2">
      <c r="A566" s="160" t="s">
        <v>1721</v>
      </c>
      <c r="B566" s="160" t="s">
        <v>1722</v>
      </c>
    </row>
    <row r="567" spans="1:2" x14ac:dyDescent="0.2">
      <c r="A567" s="160" t="s">
        <v>1723</v>
      </c>
      <c r="B567" s="160" t="s">
        <v>1724</v>
      </c>
    </row>
    <row r="568" spans="1:2" x14ac:dyDescent="0.2">
      <c r="A568" s="160" t="s">
        <v>1725</v>
      </c>
      <c r="B568" s="160" t="s">
        <v>1726</v>
      </c>
    </row>
    <row r="569" spans="1:2" x14ac:dyDescent="0.2">
      <c r="A569" s="160" t="s">
        <v>1727</v>
      </c>
      <c r="B569" s="160" t="s">
        <v>1728</v>
      </c>
    </row>
    <row r="570" spans="1:2" x14ac:dyDescent="0.2">
      <c r="A570" s="160" t="s">
        <v>1729</v>
      </c>
      <c r="B570" s="160" t="s">
        <v>1730</v>
      </c>
    </row>
    <row r="571" spans="1:2" x14ac:dyDescent="0.2">
      <c r="A571" s="160" t="s">
        <v>1731</v>
      </c>
      <c r="B571" s="160" t="s">
        <v>1732</v>
      </c>
    </row>
    <row r="572" spans="1:2" x14ac:dyDescent="0.2">
      <c r="A572" s="160" t="s">
        <v>1733</v>
      </c>
      <c r="B572" s="160" t="s">
        <v>1734</v>
      </c>
    </row>
    <row r="573" spans="1:2" x14ac:dyDescent="0.2">
      <c r="A573" s="160" t="s">
        <v>1735</v>
      </c>
      <c r="B573" s="160" t="s">
        <v>1736</v>
      </c>
    </row>
    <row r="574" spans="1:2" x14ac:dyDescent="0.2">
      <c r="A574" s="160" t="s">
        <v>1737</v>
      </c>
      <c r="B574" s="160" t="s">
        <v>1738</v>
      </c>
    </row>
    <row r="575" spans="1:2" x14ac:dyDescent="0.2">
      <c r="A575" s="160" t="s">
        <v>1739</v>
      </c>
      <c r="B575" s="160" t="s">
        <v>458</v>
      </c>
    </row>
    <row r="576" spans="1:2" x14ac:dyDescent="0.2">
      <c r="A576" s="160" t="s">
        <v>6404</v>
      </c>
      <c r="B576" s="160" t="s">
        <v>6405</v>
      </c>
    </row>
    <row r="577" spans="1:2" x14ac:dyDescent="0.2">
      <c r="A577" s="160" t="s">
        <v>1740</v>
      </c>
      <c r="B577" s="160" t="s">
        <v>1741</v>
      </c>
    </row>
    <row r="578" spans="1:2" x14ac:dyDescent="0.2">
      <c r="A578" s="160" t="s">
        <v>1742</v>
      </c>
      <c r="B578" s="160" t="s">
        <v>1743</v>
      </c>
    </row>
    <row r="579" spans="1:2" x14ac:dyDescent="0.2">
      <c r="A579" s="160" t="s">
        <v>1744</v>
      </c>
      <c r="B579" s="160" t="s">
        <v>1745</v>
      </c>
    </row>
    <row r="580" spans="1:2" x14ac:dyDescent="0.2">
      <c r="A580" s="160" t="s">
        <v>1746</v>
      </c>
      <c r="B580" s="160" t="s">
        <v>1747</v>
      </c>
    </row>
    <row r="581" spans="1:2" x14ac:dyDescent="0.2">
      <c r="A581" s="160" t="s">
        <v>1748</v>
      </c>
      <c r="B581" s="160" t="s">
        <v>1749</v>
      </c>
    </row>
    <row r="582" spans="1:2" x14ac:dyDescent="0.2">
      <c r="A582" s="160" t="s">
        <v>1750</v>
      </c>
      <c r="B582" s="160" t="s">
        <v>1751</v>
      </c>
    </row>
    <row r="583" spans="1:2" x14ac:dyDescent="0.2">
      <c r="A583" s="160" t="s">
        <v>6406</v>
      </c>
      <c r="B583" s="160" t="s">
        <v>6407</v>
      </c>
    </row>
    <row r="584" spans="1:2" x14ac:dyDescent="0.2">
      <c r="A584" s="160" t="s">
        <v>1752</v>
      </c>
      <c r="B584" s="160" t="s">
        <v>1753</v>
      </c>
    </row>
    <row r="585" spans="1:2" x14ac:dyDescent="0.2">
      <c r="A585" s="160" t="s">
        <v>1754</v>
      </c>
      <c r="B585" s="160" t="s">
        <v>1755</v>
      </c>
    </row>
    <row r="586" spans="1:2" x14ac:dyDescent="0.2">
      <c r="A586" s="160" t="s">
        <v>1756</v>
      </c>
      <c r="B586" s="160" t="s">
        <v>1757</v>
      </c>
    </row>
    <row r="587" spans="1:2" x14ac:dyDescent="0.2">
      <c r="A587" s="160" t="s">
        <v>1758</v>
      </c>
      <c r="B587" s="160" t="s">
        <v>1759</v>
      </c>
    </row>
    <row r="588" spans="1:2" x14ac:dyDescent="0.2">
      <c r="A588" s="160" t="s">
        <v>1760</v>
      </c>
      <c r="B588" s="160" t="s">
        <v>1761</v>
      </c>
    </row>
    <row r="589" spans="1:2" x14ac:dyDescent="0.2">
      <c r="A589" s="160" t="s">
        <v>1762</v>
      </c>
      <c r="B589" s="160" t="s">
        <v>1763</v>
      </c>
    </row>
    <row r="590" spans="1:2" x14ac:dyDescent="0.2">
      <c r="A590" s="160" t="s">
        <v>1764</v>
      </c>
      <c r="B590" s="160" t="s">
        <v>1765</v>
      </c>
    </row>
    <row r="591" spans="1:2" x14ac:dyDescent="0.2">
      <c r="A591" s="160" t="s">
        <v>1766</v>
      </c>
      <c r="B591" s="160" t="s">
        <v>1767</v>
      </c>
    </row>
    <row r="592" spans="1:2" x14ac:dyDescent="0.2">
      <c r="A592" s="160" t="s">
        <v>1768</v>
      </c>
      <c r="B592" s="160" t="s">
        <v>1769</v>
      </c>
    </row>
    <row r="593" spans="1:2" x14ac:dyDescent="0.2">
      <c r="A593" s="160" t="s">
        <v>1770</v>
      </c>
      <c r="B593" s="160" t="s">
        <v>1771</v>
      </c>
    </row>
    <row r="594" spans="1:2" x14ac:dyDescent="0.2">
      <c r="A594" s="160" t="s">
        <v>1772</v>
      </c>
      <c r="B594" s="160" t="s">
        <v>1773</v>
      </c>
    </row>
    <row r="595" spans="1:2" x14ac:dyDescent="0.2">
      <c r="A595" s="160" t="s">
        <v>1774</v>
      </c>
      <c r="B595" s="160" t="s">
        <v>1775</v>
      </c>
    </row>
    <row r="596" spans="1:2" x14ac:dyDescent="0.2">
      <c r="A596" s="160" t="s">
        <v>1776</v>
      </c>
      <c r="B596" s="160" t="s">
        <v>1777</v>
      </c>
    </row>
    <row r="597" spans="1:2" x14ac:dyDescent="0.2">
      <c r="A597" s="160" t="s">
        <v>1778</v>
      </c>
      <c r="B597" s="160" t="s">
        <v>1779</v>
      </c>
    </row>
    <row r="598" spans="1:2" x14ac:dyDescent="0.2">
      <c r="A598" s="160" t="s">
        <v>1780</v>
      </c>
      <c r="B598" s="160" t="s">
        <v>1781</v>
      </c>
    </row>
    <row r="599" spans="1:2" x14ac:dyDescent="0.2">
      <c r="A599" s="160" t="s">
        <v>1782</v>
      </c>
      <c r="B599" s="160" t="s">
        <v>1783</v>
      </c>
    </row>
    <row r="600" spans="1:2" x14ac:dyDescent="0.2">
      <c r="A600" s="160" t="s">
        <v>1784</v>
      </c>
      <c r="B600" s="160" t="s">
        <v>1785</v>
      </c>
    </row>
    <row r="601" spans="1:2" x14ac:dyDescent="0.2">
      <c r="A601" s="160" t="s">
        <v>1786</v>
      </c>
      <c r="B601" s="160" t="s">
        <v>1787</v>
      </c>
    </row>
    <row r="602" spans="1:2" x14ac:dyDescent="0.2">
      <c r="A602" s="160" t="s">
        <v>1788</v>
      </c>
      <c r="B602" s="160" t="s">
        <v>1789</v>
      </c>
    </row>
    <row r="603" spans="1:2" x14ac:dyDescent="0.2">
      <c r="A603" s="160" t="s">
        <v>1790</v>
      </c>
      <c r="B603" s="160" t="s">
        <v>1791</v>
      </c>
    </row>
    <row r="604" spans="1:2" x14ac:dyDescent="0.2">
      <c r="A604" s="160" t="s">
        <v>1792</v>
      </c>
      <c r="B604" s="160" t="s">
        <v>1793</v>
      </c>
    </row>
    <row r="605" spans="1:2" x14ac:dyDescent="0.2">
      <c r="A605" s="160" t="s">
        <v>1794</v>
      </c>
      <c r="B605" s="160" t="s">
        <v>1795</v>
      </c>
    </row>
    <row r="606" spans="1:2" x14ac:dyDescent="0.2">
      <c r="A606" s="160" t="s">
        <v>1796</v>
      </c>
      <c r="B606" s="160" t="s">
        <v>1797</v>
      </c>
    </row>
    <row r="607" spans="1:2" x14ac:dyDescent="0.2">
      <c r="A607" s="160" t="s">
        <v>1798</v>
      </c>
      <c r="B607" s="160" t="s">
        <v>1799</v>
      </c>
    </row>
    <row r="608" spans="1:2" x14ac:dyDescent="0.2">
      <c r="A608" s="160" t="s">
        <v>1800</v>
      </c>
      <c r="B608" s="160" t="s">
        <v>1801</v>
      </c>
    </row>
    <row r="609" spans="1:2" x14ac:dyDescent="0.2">
      <c r="A609" s="160" t="s">
        <v>1802</v>
      </c>
      <c r="B609" s="160" t="s">
        <v>1803</v>
      </c>
    </row>
    <row r="610" spans="1:2" x14ac:dyDescent="0.2">
      <c r="A610" s="160" t="s">
        <v>1804</v>
      </c>
      <c r="B610" s="160" t="s">
        <v>1805</v>
      </c>
    </row>
    <row r="611" spans="1:2" x14ac:dyDescent="0.2">
      <c r="A611" s="160" t="s">
        <v>1806</v>
      </c>
      <c r="B611" s="160" t="s">
        <v>1807</v>
      </c>
    </row>
    <row r="612" spans="1:2" x14ac:dyDescent="0.2">
      <c r="A612" s="160" t="s">
        <v>1808</v>
      </c>
      <c r="B612" s="160" t="s">
        <v>1809</v>
      </c>
    </row>
    <row r="613" spans="1:2" x14ac:dyDescent="0.2">
      <c r="A613" s="160" t="s">
        <v>1810</v>
      </c>
      <c r="B613" s="160" t="s">
        <v>1811</v>
      </c>
    </row>
    <row r="614" spans="1:2" x14ac:dyDescent="0.2">
      <c r="A614" s="160" t="s">
        <v>1812</v>
      </c>
      <c r="B614" s="160" t="s">
        <v>1813</v>
      </c>
    </row>
    <row r="615" spans="1:2" x14ac:dyDescent="0.2">
      <c r="A615" s="160" t="s">
        <v>1814</v>
      </c>
      <c r="B615" s="160" t="s">
        <v>1815</v>
      </c>
    </row>
    <row r="616" spans="1:2" x14ac:dyDescent="0.2">
      <c r="A616" s="160" t="s">
        <v>1816</v>
      </c>
      <c r="B616" s="160" t="s">
        <v>1817</v>
      </c>
    </row>
    <row r="617" spans="1:2" x14ac:dyDescent="0.2">
      <c r="A617" s="160" t="s">
        <v>1818</v>
      </c>
      <c r="B617" s="160" t="s">
        <v>1819</v>
      </c>
    </row>
    <row r="618" spans="1:2" x14ac:dyDescent="0.2">
      <c r="A618" s="160" t="s">
        <v>1820</v>
      </c>
      <c r="B618" s="160" t="s">
        <v>1821</v>
      </c>
    </row>
    <row r="619" spans="1:2" x14ac:dyDescent="0.2">
      <c r="A619" s="160" t="s">
        <v>1822</v>
      </c>
      <c r="B619" s="160" t="s">
        <v>1823</v>
      </c>
    </row>
    <row r="620" spans="1:2" x14ac:dyDescent="0.2">
      <c r="A620" s="160" t="s">
        <v>1824</v>
      </c>
      <c r="B620" s="160" t="s">
        <v>1825</v>
      </c>
    </row>
    <row r="621" spans="1:2" x14ac:dyDescent="0.2">
      <c r="A621" s="160" t="s">
        <v>1826</v>
      </c>
      <c r="B621" s="160" t="s">
        <v>1827</v>
      </c>
    </row>
    <row r="622" spans="1:2" x14ac:dyDescent="0.2">
      <c r="A622" s="160" t="s">
        <v>1828</v>
      </c>
      <c r="B622" s="160" t="s">
        <v>1829</v>
      </c>
    </row>
    <row r="623" spans="1:2" x14ac:dyDescent="0.2">
      <c r="A623" s="160" t="s">
        <v>1830</v>
      </c>
      <c r="B623" s="160" t="s">
        <v>1831</v>
      </c>
    </row>
    <row r="624" spans="1:2" x14ac:dyDescent="0.2">
      <c r="A624" s="160" t="s">
        <v>1832</v>
      </c>
      <c r="B624" s="160" t="s">
        <v>1833</v>
      </c>
    </row>
    <row r="625" spans="1:2" x14ac:dyDescent="0.2">
      <c r="A625" s="160" t="s">
        <v>1834</v>
      </c>
      <c r="B625" s="160" t="s">
        <v>1835</v>
      </c>
    </row>
    <row r="626" spans="1:2" x14ac:dyDescent="0.2">
      <c r="A626" s="160" t="s">
        <v>6408</v>
      </c>
      <c r="B626" s="160" t="s">
        <v>6409</v>
      </c>
    </row>
    <row r="627" spans="1:2" x14ac:dyDescent="0.2">
      <c r="A627" s="160" t="s">
        <v>1836</v>
      </c>
      <c r="B627" s="160" t="s">
        <v>1837</v>
      </c>
    </row>
    <row r="628" spans="1:2" x14ac:dyDescent="0.2">
      <c r="A628" s="160" t="s">
        <v>1838</v>
      </c>
      <c r="B628" s="160" t="s">
        <v>1839</v>
      </c>
    </row>
    <row r="629" spans="1:2" x14ac:dyDescent="0.2">
      <c r="A629" s="160" t="s">
        <v>1840</v>
      </c>
      <c r="B629" s="160" t="s">
        <v>1841</v>
      </c>
    </row>
    <row r="630" spans="1:2" x14ac:dyDescent="0.2">
      <c r="A630" s="160" t="s">
        <v>1842</v>
      </c>
      <c r="B630" s="160" t="s">
        <v>1843</v>
      </c>
    </row>
    <row r="631" spans="1:2" x14ac:dyDescent="0.2">
      <c r="A631" s="160" t="s">
        <v>1844</v>
      </c>
      <c r="B631" s="160" t="s">
        <v>1845</v>
      </c>
    </row>
    <row r="632" spans="1:2" x14ac:dyDescent="0.2">
      <c r="A632" s="160" t="s">
        <v>1846</v>
      </c>
      <c r="B632" s="160" t="s">
        <v>1847</v>
      </c>
    </row>
    <row r="633" spans="1:2" x14ac:dyDescent="0.2">
      <c r="A633" s="160" t="s">
        <v>1848</v>
      </c>
      <c r="B633" s="160" t="s">
        <v>1849</v>
      </c>
    </row>
    <row r="634" spans="1:2" x14ac:dyDescent="0.2">
      <c r="A634" s="160" t="s">
        <v>1850</v>
      </c>
      <c r="B634" s="160" t="s">
        <v>1851</v>
      </c>
    </row>
    <row r="635" spans="1:2" x14ac:dyDescent="0.2">
      <c r="A635" s="160" t="s">
        <v>1852</v>
      </c>
      <c r="B635" s="160" t="s">
        <v>1853</v>
      </c>
    </row>
    <row r="636" spans="1:2" x14ac:dyDescent="0.2">
      <c r="A636" s="160" t="s">
        <v>1854</v>
      </c>
      <c r="B636" s="160" t="s">
        <v>1855</v>
      </c>
    </row>
    <row r="637" spans="1:2" x14ac:dyDescent="0.2">
      <c r="A637" s="160" t="s">
        <v>1856</v>
      </c>
      <c r="B637" s="160" t="s">
        <v>1857</v>
      </c>
    </row>
    <row r="638" spans="1:2" x14ac:dyDescent="0.2">
      <c r="A638" s="160" t="s">
        <v>1858</v>
      </c>
      <c r="B638" s="160" t="s">
        <v>1859</v>
      </c>
    </row>
    <row r="639" spans="1:2" x14ac:dyDescent="0.2">
      <c r="A639" s="160" t="s">
        <v>1860</v>
      </c>
      <c r="B639" s="160" t="s">
        <v>1861</v>
      </c>
    </row>
    <row r="640" spans="1:2" x14ac:dyDescent="0.2">
      <c r="A640" s="160" t="s">
        <v>1862</v>
      </c>
      <c r="B640" s="160" t="s">
        <v>1863</v>
      </c>
    </row>
    <row r="641" spans="1:2" x14ac:dyDescent="0.2">
      <c r="A641" s="160" t="s">
        <v>1864</v>
      </c>
      <c r="B641" s="160" t="s">
        <v>1865</v>
      </c>
    </row>
    <row r="642" spans="1:2" x14ac:dyDescent="0.2">
      <c r="A642" s="160" t="s">
        <v>1866</v>
      </c>
      <c r="B642" s="160" t="s">
        <v>1867</v>
      </c>
    </row>
    <row r="643" spans="1:2" x14ac:dyDescent="0.2">
      <c r="A643" s="160" t="s">
        <v>1868</v>
      </c>
      <c r="B643" s="160" t="s">
        <v>1869</v>
      </c>
    </row>
    <row r="644" spans="1:2" x14ac:dyDescent="0.2">
      <c r="A644" s="160" t="s">
        <v>1870</v>
      </c>
      <c r="B644" s="160" t="s">
        <v>1871</v>
      </c>
    </row>
    <row r="645" spans="1:2" x14ac:dyDescent="0.2">
      <c r="A645" s="160" t="s">
        <v>1872</v>
      </c>
      <c r="B645" s="160" t="s">
        <v>1873</v>
      </c>
    </row>
    <row r="646" spans="1:2" x14ac:dyDescent="0.2">
      <c r="A646" s="160" t="s">
        <v>1874</v>
      </c>
      <c r="B646" s="160" t="s">
        <v>1875</v>
      </c>
    </row>
    <row r="647" spans="1:2" x14ac:dyDescent="0.2">
      <c r="A647" s="160" t="s">
        <v>1876</v>
      </c>
      <c r="B647" s="160" t="s">
        <v>1877</v>
      </c>
    </row>
    <row r="648" spans="1:2" x14ac:dyDescent="0.2">
      <c r="A648" s="160" t="s">
        <v>1878</v>
      </c>
      <c r="B648" s="160" t="s">
        <v>1879</v>
      </c>
    </row>
    <row r="649" spans="1:2" x14ac:dyDescent="0.2">
      <c r="A649" s="160" t="s">
        <v>1880</v>
      </c>
      <c r="B649" s="160" t="s">
        <v>1881</v>
      </c>
    </row>
    <row r="650" spans="1:2" x14ac:dyDescent="0.2">
      <c r="A650" s="160" t="s">
        <v>1882</v>
      </c>
      <c r="B650" s="160" t="s">
        <v>1883</v>
      </c>
    </row>
    <row r="651" spans="1:2" x14ac:dyDescent="0.2">
      <c r="A651" s="160" t="s">
        <v>1884</v>
      </c>
      <c r="B651" s="160" t="s">
        <v>1885</v>
      </c>
    </row>
    <row r="652" spans="1:2" x14ac:dyDescent="0.2">
      <c r="A652" s="160" t="s">
        <v>1886</v>
      </c>
      <c r="B652" s="160" t="s">
        <v>1887</v>
      </c>
    </row>
    <row r="653" spans="1:2" x14ac:dyDescent="0.2">
      <c r="A653" s="160" t="s">
        <v>1888</v>
      </c>
      <c r="B653" s="160" t="s">
        <v>1889</v>
      </c>
    </row>
    <row r="654" spans="1:2" x14ac:dyDescent="0.2">
      <c r="A654" s="160" t="s">
        <v>6410</v>
      </c>
      <c r="B654" s="160" t="s">
        <v>6411</v>
      </c>
    </row>
    <row r="655" spans="1:2" x14ac:dyDescent="0.2">
      <c r="A655" s="160" t="s">
        <v>1890</v>
      </c>
      <c r="B655" s="160" t="s">
        <v>1891</v>
      </c>
    </row>
    <row r="656" spans="1:2" x14ac:dyDescent="0.2">
      <c r="A656" s="160" t="s">
        <v>1892</v>
      </c>
      <c r="B656" s="160" t="s">
        <v>1893</v>
      </c>
    </row>
    <row r="657" spans="1:2" x14ac:dyDescent="0.2">
      <c r="A657" s="160" t="s">
        <v>1894</v>
      </c>
      <c r="B657" s="160" t="s">
        <v>1895</v>
      </c>
    </row>
    <row r="658" spans="1:2" x14ac:dyDescent="0.2">
      <c r="A658" s="160" t="s">
        <v>1896</v>
      </c>
      <c r="B658" s="160" t="s">
        <v>1897</v>
      </c>
    </row>
    <row r="659" spans="1:2" x14ac:dyDescent="0.2">
      <c r="A659" s="160" t="s">
        <v>1898</v>
      </c>
      <c r="B659" s="160" t="s">
        <v>1899</v>
      </c>
    </row>
    <row r="660" spans="1:2" x14ac:dyDescent="0.2">
      <c r="A660" s="160" t="s">
        <v>1900</v>
      </c>
      <c r="B660" s="160" t="s">
        <v>1901</v>
      </c>
    </row>
    <row r="661" spans="1:2" x14ac:dyDescent="0.2">
      <c r="A661" s="160" t="s">
        <v>1902</v>
      </c>
      <c r="B661" s="160" t="s">
        <v>1903</v>
      </c>
    </row>
    <row r="662" spans="1:2" x14ac:dyDescent="0.2">
      <c r="A662" s="160" t="s">
        <v>6412</v>
      </c>
      <c r="B662" s="160" t="s">
        <v>6413</v>
      </c>
    </row>
    <row r="663" spans="1:2" x14ac:dyDescent="0.2">
      <c r="A663" s="160" t="s">
        <v>1904</v>
      </c>
      <c r="B663" s="160" t="s">
        <v>1905</v>
      </c>
    </row>
    <row r="664" spans="1:2" x14ac:dyDescent="0.2">
      <c r="A664" s="160" t="s">
        <v>1906</v>
      </c>
      <c r="B664" s="160" t="s">
        <v>1907</v>
      </c>
    </row>
    <row r="665" spans="1:2" x14ac:dyDescent="0.2">
      <c r="A665" s="160" t="s">
        <v>1908</v>
      </c>
      <c r="B665" s="160" t="s">
        <v>1909</v>
      </c>
    </row>
    <row r="666" spans="1:2" x14ac:dyDescent="0.2">
      <c r="A666" s="160" t="s">
        <v>1910</v>
      </c>
      <c r="B666" s="160" t="s">
        <v>1911</v>
      </c>
    </row>
    <row r="667" spans="1:2" x14ac:dyDescent="0.2">
      <c r="A667" s="160" t="s">
        <v>1912</v>
      </c>
      <c r="B667" s="160" t="s">
        <v>1913</v>
      </c>
    </row>
    <row r="668" spans="1:2" x14ac:dyDescent="0.2">
      <c r="A668" s="160" t="s">
        <v>1914</v>
      </c>
      <c r="B668" s="160" t="s">
        <v>1915</v>
      </c>
    </row>
    <row r="669" spans="1:2" x14ac:dyDescent="0.2">
      <c r="A669" s="160" t="s">
        <v>1916</v>
      </c>
      <c r="B669" s="160" t="s">
        <v>1917</v>
      </c>
    </row>
    <row r="670" spans="1:2" x14ac:dyDescent="0.2">
      <c r="A670" s="160" t="s">
        <v>1918</v>
      </c>
      <c r="B670" s="160" t="s">
        <v>1919</v>
      </c>
    </row>
    <row r="671" spans="1:2" x14ac:dyDescent="0.2">
      <c r="A671" s="160" t="s">
        <v>1920</v>
      </c>
      <c r="B671" s="160" t="s">
        <v>1921</v>
      </c>
    </row>
    <row r="672" spans="1:2" x14ac:dyDescent="0.2">
      <c r="A672" s="160" t="s">
        <v>1922</v>
      </c>
      <c r="B672" s="160" t="s">
        <v>1923</v>
      </c>
    </row>
    <row r="673" spans="1:2" x14ac:dyDescent="0.2">
      <c r="A673" s="160" t="s">
        <v>1924</v>
      </c>
      <c r="B673" s="160" t="s">
        <v>1925</v>
      </c>
    </row>
    <row r="674" spans="1:2" x14ac:dyDescent="0.2">
      <c r="A674" s="160" t="s">
        <v>1926</v>
      </c>
      <c r="B674" s="160" t="s">
        <v>1927</v>
      </c>
    </row>
    <row r="675" spans="1:2" x14ac:dyDescent="0.2">
      <c r="A675" s="160" t="s">
        <v>1928</v>
      </c>
      <c r="B675" s="160" t="s">
        <v>1929</v>
      </c>
    </row>
    <row r="676" spans="1:2" x14ac:dyDescent="0.2">
      <c r="A676" s="160" t="s">
        <v>6414</v>
      </c>
      <c r="B676" s="160" t="s">
        <v>6415</v>
      </c>
    </row>
    <row r="677" spans="1:2" x14ac:dyDescent="0.2">
      <c r="A677" s="160" t="s">
        <v>1930</v>
      </c>
      <c r="B677" s="160" t="s">
        <v>1931</v>
      </c>
    </row>
    <row r="678" spans="1:2" x14ac:dyDescent="0.2">
      <c r="A678" s="160" t="s">
        <v>1932</v>
      </c>
      <c r="B678" s="160" t="s">
        <v>1933</v>
      </c>
    </row>
    <row r="679" spans="1:2" x14ac:dyDescent="0.2">
      <c r="A679" s="160" t="s">
        <v>1934</v>
      </c>
      <c r="B679" s="160" t="s">
        <v>1935</v>
      </c>
    </row>
    <row r="680" spans="1:2" x14ac:dyDescent="0.2">
      <c r="A680" s="160" t="s">
        <v>1936</v>
      </c>
      <c r="B680" s="160" t="s">
        <v>1937</v>
      </c>
    </row>
    <row r="681" spans="1:2" x14ac:dyDescent="0.2">
      <c r="A681" s="160" t="s">
        <v>1938</v>
      </c>
      <c r="B681" s="160" t="s">
        <v>1939</v>
      </c>
    </row>
    <row r="682" spans="1:2" x14ac:dyDescent="0.2">
      <c r="A682" s="160" t="s">
        <v>1940</v>
      </c>
      <c r="B682" s="160" t="s">
        <v>1941</v>
      </c>
    </row>
    <row r="683" spans="1:2" x14ac:dyDescent="0.2">
      <c r="A683" s="160" t="s">
        <v>1942</v>
      </c>
      <c r="B683" s="160" t="s">
        <v>1943</v>
      </c>
    </row>
    <row r="684" spans="1:2" x14ac:dyDescent="0.2">
      <c r="A684" s="160" t="s">
        <v>1944</v>
      </c>
      <c r="B684" s="160" t="s">
        <v>1945</v>
      </c>
    </row>
    <row r="685" spans="1:2" x14ac:dyDescent="0.2">
      <c r="A685" s="160" t="s">
        <v>1946</v>
      </c>
      <c r="B685" s="160" t="s">
        <v>1947</v>
      </c>
    </row>
    <row r="686" spans="1:2" x14ac:dyDescent="0.2">
      <c r="A686" s="160" t="s">
        <v>1948</v>
      </c>
      <c r="B686" s="160" t="s">
        <v>1949</v>
      </c>
    </row>
    <row r="687" spans="1:2" x14ac:dyDescent="0.2">
      <c r="A687" s="160" t="s">
        <v>1950</v>
      </c>
      <c r="B687" s="160" t="s">
        <v>1951</v>
      </c>
    </row>
    <row r="688" spans="1:2" x14ac:dyDescent="0.2">
      <c r="A688" s="160" t="s">
        <v>1952</v>
      </c>
      <c r="B688" s="160" t="s">
        <v>1953</v>
      </c>
    </row>
    <row r="689" spans="1:2" x14ac:dyDescent="0.2">
      <c r="A689" s="160" t="s">
        <v>1954</v>
      </c>
      <c r="B689" s="160" t="s">
        <v>1955</v>
      </c>
    </row>
    <row r="690" spans="1:2" x14ac:dyDescent="0.2">
      <c r="A690" s="160" t="s">
        <v>1956</v>
      </c>
      <c r="B690" s="160" t="s">
        <v>1957</v>
      </c>
    </row>
    <row r="691" spans="1:2" x14ac:dyDescent="0.2">
      <c r="A691" s="160" t="s">
        <v>6416</v>
      </c>
      <c r="B691" s="160" t="s">
        <v>6417</v>
      </c>
    </row>
    <row r="692" spans="1:2" x14ac:dyDescent="0.2">
      <c r="A692" s="160" t="s">
        <v>1958</v>
      </c>
      <c r="B692" s="160" t="s">
        <v>1959</v>
      </c>
    </row>
    <row r="693" spans="1:2" x14ac:dyDescent="0.2">
      <c r="A693" s="160" t="s">
        <v>1960</v>
      </c>
      <c r="B693" s="160" t="s">
        <v>1961</v>
      </c>
    </row>
    <row r="694" spans="1:2" x14ac:dyDescent="0.2">
      <c r="A694" s="160" t="s">
        <v>1962</v>
      </c>
      <c r="B694" s="160" t="s">
        <v>1963</v>
      </c>
    </row>
    <row r="695" spans="1:2" x14ac:dyDescent="0.2">
      <c r="A695" s="160" t="s">
        <v>1964</v>
      </c>
      <c r="B695" s="160" t="s">
        <v>1965</v>
      </c>
    </row>
    <row r="696" spans="1:2" x14ac:dyDescent="0.2">
      <c r="A696" s="160" t="s">
        <v>1966</v>
      </c>
      <c r="B696" s="160" t="s">
        <v>1967</v>
      </c>
    </row>
    <row r="697" spans="1:2" x14ac:dyDescent="0.2">
      <c r="A697" s="160" t="s">
        <v>1968</v>
      </c>
      <c r="B697" s="160" t="s">
        <v>1969</v>
      </c>
    </row>
    <row r="698" spans="1:2" x14ac:dyDescent="0.2">
      <c r="A698" s="160" t="s">
        <v>1970</v>
      </c>
      <c r="B698" s="160" t="s">
        <v>1971</v>
      </c>
    </row>
    <row r="699" spans="1:2" x14ac:dyDescent="0.2">
      <c r="A699" s="160" t="s">
        <v>1972</v>
      </c>
      <c r="B699" s="160" t="s">
        <v>1973</v>
      </c>
    </row>
    <row r="700" spans="1:2" x14ac:dyDescent="0.2">
      <c r="A700" s="160" t="s">
        <v>1974</v>
      </c>
      <c r="B700" s="160" t="s">
        <v>1975</v>
      </c>
    </row>
    <row r="701" spans="1:2" x14ac:dyDescent="0.2">
      <c r="A701" s="160" t="s">
        <v>1976</v>
      </c>
      <c r="B701" s="160" t="s">
        <v>1977</v>
      </c>
    </row>
    <row r="702" spans="1:2" x14ac:dyDescent="0.2">
      <c r="A702" s="160" t="s">
        <v>1978</v>
      </c>
      <c r="B702" s="160" t="s">
        <v>1979</v>
      </c>
    </row>
    <row r="703" spans="1:2" x14ac:dyDescent="0.2">
      <c r="A703" s="160" t="s">
        <v>1980</v>
      </c>
      <c r="B703" s="160" t="s">
        <v>1981</v>
      </c>
    </row>
    <row r="704" spans="1:2" x14ac:dyDescent="0.2">
      <c r="A704" s="160" t="s">
        <v>1982</v>
      </c>
      <c r="B704" s="160" t="s">
        <v>1983</v>
      </c>
    </row>
    <row r="705" spans="1:2" x14ac:dyDescent="0.2">
      <c r="A705" s="160" t="s">
        <v>1984</v>
      </c>
      <c r="B705" s="160" t="s">
        <v>1985</v>
      </c>
    </row>
    <row r="706" spans="1:2" x14ac:dyDescent="0.2">
      <c r="A706" s="160" t="s">
        <v>1986</v>
      </c>
      <c r="B706" s="160" t="s">
        <v>1987</v>
      </c>
    </row>
    <row r="707" spans="1:2" x14ac:dyDescent="0.2">
      <c r="A707" s="160" t="s">
        <v>1988</v>
      </c>
      <c r="B707" s="160" t="s">
        <v>1989</v>
      </c>
    </row>
    <row r="708" spans="1:2" x14ac:dyDescent="0.2">
      <c r="A708" s="160" t="s">
        <v>1990</v>
      </c>
      <c r="B708" s="160" t="s">
        <v>1991</v>
      </c>
    </row>
    <row r="709" spans="1:2" x14ac:dyDescent="0.2">
      <c r="A709" s="160" t="s">
        <v>1992</v>
      </c>
      <c r="B709" s="160" t="s">
        <v>1993</v>
      </c>
    </row>
    <row r="710" spans="1:2" x14ac:dyDescent="0.2">
      <c r="A710" s="160" t="s">
        <v>1994</v>
      </c>
      <c r="B710" s="160" t="s">
        <v>1995</v>
      </c>
    </row>
    <row r="711" spans="1:2" x14ac:dyDescent="0.2">
      <c r="A711" s="160" t="s">
        <v>1996</v>
      </c>
      <c r="B711" s="160" t="s">
        <v>1997</v>
      </c>
    </row>
    <row r="712" spans="1:2" x14ac:dyDescent="0.2">
      <c r="A712" s="160" t="s">
        <v>1998</v>
      </c>
      <c r="B712" s="160" t="s">
        <v>1999</v>
      </c>
    </row>
    <row r="713" spans="1:2" x14ac:dyDescent="0.2">
      <c r="A713" s="160" t="s">
        <v>2000</v>
      </c>
      <c r="B713" s="160" t="s">
        <v>2001</v>
      </c>
    </row>
    <row r="714" spans="1:2" x14ac:dyDescent="0.2">
      <c r="A714" s="160" t="s">
        <v>2002</v>
      </c>
      <c r="B714" s="160" t="s">
        <v>2003</v>
      </c>
    </row>
    <row r="715" spans="1:2" x14ac:dyDescent="0.2">
      <c r="A715" s="160" t="s">
        <v>2004</v>
      </c>
      <c r="B715" s="160" t="s">
        <v>2005</v>
      </c>
    </row>
    <row r="716" spans="1:2" x14ac:dyDescent="0.2">
      <c r="A716" s="160" t="s">
        <v>2006</v>
      </c>
      <c r="B716" s="160" t="s">
        <v>2007</v>
      </c>
    </row>
    <row r="717" spans="1:2" x14ac:dyDescent="0.2">
      <c r="A717" s="160" t="s">
        <v>2008</v>
      </c>
      <c r="B717" s="160" t="s">
        <v>2009</v>
      </c>
    </row>
    <row r="718" spans="1:2" x14ac:dyDescent="0.2">
      <c r="A718" s="160" t="s">
        <v>2010</v>
      </c>
      <c r="B718" s="160" t="s">
        <v>2011</v>
      </c>
    </row>
    <row r="719" spans="1:2" x14ac:dyDescent="0.2">
      <c r="A719" s="160" t="s">
        <v>6418</v>
      </c>
      <c r="B719" s="160" t="s">
        <v>6419</v>
      </c>
    </row>
    <row r="720" spans="1:2" x14ac:dyDescent="0.2">
      <c r="A720" s="160" t="s">
        <v>6420</v>
      </c>
      <c r="B720" s="160" t="s">
        <v>6421</v>
      </c>
    </row>
    <row r="721" spans="1:2" x14ac:dyDescent="0.2">
      <c r="A721" s="160" t="s">
        <v>2012</v>
      </c>
      <c r="B721" s="160" t="s">
        <v>2013</v>
      </c>
    </row>
    <row r="722" spans="1:2" x14ac:dyDescent="0.2">
      <c r="A722" s="160" t="s">
        <v>2014</v>
      </c>
      <c r="B722" s="160" t="s">
        <v>2015</v>
      </c>
    </row>
    <row r="723" spans="1:2" x14ac:dyDescent="0.2">
      <c r="A723" s="160" t="s">
        <v>2016</v>
      </c>
      <c r="B723" s="160" t="s">
        <v>2017</v>
      </c>
    </row>
    <row r="724" spans="1:2" x14ac:dyDescent="0.2">
      <c r="A724" s="160" t="s">
        <v>2018</v>
      </c>
      <c r="B724" s="160" t="s">
        <v>2019</v>
      </c>
    </row>
    <row r="725" spans="1:2" x14ac:dyDescent="0.2">
      <c r="A725" s="160" t="s">
        <v>2020</v>
      </c>
      <c r="B725" s="160" t="s">
        <v>2021</v>
      </c>
    </row>
    <row r="726" spans="1:2" x14ac:dyDescent="0.2">
      <c r="A726" s="160" t="s">
        <v>6422</v>
      </c>
      <c r="B726" s="160" t="s">
        <v>6423</v>
      </c>
    </row>
    <row r="727" spans="1:2" x14ac:dyDescent="0.2">
      <c r="A727" s="160" t="s">
        <v>2022</v>
      </c>
      <c r="B727" s="160" t="s">
        <v>2023</v>
      </c>
    </row>
    <row r="728" spans="1:2" x14ac:dyDescent="0.2">
      <c r="A728" s="160" t="s">
        <v>2024</v>
      </c>
      <c r="B728" s="160" t="s">
        <v>2025</v>
      </c>
    </row>
    <row r="729" spans="1:2" x14ac:dyDescent="0.2">
      <c r="A729" s="160" t="s">
        <v>2026</v>
      </c>
      <c r="B729" s="160" t="s">
        <v>2027</v>
      </c>
    </row>
    <row r="730" spans="1:2" x14ac:dyDescent="0.2">
      <c r="A730" s="160" t="s">
        <v>2028</v>
      </c>
      <c r="B730" s="160" t="s">
        <v>2029</v>
      </c>
    </row>
    <row r="731" spans="1:2" x14ac:dyDescent="0.2">
      <c r="A731" s="160" t="s">
        <v>2030</v>
      </c>
      <c r="B731" s="160" t="s">
        <v>2031</v>
      </c>
    </row>
    <row r="732" spans="1:2" x14ac:dyDescent="0.2">
      <c r="A732" s="160" t="s">
        <v>2032</v>
      </c>
      <c r="B732" s="160" t="s">
        <v>2033</v>
      </c>
    </row>
    <row r="733" spans="1:2" x14ac:dyDescent="0.2">
      <c r="A733" s="160" t="s">
        <v>2034</v>
      </c>
      <c r="B733" s="160" t="s">
        <v>2035</v>
      </c>
    </row>
    <row r="734" spans="1:2" x14ac:dyDescent="0.2">
      <c r="A734" s="160" t="s">
        <v>2036</v>
      </c>
      <c r="B734" s="160" t="s">
        <v>2037</v>
      </c>
    </row>
    <row r="735" spans="1:2" x14ac:dyDescent="0.2">
      <c r="A735" s="160" t="s">
        <v>6424</v>
      </c>
      <c r="B735" s="160" t="s">
        <v>6425</v>
      </c>
    </row>
    <row r="736" spans="1:2" x14ac:dyDescent="0.2">
      <c r="A736" s="160" t="s">
        <v>2038</v>
      </c>
      <c r="B736" s="160" t="s">
        <v>2039</v>
      </c>
    </row>
    <row r="737" spans="1:2" x14ac:dyDescent="0.2">
      <c r="A737" s="160" t="s">
        <v>6426</v>
      </c>
      <c r="B737" s="160" t="s">
        <v>6427</v>
      </c>
    </row>
    <row r="738" spans="1:2" x14ac:dyDescent="0.2">
      <c r="A738" s="160" t="s">
        <v>2040</v>
      </c>
      <c r="B738" s="160" t="s">
        <v>2021</v>
      </c>
    </row>
    <row r="739" spans="1:2" x14ac:dyDescent="0.2">
      <c r="A739" s="160" t="s">
        <v>2041</v>
      </c>
      <c r="B739" s="160" t="s">
        <v>2042</v>
      </c>
    </row>
    <row r="740" spans="1:2" x14ac:dyDescent="0.2">
      <c r="A740" s="160" t="s">
        <v>2043</v>
      </c>
      <c r="B740" s="160" t="s">
        <v>2044</v>
      </c>
    </row>
    <row r="741" spans="1:2" x14ac:dyDescent="0.2">
      <c r="A741" s="160" t="s">
        <v>2045</v>
      </c>
      <c r="B741" s="160" t="s">
        <v>2046</v>
      </c>
    </row>
    <row r="742" spans="1:2" x14ac:dyDescent="0.2">
      <c r="A742" s="160" t="s">
        <v>2047</v>
      </c>
      <c r="B742" s="160" t="s">
        <v>2048</v>
      </c>
    </row>
    <row r="743" spans="1:2" x14ac:dyDescent="0.2">
      <c r="A743" s="160" t="s">
        <v>2049</v>
      </c>
      <c r="B743" s="160" t="s">
        <v>2050</v>
      </c>
    </row>
    <row r="744" spans="1:2" x14ac:dyDescent="0.2">
      <c r="A744" s="160" t="s">
        <v>2051</v>
      </c>
      <c r="B744" s="160" t="s">
        <v>2052</v>
      </c>
    </row>
    <row r="745" spans="1:2" x14ac:dyDescent="0.2">
      <c r="A745" s="160" t="s">
        <v>2053</v>
      </c>
      <c r="B745" s="160" t="s">
        <v>2054</v>
      </c>
    </row>
    <row r="746" spans="1:2" x14ac:dyDescent="0.2">
      <c r="A746" s="160" t="s">
        <v>2055</v>
      </c>
      <c r="B746" s="160" t="s">
        <v>2056</v>
      </c>
    </row>
    <row r="747" spans="1:2" x14ac:dyDescent="0.2">
      <c r="A747" s="160" t="s">
        <v>2057</v>
      </c>
      <c r="B747" s="160" t="s">
        <v>2058</v>
      </c>
    </row>
    <row r="748" spans="1:2" x14ac:dyDescent="0.2">
      <c r="A748" s="160" t="s">
        <v>2059</v>
      </c>
      <c r="B748" s="160" t="s">
        <v>2060</v>
      </c>
    </row>
    <row r="749" spans="1:2" x14ac:dyDescent="0.2">
      <c r="A749" s="160" t="s">
        <v>2061</v>
      </c>
      <c r="B749" s="160" t="s">
        <v>2062</v>
      </c>
    </row>
    <row r="750" spans="1:2" x14ac:dyDescent="0.2">
      <c r="A750" s="160" t="s">
        <v>2063</v>
      </c>
      <c r="B750" s="160" t="s">
        <v>2064</v>
      </c>
    </row>
    <row r="751" spans="1:2" x14ac:dyDescent="0.2">
      <c r="A751" s="160" t="s">
        <v>6428</v>
      </c>
      <c r="B751" s="160" t="s">
        <v>6429</v>
      </c>
    </row>
    <row r="752" spans="1:2" x14ac:dyDescent="0.2">
      <c r="A752" s="160" t="s">
        <v>2065</v>
      </c>
      <c r="B752" s="160" t="s">
        <v>2066</v>
      </c>
    </row>
    <row r="753" spans="1:2" x14ac:dyDescent="0.2">
      <c r="A753" s="160" t="s">
        <v>2067</v>
      </c>
      <c r="B753" s="160" t="s">
        <v>2068</v>
      </c>
    </row>
    <row r="754" spans="1:2" x14ac:dyDescent="0.2">
      <c r="A754" s="160" t="s">
        <v>2069</v>
      </c>
      <c r="B754" s="160" t="s">
        <v>2070</v>
      </c>
    </row>
    <row r="755" spans="1:2" x14ac:dyDescent="0.2">
      <c r="A755" s="160" t="s">
        <v>2071</v>
      </c>
      <c r="B755" s="160" t="s">
        <v>2072</v>
      </c>
    </row>
    <row r="756" spans="1:2" x14ac:dyDescent="0.2">
      <c r="A756" s="160" t="s">
        <v>2073</v>
      </c>
      <c r="B756" s="160" t="s">
        <v>2074</v>
      </c>
    </row>
    <row r="757" spans="1:2" x14ac:dyDescent="0.2">
      <c r="A757" s="160" t="s">
        <v>2075</v>
      </c>
      <c r="B757" s="160" t="s">
        <v>2076</v>
      </c>
    </row>
    <row r="758" spans="1:2" x14ac:dyDescent="0.2">
      <c r="A758" s="160" t="s">
        <v>2077</v>
      </c>
      <c r="B758" s="160" t="s">
        <v>2078</v>
      </c>
    </row>
    <row r="759" spans="1:2" x14ac:dyDescent="0.2">
      <c r="A759" s="160" t="s">
        <v>2079</v>
      </c>
      <c r="B759" s="160" t="s">
        <v>2080</v>
      </c>
    </row>
    <row r="760" spans="1:2" x14ac:dyDescent="0.2">
      <c r="A760" s="160" t="s">
        <v>6430</v>
      </c>
      <c r="B760" s="160" t="s">
        <v>6431</v>
      </c>
    </row>
    <row r="761" spans="1:2" x14ac:dyDescent="0.2">
      <c r="A761" s="160" t="s">
        <v>2081</v>
      </c>
      <c r="B761" s="160" t="s">
        <v>2082</v>
      </c>
    </row>
    <row r="762" spans="1:2" x14ac:dyDescent="0.2">
      <c r="A762" s="160" t="s">
        <v>2083</v>
      </c>
      <c r="B762" s="160" t="s">
        <v>2084</v>
      </c>
    </row>
    <row r="763" spans="1:2" x14ac:dyDescent="0.2">
      <c r="A763" s="160" t="s">
        <v>6432</v>
      </c>
      <c r="B763" s="160" t="s">
        <v>6433</v>
      </c>
    </row>
    <row r="764" spans="1:2" x14ac:dyDescent="0.2">
      <c r="A764" s="160" t="s">
        <v>2085</v>
      </c>
      <c r="B764" s="160" t="s">
        <v>2086</v>
      </c>
    </row>
    <row r="765" spans="1:2" x14ac:dyDescent="0.2">
      <c r="A765" s="160" t="s">
        <v>2087</v>
      </c>
      <c r="B765" s="160" t="s">
        <v>2088</v>
      </c>
    </row>
    <row r="766" spans="1:2" x14ac:dyDescent="0.2">
      <c r="A766" s="160" t="s">
        <v>2089</v>
      </c>
      <c r="B766" s="160" t="s">
        <v>2090</v>
      </c>
    </row>
    <row r="767" spans="1:2" x14ac:dyDescent="0.2">
      <c r="A767" s="160" t="s">
        <v>2091</v>
      </c>
      <c r="B767" s="160" t="s">
        <v>2092</v>
      </c>
    </row>
    <row r="768" spans="1:2" x14ac:dyDescent="0.2">
      <c r="A768" s="160" t="s">
        <v>2093</v>
      </c>
      <c r="B768" s="160" t="s">
        <v>2094</v>
      </c>
    </row>
    <row r="769" spans="1:2" x14ac:dyDescent="0.2">
      <c r="A769" s="160" t="s">
        <v>2095</v>
      </c>
      <c r="B769" s="160" t="s">
        <v>2096</v>
      </c>
    </row>
    <row r="770" spans="1:2" x14ac:dyDescent="0.2">
      <c r="A770" s="160" t="s">
        <v>2097</v>
      </c>
      <c r="B770" s="160" t="s">
        <v>2098</v>
      </c>
    </row>
    <row r="771" spans="1:2" x14ac:dyDescent="0.2">
      <c r="A771" s="160" t="s">
        <v>2099</v>
      </c>
      <c r="B771" s="160" t="s">
        <v>2100</v>
      </c>
    </row>
    <row r="772" spans="1:2" x14ac:dyDescent="0.2">
      <c r="A772" s="160" t="s">
        <v>2101</v>
      </c>
      <c r="B772" s="160" t="s">
        <v>2102</v>
      </c>
    </row>
    <row r="773" spans="1:2" x14ac:dyDescent="0.2">
      <c r="A773" s="160" t="s">
        <v>6434</v>
      </c>
      <c r="B773" s="160" t="s">
        <v>6435</v>
      </c>
    </row>
    <row r="774" spans="1:2" x14ac:dyDescent="0.2">
      <c r="A774" s="160" t="s">
        <v>2103</v>
      </c>
      <c r="B774" s="160" t="s">
        <v>2104</v>
      </c>
    </row>
    <row r="775" spans="1:2" x14ac:dyDescent="0.2">
      <c r="A775" s="160" t="s">
        <v>2105</v>
      </c>
      <c r="B775" s="160" t="s">
        <v>2106</v>
      </c>
    </row>
    <row r="776" spans="1:2" x14ac:dyDescent="0.2">
      <c r="A776" s="160" t="s">
        <v>6436</v>
      </c>
      <c r="B776" s="160" t="s">
        <v>6437</v>
      </c>
    </row>
    <row r="777" spans="1:2" x14ac:dyDescent="0.2">
      <c r="A777" s="160" t="s">
        <v>2107</v>
      </c>
      <c r="B777" s="160" t="s">
        <v>2108</v>
      </c>
    </row>
    <row r="778" spans="1:2" x14ac:dyDescent="0.2">
      <c r="A778" s="160" t="s">
        <v>2109</v>
      </c>
      <c r="B778" s="160" t="s">
        <v>2110</v>
      </c>
    </row>
    <row r="779" spans="1:2" x14ac:dyDescent="0.2">
      <c r="A779" s="160" t="s">
        <v>6438</v>
      </c>
      <c r="B779" s="160" t="s">
        <v>6439</v>
      </c>
    </row>
    <row r="780" spans="1:2" x14ac:dyDescent="0.2">
      <c r="A780" s="160" t="s">
        <v>2111</v>
      </c>
      <c r="B780" s="160" t="s">
        <v>2112</v>
      </c>
    </row>
    <row r="781" spans="1:2" x14ac:dyDescent="0.2">
      <c r="A781" s="160" t="s">
        <v>6440</v>
      </c>
      <c r="B781" s="160" t="s">
        <v>6441</v>
      </c>
    </row>
    <row r="782" spans="1:2" x14ac:dyDescent="0.2">
      <c r="A782" s="160" t="s">
        <v>2113</v>
      </c>
      <c r="B782" s="160" t="s">
        <v>2114</v>
      </c>
    </row>
    <row r="783" spans="1:2" x14ac:dyDescent="0.2">
      <c r="A783" s="160" t="s">
        <v>2115</v>
      </c>
      <c r="B783" s="160" t="s">
        <v>2116</v>
      </c>
    </row>
    <row r="784" spans="1:2" x14ac:dyDescent="0.2">
      <c r="A784" s="160" t="s">
        <v>2117</v>
      </c>
      <c r="B784" s="160" t="s">
        <v>2118</v>
      </c>
    </row>
    <row r="785" spans="1:2" x14ac:dyDescent="0.2">
      <c r="A785" s="160" t="s">
        <v>2119</v>
      </c>
      <c r="B785" s="160" t="s">
        <v>2120</v>
      </c>
    </row>
    <row r="786" spans="1:2" x14ac:dyDescent="0.2">
      <c r="A786" s="160" t="s">
        <v>6442</v>
      </c>
      <c r="B786" s="160" t="s">
        <v>6443</v>
      </c>
    </row>
    <row r="787" spans="1:2" x14ac:dyDescent="0.2">
      <c r="A787" s="160" t="s">
        <v>2121</v>
      </c>
      <c r="B787" s="160" t="s">
        <v>2122</v>
      </c>
    </row>
    <row r="788" spans="1:2" x14ac:dyDescent="0.2">
      <c r="A788" s="160" t="s">
        <v>2123</v>
      </c>
      <c r="B788" s="160" t="s">
        <v>2124</v>
      </c>
    </row>
    <row r="789" spans="1:2" x14ac:dyDescent="0.2">
      <c r="A789" s="160" t="s">
        <v>6444</v>
      </c>
      <c r="B789" s="160" t="s">
        <v>6445</v>
      </c>
    </row>
    <row r="790" spans="1:2" x14ac:dyDescent="0.2">
      <c r="A790" s="160" t="s">
        <v>2125</v>
      </c>
      <c r="B790" s="160" t="s">
        <v>2126</v>
      </c>
    </row>
    <row r="791" spans="1:2" x14ac:dyDescent="0.2">
      <c r="A791" s="160" t="s">
        <v>2127</v>
      </c>
      <c r="B791" s="160" t="s">
        <v>2128</v>
      </c>
    </row>
    <row r="792" spans="1:2" x14ac:dyDescent="0.2">
      <c r="A792" s="160" t="s">
        <v>2129</v>
      </c>
      <c r="B792" s="160" t="s">
        <v>2130</v>
      </c>
    </row>
    <row r="793" spans="1:2" x14ac:dyDescent="0.2">
      <c r="A793" s="160" t="s">
        <v>2131</v>
      </c>
      <c r="B793" s="160" t="s">
        <v>2132</v>
      </c>
    </row>
    <row r="794" spans="1:2" x14ac:dyDescent="0.2">
      <c r="A794" s="160" t="s">
        <v>2133</v>
      </c>
      <c r="B794" s="160" t="s">
        <v>2134</v>
      </c>
    </row>
    <row r="795" spans="1:2" x14ac:dyDescent="0.2">
      <c r="A795" s="160" t="s">
        <v>6446</v>
      </c>
      <c r="B795" s="160" t="s">
        <v>6447</v>
      </c>
    </row>
    <row r="796" spans="1:2" x14ac:dyDescent="0.2">
      <c r="A796" s="160" t="s">
        <v>2135</v>
      </c>
      <c r="B796" s="160" t="s">
        <v>2136</v>
      </c>
    </row>
    <row r="797" spans="1:2" x14ac:dyDescent="0.2">
      <c r="A797" s="160" t="s">
        <v>2137</v>
      </c>
      <c r="B797" s="160" t="s">
        <v>2138</v>
      </c>
    </row>
    <row r="798" spans="1:2" x14ac:dyDescent="0.2">
      <c r="A798" s="160" t="s">
        <v>2139</v>
      </c>
      <c r="B798" s="160" t="s">
        <v>2140</v>
      </c>
    </row>
    <row r="799" spans="1:2" x14ac:dyDescent="0.2">
      <c r="A799" s="160" t="s">
        <v>2141</v>
      </c>
      <c r="B799" s="160" t="s">
        <v>2142</v>
      </c>
    </row>
    <row r="800" spans="1:2" x14ac:dyDescent="0.2">
      <c r="A800" s="160" t="s">
        <v>2143</v>
      </c>
      <c r="B800" s="160" t="s">
        <v>2144</v>
      </c>
    </row>
    <row r="801" spans="1:2" x14ac:dyDescent="0.2">
      <c r="A801" s="160" t="s">
        <v>2145</v>
      </c>
      <c r="B801" s="160" t="s">
        <v>2146</v>
      </c>
    </row>
    <row r="802" spans="1:2" x14ac:dyDescent="0.2">
      <c r="A802" s="160" t="s">
        <v>2147</v>
      </c>
      <c r="B802" s="160" t="s">
        <v>2148</v>
      </c>
    </row>
    <row r="803" spans="1:2" x14ac:dyDescent="0.2">
      <c r="A803" s="160" t="s">
        <v>2149</v>
      </c>
      <c r="B803" s="160" t="s">
        <v>2150</v>
      </c>
    </row>
    <row r="804" spans="1:2" x14ac:dyDescent="0.2">
      <c r="A804" s="160" t="s">
        <v>2151</v>
      </c>
      <c r="B804" s="160" t="s">
        <v>2152</v>
      </c>
    </row>
    <row r="805" spans="1:2" x14ac:dyDescent="0.2">
      <c r="A805" s="160" t="s">
        <v>6448</v>
      </c>
      <c r="B805" s="160" t="s">
        <v>6449</v>
      </c>
    </row>
    <row r="806" spans="1:2" x14ac:dyDescent="0.2">
      <c r="A806" s="160" t="s">
        <v>6450</v>
      </c>
      <c r="B806" s="160" t="s">
        <v>6451</v>
      </c>
    </row>
    <row r="807" spans="1:2" x14ac:dyDescent="0.2">
      <c r="A807" s="160" t="s">
        <v>2153</v>
      </c>
      <c r="B807" s="160" t="s">
        <v>2154</v>
      </c>
    </row>
    <row r="808" spans="1:2" x14ac:dyDescent="0.2">
      <c r="A808" s="160" t="s">
        <v>2155</v>
      </c>
      <c r="B808" s="160" t="s">
        <v>2156</v>
      </c>
    </row>
    <row r="809" spans="1:2" x14ac:dyDescent="0.2">
      <c r="A809" s="160" t="s">
        <v>2157</v>
      </c>
      <c r="B809" s="160" t="s">
        <v>2158</v>
      </c>
    </row>
    <row r="810" spans="1:2" x14ac:dyDescent="0.2">
      <c r="A810" s="160" t="s">
        <v>2159</v>
      </c>
      <c r="B810" s="160" t="s">
        <v>2160</v>
      </c>
    </row>
    <row r="811" spans="1:2" x14ac:dyDescent="0.2">
      <c r="A811" s="160" t="s">
        <v>2161</v>
      </c>
      <c r="B811" s="160" t="s">
        <v>2162</v>
      </c>
    </row>
    <row r="812" spans="1:2" x14ac:dyDescent="0.2">
      <c r="A812" s="160" t="s">
        <v>2163</v>
      </c>
      <c r="B812" s="160" t="s">
        <v>2164</v>
      </c>
    </row>
    <row r="813" spans="1:2" x14ac:dyDescent="0.2">
      <c r="A813" s="160" t="s">
        <v>2165</v>
      </c>
      <c r="B813" s="160" t="s">
        <v>6452</v>
      </c>
    </row>
    <row r="814" spans="1:2" x14ac:dyDescent="0.2">
      <c r="A814" s="160" t="s">
        <v>2166</v>
      </c>
      <c r="B814" s="160" t="s">
        <v>2167</v>
      </c>
    </row>
    <row r="815" spans="1:2" x14ac:dyDescent="0.2">
      <c r="A815" s="160" t="s">
        <v>6453</v>
      </c>
      <c r="B815" s="160" t="s">
        <v>6454</v>
      </c>
    </row>
    <row r="816" spans="1:2" x14ac:dyDescent="0.2">
      <c r="A816" s="160" t="s">
        <v>2168</v>
      </c>
      <c r="B816" s="160" t="s">
        <v>6455</v>
      </c>
    </row>
    <row r="817" spans="1:2" x14ac:dyDescent="0.2">
      <c r="A817" s="160" t="s">
        <v>6456</v>
      </c>
      <c r="B817" s="160" t="s">
        <v>6457</v>
      </c>
    </row>
    <row r="818" spans="1:2" x14ac:dyDescent="0.2">
      <c r="A818" s="160" t="s">
        <v>2169</v>
      </c>
      <c r="B818" s="160" t="s">
        <v>2170</v>
      </c>
    </row>
    <row r="819" spans="1:2" x14ac:dyDescent="0.2">
      <c r="A819" s="160" t="s">
        <v>2171</v>
      </c>
      <c r="B819" s="160" t="s">
        <v>2172</v>
      </c>
    </row>
    <row r="820" spans="1:2" x14ac:dyDescent="0.2">
      <c r="A820" s="160" t="s">
        <v>6458</v>
      </c>
      <c r="B820" s="160" t="s">
        <v>6459</v>
      </c>
    </row>
    <row r="821" spans="1:2" x14ac:dyDescent="0.2">
      <c r="A821" s="160" t="s">
        <v>2173</v>
      </c>
      <c r="B821" s="160" t="s">
        <v>2174</v>
      </c>
    </row>
    <row r="822" spans="1:2" x14ac:dyDescent="0.2">
      <c r="A822" s="160" t="s">
        <v>2175</v>
      </c>
      <c r="B822" s="160" t="s">
        <v>2176</v>
      </c>
    </row>
    <row r="823" spans="1:2" x14ac:dyDescent="0.2">
      <c r="A823" s="160" t="s">
        <v>2177</v>
      </c>
      <c r="B823" s="160" t="s">
        <v>2178</v>
      </c>
    </row>
    <row r="824" spans="1:2" x14ac:dyDescent="0.2">
      <c r="A824" s="160" t="s">
        <v>2179</v>
      </c>
      <c r="B824" s="160" t="s">
        <v>2180</v>
      </c>
    </row>
    <row r="825" spans="1:2" x14ac:dyDescent="0.2">
      <c r="A825" s="160" t="s">
        <v>2181</v>
      </c>
      <c r="B825" s="160" t="s">
        <v>2182</v>
      </c>
    </row>
    <row r="826" spans="1:2" x14ac:dyDescent="0.2">
      <c r="A826" s="160" t="s">
        <v>2183</v>
      </c>
      <c r="B826" s="160" t="s">
        <v>2184</v>
      </c>
    </row>
    <row r="827" spans="1:2" x14ac:dyDescent="0.2">
      <c r="A827" s="160" t="s">
        <v>2185</v>
      </c>
      <c r="B827" s="160" t="s">
        <v>2186</v>
      </c>
    </row>
    <row r="828" spans="1:2" x14ac:dyDescent="0.2">
      <c r="A828" s="160" t="s">
        <v>2187</v>
      </c>
      <c r="B828" s="160" t="s">
        <v>2188</v>
      </c>
    </row>
    <row r="829" spans="1:2" x14ac:dyDescent="0.2">
      <c r="A829" s="160" t="s">
        <v>2189</v>
      </c>
      <c r="B829" s="160" t="s">
        <v>2190</v>
      </c>
    </row>
    <row r="830" spans="1:2" x14ac:dyDescent="0.2">
      <c r="A830" s="160" t="s">
        <v>2191</v>
      </c>
      <c r="B830" s="160" t="s">
        <v>2192</v>
      </c>
    </row>
    <row r="831" spans="1:2" x14ac:dyDescent="0.2">
      <c r="A831" s="160" t="s">
        <v>2193</v>
      </c>
      <c r="B831" s="160" t="s">
        <v>2194</v>
      </c>
    </row>
    <row r="832" spans="1:2" x14ac:dyDescent="0.2">
      <c r="A832" s="160" t="s">
        <v>2195</v>
      </c>
      <c r="B832" s="160" t="s">
        <v>2196</v>
      </c>
    </row>
    <row r="833" spans="1:2" x14ac:dyDescent="0.2">
      <c r="A833" s="160" t="s">
        <v>2197</v>
      </c>
      <c r="B833" s="160" t="s">
        <v>2198</v>
      </c>
    </row>
    <row r="834" spans="1:2" x14ac:dyDescent="0.2">
      <c r="A834" s="160" t="s">
        <v>2199</v>
      </c>
      <c r="B834" s="160" t="s">
        <v>2200</v>
      </c>
    </row>
    <row r="835" spans="1:2" x14ac:dyDescent="0.2">
      <c r="A835" s="160" t="s">
        <v>6460</v>
      </c>
      <c r="B835" s="160" t="s">
        <v>6461</v>
      </c>
    </row>
    <row r="836" spans="1:2" x14ac:dyDescent="0.2">
      <c r="A836" s="160" t="s">
        <v>2201</v>
      </c>
      <c r="B836" s="160" t="s">
        <v>2202</v>
      </c>
    </row>
    <row r="837" spans="1:2" x14ac:dyDescent="0.2">
      <c r="A837" s="160" t="s">
        <v>2203</v>
      </c>
      <c r="B837" s="160" t="s">
        <v>2204</v>
      </c>
    </row>
    <row r="838" spans="1:2" x14ac:dyDescent="0.2">
      <c r="A838" s="160" t="s">
        <v>2205</v>
      </c>
      <c r="B838" s="160" t="s">
        <v>2206</v>
      </c>
    </row>
    <row r="839" spans="1:2" x14ac:dyDescent="0.2">
      <c r="A839" s="160" t="s">
        <v>2207</v>
      </c>
      <c r="B839" s="160" t="s">
        <v>2208</v>
      </c>
    </row>
    <row r="840" spans="1:2" x14ac:dyDescent="0.2">
      <c r="A840" s="160" t="s">
        <v>2209</v>
      </c>
      <c r="B840" s="160" t="s">
        <v>2210</v>
      </c>
    </row>
    <row r="841" spans="1:2" x14ac:dyDescent="0.2">
      <c r="A841" s="160" t="s">
        <v>2211</v>
      </c>
      <c r="B841" s="160" t="s">
        <v>2212</v>
      </c>
    </row>
    <row r="842" spans="1:2" x14ac:dyDescent="0.2">
      <c r="A842" s="160" t="s">
        <v>2213</v>
      </c>
      <c r="B842" s="160" t="s">
        <v>2214</v>
      </c>
    </row>
    <row r="843" spans="1:2" x14ac:dyDescent="0.2">
      <c r="A843" s="160" t="s">
        <v>2215</v>
      </c>
      <c r="B843" s="160" t="s">
        <v>2216</v>
      </c>
    </row>
    <row r="844" spans="1:2" x14ac:dyDescent="0.2">
      <c r="A844" s="160" t="s">
        <v>2217</v>
      </c>
      <c r="B844" s="160" t="s">
        <v>2218</v>
      </c>
    </row>
    <row r="845" spans="1:2" x14ac:dyDescent="0.2">
      <c r="A845" s="160" t="s">
        <v>2219</v>
      </c>
      <c r="B845" s="160" t="s">
        <v>2220</v>
      </c>
    </row>
    <row r="846" spans="1:2" x14ac:dyDescent="0.2">
      <c r="A846" s="160" t="s">
        <v>2221</v>
      </c>
      <c r="B846" s="160" t="s">
        <v>2222</v>
      </c>
    </row>
    <row r="847" spans="1:2" x14ac:dyDescent="0.2">
      <c r="A847" s="160" t="s">
        <v>2223</v>
      </c>
      <c r="B847" s="160" t="s">
        <v>2224</v>
      </c>
    </row>
    <row r="848" spans="1:2" x14ac:dyDescent="0.2">
      <c r="A848" s="160" t="s">
        <v>2225</v>
      </c>
      <c r="B848" s="160" t="s">
        <v>2226</v>
      </c>
    </row>
    <row r="849" spans="1:2" x14ac:dyDescent="0.2">
      <c r="A849" s="160" t="s">
        <v>2227</v>
      </c>
      <c r="B849" s="160" t="s">
        <v>2228</v>
      </c>
    </row>
    <row r="850" spans="1:2" x14ac:dyDescent="0.2">
      <c r="A850" s="160" t="s">
        <v>2229</v>
      </c>
      <c r="B850" s="160" t="s">
        <v>2230</v>
      </c>
    </row>
    <row r="851" spans="1:2" x14ac:dyDescent="0.2">
      <c r="A851" s="160" t="s">
        <v>2231</v>
      </c>
      <c r="B851" s="160" t="s">
        <v>2232</v>
      </c>
    </row>
    <row r="852" spans="1:2" x14ac:dyDescent="0.2">
      <c r="A852" s="160" t="s">
        <v>2233</v>
      </c>
      <c r="B852" s="160" t="s">
        <v>2234</v>
      </c>
    </row>
    <row r="853" spans="1:2" x14ac:dyDescent="0.2">
      <c r="A853" s="160" t="s">
        <v>2235</v>
      </c>
      <c r="B853" s="160" t="s">
        <v>2236</v>
      </c>
    </row>
    <row r="854" spans="1:2" x14ac:dyDescent="0.2">
      <c r="A854" s="160" t="s">
        <v>2237</v>
      </c>
      <c r="B854" s="160" t="s">
        <v>2238</v>
      </c>
    </row>
    <row r="855" spans="1:2" x14ac:dyDescent="0.2">
      <c r="A855" s="160" t="s">
        <v>2239</v>
      </c>
      <c r="B855" s="160" t="s">
        <v>2240</v>
      </c>
    </row>
    <row r="856" spans="1:2" x14ac:dyDescent="0.2">
      <c r="A856" s="160" t="s">
        <v>2241</v>
      </c>
      <c r="B856" s="160" t="s">
        <v>2242</v>
      </c>
    </row>
    <row r="857" spans="1:2" x14ac:dyDescent="0.2">
      <c r="A857" s="160" t="s">
        <v>6462</v>
      </c>
      <c r="B857" s="160" t="s">
        <v>6463</v>
      </c>
    </row>
    <row r="858" spans="1:2" x14ac:dyDescent="0.2">
      <c r="A858" s="160" t="s">
        <v>2243</v>
      </c>
      <c r="B858" s="160" t="s">
        <v>2244</v>
      </c>
    </row>
    <row r="859" spans="1:2" x14ac:dyDescent="0.2">
      <c r="A859" s="160" t="s">
        <v>2245</v>
      </c>
      <c r="B859" s="160" t="s">
        <v>2246</v>
      </c>
    </row>
    <row r="860" spans="1:2" x14ac:dyDescent="0.2">
      <c r="A860" s="160" t="s">
        <v>2247</v>
      </c>
      <c r="B860" s="160" t="s">
        <v>2248</v>
      </c>
    </row>
    <row r="861" spans="1:2" x14ac:dyDescent="0.2">
      <c r="A861" s="160" t="s">
        <v>2249</v>
      </c>
      <c r="B861" s="160" t="s">
        <v>2250</v>
      </c>
    </row>
    <row r="862" spans="1:2" x14ac:dyDescent="0.2">
      <c r="A862" s="160" t="s">
        <v>2251</v>
      </c>
      <c r="B862" s="160" t="s">
        <v>2252</v>
      </c>
    </row>
    <row r="863" spans="1:2" x14ac:dyDescent="0.2">
      <c r="A863" s="160" t="s">
        <v>6464</v>
      </c>
      <c r="B863" s="160" t="s">
        <v>6465</v>
      </c>
    </row>
    <row r="864" spans="1:2" x14ac:dyDescent="0.2">
      <c r="A864" s="160" t="s">
        <v>2253</v>
      </c>
      <c r="B864" s="160" t="s">
        <v>2254</v>
      </c>
    </row>
    <row r="865" spans="1:2" x14ac:dyDescent="0.2">
      <c r="A865" s="160" t="s">
        <v>2255</v>
      </c>
      <c r="B865" s="160" t="s">
        <v>2256</v>
      </c>
    </row>
    <row r="866" spans="1:2" x14ac:dyDescent="0.2">
      <c r="A866" s="160" t="s">
        <v>6466</v>
      </c>
      <c r="B866" s="160" t="s">
        <v>6467</v>
      </c>
    </row>
    <row r="867" spans="1:2" x14ac:dyDescent="0.2">
      <c r="A867" s="160" t="s">
        <v>2257</v>
      </c>
      <c r="B867" s="160" t="s">
        <v>2258</v>
      </c>
    </row>
    <row r="868" spans="1:2" x14ac:dyDescent="0.2">
      <c r="A868" s="160" t="s">
        <v>2259</v>
      </c>
      <c r="B868" s="160" t="s">
        <v>2260</v>
      </c>
    </row>
    <row r="869" spans="1:2" x14ac:dyDescent="0.2">
      <c r="A869" s="160" t="s">
        <v>2261</v>
      </c>
      <c r="B869" s="160" t="s">
        <v>2262</v>
      </c>
    </row>
    <row r="870" spans="1:2" x14ac:dyDescent="0.2">
      <c r="A870" s="160" t="s">
        <v>2263</v>
      </c>
      <c r="B870" s="160" t="s">
        <v>2264</v>
      </c>
    </row>
    <row r="871" spans="1:2" x14ac:dyDescent="0.2">
      <c r="A871" s="160" t="s">
        <v>2265</v>
      </c>
      <c r="B871" s="160" t="s">
        <v>2266</v>
      </c>
    </row>
    <row r="872" spans="1:2" x14ac:dyDescent="0.2">
      <c r="A872" s="160" t="s">
        <v>2267</v>
      </c>
      <c r="B872" s="160" t="s">
        <v>2268</v>
      </c>
    </row>
    <row r="873" spans="1:2" x14ac:dyDescent="0.2">
      <c r="A873" s="160" t="s">
        <v>2269</v>
      </c>
      <c r="B873" s="160" t="s">
        <v>2270</v>
      </c>
    </row>
    <row r="874" spans="1:2" x14ac:dyDescent="0.2">
      <c r="A874" s="160" t="s">
        <v>2271</v>
      </c>
      <c r="B874" s="160" t="s">
        <v>2272</v>
      </c>
    </row>
    <row r="875" spans="1:2" x14ac:dyDescent="0.2">
      <c r="A875" s="160" t="s">
        <v>2273</v>
      </c>
      <c r="B875" s="160" t="s">
        <v>2274</v>
      </c>
    </row>
    <row r="876" spans="1:2" x14ac:dyDescent="0.2">
      <c r="A876" s="160" t="s">
        <v>2275</v>
      </c>
      <c r="B876" s="160" t="s">
        <v>2276</v>
      </c>
    </row>
    <row r="877" spans="1:2" x14ac:dyDescent="0.2">
      <c r="A877" s="160" t="s">
        <v>2277</v>
      </c>
      <c r="B877" s="160" t="s">
        <v>2278</v>
      </c>
    </row>
    <row r="878" spans="1:2" x14ac:dyDescent="0.2">
      <c r="A878" s="160" t="s">
        <v>2279</v>
      </c>
      <c r="B878" s="160" t="s">
        <v>2280</v>
      </c>
    </row>
    <row r="879" spans="1:2" x14ac:dyDescent="0.2">
      <c r="A879" s="160" t="s">
        <v>2281</v>
      </c>
      <c r="B879" s="160" t="s">
        <v>2282</v>
      </c>
    </row>
    <row r="880" spans="1:2" x14ac:dyDescent="0.2">
      <c r="A880" s="160" t="s">
        <v>2283</v>
      </c>
      <c r="B880" s="160" t="s">
        <v>2284</v>
      </c>
    </row>
    <row r="881" spans="1:2" x14ac:dyDescent="0.2">
      <c r="A881" s="160" t="s">
        <v>2285</v>
      </c>
      <c r="B881" s="160" t="s">
        <v>2286</v>
      </c>
    </row>
    <row r="882" spans="1:2" x14ac:dyDescent="0.2">
      <c r="A882" s="160" t="s">
        <v>2287</v>
      </c>
      <c r="B882" s="160" t="s">
        <v>2288</v>
      </c>
    </row>
    <row r="883" spans="1:2" x14ac:dyDescent="0.2">
      <c r="A883" s="160" t="s">
        <v>2289</v>
      </c>
      <c r="B883" s="160" t="s">
        <v>2290</v>
      </c>
    </row>
    <row r="884" spans="1:2" x14ac:dyDescent="0.2">
      <c r="A884" s="160" t="s">
        <v>2291</v>
      </c>
      <c r="B884" s="160" t="s">
        <v>2292</v>
      </c>
    </row>
    <row r="885" spans="1:2" x14ac:dyDescent="0.2">
      <c r="A885" s="160" t="s">
        <v>2293</v>
      </c>
      <c r="B885" s="160" t="s">
        <v>2294</v>
      </c>
    </row>
    <row r="886" spans="1:2" x14ac:dyDescent="0.2">
      <c r="A886" s="160" t="s">
        <v>6468</v>
      </c>
      <c r="B886" s="160" t="s">
        <v>6469</v>
      </c>
    </row>
    <row r="887" spans="1:2" x14ac:dyDescent="0.2">
      <c r="A887" s="160" t="s">
        <v>6470</v>
      </c>
      <c r="B887" s="160" t="s">
        <v>6471</v>
      </c>
    </row>
    <row r="888" spans="1:2" x14ac:dyDescent="0.2">
      <c r="A888" s="160" t="s">
        <v>2295</v>
      </c>
      <c r="B888" s="160" t="s">
        <v>2296</v>
      </c>
    </row>
    <row r="889" spans="1:2" x14ac:dyDescent="0.2">
      <c r="A889" s="160" t="s">
        <v>2297</v>
      </c>
      <c r="B889" s="160" t="s">
        <v>2298</v>
      </c>
    </row>
    <row r="890" spans="1:2" x14ac:dyDescent="0.2">
      <c r="A890" s="160" t="s">
        <v>2299</v>
      </c>
      <c r="B890" s="160" t="s">
        <v>2300</v>
      </c>
    </row>
    <row r="891" spans="1:2" x14ac:dyDescent="0.2">
      <c r="A891" s="160" t="s">
        <v>2301</v>
      </c>
      <c r="B891" s="160" t="s">
        <v>2302</v>
      </c>
    </row>
    <row r="892" spans="1:2" x14ac:dyDescent="0.2">
      <c r="A892" s="160" t="s">
        <v>2303</v>
      </c>
      <c r="B892" s="160" t="s">
        <v>2304</v>
      </c>
    </row>
    <row r="893" spans="1:2" x14ac:dyDescent="0.2">
      <c r="A893" s="160" t="s">
        <v>6472</v>
      </c>
      <c r="B893" s="160" t="s">
        <v>6473</v>
      </c>
    </row>
    <row r="894" spans="1:2" x14ac:dyDescent="0.2">
      <c r="A894" s="160" t="s">
        <v>2305</v>
      </c>
      <c r="B894" s="160" t="s">
        <v>2306</v>
      </c>
    </row>
    <row r="895" spans="1:2" x14ac:dyDescent="0.2">
      <c r="A895" s="160" t="s">
        <v>2307</v>
      </c>
      <c r="B895" s="160" t="s">
        <v>2308</v>
      </c>
    </row>
    <row r="896" spans="1:2" x14ac:dyDescent="0.2">
      <c r="A896" s="160" t="s">
        <v>2309</v>
      </c>
      <c r="B896" s="160" t="s">
        <v>2310</v>
      </c>
    </row>
    <row r="897" spans="1:2" x14ac:dyDescent="0.2">
      <c r="A897" s="160" t="s">
        <v>2311</v>
      </c>
      <c r="B897" s="160" t="s">
        <v>2312</v>
      </c>
    </row>
    <row r="898" spans="1:2" x14ac:dyDescent="0.2">
      <c r="A898" s="160" t="s">
        <v>2313</v>
      </c>
      <c r="B898" s="160" t="s">
        <v>2314</v>
      </c>
    </row>
    <row r="899" spans="1:2" x14ac:dyDescent="0.2">
      <c r="A899" s="160" t="s">
        <v>2315</v>
      </c>
      <c r="B899" s="160" t="s">
        <v>2316</v>
      </c>
    </row>
    <row r="900" spans="1:2" x14ac:dyDescent="0.2">
      <c r="A900" s="160" t="s">
        <v>2317</v>
      </c>
      <c r="B900" s="160" t="s">
        <v>2318</v>
      </c>
    </row>
    <row r="901" spans="1:2" x14ac:dyDescent="0.2">
      <c r="A901" s="160" t="s">
        <v>2319</v>
      </c>
      <c r="B901" s="160" t="s">
        <v>2320</v>
      </c>
    </row>
    <row r="902" spans="1:2" x14ac:dyDescent="0.2">
      <c r="A902" s="160" t="s">
        <v>2321</v>
      </c>
      <c r="B902" s="160" t="s">
        <v>2322</v>
      </c>
    </row>
    <row r="903" spans="1:2" x14ac:dyDescent="0.2">
      <c r="A903" s="160" t="s">
        <v>2323</v>
      </c>
      <c r="B903" s="160" t="s">
        <v>2324</v>
      </c>
    </row>
    <row r="904" spans="1:2" x14ac:dyDescent="0.2">
      <c r="A904" s="160" t="s">
        <v>2325</v>
      </c>
      <c r="B904" s="160" t="s">
        <v>2326</v>
      </c>
    </row>
    <row r="905" spans="1:2" x14ac:dyDescent="0.2">
      <c r="A905" s="160" t="s">
        <v>2327</v>
      </c>
      <c r="B905" s="160" t="s">
        <v>6474</v>
      </c>
    </row>
    <row r="906" spans="1:2" x14ac:dyDescent="0.2">
      <c r="A906" s="160" t="s">
        <v>2328</v>
      </c>
      <c r="B906" s="160" t="s">
        <v>2329</v>
      </c>
    </row>
    <row r="907" spans="1:2" x14ac:dyDescent="0.2">
      <c r="A907" s="160" t="s">
        <v>2330</v>
      </c>
      <c r="B907" s="160" t="s">
        <v>2331</v>
      </c>
    </row>
    <row r="908" spans="1:2" x14ac:dyDescent="0.2">
      <c r="A908" s="160" t="s">
        <v>2332</v>
      </c>
      <c r="B908" s="160" t="s">
        <v>2333</v>
      </c>
    </row>
    <row r="909" spans="1:2" x14ac:dyDescent="0.2">
      <c r="A909" s="160" t="s">
        <v>2334</v>
      </c>
      <c r="B909" s="160" t="s">
        <v>2335</v>
      </c>
    </row>
    <row r="910" spans="1:2" x14ac:dyDescent="0.2">
      <c r="A910" s="160" t="s">
        <v>2336</v>
      </c>
      <c r="B910" s="160" t="s">
        <v>2337</v>
      </c>
    </row>
    <row r="911" spans="1:2" x14ac:dyDescent="0.2">
      <c r="A911" s="160" t="s">
        <v>2338</v>
      </c>
      <c r="B911" s="160" t="s">
        <v>2339</v>
      </c>
    </row>
    <row r="912" spans="1:2" x14ac:dyDescent="0.2">
      <c r="A912" s="160" t="s">
        <v>6475</v>
      </c>
      <c r="B912" s="160" t="s">
        <v>6476</v>
      </c>
    </row>
    <row r="913" spans="1:2" x14ac:dyDescent="0.2">
      <c r="A913" s="160" t="s">
        <v>2340</v>
      </c>
      <c r="B913" s="160" t="s">
        <v>2341</v>
      </c>
    </row>
    <row r="914" spans="1:2" x14ac:dyDescent="0.2">
      <c r="A914" s="160" t="s">
        <v>2342</v>
      </c>
      <c r="B914" s="160" t="s">
        <v>2343</v>
      </c>
    </row>
    <row r="915" spans="1:2" x14ac:dyDescent="0.2">
      <c r="A915" s="160" t="s">
        <v>2344</v>
      </c>
      <c r="B915" s="160" t="s">
        <v>2345</v>
      </c>
    </row>
    <row r="916" spans="1:2" x14ac:dyDescent="0.2">
      <c r="A916" s="160" t="s">
        <v>2346</v>
      </c>
      <c r="B916" s="160" t="s">
        <v>2347</v>
      </c>
    </row>
    <row r="917" spans="1:2" x14ac:dyDescent="0.2">
      <c r="A917" s="160" t="s">
        <v>2348</v>
      </c>
      <c r="B917" s="160" t="s">
        <v>2349</v>
      </c>
    </row>
    <row r="918" spans="1:2" x14ac:dyDescent="0.2">
      <c r="A918" s="160" t="s">
        <v>2350</v>
      </c>
      <c r="B918" s="160" t="s">
        <v>2351</v>
      </c>
    </row>
    <row r="919" spans="1:2" x14ac:dyDescent="0.2">
      <c r="A919" s="160" t="s">
        <v>2352</v>
      </c>
      <c r="B919" s="160" t="s">
        <v>2353</v>
      </c>
    </row>
    <row r="920" spans="1:2" x14ac:dyDescent="0.2">
      <c r="A920" s="160" t="s">
        <v>2354</v>
      </c>
      <c r="B920" s="160" t="s">
        <v>2355</v>
      </c>
    </row>
    <row r="921" spans="1:2" x14ac:dyDescent="0.2">
      <c r="A921" s="160" t="s">
        <v>2356</v>
      </c>
      <c r="B921" s="160" t="s">
        <v>2357</v>
      </c>
    </row>
    <row r="922" spans="1:2" x14ac:dyDescent="0.2">
      <c r="A922" s="160" t="s">
        <v>6477</v>
      </c>
      <c r="B922" s="160" t="s">
        <v>6478</v>
      </c>
    </row>
    <row r="923" spans="1:2" x14ac:dyDescent="0.2">
      <c r="A923" s="160" t="s">
        <v>2358</v>
      </c>
      <c r="B923" s="160" t="s">
        <v>2359</v>
      </c>
    </row>
    <row r="924" spans="1:2" x14ac:dyDescent="0.2">
      <c r="A924" s="160" t="s">
        <v>2360</v>
      </c>
      <c r="B924" s="160" t="s">
        <v>2361</v>
      </c>
    </row>
    <row r="925" spans="1:2" x14ac:dyDescent="0.2">
      <c r="A925" s="160" t="s">
        <v>2362</v>
      </c>
      <c r="B925" s="160" t="s">
        <v>2363</v>
      </c>
    </row>
    <row r="926" spans="1:2" x14ac:dyDescent="0.2">
      <c r="A926" s="160" t="s">
        <v>2364</v>
      </c>
      <c r="B926" s="160" t="s">
        <v>2365</v>
      </c>
    </row>
    <row r="927" spans="1:2" x14ac:dyDescent="0.2">
      <c r="A927" s="160" t="s">
        <v>2366</v>
      </c>
      <c r="B927" s="160" t="s">
        <v>2367</v>
      </c>
    </row>
    <row r="928" spans="1:2" x14ac:dyDescent="0.2">
      <c r="A928" s="160" t="s">
        <v>2368</v>
      </c>
      <c r="B928" s="160" t="s">
        <v>2369</v>
      </c>
    </row>
    <row r="929" spans="1:2" x14ac:dyDescent="0.2">
      <c r="A929" s="160" t="s">
        <v>2370</v>
      </c>
      <c r="B929" s="160" t="s">
        <v>2371</v>
      </c>
    </row>
    <row r="930" spans="1:2" x14ac:dyDescent="0.2">
      <c r="A930" s="160" t="s">
        <v>2372</v>
      </c>
      <c r="B930" s="160" t="s">
        <v>2373</v>
      </c>
    </row>
    <row r="931" spans="1:2" x14ac:dyDescent="0.2">
      <c r="A931" s="160" t="s">
        <v>2374</v>
      </c>
      <c r="B931" s="160" t="s">
        <v>2375</v>
      </c>
    </row>
    <row r="932" spans="1:2" x14ac:dyDescent="0.2">
      <c r="A932" s="160" t="s">
        <v>2376</v>
      </c>
      <c r="B932" s="160" t="s">
        <v>2377</v>
      </c>
    </row>
    <row r="933" spans="1:2" x14ac:dyDescent="0.2">
      <c r="A933" s="160" t="s">
        <v>2378</v>
      </c>
      <c r="B933" s="160" t="s">
        <v>2379</v>
      </c>
    </row>
    <row r="934" spans="1:2" x14ac:dyDescent="0.2">
      <c r="A934" s="160" t="s">
        <v>2380</v>
      </c>
      <c r="B934" s="160" t="s">
        <v>2381</v>
      </c>
    </row>
    <row r="935" spans="1:2" x14ac:dyDescent="0.2">
      <c r="A935" s="160" t="s">
        <v>2382</v>
      </c>
      <c r="B935" s="160" t="s">
        <v>2383</v>
      </c>
    </row>
    <row r="936" spans="1:2" x14ac:dyDescent="0.2">
      <c r="A936" s="160" t="s">
        <v>2384</v>
      </c>
      <c r="B936" s="160" t="s">
        <v>2385</v>
      </c>
    </row>
    <row r="937" spans="1:2" x14ac:dyDescent="0.2">
      <c r="A937" s="160" t="s">
        <v>2386</v>
      </c>
      <c r="B937" s="160" t="s">
        <v>2387</v>
      </c>
    </row>
    <row r="938" spans="1:2" x14ac:dyDescent="0.2">
      <c r="A938" s="160" t="s">
        <v>2388</v>
      </c>
      <c r="B938" s="160" t="s">
        <v>2389</v>
      </c>
    </row>
    <row r="939" spans="1:2" x14ac:dyDescent="0.2">
      <c r="A939" s="160" t="s">
        <v>2390</v>
      </c>
      <c r="B939" s="160" t="s">
        <v>2391</v>
      </c>
    </row>
    <row r="940" spans="1:2" x14ac:dyDescent="0.2">
      <c r="A940" s="160" t="s">
        <v>6479</v>
      </c>
      <c r="B940" s="160" t="s">
        <v>6480</v>
      </c>
    </row>
    <row r="941" spans="1:2" x14ac:dyDescent="0.2">
      <c r="A941" s="160" t="s">
        <v>2392</v>
      </c>
      <c r="B941" s="160" t="s">
        <v>2393</v>
      </c>
    </row>
    <row r="942" spans="1:2" x14ac:dyDescent="0.2">
      <c r="A942" s="160" t="s">
        <v>2394</v>
      </c>
      <c r="B942" s="160" t="s">
        <v>2395</v>
      </c>
    </row>
    <row r="943" spans="1:2" x14ac:dyDescent="0.2">
      <c r="A943" s="160" t="s">
        <v>2396</v>
      </c>
      <c r="B943" s="160" t="s">
        <v>2397</v>
      </c>
    </row>
    <row r="944" spans="1:2" x14ac:dyDescent="0.2">
      <c r="A944" s="160" t="s">
        <v>2398</v>
      </c>
      <c r="B944" s="160" t="s">
        <v>2399</v>
      </c>
    </row>
    <row r="945" spans="1:2" x14ac:dyDescent="0.2">
      <c r="A945" s="160" t="s">
        <v>2400</v>
      </c>
      <c r="B945" s="160" t="s">
        <v>2401</v>
      </c>
    </row>
    <row r="946" spans="1:2" x14ac:dyDescent="0.2">
      <c r="A946" s="160" t="s">
        <v>6481</v>
      </c>
      <c r="B946" s="160" t="s">
        <v>6482</v>
      </c>
    </row>
    <row r="947" spans="1:2" x14ac:dyDescent="0.2">
      <c r="A947" s="160" t="s">
        <v>2402</v>
      </c>
      <c r="B947" s="160" t="s">
        <v>2403</v>
      </c>
    </row>
    <row r="948" spans="1:2" x14ac:dyDescent="0.2">
      <c r="A948" s="160" t="s">
        <v>2404</v>
      </c>
      <c r="B948" s="160" t="s">
        <v>2405</v>
      </c>
    </row>
    <row r="949" spans="1:2" x14ac:dyDescent="0.2">
      <c r="A949" s="160" t="s">
        <v>2406</v>
      </c>
      <c r="B949" s="160" t="s">
        <v>2407</v>
      </c>
    </row>
    <row r="950" spans="1:2" x14ac:dyDescent="0.2">
      <c r="A950" s="160" t="s">
        <v>2408</v>
      </c>
      <c r="B950" s="160" t="s">
        <v>2409</v>
      </c>
    </row>
    <row r="951" spans="1:2" x14ac:dyDescent="0.2">
      <c r="A951" s="160" t="s">
        <v>2410</v>
      </c>
      <c r="B951" s="160" t="s">
        <v>2411</v>
      </c>
    </row>
    <row r="952" spans="1:2" x14ac:dyDescent="0.2">
      <c r="A952" s="160" t="s">
        <v>2412</v>
      </c>
      <c r="B952" s="160" t="s">
        <v>2413</v>
      </c>
    </row>
    <row r="953" spans="1:2" x14ac:dyDescent="0.2">
      <c r="A953" s="160" t="s">
        <v>2414</v>
      </c>
      <c r="B953" s="160" t="s">
        <v>2415</v>
      </c>
    </row>
    <row r="954" spans="1:2" x14ac:dyDescent="0.2">
      <c r="A954" s="160" t="s">
        <v>2416</v>
      </c>
      <c r="B954" s="160" t="s">
        <v>2417</v>
      </c>
    </row>
    <row r="955" spans="1:2" x14ac:dyDescent="0.2">
      <c r="A955" s="160" t="s">
        <v>2418</v>
      </c>
      <c r="B955" s="160" t="s">
        <v>2419</v>
      </c>
    </row>
    <row r="956" spans="1:2" x14ac:dyDescent="0.2">
      <c r="A956" s="160" t="s">
        <v>6483</v>
      </c>
      <c r="B956" s="160" t="s">
        <v>6484</v>
      </c>
    </row>
    <row r="957" spans="1:2" x14ac:dyDescent="0.2">
      <c r="A957" s="160" t="s">
        <v>2420</v>
      </c>
      <c r="B957" s="160" t="s">
        <v>2421</v>
      </c>
    </row>
    <row r="958" spans="1:2" x14ac:dyDescent="0.2">
      <c r="A958" s="160" t="s">
        <v>2422</v>
      </c>
      <c r="B958" s="160" t="s">
        <v>2423</v>
      </c>
    </row>
    <row r="959" spans="1:2" x14ac:dyDescent="0.2">
      <c r="A959" s="160" t="s">
        <v>2424</v>
      </c>
      <c r="B959" s="160" t="s">
        <v>2425</v>
      </c>
    </row>
    <row r="960" spans="1:2" x14ac:dyDescent="0.2">
      <c r="A960" s="160" t="s">
        <v>2426</v>
      </c>
      <c r="B960" s="160" t="s">
        <v>2427</v>
      </c>
    </row>
    <row r="961" spans="1:2" x14ac:dyDescent="0.2">
      <c r="A961" s="160" t="s">
        <v>2428</v>
      </c>
      <c r="B961" s="160" t="s">
        <v>2429</v>
      </c>
    </row>
    <row r="962" spans="1:2" x14ac:dyDescent="0.2">
      <c r="A962" s="160" t="s">
        <v>2430</v>
      </c>
      <c r="B962" s="160" t="s">
        <v>2431</v>
      </c>
    </row>
    <row r="963" spans="1:2" x14ac:dyDescent="0.2">
      <c r="A963" s="160" t="s">
        <v>2432</v>
      </c>
      <c r="B963" s="160" t="s">
        <v>2433</v>
      </c>
    </row>
    <row r="964" spans="1:2" x14ac:dyDescent="0.2">
      <c r="A964" s="160" t="s">
        <v>2434</v>
      </c>
      <c r="B964" s="160" t="s">
        <v>2435</v>
      </c>
    </row>
    <row r="965" spans="1:2" x14ac:dyDescent="0.2">
      <c r="A965" s="160" t="s">
        <v>2436</v>
      </c>
      <c r="B965" s="160" t="s">
        <v>2437</v>
      </c>
    </row>
    <row r="966" spans="1:2" x14ac:dyDescent="0.2">
      <c r="A966" s="160" t="s">
        <v>2438</v>
      </c>
      <c r="B966" s="160" t="s">
        <v>2439</v>
      </c>
    </row>
    <row r="967" spans="1:2" x14ac:dyDescent="0.2">
      <c r="A967" s="160" t="s">
        <v>2440</v>
      </c>
      <c r="B967" s="160" t="s">
        <v>2441</v>
      </c>
    </row>
    <row r="968" spans="1:2" x14ac:dyDescent="0.2">
      <c r="A968" s="160" t="s">
        <v>2442</v>
      </c>
      <c r="B968" s="160" t="s">
        <v>2443</v>
      </c>
    </row>
    <row r="969" spans="1:2" x14ac:dyDescent="0.2">
      <c r="A969" s="160" t="s">
        <v>2444</v>
      </c>
      <c r="B969" s="160" t="s">
        <v>2445</v>
      </c>
    </row>
    <row r="970" spans="1:2" x14ac:dyDescent="0.2">
      <c r="A970" s="160" t="s">
        <v>2446</v>
      </c>
      <c r="B970" s="160" t="s">
        <v>2447</v>
      </c>
    </row>
    <row r="971" spans="1:2" x14ac:dyDescent="0.2">
      <c r="A971" s="160" t="s">
        <v>6485</v>
      </c>
      <c r="B971" s="160" t="s">
        <v>6486</v>
      </c>
    </row>
    <row r="972" spans="1:2" x14ac:dyDescent="0.2">
      <c r="A972" s="160" t="s">
        <v>2448</v>
      </c>
      <c r="B972" s="160" t="s">
        <v>2449</v>
      </c>
    </row>
    <row r="973" spans="1:2" x14ac:dyDescent="0.2">
      <c r="A973" s="160" t="s">
        <v>2450</v>
      </c>
      <c r="B973" s="160" t="s">
        <v>2451</v>
      </c>
    </row>
    <row r="974" spans="1:2" x14ac:dyDescent="0.2">
      <c r="A974" s="160" t="s">
        <v>6487</v>
      </c>
      <c r="B974" s="160" t="s">
        <v>6488</v>
      </c>
    </row>
    <row r="975" spans="1:2" x14ac:dyDescent="0.2">
      <c r="A975" s="160" t="s">
        <v>2452</v>
      </c>
      <c r="B975" s="160" t="s">
        <v>2453</v>
      </c>
    </row>
    <row r="976" spans="1:2" x14ac:dyDescent="0.2">
      <c r="A976" s="160" t="s">
        <v>2454</v>
      </c>
      <c r="B976" s="160" t="s">
        <v>2455</v>
      </c>
    </row>
    <row r="977" spans="1:2" x14ac:dyDescent="0.2">
      <c r="A977" s="160" t="s">
        <v>2456</v>
      </c>
      <c r="B977" s="160" t="s">
        <v>2457</v>
      </c>
    </row>
    <row r="978" spans="1:2" x14ac:dyDescent="0.2">
      <c r="A978" s="160" t="s">
        <v>2458</v>
      </c>
      <c r="B978" s="160" t="s">
        <v>2459</v>
      </c>
    </row>
    <row r="979" spans="1:2" x14ac:dyDescent="0.2">
      <c r="A979" s="160" t="s">
        <v>6489</v>
      </c>
      <c r="B979" s="160" t="s">
        <v>6490</v>
      </c>
    </row>
    <row r="980" spans="1:2" x14ac:dyDescent="0.2">
      <c r="A980" s="160" t="s">
        <v>2460</v>
      </c>
      <c r="B980" s="160" t="s">
        <v>2461</v>
      </c>
    </row>
    <row r="981" spans="1:2" x14ac:dyDescent="0.2">
      <c r="A981" s="160" t="s">
        <v>6491</v>
      </c>
      <c r="B981" s="160" t="s">
        <v>6492</v>
      </c>
    </row>
    <row r="982" spans="1:2" x14ac:dyDescent="0.2">
      <c r="A982" s="160" t="s">
        <v>2462</v>
      </c>
      <c r="B982" s="160" t="s">
        <v>2463</v>
      </c>
    </row>
    <row r="983" spans="1:2" x14ac:dyDescent="0.2">
      <c r="A983" s="160" t="s">
        <v>2464</v>
      </c>
      <c r="B983" s="160" t="s">
        <v>2465</v>
      </c>
    </row>
    <row r="984" spans="1:2" x14ac:dyDescent="0.2">
      <c r="A984" s="160" t="s">
        <v>2466</v>
      </c>
      <c r="B984" s="160" t="s">
        <v>2467</v>
      </c>
    </row>
    <row r="985" spans="1:2" x14ac:dyDescent="0.2">
      <c r="A985" s="160" t="s">
        <v>2468</v>
      </c>
      <c r="B985" s="160" t="s">
        <v>2469</v>
      </c>
    </row>
    <row r="986" spans="1:2" x14ac:dyDescent="0.2">
      <c r="A986" s="160" t="s">
        <v>2470</v>
      </c>
      <c r="B986" s="160" t="s">
        <v>2471</v>
      </c>
    </row>
    <row r="987" spans="1:2" x14ac:dyDescent="0.2">
      <c r="A987" s="160" t="s">
        <v>2472</v>
      </c>
      <c r="B987" s="160" t="s">
        <v>2473</v>
      </c>
    </row>
    <row r="988" spans="1:2" x14ac:dyDescent="0.2">
      <c r="A988" s="160" t="s">
        <v>2474</v>
      </c>
      <c r="B988" s="160" t="s">
        <v>2475</v>
      </c>
    </row>
    <row r="989" spans="1:2" x14ac:dyDescent="0.2">
      <c r="A989" s="160" t="s">
        <v>2476</v>
      </c>
      <c r="B989" s="160" t="s">
        <v>2477</v>
      </c>
    </row>
    <row r="990" spans="1:2" x14ac:dyDescent="0.2">
      <c r="A990" s="160" t="s">
        <v>2478</v>
      </c>
      <c r="B990" s="160" t="s">
        <v>2479</v>
      </c>
    </row>
    <row r="991" spans="1:2" x14ac:dyDescent="0.2">
      <c r="A991" s="160" t="s">
        <v>2480</v>
      </c>
      <c r="B991" s="160" t="s">
        <v>2481</v>
      </c>
    </row>
    <row r="992" spans="1:2" x14ac:dyDescent="0.2">
      <c r="A992" s="160" t="s">
        <v>2482</v>
      </c>
      <c r="B992" s="160" t="s">
        <v>2483</v>
      </c>
    </row>
    <row r="993" spans="1:2" x14ac:dyDescent="0.2">
      <c r="A993" s="160" t="s">
        <v>2484</v>
      </c>
      <c r="B993" s="160" t="s">
        <v>2485</v>
      </c>
    </row>
    <row r="994" spans="1:2" x14ac:dyDescent="0.2">
      <c r="A994" s="160" t="s">
        <v>2486</v>
      </c>
      <c r="B994" s="160" t="s">
        <v>2487</v>
      </c>
    </row>
    <row r="995" spans="1:2" x14ac:dyDescent="0.2">
      <c r="A995" s="160" t="s">
        <v>2488</v>
      </c>
      <c r="B995" s="160" t="s">
        <v>2489</v>
      </c>
    </row>
    <row r="996" spans="1:2" x14ac:dyDescent="0.2">
      <c r="A996" s="160" t="s">
        <v>2490</v>
      </c>
      <c r="B996" s="160" t="s">
        <v>2491</v>
      </c>
    </row>
    <row r="997" spans="1:2" x14ac:dyDescent="0.2">
      <c r="A997" s="160" t="s">
        <v>2492</v>
      </c>
      <c r="B997" s="160" t="s">
        <v>2493</v>
      </c>
    </row>
    <row r="998" spans="1:2" x14ac:dyDescent="0.2">
      <c r="A998" s="160" t="s">
        <v>2494</v>
      </c>
      <c r="B998" s="160" t="s">
        <v>2495</v>
      </c>
    </row>
    <row r="999" spans="1:2" x14ac:dyDescent="0.2">
      <c r="A999" s="160" t="s">
        <v>2496</v>
      </c>
      <c r="B999" s="160" t="s">
        <v>2497</v>
      </c>
    </row>
    <row r="1000" spans="1:2" x14ac:dyDescent="0.2">
      <c r="A1000" s="160" t="s">
        <v>6493</v>
      </c>
      <c r="B1000" s="160" t="s">
        <v>6494</v>
      </c>
    </row>
    <row r="1001" spans="1:2" x14ac:dyDescent="0.2">
      <c r="A1001" s="160" t="s">
        <v>2498</v>
      </c>
      <c r="B1001" s="160" t="s">
        <v>2499</v>
      </c>
    </row>
    <row r="1002" spans="1:2" x14ac:dyDescent="0.2">
      <c r="A1002" s="160" t="s">
        <v>2500</v>
      </c>
      <c r="B1002" s="160" t="s">
        <v>2501</v>
      </c>
    </row>
    <row r="1003" spans="1:2" x14ac:dyDescent="0.2">
      <c r="A1003" s="160" t="s">
        <v>2502</v>
      </c>
      <c r="B1003" s="160" t="s">
        <v>2503</v>
      </c>
    </row>
    <row r="1004" spans="1:2" x14ac:dyDescent="0.2">
      <c r="A1004" s="160" t="s">
        <v>2504</v>
      </c>
      <c r="B1004" s="160" t="s">
        <v>2505</v>
      </c>
    </row>
    <row r="1005" spans="1:2" x14ac:dyDescent="0.2">
      <c r="A1005" s="160" t="s">
        <v>2506</v>
      </c>
      <c r="B1005" s="160" t="s">
        <v>2507</v>
      </c>
    </row>
    <row r="1006" spans="1:2" x14ac:dyDescent="0.2">
      <c r="A1006" s="160" t="s">
        <v>2508</v>
      </c>
      <c r="B1006" s="160" t="s">
        <v>2509</v>
      </c>
    </row>
    <row r="1007" spans="1:2" x14ac:dyDescent="0.2">
      <c r="A1007" s="160" t="s">
        <v>2510</v>
      </c>
      <c r="B1007" s="160" t="s">
        <v>2511</v>
      </c>
    </row>
    <row r="1008" spans="1:2" x14ac:dyDescent="0.2">
      <c r="A1008" s="160" t="s">
        <v>2512</v>
      </c>
      <c r="B1008" s="160" t="s">
        <v>2513</v>
      </c>
    </row>
    <row r="1009" spans="1:2" x14ac:dyDescent="0.2">
      <c r="A1009" s="160" t="s">
        <v>2514</v>
      </c>
      <c r="B1009" s="160" t="s">
        <v>2515</v>
      </c>
    </row>
    <row r="1010" spans="1:2" x14ac:dyDescent="0.2">
      <c r="A1010" s="160" t="s">
        <v>6495</v>
      </c>
      <c r="B1010" s="160" t="s">
        <v>6496</v>
      </c>
    </row>
    <row r="1011" spans="1:2" x14ac:dyDescent="0.2">
      <c r="A1011" s="160" t="s">
        <v>2516</v>
      </c>
      <c r="B1011" s="160" t="s">
        <v>2517</v>
      </c>
    </row>
    <row r="1012" spans="1:2" x14ac:dyDescent="0.2">
      <c r="A1012" s="160" t="s">
        <v>2518</v>
      </c>
      <c r="B1012" s="160" t="s">
        <v>2519</v>
      </c>
    </row>
    <row r="1013" spans="1:2" x14ac:dyDescent="0.2">
      <c r="A1013" s="160" t="s">
        <v>2520</v>
      </c>
      <c r="B1013" s="160" t="s">
        <v>2521</v>
      </c>
    </row>
    <row r="1014" spans="1:2" x14ac:dyDescent="0.2">
      <c r="A1014" s="160" t="s">
        <v>2522</v>
      </c>
      <c r="B1014" s="160" t="s">
        <v>2523</v>
      </c>
    </row>
    <row r="1015" spans="1:2" x14ac:dyDescent="0.2">
      <c r="A1015" s="160" t="s">
        <v>2524</v>
      </c>
      <c r="B1015" s="160" t="s">
        <v>2525</v>
      </c>
    </row>
    <row r="1016" spans="1:2" x14ac:dyDescent="0.2">
      <c r="A1016" s="160" t="s">
        <v>2526</v>
      </c>
      <c r="B1016" s="160" t="s">
        <v>2527</v>
      </c>
    </row>
    <row r="1017" spans="1:2" x14ac:dyDescent="0.2">
      <c r="A1017" s="160" t="s">
        <v>6497</v>
      </c>
      <c r="B1017" s="160" t="s">
        <v>6498</v>
      </c>
    </row>
    <row r="1018" spans="1:2" x14ac:dyDescent="0.2">
      <c r="A1018" s="160" t="s">
        <v>2528</v>
      </c>
      <c r="B1018" s="160" t="s">
        <v>2529</v>
      </c>
    </row>
    <row r="1019" spans="1:2" x14ac:dyDescent="0.2">
      <c r="A1019" s="160" t="s">
        <v>2530</v>
      </c>
      <c r="B1019" s="160" t="s">
        <v>2531</v>
      </c>
    </row>
    <row r="1020" spans="1:2" x14ac:dyDescent="0.2">
      <c r="A1020" s="160" t="s">
        <v>2532</v>
      </c>
      <c r="B1020" s="160" t="s">
        <v>2533</v>
      </c>
    </row>
    <row r="1021" spans="1:2" x14ac:dyDescent="0.2">
      <c r="A1021" s="160" t="s">
        <v>2534</v>
      </c>
      <c r="B1021" s="160" t="s">
        <v>2535</v>
      </c>
    </row>
    <row r="1022" spans="1:2" x14ac:dyDescent="0.2">
      <c r="A1022" s="160" t="s">
        <v>2536</v>
      </c>
      <c r="B1022" s="160" t="s">
        <v>2537</v>
      </c>
    </row>
    <row r="1023" spans="1:2" x14ac:dyDescent="0.2">
      <c r="A1023" s="160" t="s">
        <v>2538</v>
      </c>
      <c r="B1023" s="160" t="s">
        <v>2539</v>
      </c>
    </row>
    <row r="1024" spans="1:2" x14ac:dyDescent="0.2">
      <c r="A1024" s="160" t="s">
        <v>2540</v>
      </c>
      <c r="B1024" s="160" t="s">
        <v>2541</v>
      </c>
    </row>
    <row r="1025" spans="1:2" x14ac:dyDescent="0.2">
      <c r="A1025" s="160" t="s">
        <v>2542</v>
      </c>
      <c r="B1025" s="160" t="s">
        <v>2543</v>
      </c>
    </row>
    <row r="1026" spans="1:2" x14ac:dyDescent="0.2">
      <c r="A1026" s="160" t="s">
        <v>6499</v>
      </c>
      <c r="B1026" s="160" t="s">
        <v>6500</v>
      </c>
    </row>
    <row r="1027" spans="1:2" x14ac:dyDescent="0.2">
      <c r="A1027" s="160" t="s">
        <v>2544</v>
      </c>
      <c r="B1027" s="160" t="s">
        <v>2545</v>
      </c>
    </row>
    <row r="1028" spans="1:2" x14ac:dyDescent="0.2">
      <c r="A1028" s="160" t="s">
        <v>2546</v>
      </c>
      <c r="B1028" s="160" t="s">
        <v>2547</v>
      </c>
    </row>
    <row r="1029" spans="1:2" x14ac:dyDescent="0.2">
      <c r="A1029" s="160" t="s">
        <v>2548</v>
      </c>
      <c r="B1029" s="160" t="s">
        <v>2549</v>
      </c>
    </row>
    <row r="1030" spans="1:2" x14ac:dyDescent="0.2">
      <c r="A1030" s="160" t="s">
        <v>2550</v>
      </c>
      <c r="B1030" s="160" t="s">
        <v>2551</v>
      </c>
    </row>
    <row r="1031" spans="1:2" x14ac:dyDescent="0.2">
      <c r="A1031" s="160" t="s">
        <v>2552</v>
      </c>
      <c r="B1031" s="160" t="s">
        <v>2553</v>
      </c>
    </row>
    <row r="1032" spans="1:2" x14ac:dyDescent="0.2">
      <c r="A1032" s="160" t="s">
        <v>2554</v>
      </c>
      <c r="B1032" s="160" t="s">
        <v>2555</v>
      </c>
    </row>
    <row r="1033" spans="1:2" x14ac:dyDescent="0.2">
      <c r="A1033" s="160" t="s">
        <v>2556</v>
      </c>
      <c r="B1033" s="160" t="s">
        <v>2557</v>
      </c>
    </row>
    <row r="1034" spans="1:2" x14ac:dyDescent="0.2">
      <c r="A1034" s="160" t="s">
        <v>2558</v>
      </c>
      <c r="B1034" s="160" t="s">
        <v>2559</v>
      </c>
    </row>
    <row r="1035" spans="1:2" x14ac:dyDescent="0.2">
      <c r="A1035" s="160" t="s">
        <v>2560</v>
      </c>
      <c r="B1035" s="160" t="s">
        <v>6501</v>
      </c>
    </row>
    <row r="1036" spans="1:2" x14ac:dyDescent="0.2">
      <c r="A1036" s="160" t="s">
        <v>2561</v>
      </c>
      <c r="B1036" s="160" t="s">
        <v>2562</v>
      </c>
    </row>
    <row r="1037" spans="1:2" x14ac:dyDescent="0.2">
      <c r="A1037" s="160" t="s">
        <v>2563</v>
      </c>
      <c r="B1037" s="160" t="s">
        <v>2564</v>
      </c>
    </row>
    <row r="1038" spans="1:2" x14ac:dyDescent="0.2">
      <c r="A1038" s="160" t="s">
        <v>2565</v>
      </c>
      <c r="B1038" s="160" t="s">
        <v>2566</v>
      </c>
    </row>
    <row r="1039" spans="1:2" x14ac:dyDescent="0.2">
      <c r="A1039" s="160" t="s">
        <v>2567</v>
      </c>
      <c r="B1039" s="160" t="s">
        <v>2568</v>
      </c>
    </row>
    <row r="1040" spans="1:2" x14ac:dyDescent="0.2">
      <c r="A1040" s="160" t="s">
        <v>2569</v>
      </c>
      <c r="B1040" s="160" t="s">
        <v>2570</v>
      </c>
    </row>
    <row r="1041" spans="1:2" x14ac:dyDescent="0.2">
      <c r="A1041" s="160" t="s">
        <v>2571</v>
      </c>
      <c r="B1041" s="160" t="s">
        <v>2572</v>
      </c>
    </row>
    <row r="1042" spans="1:2" x14ac:dyDescent="0.2">
      <c r="A1042" s="160" t="s">
        <v>2573</v>
      </c>
      <c r="B1042" s="160" t="s">
        <v>2574</v>
      </c>
    </row>
    <row r="1043" spans="1:2" x14ac:dyDescent="0.2">
      <c r="A1043" s="160" t="s">
        <v>2575</v>
      </c>
      <c r="B1043" s="160" t="s">
        <v>2576</v>
      </c>
    </row>
    <row r="1044" spans="1:2" x14ac:dyDescent="0.2">
      <c r="A1044" s="160" t="s">
        <v>2577</v>
      </c>
      <c r="B1044" s="160" t="s">
        <v>2578</v>
      </c>
    </row>
    <row r="1045" spans="1:2" x14ac:dyDescent="0.2">
      <c r="A1045" s="160" t="s">
        <v>2579</v>
      </c>
      <c r="B1045" s="160" t="s">
        <v>2580</v>
      </c>
    </row>
    <row r="1046" spans="1:2" x14ac:dyDescent="0.2">
      <c r="A1046" s="160" t="s">
        <v>2581</v>
      </c>
      <c r="B1046" s="160" t="s">
        <v>2582</v>
      </c>
    </row>
    <row r="1047" spans="1:2" x14ac:dyDescent="0.2">
      <c r="A1047" s="160" t="s">
        <v>2583</v>
      </c>
      <c r="B1047" s="160" t="s">
        <v>2584</v>
      </c>
    </row>
    <row r="1048" spans="1:2" x14ac:dyDescent="0.2">
      <c r="A1048" s="160" t="s">
        <v>2585</v>
      </c>
      <c r="B1048" s="160" t="s">
        <v>2586</v>
      </c>
    </row>
    <row r="1049" spans="1:2" x14ac:dyDescent="0.2">
      <c r="A1049" s="160" t="s">
        <v>6502</v>
      </c>
      <c r="B1049" s="160" t="s">
        <v>6503</v>
      </c>
    </row>
    <row r="1050" spans="1:2" x14ac:dyDescent="0.2">
      <c r="A1050" s="160" t="s">
        <v>2587</v>
      </c>
      <c r="B1050" s="160" t="s">
        <v>2588</v>
      </c>
    </row>
    <row r="1051" spans="1:2" x14ac:dyDescent="0.2">
      <c r="A1051" s="160" t="s">
        <v>2589</v>
      </c>
      <c r="B1051" s="160" t="s">
        <v>2590</v>
      </c>
    </row>
    <row r="1052" spans="1:2" x14ac:dyDescent="0.2">
      <c r="A1052" s="160" t="s">
        <v>6504</v>
      </c>
      <c r="B1052" s="160" t="s">
        <v>6505</v>
      </c>
    </row>
    <row r="1053" spans="1:2" x14ac:dyDescent="0.2">
      <c r="A1053" s="160" t="s">
        <v>2591</v>
      </c>
      <c r="B1053" s="160" t="s">
        <v>2592</v>
      </c>
    </row>
    <row r="1054" spans="1:2" x14ac:dyDescent="0.2">
      <c r="A1054" s="160" t="s">
        <v>2593</v>
      </c>
      <c r="B1054" s="160" t="s">
        <v>2594</v>
      </c>
    </row>
    <row r="1055" spans="1:2" x14ac:dyDescent="0.2">
      <c r="A1055" s="160" t="s">
        <v>2595</v>
      </c>
      <c r="B1055" s="160" t="s">
        <v>2596</v>
      </c>
    </row>
    <row r="1056" spans="1:2" x14ac:dyDescent="0.2">
      <c r="A1056" s="160" t="s">
        <v>2597</v>
      </c>
      <c r="B1056" s="160" t="s">
        <v>2598</v>
      </c>
    </row>
    <row r="1057" spans="1:2" x14ac:dyDescent="0.2">
      <c r="A1057" s="160" t="s">
        <v>2599</v>
      </c>
      <c r="B1057" s="160" t="s">
        <v>2600</v>
      </c>
    </row>
    <row r="1058" spans="1:2" x14ac:dyDescent="0.2">
      <c r="A1058" s="160" t="s">
        <v>2601</v>
      </c>
      <c r="B1058" s="160" t="s">
        <v>2602</v>
      </c>
    </row>
    <row r="1059" spans="1:2" x14ac:dyDescent="0.2">
      <c r="A1059" s="160" t="s">
        <v>2603</v>
      </c>
      <c r="B1059" s="160" t="s">
        <v>2604</v>
      </c>
    </row>
    <row r="1060" spans="1:2" x14ac:dyDescent="0.2">
      <c r="A1060" s="160" t="s">
        <v>2605</v>
      </c>
      <c r="B1060" s="160" t="s">
        <v>2606</v>
      </c>
    </row>
    <row r="1061" spans="1:2" x14ac:dyDescent="0.2">
      <c r="A1061" s="160" t="s">
        <v>2607</v>
      </c>
      <c r="B1061" s="160" t="s">
        <v>2608</v>
      </c>
    </row>
    <row r="1062" spans="1:2" x14ac:dyDescent="0.2">
      <c r="A1062" s="160" t="s">
        <v>2609</v>
      </c>
      <c r="B1062" s="160" t="s">
        <v>2610</v>
      </c>
    </row>
    <row r="1063" spans="1:2" x14ac:dyDescent="0.2">
      <c r="A1063" s="160" t="s">
        <v>6506</v>
      </c>
      <c r="B1063" s="160" t="s">
        <v>6507</v>
      </c>
    </row>
    <row r="1064" spans="1:2" x14ac:dyDescent="0.2">
      <c r="A1064" s="160" t="s">
        <v>2611</v>
      </c>
      <c r="B1064" s="160" t="s">
        <v>2612</v>
      </c>
    </row>
    <row r="1065" spans="1:2" x14ac:dyDescent="0.2">
      <c r="A1065" s="160" t="s">
        <v>2613</v>
      </c>
      <c r="B1065" s="160" t="s">
        <v>2614</v>
      </c>
    </row>
    <row r="1066" spans="1:2" x14ac:dyDescent="0.2">
      <c r="A1066" s="160" t="s">
        <v>2615</v>
      </c>
      <c r="B1066" s="160" t="s">
        <v>2616</v>
      </c>
    </row>
    <row r="1067" spans="1:2" x14ac:dyDescent="0.2">
      <c r="A1067" s="160" t="s">
        <v>2617</v>
      </c>
      <c r="B1067" s="160" t="s">
        <v>2618</v>
      </c>
    </row>
    <row r="1068" spans="1:2" x14ac:dyDescent="0.2">
      <c r="A1068" s="160" t="s">
        <v>2619</v>
      </c>
      <c r="B1068" s="160" t="s">
        <v>2620</v>
      </c>
    </row>
    <row r="1069" spans="1:2" x14ac:dyDescent="0.2">
      <c r="A1069" s="160" t="s">
        <v>2621</v>
      </c>
      <c r="B1069" s="160" t="s">
        <v>2622</v>
      </c>
    </row>
    <row r="1070" spans="1:2" x14ac:dyDescent="0.2">
      <c r="A1070" s="160" t="s">
        <v>2623</v>
      </c>
      <c r="B1070" s="160" t="s">
        <v>2624</v>
      </c>
    </row>
    <row r="1071" spans="1:2" x14ac:dyDescent="0.2">
      <c r="A1071" s="160" t="s">
        <v>2625</v>
      </c>
      <c r="B1071" s="160" t="s">
        <v>2626</v>
      </c>
    </row>
    <row r="1072" spans="1:2" x14ac:dyDescent="0.2">
      <c r="A1072" s="160" t="s">
        <v>2627</v>
      </c>
      <c r="B1072" s="160" t="s">
        <v>2628</v>
      </c>
    </row>
    <row r="1073" spans="1:2" x14ac:dyDescent="0.2">
      <c r="A1073" s="160" t="s">
        <v>6508</v>
      </c>
      <c r="B1073" s="160" t="s">
        <v>6509</v>
      </c>
    </row>
    <row r="1074" spans="1:2" x14ac:dyDescent="0.2">
      <c r="A1074" s="160" t="s">
        <v>2629</v>
      </c>
      <c r="B1074" s="160" t="s">
        <v>2630</v>
      </c>
    </row>
    <row r="1075" spans="1:2" x14ac:dyDescent="0.2">
      <c r="A1075" s="160" t="s">
        <v>6510</v>
      </c>
      <c r="B1075" s="160" t="s">
        <v>6511</v>
      </c>
    </row>
    <row r="1076" spans="1:2" x14ac:dyDescent="0.2">
      <c r="A1076" s="160" t="s">
        <v>2631</v>
      </c>
      <c r="B1076" s="160" t="s">
        <v>2632</v>
      </c>
    </row>
    <row r="1077" spans="1:2" x14ac:dyDescent="0.2">
      <c r="A1077" s="160" t="s">
        <v>2633</v>
      </c>
      <c r="B1077" s="160" t="s">
        <v>2634</v>
      </c>
    </row>
    <row r="1078" spans="1:2" x14ac:dyDescent="0.2">
      <c r="A1078" s="160" t="s">
        <v>2635</v>
      </c>
      <c r="B1078" s="160" t="s">
        <v>2636</v>
      </c>
    </row>
    <row r="1079" spans="1:2" x14ac:dyDescent="0.2">
      <c r="A1079" s="160" t="s">
        <v>2637</v>
      </c>
      <c r="B1079" s="160" t="s">
        <v>2638</v>
      </c>
    </row>
    <row r="1080" spans="1:2" x14ac:dyDescent="0.2">
      <c r="A1080" s="160" t="s">
        <v>2639</v>
      </c>
      <c r="B1080" s="160" t="s">
        <v>2640</v>
      </c>
    </row>
    <row r="1081" spans="1:2" x14ac:dyDescent="0.2">
      <c r="A1081" s="160" t="s">
        <v>2641</v>
      </c>
      <c r="B1081" s="160" t="s">
        <v>2642</v>
      </c>
    </row>
    <row r="1082" spans="1:2" x14ac:dyDescent="0.2">
      <c r="A1082" s="160" t="s">
        <v>2643</v>
      </c>
      <c r="B1082" s="160" t="s">
        <v>2644</v>
      </c>
    </row>
    <row r="1083" spans="1:2" x14ac:dyDescent="0.2">
      <c r="A1083" s="160" t="s">
        <v>2645</v>
      </c>
      <c r="B1083" s="160" t="s">
        <v>2646</v>
      </c>
    </row>
    <row r="1084" spans="1:2" x14ac:dyDescent="0.2">
      <c r="A1084" s="160" t="s">
        <v>2647</v>
      </c>
      <c r="B1084" s="160" t="s">
        <v>2648</v>
      </c>
    </row>
    <row r="1085" spans="1:2" x14ac:dyDescent="0.2">
      <c r="A1085" s="160" t="s">
        <v>2649</v>
      </c>
      <c r="B1085" s="160" t="s">
        <v>2650</v>
      </c>
    </row>
    <row r="1086" spans="1:2" x14ac:dyDescent="0.2">
      <c r="A1086" s="160" t="s">
        <v>2651</v>
      </c>
      <c r="B1086" s="160" t="s">
        <v>2652</v>
      </c>
    </row>
    <row r="1087" spans="1:2" x14ac:dyDescent="0.2">
      <c r="A1087" s="160" t="s">
        <v>2653</v>
      </c>
      <c r="B1087" s="160" t="s">
        <v>2654</v>
      </c>
    </row>
    <row r="1088" spans="1:2" x14ac:dyDescent="0.2">
      <c r="A1088" s="160" t="s">
        <v>2655</v>
      </c>
      <c r="B1088" s="160" t="s">
        <v>2656</v>
      </c>
    </row>
    <row r="1089" spans="1:2" x14ac:dyDescent="0.2">
      <c r="A1089" s="160" t="s">
        <v>2657</v>
      </c>
      <c r="B1089" s="160" t="s">
        <v>2658</v>
      </c>
    </row>
    <row r="1090" spans="1:2" x14ac:dyDescent="0.2">
      <c r="A1090" s="160" t="s">
        <v>2659</v>
      </c>
      <c r="B1090" s="160" t="s">
        <v>2660</v>
      </c>
    </row>
    <row r="1091" spans="1:2" x14ac:dyDescent="0.2">
      <c r="A1091" s="160" t="s">
        <v>2661</v>
      </c>
      <c r="B1091" s="160" t="s">
        <v>2662</v>
      </c>
    </row>
    <row r="1092" spans="1:2" x14ac:dyDescent="0.2">
      <c r="A1092" s="160" t="s">
        <v>2663</v>
      </c>
      <c r="B1092" s="160" t="s">
        <v>2664</v>
      </c>
    </row>
    <row r="1093" spans="1:2" x14ac:dyDescent="0.2">
      <c r="A1093" s="160" t="s">
        <v>2665</v>
      </c>
      <c r="B1093" s="160" t="s">
        <v>2666</v>
      </c>
    </row>
    <row r="1094" spans="1:2" x14ac:dyDescent="0.2">
      <c r="A1094" s="160" t="s">
        <v>2667</v>
      </c>
      <c r="B1094" s="160" t="s">
        <v>2668</v>
      </c>
    </row>
    <row r="1095" spans="1:2" x14ac:dyDescent="0.2">
      <c r="A1095" s="160" t="s">
        <v>2669</v>
      </c>
      <c r="B1095" s="160" t="s">
        <v>2670</v>
      </c>
    </row>
    <row r="1096" spans="1:2" x14ac:dyDescent="0.2">
      <c r="A1096" s="160" t="s">
        <v>2671</v>
      </c>
      <c r="B1096" s="160" t="s">
        <v>2672</v>
      </c>
    </row>
    <row r="1097" spans="1:2" x14ac:dyDescent="0.2">
      <c r="A1097" s="160" t="s">
        <v>2673</v>
      </c>
      <c r="B1097" s="160" t="s">
        <v>2674</v>
      </c>
    </row>
    <row r="1098" spans="1:2" x14ac:dyDescent="0.2">
      <c r="A1098" s="160" t="s">
        <v>2675</v>
      </c>
      <c r="B1098" s="160" t="s">
        <v>2676</v>
      </c>
    </row>
    <row r="1099" spans="1:2" x14ac:dyDescent="0.2">
      <c r="A1099" s="160" t="s">
        <v>2677</v>
      </c>
      <c r="B1099" s="160" t="s">
        <v>2678</v>
      </c>
    </row>
    <row r="1100" spans="1:2" x14ac:dyDescent="0.2">
      <c r="A1100" s="160" t="s">
        <v>2679</v>
      </c>
      <c r="B1100" s="160" t="s">
        <v>2680</v>
      </c>
    </row>
    <row r="1101" spans="1:2" x14ac:dyDescent="0.2">
      <c r="A1101" s="160" t="s">
        <v>2681</v>
      </c>
      <c r="B1101" s="160" t="s">
        <v>2682</v>
      </c>
    </row>
    <row r="1102" spans="1:2" x14ac:dyDescent="0.2">
      <c r="A1102" s="160" t="s">
        <v>2683</v>
      </c>
      <c r="B1102" s="160" t="s">
        <v>2684</v>
      </c>
    </row>
    <row r="1103" spans="1:2" x14ac:dyDescent="0.2">
      <c r="A1103" s="160" t="s">
        <v>2685</v>
      </c>
      <c r="B1103" s="160" t="s">
        <v>2686</v>
      </c>
    </row>
    <row r="1104" spans="1:2" x14ac:dyDescent="0.2">
      <c r="A1104" s="160" t="s">
        <v>2687</v>
      </c>
      <c r="B1104" s="160" t="s">
        <v>2688</v>
      </c>
    </row>
    <row r="1105" spans="1:2" x14ac:dyDescent="0.2">
      <c r="A1105" s="160" t="s">
        <v>2689</v>
      </c>
      <c r="B1105" s="160" t="s">
        <v>2690</v>
      </c>
    </row>
    <row r="1106" spans="1:2" x14ac:dyDescent="0.2">
      <c r="A1106" s="160" t="s">
        <v>2691</v>
      </c>
      <c r="B1106" s="160" t="s">
        <v>2692</v>
      </c>
    </row>
    <row r="1107" spans="1:2" x14ac:dyDescent="0.2">
      <c r="A1107" s="160" t="s">
        <v>2693</v>
      </c>
      <c r="B1107" s="160" t="s">
        <v>2694</v>
      </c>
    </row>
    <row r="1108" spans="1:2" x14ac:dyDescent="0.2">
      <c r="A1108" s="160" t="s">
        <v>2695</v>
      </c>
      <c r="B1108" s="160" t="s">
        <v>2696</v>
      </c>
    </row>
    <row r="1109" spans="1:2" x14ac:dyDescent="0.2">
      <c r="A1109" s="160" t="s">
        <v>2697</v>
      </c>
      <c r="B1109" s="160" t="s">
        <v>2698</v>
      </c>
    </row>
    <row r="1110" spans="1:2" x14ac:dyDescent="0.2">
      <c r="A1110" s="160" t="s">
        <v>2699</v>
      </c>
      <c r="B1110" s="160" t="s">
        <v>2700</v>
      </c>
    </row>
    <row r="1111" spans="1:2" x14ac:dyDescent="0.2">
      <c r="A1111" s="160" t="s">
        <v>2701</v>
      </c>
      <c r="B1111" s="160" t="s">
        <v>2702</v>
      </c>
    </row>
    <row r="1112" spans="1:2" x14ac:dyDescent="0.2">
      <c r="A1112" s="160" t="s">
        <v>6512</v>
      </c>
      <c r="B1112" s="160" t="s">
        <v>6513</v>
      </c>
    </row>
    <row r="1113" spans="1:2" x14ac:dyDescent="0.2">
      <c r="A1113" s="160" t="s">
        <v>2703</v>
      </c>
      <c r="B1113" s="160" t="s">
        <v>2704</v>
      </c>
    </row>
    <row r="1114" spans="1:2" x14ac:dyDescent="0.2">
      <c r="A1114" s="160" t="s">
        <v>6514</v>
      </c>
      <c r="B1114" s="160" t="s">
        <v>6515</v>
      </c>
    </row>
    <row r="1115" spans="1:2" x14ac:dyDescent="0.2">
      <c r="A1115" s="160" t="s">
        <v>2705</v>
      </c>
      <c r="B1115" s="160" t="s">
        <v>2706</v>
      </c>
    </row>
    <row r="1116" spans="1:2" x14ac:dyDescent="0.2">
      <c r="A1116" s="160" t="s">
        <v>2707</v>
      </c>
      <c r="B1116" s="160" t="s">
        <v>2708</v>
      </c>
    </row>
    <row r="1117" spans="1:2" x14ac:dyDescent="0.2">
      <c r="A1117" s="160" t="s">
        <v>2709</v>
      </c>
      <c r="B1117" s="160" t="s">
        <v>2710</v>
      </c>
    </row>
    <row r="1118" spans="1:2" x14ac:dyDescent="0.2">
      <c r="A1118" s="160" t="s">
        <v>2711</v>
      </c>
      <c r="B1118" s="160" t="s">
        <v>2712</v>
      </c>
    </row>
    <row r="1119" spans="1:2" x14ac:dyDescent="0.2">
      <c r="A1119" s="160" t="s">
        <v>2713</v>
      </c>
      <c r="B1119" s="160" t="s">
        <v>2714</v>
      </c>
    </row>
    <row r="1120" spans="1:2" x14ac:dyDescent="0.2">
      <c r="A1120" s="160" t="s">
        <v>6516</v>
      </c>
      <c r="B1120" s="160" t="s">
        <v>6517</v>
      </c>
    </row>
    <row r="1121" spans="1:2" x14ac:dyDescent="0.2">
      <c r="A1121" s="160" t="s">
        <v>2715</v>
      </c>
      <c r="B1121" s="160" t="s">
        <v>2716</v>
      </c>
    </row>
    <row r="1122" spans="1:2" x14ac:dyDescent="0.2">
      <c r="A1122" s="160" t="s">
        <v>2717</v>
      </c>
      <c r="B1122" s="160" t="s">
        <v>2718</v>
      </c>
    </row>
    <row r="1123" spans="1:2" x14ac:dyDescent="0.2">
      <c r="A1123" s="160" t="s">
        <v>2719</v>
      </c>
      <c r="B1123" s="160" t="s">
        <v>2720</v>
      </c>
    </row>
    <row r="1124" spans="1:2" x14ac:dyDescent="0.2">
      <c r="A1124" s="160" t="s">
        <v>2721</v>
      </c>
      <c r="B1124" s="160" t="s">
        <v>2722</v>
      </c>
    </row>
    <row r="1125" spans="1:2" x14ac:dyDescent="0.2">
      <c r="A1125" s="160" t="s">
        <v>2723</v>
      </c>
      <c r="B1125" s="160" t="s">
        <v>2724</v>
      </c>
    </row>
    <row r="1126" spans="1:2" x14ac:dyDescent="0.2">
      <c r="A1126" s="160" t="s">
        <v>6518</v>
      </c>
      <c r="B1126" s="160" t="s">
        <v>6519</v>
      </c>
    </row>
    <row r="1127" spans="1:2" x14ac:dyDescent="0.2">
      <c r="A1127" s="160" t="s">
        <v>2725</v>
      </c>
      <c r="B1127" s="160" t="s">
        <v>2726</v>
      </c>
    </row>
    <row r="1128" spans="1:2" x14ac:dyDescent="0.2">
      <c r="A1128" s="160" t="s">
        <v>2727</v>
      </c>
      <c r="B1128" s="160" t="s">
        <v>2728</v>
      </c>
    </row>
    <row r="1129" spans="1:2" x14ac:dyDescent="0.2">
      <c r="A1129" s="160" t="s">
        <v>2729</v>
      </c>
      <c r="B1129" s="160" t="s">
        <v>2730</v>
      </c>
    </row>
    <row r="1130" spans="1:2" x14ac:dyDescent="0.2">
      <c r="A1130" s="160" t="s">
        <v>2731</v>
      </c>
      <c r="B1130" s="160" t="s">
        <v>2732</v>
      </c>
    </row>
    <row r="1131" spans="1:2" x14ac:dyDescent="0.2">
      <c r="A1131" s="160" t="s">
        <v>2733</v>
      </c>
      <c r="B1131" s="160" t="s">
        <v>2734</v>
      </c>
    </row>
    <row r="1132" spans="1:2" x14ac:dyDescent="0.2">
      <c r="A1132" s="160" t="s">
        <v>2735</v>
      </c>
      <c r="B1132" s="160" t="s">
        <v>2736</v>
      </c>
    </row>
    <row r="1133" spans="1:2" x14ac:dyDescent="0.2">
      <c r="A1133" s="160" t="s">
        <v>2737</v>
      </c>
      <c r="B1133" s="160" t="s">
        <v>6520</v>
      </c>
    </row>
    <row r="1134" spans="1:2" x14ac:dyDescent="0.2">
      <c r="A1134" s="160" t="s">
        <v>2738</v>
      </c>
      <c r="B1134" s="160" t="s">
        <v>2739</v>
      </c>
    </row>
    <row r="1135" spans="1:2" x14ac:dyDescent="0.2">
      <c r="A1135" s="160" t="s">
        <v>2740</v>
      </c>
      <c r="B1135" s="160" t="s">
        <v>2741</v>
      </c>
    </row>
    <row r="1136" spans="1:2" x14ac:dyDescent="0.2">
      <c r="A1136" s="160" t="s">
        <v>2742</v>
      </c>
      <c r="B1136" s="160" t="s">
        <v>2743</v>
      </c>
    </row>
    <row r="1137" spans="1:2" x14ac:dyDescent="0.2">
      <c r="A1137" s="160" t="s">
        <v>2744</v>
      </c>
      <c r="B1137" s="160" t="s">
        <v>2745</v>
      </c>
    </row>
    <row r="1138" spans="1:2" x14ac:dyDescent="0.2">
      <c r="A1138" s="160" t="s">
        <v>2746</v>
      </c>
      <c r="B1138" s="160" t="s">
        <v>2747</v>
      </c>
    </row>
    <row r="1139" spans="1:2" x14ac:dyDescent="0.2">
      <c r="A1139" s="160" t="s">
        <v>2748</v>
      </c>
      <c r="B1139" s="160" t="s">
        <v>2749</v>
      </c>
    </row>
    <row r="1140" spans="1:2" x14ac:dyDescent="0.2">
      <c r="A1140" s="160" t="s">
        <v>6521</v>
      </c>
      <c r="B1140" s="160" t="s">
        <v>6522</v>
      </c>
    </row>
    <row r="1141" spans="1:2" x14ac:dyDescent="0.2">
      <c r="A1141" s="160" t="s">
        <v>2750</v>
      </c>
      <c r="B1141" s="160" t="s">
        <v>2751</v>
      </c>
    </row>
    <row r="1142" spans="1:2" x14ac:dyDescent="0.2">
      <c r="A1142" s="160" t="s">
        <v>2752</v>
      </c>
      <c r="B1142" s="160" t="s">
        <v>2753</v>
      </c>
    </row>
    <row r="1143" spans="1:2" x14ac:dyDescent="0.2">
      <c r="A1143" s="160" t="s">
        <v>2754</v>
      </c>
      <c r="B1143" s="160" t="s">
        <v>2755</v>
      </c>
    </row>
    <row r="1144" spans="1:2" x14ac:dyDescent="0.2">
      <c r="A1144" s="160" t="s">
        <v>2756</v>
      </c>
      <c r="B1144" s="160" t="s">
        <v>2757</v>
      </c>
    </row>
    <row r="1145" spans="1:2" x14ac:dyDescent="0.2">
      <c r="A1145" s="160" t="s">
        <v>2758</v>
      </c>
      <c r="B1145" s="160" t="s">
        <v>2759</v>
      </c>
    </row>
    <row r="1146" spans="1:2" x14ac:dyDescent="0.2">
      <c r="A1146" s="160" t="s">
        <v>2760</v>
      </c>
      <c r="B1146" s="160" t="s">
        <v>2761</v>
      </c>
    </row>
    <row r="1147" spans="1:2" x14ac:dyDescent="0.2">
      <c r="A1147" s="160" t="s">
        <v>6523</v>
      </c>
      <c r="B1147" s="160" t="s">
        <v>6524</v>
      </c>
    </row>
    <row r="1148" spans="1:2" x14ac:dyDescent="0.2">
      <c r="A1148" s="160" t="s">
        <v>2762</v>
      </c>
      <c r="B1148" s="160" t="s">
        <v>2763</v>
      </c>
    </row>
    <row r="1149" spans="1:2" x14ac:dyDescent="0.2">
      <c r="A1149" s="160" t="s">
        <v>2764</v>
      </c>
      <c r="B1149" s="160" t="s">
        <v>2765</v>
      </c>
    </row>
    <row r="1150" spans="1:2" x14ac:dyDescent="0.2">
      <c r="A1150" s="160" t="s">
        <v>2766</v>
      </c>
      <c r="B1150" s="160" t="s">
        <v>2767</v>
      </c>
    </row>
    <row r="1151" spans="1:2" x14ac:dyDescent="0.2">
      <c r="A1151" s="160" t="s">
        <v>2768</v>
      </c>
      <c r="B1151" s="160" t="s">
        <v>2769</v>
      </c>
    </row>
    <row r="1152" spans="1:2" x14ac:dyDescent="0.2">
      <c r="A1152" s="160" t="s">
        <v>2770</v>
      </c>
      <c r="B1152" s="160" t="s">
        <v>2771</v>
      </c>
    </row>
    <row r="1153" spans="1:2" x14ac:dyDescent="0.2">
      <c r="A1153" s="160" t="s">
        <v>2772</v>
      </c>
      <c r="B1153" s="160" t="s">
        <v>2773</v>
      </c>
    </row>
    <row r="1154" spans="1:2" x14ac:dyDescent="0.2">
      <c r="A1154" s="160" t="s">
        <v>6525</v>
      </c>
      <c r="B1154" s="160" t="s">
        <v>6526</v>
      </c>
    </row>
    <row r="1155" spans="1:2" x14ac:dyDescent="0.2">
      <c r="A1155" s="160" t="s">
        <v>2774</v>
      </c>
      <c r="B1155" s="160" t="s">
        <v>2775</v>
      </c>
    </row>
    <row r="1156" spans="1:2" x14ac:dyDescent="0.2">
      <c r="A1156" s="160" t="s">
        <v>2776</v>
      </c>
      <c r="B1156" s="160" t="s">
        <v>2777</v>
      </c>
    </row>
    <row r="1157" spans="1:2" x14ac:dyDescent="0.2">
      <c r="A1157" s="160" t="s">
        <v>2778</v>
      </c>
      <c r="B1157" s="160" t="s">
        <v>2779</v>
      </c>
    </row>
    <row r="1158" spans="1:2" x14ac:dyDescent="0.2">
      <c r="A1158" s="160" t="s">
        <v>2780</v>
      </c>
      <c r="B1158" s="160" t="s">
        <v>2781</v>
      </c>
    </row>
    <row r="1159" spans="1:2" x14ac:dyDescent="0.2">
      <c r="A1159" s="160" t="s">
        <v>2782</v>
      </c>
      <c r="B1159" s="160" t="s">
        <v>2783</v>
      </c>
    </row>
    <row r="1160" spans="1:2" x14ac:dyDescent="0.2">
      <c r="A1160" s="160" t="s">
        <v>2784</v>
      </c>
      <c r="B1160" s="160" t="s">
        <v>2785</v>
      </c>
    </row>
    <row r="1161" spans="1:2" x14ac:dyDescent="0.2">
      <c r="A1161" s="160" t="s">
        <v>6527</v>
      </c>
      <c r="B1161" s="160" t="s">
        <v>6528</v>
      </c>
    </row>
    <row r="1162" spans="1:2" x14ac:dyDescent="0.2">
      <c r="A1162" s="160" t="s">
        <v>2786</v>
      </c>
      <c r="B1162" s="160" t="s">
        <v>2787</v>
      </c>
    </row>
    <row r="1163" spans="1:2" x14ac:dyDescent="0.2">
      <c r="A1163" s="160" t="s">
        <v>2788</v>
      </c>
      <c r="B1163" s="160" t="s">
        <v>2789</v>
      </c>
    </row>
    <row r="1164" spans="1:2" x14ac:dyDescent="0.2">
      <c r="A1164" s="160" t="s">
        <v>2790</v>
      </c>
      <c r="B1164" s="160" t="s">
        <v>2791</v>
      </c>
    </row>
    <row r="1165" spans="1:2" x14ac:dyDescent="0.2">
      <c r="A1165" s="160" t="s">
        <v>2792</v>
      </c>
      <c r="B1165" s="160" t="s">
        <v>2793</v>
      </c>
    </row>
    <row r="1166" spans="1:2" x14ac:dyDescent="0.2">
      <c r="A1166" s="160" t="s">
        <v>2794</v>
      </c>
      <c r="B1166" s="160" t="s">
        <v>2795</v>
      </c>
    </row>
    <row r="1167" spans="1:2" x14ac:dyDescent="0.2">
      <c r="A1167" s="160" t="s">
        <v>2796</v>
      </c>
      <c r="B1167" s="160" t="s">
        <v>2797</v>
      </c>
    </row>
    <row r="1168" spans="1:2" x14ac:dyDescent="0.2">
      <c r="A1168" s="160" t="s">
        <v>2798</v>
      </c>
      <c r="B1168" s="160" t="s">
        <v>2799</v>
      </c>
    </row>
    <row r="1169" spans="1:2" x14ac:dyDescent="0.2">
      <c r="A1169" s="160" t="s">
        <v>2800</v>
      </c>
      <c r="B1169" s="160" t="s">
        <v>2801</v>
      </c>
    </row>
    <row r="1170" spans="1:2" x14ac:dyDescent="0.2">
      <c r="A1170" s="160" t="s">
        <v>2802</v>
      </c>
      <c r="B1170" s="160" t="s">
        <v>2803</v>
      </c>
    </row>
    <row r="1171" spans="1:2" x14ac:dyDescent="0.2">
      <c r="A1171" s="160" t="s">
        <v>6529</v>
      </c>
      <c r="B1171" s="160" t="s">
        <v>6530</v>
      </c>
    </row>
    <row r="1172" spans="1:2" x14ac:dyDescent="0.2">
      <c r="A1172" s="160" t="s">
        <v>2804</v>
      </c>
      <c r="B1172" s="160" t="s">
        <v>2805</v>
      </c>
    </row>
    <row r="1173" spans="1:2" x14ac:dyDescent="0.2">
      <c r="A1173" s="160" t="s">
        <v>2806</v>
      </c>
      <c r="B1173" s="160" t="s">
        <v>2807</v>
      </c>
    </row>
    <row r="1174" spans="1:2" x14ac:dyDescent="0.2">
      <c r="A1174" s="160" t="s">
        <v>2808</v>
      </c>
      <c r="B1174" s="160" t="s">
        <v>2808</v>
      </c>
    </row>
    <row r="1175" spans="1:2" x14ac:dyDescent="0.2">
      <c r="A1175" s="160" t="s">
        <v>2809</v>
      </c>
      <c r="B1175" s="160" t="s">
        <v>2810</v>
      </c>
    </row>
    <row r="1176" spans="1:2" x14ac:dyDescent="0.2">
      <c r="A1176" s="160" t="s">
        <v>2811</v>
      </c>
      <c r="B1176" s="160" t="s">
        <v>2812</v>
      </c>
    </row>
    <row r="1177" spans="1:2" x14ac:dyDescent="0.2">
      <c r="A1177" s="160" t="s">
        <v>2813</v>
      </c>
      <c r="B1177" s="160" t="s">
        <v>2814</v>
      </c>
    </row>
    <row r="1178" spans="1:2" x14ac:dyDescent="0.2">
      <c r="A1178" s="160" t="s">
        <v>6531</v>
      </c>
      <c r="B1178" s="160" t="s">
        <v>6532</v>
      </c>
    </row>
    <row r="1179" spans="1:2" x14ac:dyDescent="0.2">
      <c r="A1179" s="160" t="s">
        <v>2815</v>
      </c>
      <c r="B1179" s="160" t="s">
        <v>2816</v>
      </c>
    </row>
    <row r="1180" spans="1:2" x14ac:dyDescent="0.2">
      <c r="A1180" s="160" t="s">
        <v>2817</v>
      </c>
      <c r="B1180" s="160" t="s">
        <v>2818</v>
      </c>
    </row>
    <row r="1181" spans="1:2" x14ac:dyDescent="0.2">
      <c r="A1181" s="160" t="s">
        <v>2819</v>
      </c>
      <c r="B1181" s="160" t="s">
        <v>2820</v>
      </c>
    </row>
    <row r="1182" spans="1:2" x14ac:dyDescent="0.2">
      <c r="A1182" s="160" t="s">
        <v>2821</v>
      </c>
      <c r="B1182" s="160" t="s">
        <v>2822</v>
      </c>
    </row>
    <row r="1183" spans="1:2" x14ac:dyDescent="0.2">
      <c r="A1183" s="160" t="s">
        <v>2823</v>
      </c>
      <c r="B1183" s="160" t="s">
        <v>2824</v>
      </c>
    </row>
    <row r="1184" spans="1:2" x14ac:dyDescent="0.2">
      <c r="A1184" s="160" t="s">
        <v>2825</v>
      </c>
      <c r="B1184" s="160" t="s">
        <v>2826</v>
      </c>
    </row>
    <row r="1185" spans="1:2" x14ac:dyDescent="0.2">
      <c r="A1185" s="160" t="s">
        <v>2827</v>
      </c>
      <c r="B1185" s="160" t="s">
        <v>2828</v>
      </c>
    </row>
    <row r="1186" spans="1:2" x14ac:dyDescent="0.2">
      <c r="A1186" s="160" t="s">
        <v>6533</v>
      </c>
      <c r="B1186" s="160" t="s">
        <v>6534</v>
      </c>
    </row>
    <row r="1187" spans="1:2" x14ac:dyDescent="0.2">
      <c r="A1187" s="160" t="s">
        <v>2829</v>
      </c>
      <c r="B1187" s="160" t="s">
        <v>2830</v>
      </c>
    </row>
    <row r="1188" spans="1:2" x14ac:dyDescent="0.2">
      <c r="A1188" s="160" t="s">
        <v>2831</v>
      </c>
      <c r="B1188" s="160" t="s">
        <v>2832</v>
      </c>
    </row>
    <row r="1189" spans="1:2" x14ac:dyDescent="0.2">
      <c r="A1189" s="160" t="s">
        <v>2833</v>
      </c>
      <c r="B1189" s="160" t="s">
        <v>2834</v>
      </c>
    </row>
    <row r="1190" spans="1:2" x14ac:dyDescent="0.2">
      <c r="A1190" s="160" t="s">
        <v>2835</v>
      </c>
      <c r="B1190" s="160" t="s">
        <v>2836</v>
      </c>
    </row>
    <row r="1191" spans="1:2" x14ac:dyDescent="0.2">
      <c r="A1191" s="160" t="s">
        <v>2837</v>
      </c>
      <c r="B1191" s="160" t="s">
        <v>2838</v>
      </c>
    </row>
    <row r="1192" spans="1:2" x14ac:dyDescent="0.2">
      <c r="A1192" s="160" t="s">
        <v>2839</v>
      </c>
      <c r="B1192" s="160" t="s">
        <v>2840</v>
      </c>
    </row>
    <row r="1193" spans="1:2" x14ac:dyDescent="0.2">
      <c r="A1193" s="160" t="s">
        <v>2841</v>
      </c>
      <c r="B1193" s="160" t="s">
        <v>2842</v>
      </c>
    </row>
    <row r="1194" spans="1:2" x14ac:dyDescent="0.2">
      <c r="A1194" s="160" t="s">
        <v>2843</v>
      </c>
      <c r="B1194" s="160" t="s">
        <v>2844</v>
      </c>
    </row>
    <row r="1195" spans="1:2" x14ac:dyDescent="0.2">
      <c r="A1195" s="160" t="s">
        <v>2845</v>
      </c>
      <c r="B1195" s="160" t="s">
        <v>2846</v>
      </c>
    </row>
    <row r="1196" spans="1:2" x14ac:dyDescent="0.2">
      <c r="A1196" s="160" t="s">
        <v>2847</v>
      </c>
      <c r="B1196" s="160" t="s">
        <v>2848</v>
      </c>
    </row>
    <row r="1197" spans="1:2" x14ac:dyDescent="0.2">
      <c r="A1197" s="160" t="s">
        <v>2849</v>
      </c>
      <c r="B1197" s="160" t="s">
        <v>2850</v>
      </c>
    </row>
    <row r="1198" spans="1:2" x14ac:dyDescent="0.2">
      <c r="A1198" s="160" t="s">
        <v>2851</v>
      </c>
      <c r="B1198" s="160" t="s">
        <v>2852</v>
      </c>
    </row>
    <row r="1199" spans="1:2" x14ac:dyDescent="0.2">
      <c r="A1199" s="160" t="s">
        <v>2853</v>
      </c>
      <c r="B1199" s="160" t="s">
        <v>2854</v>
      </c>
    </row>
    <row r="1200" spans="1:2" x14ac:dyDescent="0.2">
      <c r="A1200" s="160" t="s">
        <v>2855</v>
      </c>
      <c r="B1200" s="160" t="s">
        <v>2856</v>
      </c>
    </row>
    <row r="1201" spans="1:2" x14ac:dyDescent="0.2">
      <c r="A1201" s="160" t="s">
        <v>2857</v>
      </c>
      <c r="B1201" s="160" t="s">
        <v>2858</v>
      </c>
    </row>
    <row r="1202" spans="1:2" x14ac:dyDescent="0.2">
      <c r="A1202" s="160" t="s">
        <v>2859</v>
      </c>
      <c r="B1202" s="160" t="s">
        <v>2860</v>
      </c>
    </row>
    <row r="1203" spans="1:2" x14ac:dyDescent="0.2">
      <c r="A1203" s="160" t="s">
        <v>2861</v>
      </c>
      <c r="B1203" s="160" t="s">
        <v>2862</v>
      </c>
    </row>
    <row r="1204" spans="1:2" x14ac:dyDescent="0.2">
      <c r="A1204" s="160" t="s">
        <v>2863</v>
      </c>
      <c r="B1204" s="160" t="s">
        <v>2864</v>
      </c>
    </row>
    <row r="1205" spans="1:2" x14ac:dyDescent="0.2">
      <c r="A1205" s="160" t="s">
        <v>2865</v>
      </c>
      <c r="B1205" s="160" t="s">
        <v>2866</v>
      </c>
    </row>
    <row r="1206" spans="1:2" x14ac:dyDescent="0.2">
      <c r="A1206" s="160" t="s">
        <v>2867</v>
      </c>
      <c r="B1206" s="160" t="s">
        <v>2868</v>
      </c>
    </row>
    <row r="1207" spans="1:2" x14ac:dyDescent="0.2">
      <c r="A1207" s="160" t="s">
        <v>2869</v>
      </c>
      <c r="B1207" s="160" t="s">
        <v>2870</v>
      </c>
    </row>
    <row r="1208" spans="1:2" x14ac:dyDescent="0.2">
      <c r="A1208" s="160" t="s">
        <v>2871</v>
      </c>
      <c r="B1208" s="160" t="s">
        <v>2872</v>
      </c>
    </row>
    <row r="1209" spans="1:2" x14ac:dyDescent="0.2">
      <c r="A1209" s="160" t="s">
        <v>2873</v>
      </c>
      <c r="B1209" s="160" t="s">
        <v>2874</v>
      </c>
    </row>
    <row r="1210" spans="1:2" x14ac:dyDescent="0.2">
      <c r="A1210" s="160" t="s">
        <v>2875</v>
      </c>
      <c r="B1210" s="160" t="s">
        <v>2876</v>
      </c>
    </row>
    <row r="1211" spans="1:2" x14ac:dyDescent="0.2">
      <c r="A1211" s="160" t="s">
        <v>2877</v>
      </c>
      <c r="B1211" s="160" t="s">
        <v>2878</v>
      </c>
    </row>
    <row r="1212" spans="1:2" x14ac:dyDescent="0.2">
      <c r="A1212" s="160" t="s">
        <v>2879</v>
      </c>
      <c r="B1212" s="160" t="s">
        <v>2880</v>
      </c>
    </row>
    <row r="1213" spans="1:2" x14ac:dyDescent="0.2">
      <c r="A1213" s="160" t="s">
        <v>2881</v>
      </c>
      <c r="B1213" s="160" t="s">
        <v>2882</v>
      </c>
    </row>
    <row r="1214" spans="1:2" x14ac:dyDescent="0.2">
      <c r="A1214" s="160" t="s">
        <v>2883</v>
      </c>
      <c r="B1214" s="160" t="s">
        <v>2884</v>
      </c>
    </row>
    <row r="1215" spans="1:2" x14ac:dyDescent="0.2">
      <c r="A1215" s="160" t="s">
        <v>2885</v>
      </c>
      <c r="B1215" s="160" t="s">
        <v>2886</v>
      </c>
    </row>
    <row r="1216" spans="1:2" x14ac:dyDescent="0.2">
      <c r="A1216" s="160" t="s">
        <v>2887</v>
      </c>
      <c r="B1216" s="160" t="s">
        <v>2888</v>
      </c>
    </row>
    <row r="1217" spans="1:2" x14ac:dyDescent="0.2">
      <c r="A1217" s="160" t="s">
        <v>2889</v>
      </c>
      <c r="B1217" s="160" t="s">
        <v>2890</v>
      </c>
    </row>
    <row r="1218" spans="1:2" x14ac:dyDescent="0.2">
      <c r="A1218" s="160" t="s">
        <v>2891</v>
      </c>
      <c r="B1218" s="160" t="s">
        <v>2892</v>
      </c>
    </row>
    <row r="1219" spans="1:2" x14ac:dyDescent="0.2">
      <c r="A1219" s="160" t="s">
        <v>2893</v>
      </c>
      <c r="B1219" s="160" t="s">
        <v>2894</v>
      </c>
    </row>
    <row r="1220" spans="1:2" x14ac:dyDescent="0.2">
      <c r="A1220" s="160" t="s">
        <v>2895</v>
      </c>
      <c r="B1220" s="160" t="s">
        <v>2896</v>
      </c>
    </row>
    <row r="1221" spans="1:2" x14ac:dyDescent="0.2">
      <c r="A1221" s="160" t="s">
        <v>6535</v>
      </c>
      <c r="B1221" s="160" t="s">
        <v>6536</v>
      </c>
    </row>
    <row r="1222" spans="1:2" x14ac:dyDescent="0.2">
      <c r="A1222" s="160" t="s">
        <v>2897</v>
      </c>
      <c r="B1222" s="160" t="s">
        <v>2898</v>
      </c>
    </row>
    <row r="1223" spans="1:2" x14ac:dyDescent="0.2">
      <c r="A1223" s="160" t="s">
        <v>2899</v>
      </c>
      <c r="B1223" s="160" t="s">
        <v>2900</v>
      </c>
    </row>
    <row r="1224" spans="1:2" x14ac:dyDescent="0.2">
      <c r="A1224" s="160" t="s">
        <v>2901</v>
      </c>
      <c r="B1224" s="160" t="s">
        <v>2902</v>
      </c>
    </row>
    <row r="1225" spans="1:2" x14ac:dyDescent="0.2">
      <c r="A1225" s="160" t="s">
        <v>2903</v>
      </c>
      <c r="B1225" s="160" t="s">
        <v>2904</v>
      </c>
    </row>
    <row r="1226" spans="1:2" x14ac:dyDescent="0.2">
      <c r="A1226" s="160" t="s">
        <v>2905</v>
      </c>
      <c r="B1226" s="160" t="s">
        <v>2906</v>
      </c>
    </row>
    <row r="1227" spans="1:2" x14ac:dyDescent="0.2">
      <c r="A1227" s="160" t="s">
        <v>2907</v>
      </c>
      <c r="B1227" s="160" t="s">
        <v>2908</v>
      </c>
    </row>
    <row r="1228" spans="1:2" x14ac:dyDescent="0.2">
      <c r="A1228" s="160" t="s">
        <v>2909</v>
      </c>
      <c r="B1228" s="160" t="s">
        <v>2910</v>
      </c>
    </row>
    <row r="1229" spans="1:2" x14ac:dyDescent="0.2">
      <c r="A1229" s="160" t="s">
        <v>2911</v>
      </c>
      <c r="B1229" s="160" t="s">
        <v>2912</v>
      </c>
    </row>
    <row r="1230" spans="1:2" x14ac:dyDescent="0.2">
      <c r="A1230" s="160" t="s">
        <v>2913</v>
      </c>
      <c r="B1230" s="160" t="s">
        <v>2914</v>
      </c>
    </row>
    <row r="1231" spans="1:2" x14ac:dyDescent="0.2">
      <c r="A1231" s="160" t="s">
        <v>6537</v>
      </c>
      <c r="B1231" s="160" t="s">
        <v>6538</v>
      </c>
    </row>
    <row r="1232" spans="1:2" x14ac:dyDescent="0.2">
      <c r="A1232" s="160" t="s">
        <v>6539</v>
      </c>
      <c r="B1232" s="160" t="s">
        <v>6540</v>
      </c>
    </row>
    <row r="1233" spans="1:2" x14ac:dyDescent="0.2">
      <c r="A1233" s="160" t="s">
        <v>2915</v>
      </c>
      <c r="B1233" s="160" t="s">
        <v>2916</v>
      </c>
    </row>
    <row r="1234" spans="1:2" x14ac:dyDescent="0.2">
      <c r="A1234" s="160" t="s">
        <v>2917</v>
      </c>
      <c r="B1234" s="160" t="s">
        <v>2918</v>
      </c>
    </row>
    <row r="1235" spans="1:2" x14ac:dyDescent="0.2">
      <c r="A1235" s="160" t="s">
        <v>2919</v>
      </c>
      <c r="B1235" s="160" t="s">
        <v>2920</v>
      </c>
    </row>
    <row r="1236" spans="1:2" x14ac:dyDescent="0.2">
      <c r="A1236" s="160" t="s">
        <v>2921</v>
      </c>
      <c r="B1236" s="160" t="s">
        <v>2922</v>
      </c>
    </row>
    <row r="1237" spans="1:2" x14ac:dyDescent="0.2">
      <c r="A1237" s="160" t="s">
        <v>6541</v>
      </c>
      <c r="B1237" s="160" t="s">
        <v>6542</v>
      </c>
    </row>
    <row r="1238" spans="1:2" x14ac:dyDescent="0.2">
      <c r="A1238" s="160" t="s">
        <v>2923</v>
      </c>
      <c r="B1238" s="160" t="s">
        <v>2924</v>
      </c>
    </row>
    <row r="1239" spans="1:2" x14ac:dyDescent="0.2">
      <c r="A1239" s="160" t="s">
        <v>2925</v>
      </c>
      <c r="B1239" s="160" t="s">
        <v>2926</v>
      </c>
    </row>
    <row r="1240" spans="1:2" x14ac:dyDescent="0.2">
      <c r="A1240" s="160" t="s">
        <v>2927</v>
      </c>
      <c r="B1240" s="160" t="s">
        <v>2928</v>
      </c>
    </row>
    <row r="1241" spans="1:2" x14ac:dyDescent="0.2">
      <c r="A1241" s="160" t="s">
        <v>2929</v>
      </c>
      <c r="B1241" s="160" t="s">
        <v>2930</v>
      </c>
    </row>
    <row r="1242" spans="1:2" x14ac:dyDescent="0.2">
      <c r="A1242" s="160" t="s">
        <v>2931</v>
      </c>
      <c r="B1242" s="160" t="s">
        <v>2932</v>
      </c>
    </row>
    <row r="1243" spans="1:2" x14ac:dyDescent="0.2">
      <c r="A1243" s="160" t="s">
        <v>2933</v>
      </c>
      <c r="B1243" s="160" t="s">
        <v>2934</v>
      </c>
    </row>
    <row r="1244" spans="1:2" x14ac:dyDescent="0.2">
      <c r="A1244" s="160" t="s">
        <v>2935</v>
      </c>
      <c r="B1244" s="160" t="s">
        <v>2936</v>
      </c>
    </row>
    <row r="1245" spans="1:2" x14ac:dyDescent="0.2">
      <c r="A1245" s="160" t="s">
        <v>2937</v>
      </c>
      <c r="B1245" s="160" t="s">
        <v>2938</v>
      </c>
    </row>
    <row r="1246" spans="1:2" x14ac:dyDescent="0.2">
      <c r="A1246" s="160" t="s">
        <v>2939</v>
      </c>
      <c r="B1246" s="160" t="s">
        <v>2940</v>
      </c>
    </row>
    <row r="1247" spans="1:2" x14ac:dyDescent="0.2">
      <c r="A1247" s="160" t="s">
        <v>2941</v>
      </c>
      <c r="B1247" s="160" t="s">
        <v>2942</v>
      </c>
    </row>
    <row r="1248" spans="1:2" x14ac:dyDescent="0.2">
      <c r="A1248" s="160" t="s">
        <v>2943</v>
      </c>
      <c r="B1248" s="160" t="s">
        <v>2944</v>
      </c>
    </row>
    <row r="1249" spans="1:2" x14ac:dyDescent="0.2">
      <c r="A1249" s="160" t="s">
        <v>2945</v>
      </c>
      <c r="B1249" s="160" t="s">
        <v>2946</v>
      </c>
    </row>
    <row r="1250" spans="1:2" x14ac:dyDescent="0.2">
      <c r="A1250" s="160" t="s">
        <v>2947</v>
      </c>
      <c r="B1250" s="160" t="s">
        <v>2948</v>
      </c>
    </row>
    <row r="1251" spans="1:2" x14ac:dyDescent="0.2">
      <c r="A1251" s="160" t="s">
        <v>2949</v>
      </c>
      <c r="B1251" s="160" t="s">
        <v>2950</v>
      </c>
    </row>
    <row r="1252" spans="1:2" x14ac:dyDescent="0.2">
      <c r="A1252" s="160" t="s">
        <v>2951</v>
      </c>
      <c r="B1252" s="160" t="s">
        <v>2952</v>
      </c>
    </row>
    <row r="1253" spans="1:2" x14ac:dyDescent="0.2">
      <c r="A1253" s="160" t="s">
        <v>2953</v>
      </c>
      <c r="B1253" s="160" t="s">
        <v>2954</v>
      </c>
    </row>
    <row r="1254" spans="1:2" x14ac:dyDescent="0.2">
      <c r="A1254" s="160" t="s">
        <v>2955</v>
      </c>
      <c r="B1254" s="160" t="s">
        <v>2956</v>
      </c>
    </row>
    <row r="1255" spans="1:2" x14ac:dyDescent="0.2">
      <c r="A1255" s="160" t="s">
        <v>2957</v>
      </c>
      <c r="B1255" s="160" t="s">
        <v>2958</v>
      </c>
    </row>
    <row r="1256" spans="1:2" x14ac:dyDescent="0.2">
      <c r="A1256" s="160" t="s">
        <v>2959</v>
      </c>
      <c r="B1256" s="160" t="s">
        <v>2960</v>
      </c>
    </row>
    <row r="1257" spans="1:2" x14ac:dyDescent="0.2">
      <c r="A1257" s="160" t="s">
        <v>2961</v>
      </c>
      <c r="B1257" s="160" t="s">
        <v>2962</v>
      </c>
    </row>
    <row r="1258" spans="1:2" x14ac:dyDescent="0.2">
      <c r="A1258" s="160" t="s">
        <v>6543</v>
      </c>
      <c r="B1258" s="160" t="s">
        <v>6544</v>
      </c>
    </row>
    <row r="1259" spans="1:2" x14ac:dyDescent="0.2">
      <c r="A1259" s="160" t="s">
        <v>2963</v>
      </c>
      <c r="B1259" s="160" t="s">
        <v>2964</v>
      </c>
    </row>
    <row r="1260" spans="1:2" x14ac:dyDescent="0.2">
      <c r="A1260" s="160" t="s">
        <v>2965</v>
      </c>
      <c r="B1260" s="160" t="s">
        <v>2966</v>
      </c>
    </row>
    <row r="1261" spans="1:2" x14ac:dyDescent="0.2">
      <c r="A1261" s="160" t="s">
        <v>6545</v>
      </c>
      <c r="B1261" s="160" t="s">
        <v>6546</v>
      </c>
    </row>
    <row r="1262" spans="1:2" x14ac:dyDescent="0.2">
      <c r="A1262" s="160" t="s">
        <v>2967</v>
      </c>
      <c r="B1262" s="160" t="s">
        <v>2968</v>
      </c>
    </row>
    <row r="1263" spans="1:2" x14ac:dyDescent="0.2">
      <c r="A1263" s="160" t="s">
        <v>2969</v>
      </c>
      <c r="B1263" s="160" t="s">
        <v>2970</v>
      </c>
    </row>
    <row r="1264" spans="1:2" x14ac:dyDescent="0.2">
      <c r="A1264" s="160" t="s">
        <v>2971</v>
      </c>
      <c r="B1264" s="160" t="s">
        <v>2972</v>
      </c>
    </row>
    <row r="1265" spans="1:2" x14ac:dyDescent="0.2">
      <c r="A1265" s="160" t="s">
        <v>2973</v>
      </c>
      <c r="B1265" s="160" t="s">
        <v>2974</v>
      </c>
    </row>
    <row r="1266" spans="1:2" x14ac:dyDescent="0.2">
      <c r="A1266" s="160" t="s">
        <v>2975</v>
      </c>
      <c r="B1266" s="160" t="s">
        <v>2976</v>
      </c>
    </row>
    <row r="1267" spans="1:2" x14ac:dyDescent="0.2">
      <c r="A1267" s="160" t="s">
        <v>2977</v>
      </c>
      <c r="B1267" s="160" t="s">
        <v>2978</v>
      </c>
    </row>
    <row r="1268" spans="1:2" x14ac:dyDescent="0.2">
      <c r="A1268" s="160" t="s">
        <v>2979</v>
      </c>
      <c r="B1268" s="160" t="s">
        <v>2980</v>
      </c>
    </row>
    <row r="1269" spans="1:2" x14ac:dyDescent="0.2">
      <c r="A1269" s="160" t="s">
        <v>2981</v>
      </c>
      <c r="B1269" s="160" t="s">
        <v>2982</v>
      </c>
    </row>
    <row r="1270" spans="1:2" x14ac:dyDescent="0.2">
      <c r="A1270" s="160" t="s">
        <v>2983</v>
      </c>
      <c r="B1270" s="160" t="s">
        <v>2984</v>
      </c>
    </row>
    <row r="1271" spans="1:2" x14ac:dyDescent="0.2">
      <c r="A1271" s="160" t="s">
        <v>6547</v>
      </c>
      <c r="B1271" s="160" t="s">
        <v>6548</v>
      </c>
    </row>
    <row r="1272" spans="1:2" x14ac:dyDescent="0.2">
      <c r="A1272" s="160" t="s">
        <v>6549</v>
      </c>
      <c r="B1272" s="160" t="s">
        <v>6550</v>
      </c>
    </row>
    <row r="1273" spans="1:2" x14ac:dyDescent="0.2">
      <c r="A1273" s="160" t="s">
        <v>2985</v>
      </c>
      <c r="B1273" s="160" t="s">
        <v>2986</v>
      </c>
    </row>
    <row r="1274" spans="1:2" x14ac:dyDescent="0.2">
      <c r="A1274" s="160" t="s">
        <v>2987</v>
      </c>
      <c r="B1274" s="160" t="s">
        <v>2988</v>
      </c>
    </row>
    <row r="1275" spans="1:2" x14ac:dyDescent="0.2">
      <c r="A1275" s="160" t="s">
        <v>2989</v>
      </c>
      <c r="B1275" s="160" t="s">
        <v>2990</v>
      </c>
    </row>
    <row r="1276" spans="1:2" x14ac:dyDescent="0.2">
      <c r="A1276" s="160" t="s">
        <v>2991</v>
      </c>
      <c r="B1276" s="160" t="s">
        <v>2992</v>
      </c>
    </row>
    <row r="1277" spans="1:2" x14ac:dyDescent="0.2">
      <c r="A1277" s="160" t="s">
        <v>2993</v>
      </c>
      <c r="B1277" s="160" t="s">
        <v>2994</v>
      </c>
    </row>
    <row r="1278" spans="1:2" x14ac:dyDescent="0.2">
      <c r="A1278" s="160" t="s">
        <v>2995</v>
      </c>
      <c r="B1278" s="160" t="s">
        <v>2996</v>
      </c>
    </row>
    <row r="1279" spans="1:2" x14ac:dyDescent="0.2">
      <c r="A1279" s="160" t="s">
        <v>2997</v>
      </c>
      <c r="B1279" s="160" t="s">
        <v>2998</v>
      </c>
    </row>
    <row r="1280" spans="1:2" x14ac:dyDescent="0.2">
      <c r="A1280" s="160" t="s">
        <v>2999</v>
      </c>
      <c r="B1280" s="160" t="s">
        <v>3000</v>
      </c>
    </row>
    <row r="1281" spans="1:2" x14ac:dyDescent="0.2">
      <c r="A1281" s="160" t="s">
        <v>3001</v>
      </c>
      <c r="B1281" s="160" t="s">
        <v>3002</v>
      </c>
    </row>
    <row r="1282" spans="1:2" x14ac:dyDescent="0.2">
      <c r="A1282" s="160" t="s">
        <v>3003</v>
      </c>
      <c r="B1282" s="160" t="s">
        <v>3004</v>
      </c>
    </row>
    <row r="1283" spans="1:2" x14ac:dyDescent="0.2">
      <c r="A1283" s="160" t="s">
        <v>3005</v>
      </c>
      <c r="B1283" s="160" t="s">
        <v>3006</v>
      </c>
    </row>
    <row r="1284" spans="1:2" x14ac:dyDescent="0.2">
      <c r="A1284" s="160" t="s">
        <v>3007</v>
      </c>
      <c r="B1284" s="160" t="s">
        <v>3008</v>
      </c>
    </row>
    <row r="1285" spans="1:2" x14ac:dyDescent="0.2">
      <c r="A1285" s="160" t="s">
        <v>6551</v>
      </c>
      <c r="B1285" s="160" t="s">
        <v>6552</v>
      </c>
    </row>
    <row r="1286" spans="1:2" x14ac:dyDescent="0.2">
      <c r="A1286" s="160" t="s">
        <v>3009</v>
      </c>
      <c r="B1286" s="160" t="s">
        <v>3010</v>
      </c>
    </row>
    <row r="1287" spans="1:2" x14ac:dyDescent="0.2">
      <c r="A1287" s="160" t="s">
        <v>3011</v>
      </c>
      <c r="B1287" s="160" t="s">
        <v>3012</v>
      </c>
    </row>
    <row r="1288" spans="1:2" x14ac:dyDescent="0.2">
      <c r="A1288" s="160" t="s">
        <v>3013</v>
      </c>
      <c r="B1288" s="160" t="s">
        <v>3014</v>
      </c>
    </row>
    <row r="1289" spans="1:2" x14ac:dyDescent="0.2">
      <c r="A1289" s="160" t="s">
        <v>3015</v>
      </c>
      <c r="B1289" s="160" t="s">
        <v>3016</v>
      </c>
    </row>
    <row r="1290" spans="1:2" x14ac:dyDescent="0.2">
      <c r="A1290" s="160" t="s">
        <v>3017</v>
      </c>
      <c r="B1290" s="160" t="s">
        <v>3018</v>
      </c>
    </row>
    <row r="1291" spans="1:2" x14ac:dyDescent="0.2">
      <c r="A1291" s="160" t="s">
        <v>3019</v>
      </c>
      <c r="B1291" s="160" t="s">
        <v>3020</v>
      </c>
    </row>
    <row r="1292" spans="1:2" x14ac:dyDescent="0.2">
      <c r="A1292" s="160" t="s">
        <v>3021</v>
      </c>
      <c r="B1292" s="160" t="s">
        <v>3022</v>
      </c>
    </row>
    <row r="1293" spans="1:2" x14ac:dyDescent="0.2">
      <c r="A1293" s="160" t="s">
        <v>3023</v>
      </c>
      <c r="B1293" s="160" t="s">
        <v>3024</v>
      </c>
    </row>
    <row r="1294" spans="1:2" x14ac:dyDescent="0.2">
      <c r="A1294" s="160" t="s">
        <v>3025</v>
      </c>
      <c r="B1294" s="160" t="s">
        <v>3026</v>
      </c>
    </row>
    <row r="1295" spans="1:2" x14ac:dyDescent="0.2">
      <c r="A1295" s="160" t="s">
        <v>3027</v>
      </c>
      <c r="B1295" s="160" t="s">
        <v>3028</v>
      </c>
    </row>
    <row r="1296" spans="1:2" x14ac:dyDescent="0.2">
      <c r="A1296" s="160" t="s">
        <v>3029</v>
      </c>
      <c r="B1296" s="160" t="s">
        <v>3030</v>
      </c>
    </row>
    <row r="1297" spans="1:2" x14ac:dyDescent="0.2">
      <c r="A1297" s="160" t="s">
        <v>3031</v>
      </c>
      <c r="B1297" s="160" t="s">
        <v>3032</v>
      </c>
    </row>
    <row r="1298" spans="1:2" x14ac:dyDescent="0.2">
      <c r="A1298" s="160" t="s">
        <v>3033</v>
      </c>
      <c r="B1298" s="160" t="s">
        <v>3034</v>
      </c>
    </row>
    <row r="1299" spans="1:2" x14ac:dyDescent="0.2">
      <c r="A1299" s="160" t="s">
        <v>3035</v>
      </c>
      <c r="B1299" s="160" t="s">
        <v>3036</v>
      </c>
    </row>
    <row r="1300" spans="1:2" x14ac:dyDescent="0.2">
      <c r="A1300" s="160" t="s">
        <v>3037</v>
      </c>
      <c r="B1300" s="160" t="s">
        <v>3038</v>
      </c>
    </row>
    <row r="1301" spans="1:2" x14ac:dyDescent="0.2">
      <c r="A1301" s="160" t="s">
        <v>3039</v>
      </c>
      <c r="B1301" s="160" t="s">
        <v>3040</v>
      </c>
    </row>
    <row r="1302" spans="1:2" x14ac:dyDescent="0.2">
      <c r="A1302" s="160" t="s">
        <v>3041</v>
      </c>
      <c r="B1302" s="160" t="s">
        <v>3042</v>
      </c>
    </row>
    <row r="1303" spans="1:2" x14ac:dyDescent="0.2">
      <c r="A1303" s="160" t="s">
        <v>3043</v>
      </c>
      <c r="B1303" s="160" t="s">
        <v>3044</v>
      </c>
    </row>
    <row r="1304" spans="1:2" x14ac:dyDescent="0.2">
      <c r="A1304" s="160" t="s">
        <v>3045</v>
      </c>
      <c r="B1304" s="160" t="s">
        <v>3046</v>
      </c>
    </row>
    <row r="1305" spans="1:2" x14ac:dyDescent="0.2">
      <c r="A1305" s="160" t="s">
        <v>3047</v>
      </c>
      <c r="B1305" s="160" t="s">
        <v>3048</v>
      </c>
    </row>
    <row r="1306" spans="1:2" x14ac:dyDescent="0.2">
      <c r="A1306" s="160" t="s">
        <v>3049</v>
      </c>
      <c r="B1306" s="160" t="s">
        <v>3050</v>
      </c>
    </row>
    <row r="1307" spans="1:2" x14ac:dyDescent="0.2">
      <c r="A1307" s="160" t="s">
        <v>3051</v>
      </c>
      <c r="B1307" s="160" t="s">
        <v>3052</v>
      </c>
    </row>
    <row r="1308" spans="1:2" x14ac:dyDescent="0.2">
      <c r="A1308" s="160" t="s">
        <v>3053</v>
      </c>
      <c r="B1308" s="160" t="s">
        <v>3054</v>
      </c>
    </row>
    <row r="1309" spans="1:2" x14ac:dyDescent="0.2">
      <c r="A1309" s="160" t="s">
        <v>3055</v>
      </c>
      <c r="B1309" s="160" t="s">
        <v>3056</v>
      </c>
    </row>
    <row r="1310" spans="1:2" x14ac:dyDescent="0.2">
      <c r="A1310" s="160" t="s">
        <v>3057</v>
      </c>
      <c r="B1310" s="160" t="s">
        <v>3058</v>
      </c>
    </row>
    <row r="1311" spans="1:2" x14ac:dyDescent="0.2">
      <c r="A1311" s="160" t="s">
        <v>3059</v>
      </c>
      <c r="B1311" s="160" t="s">
        <v>3060</v>
      </c>
    </row>
    <row r="1312" spans="1:2" x14ac:dyDescent="0.2">
      <c r="A1312" s="160" t="s">
        <v>3061</v>
      </c>
      <c r="B1312" s="160" t="s">
        <v>3062</v>
      </c>
    </row>
    <row r="1313" spans="1:2" x14ac:dyDescent="0.2">
      <c r="A1313" s="160" t="s">
        <v>3063</v>
      </c>
      <c r="B1313" s="160" t="s">
        <v>3064</v>
      </c>
    </row>
    <row r="1314" spans="1:2" x14ac:dyDescent="0.2">
      <c r="A1314" s="160" t="s">
        <v>3065</v>
      </c>
      <c r="B1314" s="160" t="s">
        <v>3066</v>
      </c>
    </row>
    <row r="1315" spans="1:2" x14ac:dyDescent="0.2">
      <c r="A1315" s="160" t="s">
        <v>3067</v>
      </c>
      <c r="B1315" s="160" t="s">
        <v>3068</v>
      </c>
    </row>
    <row r="1316" spans="1:2" x14ac:dyDescent="0.2">
      <c r="A1316" s="160" t="s">
        <v>3069</v>
      </c>
      <c r="B1316" s="160" t="s">
        <v>3070</v>
      </c>
    </row>
    <row r="1317" spans="1:2" x14ac:dyDescent="0.2">
      <c r="A1317" s="160" t="s">
        <v>3071</v>
      </c>
      <c r="B1317" s="160" t="s">
        <v>3072</v>
      </c>
    </row>
    <row r="1318" spans="1:2" x14ac:dyDescent="0.2">
      <c r="A1318" s="160" t="s">
        <v>3073</v>
      </c>
      <c r="B1318" s="160" t="s">
        <v>3074</v>
      </c>
    </row>
    <row r="1319" spans="1:2" x14ac:dyDescent="0.2">
      <c r="A1319" s="160" t="s">
        <v>3075</v>
      </c>
      <c r="B1319" s="160" t="s">
        <v>3076</v>
      </c>
    </row>
    <row r="1320" spans="1:2" x14ac:dyDescent="0.2">
      <c r="A1320" s="160" t="s">
        <v>3077</v>
      </c>
      <c r="B1320" s="160" t="s">
        <v>3078</v>
      </c>
    </row>
    <row r="1321" spans="1:2" x14ac:dyDescent="0.2">
      <c r="A1321" s="160" t="s">
        <v>3079</v>
      </c>
      <c r="B1321" s="160" t="s">
        <v>3080</v>
      </c>
    </row>
    <row r="1322" spans="1:2" x14ac:dyDescent="0.2">
      <c r="A1322" s="160" t="s">
        <v>3081</v>
      </c>
      <c r="B1322" s="160" t="s">
        <v>3082</v>
      </c>
    </row>
    <row r="1323" spans="1:2" x14ac:dyDescent="0.2">
      <c r="A1323" s="160" t="s">
        <v>3083</v>
      </c>
      <c r="B1323" s="160" t="s">
        <v>3084</v>
      </c>
    </row>
    <row r="1324" spans="1:2" x14ac:dyDescent="0.2">
      <c r="A1324" s="160" t="s">
        <v>3085</v>
      </c>
      <c r="B1324" s="160" t="s">
        <v>3086</v>
      </c>
    </row>
    <row r="1325" spans="1:2" x14ac:dyDescent="0.2">
      <c r="A1325" s="160" t="s">
        <v>3087</v>
      </c>
      <c r="B1325" s="160" t="s">
        <v>3088</v>
      </c>
    </row>
    <row r="1326" spans="1:2" x14ac:dyDescent="0.2">
      <c r="A1326" s="160" t="s">
        <v>3089</v>
      </c>
      <c r="B1326" s="160" t="s">
        <v>3090</v>
      </c>
    </row>
    <row r="1327" spans="1:2" x14ac:dyDescent="0.2">
      <c r="A1327" s="160" t="s">
        <v>6553</v>
      </c>
      <c r="B1327" s="160" t="s">
        <v>6554</v>
      </c>
    </row>
    <row r="1328" spans="1:2" x14ac:dyDescent="0.2">
      <c r="A1328" s="160" t="s">
        <v>3091</v>
      </c>
      <c r="B1328" s="160" t="s">
        <v>3092</v>
      </c>
    </row>
    <row r="1329" spans="1:2" x14ac:dyDescent="0.2">
      <c r="A1329" s="160" t="s">
        <v>6555</v>
      </c>
      <c r="B1329" s="160" t="s">
        <v>6556</v>
      </c>
    </row>
    <row r="1330" spans="1:2" x14ac:dyDescent="0.2">
      <c r="A1330" s="160" t="s">
        <v>3093</v>
      </c>
      <c r="B1330" s="160" t="s">
        <v>3094</v>
      </c>
    </row>
    <row r="1331" spans="1:2" x14ac:dyDescent="0.2">
      <c r="A1331" s="160" t="s">
        <v>3095</v>
      </c>
      <c r="B1331" s="160" t="s">
        <v>3096</v>
      </c>
    </row>
    <row r="1332" spans="1:2" x14ac:dyDescent="0.2">
      <c r="A1332" s="160" t="s">
        <v>3097</v>
      </c>
      <c r="B1332" s="160" t="s">
        <v>3098</v>
      </c>
    </row>
    <row r="1333" spans="1:2" x14ac:dyDescent="0.2">
      <c r="A1333" s="160" t="s">
        <v>3099</v>
      </c>
      <c r="B1333" s="160" t="s">
        <v>3100</v>
      </c>
    </row>
    <row r="1334" spans="1:2" x14ac:dyDescent="0.2">
      <c r="A1334" s="160" t="s">
        <v>3101</v>
      </c>
      <c r="B1334" s="160" t="s">
        <v>3102</v>
      </c>
    </row>
    <row r="1335" spans="1:2" x14ac:dyDescent="0.2">
      <c r="A1335" s="160" t="s">
        <v>3103</v>
      </c>
      <c r="B1335" s="160" t="s">
        <v>3104</v>
      </c>
    </row>
    <row r="1336" spans="1:2" x14ac:dyDescent="0.2">
      <c r="A1336" s="160" t="s">
        <v>3105</v>
      </c>
      <c r="B1336" s="160" t="s">
        <v>3106</v>
      </c>
    </row>
    <row r="1337" spans="1:2" x14ac:dyDescent="0.2">
      <c r="A1337" s="160" t="s">
        <v>3107</v>
      </c>
      <c r="B1337" s="160" t="s">
        <v>3108</v>
      </c>
    </row>
    <row r="1338" spans="1:2" x14ac:dyDescent="0.2">
      <c r="A1338" s="160" t="s">
        <v>3109</v>
      </c>
      <c r="B1338" s="160" t="s">
        <v>3110</v>
      </c>
    </row>
    <row r="1339" spans="1:2" x14ac:dyDescent="0.2">
      <c r="A1339" s="160" t="s">
        <v>3111</v>
      </c>
      <c r="B1339" s="160" t="s">
        <v>3112</v>
      </c>
    </row>
    <row r="1340" spans="1:2" x14ac:dyDescent="0.2">
      <c r="A1340" s="160" t="s">
        <v>3113</v>
      </c>
      <c r="B1340" s="160" t="s">
        <v>3114</v>
      </c>
    </row>
    <row r="1341" spans="1:2" x14ac:dyDescent="0.2">
      <c r="A1341" s="160" t="s">
        <v>3115</v>
      </c>
      <c r="B1341" s="160" t="s">
        <v>3116</v>
      </c>
    </row>
    <row r="1342" spans="1:2" x14ac:dyDescent="0.2">
      <c r="A1342" s="160" t="s">
        <v>3117</v>
      </c>
      <c r="B1342" s="160" t="s">
        <v>3118</v>
      </c>
    </row>
    <row r="1343" spans="1:2" x14ac:dyDescent="0.2">
      <c r="A1343" s="160" t="s">
        <v>3119</v>
      </c>
      <c r="B1343" s="160" t="s">
        <v>3120</v>
      </c>
    </row>
    <row r="1344" spans="1:2" x14ac:dyDescent="0.2">
      <c r="A1344" s="160" t="s">
        <v>3121</v>
      </c>
      <c r="B1344" s="160" t="s">
        <v>3122</v>
      </c>
    </row>
    <row r="1345" spans="1:2" x14ac:dyDescent="0.2">
      <c r="A1345" s="160" t="s">
        <v>3123</v>
      </c>
      <c r="B1345" s="160" t="s">
        <v>3124</v>
      </c>
    </row>
    <row r="1346" spans="1:2" x14ac:dyDescent="0.2">
      <c r="A1346" s="160" t="s">
        <v>3125</v>
      </c>
      <c r="B1346" s="160" t="s">
        <v>3126</v>
      </c>
    </row>
    <row r="1347" spans="1:2" x14ac:dyDescent="0.2">
      <c r="A1347" s="160" t="s">
        <v>3127</v>
      </c>
      <c r="B1347" s="160" t="s">
        <v>3128</v>
      </c>
    </row>
    <row r="1348" spans="1:2" x14ac:dyDescent="0.2">
      <c r="A1348" s="160" t="s">
        <v>3129</v>
      </c>
      <c r="B1348" s="160" t="s">
        <v>3130</v>
      </c>
    </row>
    <row r="1349" spans="1:2" x14ac:dyDescent="0.2">
      <c r="A1349" s="160" t="s">
        <v>3131</v>
      </c>
      <c r="B1349" s="160" t="s">
        <v>3132</v>
      </c>
    </row>
    <row r="1350" spans="1:2" x14ac:dyDescent="0.2">
      <c r="A1350" s="160" t="s">
        <v>3133</v>
      </c>
      <c r="B1350" s="160" t="s">
        <v>3134</v>
      </c>
    </row>
    <row r="1351" spans="1:2" x14ac:dyDescent="0.2">
      <c r="A1351" s="160" t="s">
        <v>3135</v>
      </c>
      <c r="B1351" s="160" t="s">
        <v>3136</v>
      </c>
    </row>
    <row r="1352" spans="1:2" x14ac:dyDescent="0.2">
      <c r="A1352" s="160" t="s">
        <v>3137</v>
      </c>
      <c r="B1352" s="160" t="s">
        <v>3138</v>
      </c>
    </row>
    <row r="1353" spans="1:2" x14ac:dyDescent="0.2">
      <c r="A1353" s="160" t="s">
        <v>6557</v>
      </c>
      <c r="B1353" s="160" t="s">
        <v>6558</v>
      </c>
    </row>
    <row r="1354" spans="1:2" x14ac:dyDescent="0.2">
      <c r="A1354" s="160" t="s">
        <v>3139</v>
      </c>
      <c r="B1354" s="160" t="s">
        <v>3140</v>
      </c>
    </row>
    <row r="1355" spans="1:2" x14ac:dyDescent="0.2">
      <c r="A1355" s="160" t="s">
        <v>3141</v>
      </c>
      <c r="B1355" s="160" t="s">
        <v>3142</v>
      </c>
    </row>
    <row r="1356" spans="1:2" x14ac:dyDescent="0.2">
      <c r="A1356" s="160" t="s">
        <v>3143</v>
      </c>
      <c r="B1356" s="160" t="s">
        <v>3144</v>
      </c>
    </row>
    <row r="1357" spans="1:2" x14ac:dyDescent="0.2">
      <c r="A1357" s="160" t="s">
        <v>3145</v>
      </c>
      <c r="B1357" s="160" t="s">
        <v>3146</v>
      </c>
    </row>
    <row r="1358" spans="1:2" x14ac:dyDescent="0.2">
      <c r="A1358" s="160" t="s">
        <v>3147</v>
      </c>
      <c r="B1358" s="160" t="s">
        <v>3148</v>
      </c>
    </row>
    <row r="1359" spans="1:2" x14ac:dyDescent="0.2">
      <c r="A1359" s="160" t="s">
        <v>3149</v>
      </c>
      <c r="B1359" s="160" t="s">
        <v>3150</v>
      </c>
    </row>
    <row r="1360" spans="1:2" x14ac:dyDescent="0.2">
      <c r="A1360" s="160" t="s">
        <v>3151</v>
      </c>
      <c r="B1360" s="160" t="s">
        <v>3152</v>
      </c>
    </row>
    <row r="1361" spans="1:2" x14ac:dyDescent="0.2">
      <c r="A1361" s="160" t="s">
        <v>3153</v>
      </c>
      <c r="B1361" s="160" t="s">
        <v>3154</v>
      </c>
    </row>
    <row r="1362" spans="1:2" x14ac:dyDescent="0.2">
      <c r="A1362" s="160" t="s">
        <v>3155</v>
      </c>
      <c r="B1362" s="160" t="s">
        <v>3156</v>
      </c>
    </row>
    <row r="1363" spans="1:2" x14ac:dyDescent="0.2">
      <c r="A1363" s="160" t="s">
        <v>3157</v>
      </c>
      <c r="B1363" s="160" t="s">
        <v>3158</v>
      </c>
    </row>
    <row r="1364" spans="1:2" x14ac:dyDescent="0.2">
      <c r="A1364" s="160" t="s">
        <v>3159</v>
      </c>
      <c r="B1364" s="160" t="s">
        <v>3160</v>
      </c>
    </row>
    <row r="1365" spans="1:2" x14ac:dyDescent="0.2">
      <c r="A1365" s="160" t="s">
        <v>3161</v>
      </c>
      <c r="B1365" s="160" t="s">
        <v>3162</v>
      </c>
    </row>
    <row r="1366" spans="1:2" x14ac:dyDescent="0.2">
      <c r="A1366" s="160" t="s">
        <v>3163</v>
      </c>
      <c r="B1366" s="160" t="s">
        <v>3164</v>
      </c>
    </row>
    <row r="1367" spans="1:2" x14ac:dyDescent="0.2">
      <c r="A1367" s="160" t="s">
        <v>3165</v>
      </c>
      <c r="B1367" s="160" t="s">
        <v>3166</v>
      </c>
    </row>
    <row r="1368" spans="1:2" x14ac:dyDescent="0.2">
      <c r="A1368" s="160" t="s">
        <v>3167</v>
      </c>
      <c r="B1368" s="160" t="s">
        <v>3168</v>
      </c>
    </row>
    <row r="1369" spans="1:2" x14ac:dyDescent="0.2">
      <c r="A1369" s="160" t="s">
        <v>3169</v>
      </c>
      <c r="B1369" s="160" t="s">
        <v>3170</v>
      </c>
    </row>
    <row r="1370" spans="1:2" x14ac:dyDescent="0.2">
      <c r="A1370" s="160" t="s">
        <v>3171</v>
      </c>
      <c r="B1370" s="160" t="s">
        <v>3172</v>
      </c>
    </row>
    <row r="1371" spans="1:2" x14ac:dyDescent="0.2">
      <c r="A1371" s="160" t="s">
        <v>3173</v>
      </c>
      <c r="B1371" s="160" t="s">
        <v>3174</v>
      </c>
    </row>
    <row r="1372" spans="1:2" x14ac:dyDescent="0.2">
      <c r="A1372" s="160" t="s">
        <v>3175</v>
      </c>
      <c r="B1372" s="160" t="s">
        <v>3176</v>
      </c>
    </row>
    <row r="1373" spans="1:2" x14ac:dyDescent="0.2">
      <c r="A1373" s="160" t="s">
        <v>3177</v>
      </c>
      <c r="B1373" s="160" t="s">
        <v>3178</v>
      </c>
    </row>
    <row r="1374" spans="1:2" x14ac:dyDescent="0.2">
      <c r="A1374" s="160" t="s">
        <v>3179</v>
      </c>
      <c r="B1374" s="160" t="s">
        <v>3180</v>
      </c>
    </row>
    <row r="1375" spans="1:2" x14ac:dyDescent="0.2">
      <c r="A1375" s="160" t="s">
        <v>3181</v>
      </c>
      <c r="B1375" s="160" t="s">
        <v>3182</v>
      </c>
    </row>
    <row r="1376" spans="1:2" x14ac:dyDescent="0.2">
      <c r="A1376" s="160" t="s">
        <v>3183</v>
      </c>
      <c r="B1376" s="160" t="s">
        <v>3184</v>
      </c>
    </row>
    <row r="1377" spans="1:2" x14ac:dyDescent="0.2">
      <c r="A1377" s="160" t="s">
        <v>3185</v>
      </c>
      <c r="B1377" s="160" t="s">
        <v>3186</v>
      </c>
    </row>
    <row r="1378" spans="1:2" x14ac:dyDescent="0.2">
      <c r="A1378" s="160" t="s">
        <v>3187</v>
      </c>
      <c r="B1378" s="160" t="s">
        <v>3188</v>
      </c>
    </row>
    <row r="1379" spans="1:2" x14ac:dyDescent="0.2">
      <c r="A1379" s="160" t="s">
        <v>3189</v>
      </c>
      <c r="B1379" s="160" t="s">
        <v>3190</v>
      </c>
    </row>
    <row r="1380" spans="1:2" x14ac:dyDescent="0.2">
      <c r="A1380" s="160" t="s">
        <v>3191</v>
      </c>
      <c r="B1380" s="160" t="s">
        <v>3192</v>
      </c>
    </row>
    <row r="1381" spans="1:2" x14ac:dyDescent="0.2">
      <c r="A1381" s="160" t="s">
        <v>3193</v>
      </c>
      <c r="B1381" s="160" t="s">
        <v>3194</v>
      </c>
    </row>
    <row r="1382" spans="1:2" x14ac:dyDescent="0.2">
      <c r="A1382" s="160" t="s">
        <v>3195</v>
      </c>
      <c r="B1382" s="160" t="s">
        <v>3196</v>
      </c>
    </row>
    <row r="1383" spans="1:2" x14ac:dyDescent="0.2">
      <c r="A1383" s="160" t="s">
        <v>3197</v>
      </c>
      <c r="B1383" s="160" t="s">
        <v>3198</v>
      </c>
    </row>
    <row r="1384" spans="1:2" x14ac:dyDescent="0.2">
      <c r="A1384" s="160" t="s">
        <v>3199</v>
      </c>
      <c r="B1384" s="160" t="s">
        <v>3200</v>
      </c>
    </row>
    <row r="1385" spans="1:2" x14ac:dyDescent="0.2">
      <c r="A1385" s="160" t="s">
        <v>3201</v>
      </c>
      <c r="B1385" s="160" t="s">
        <v>3202</v>
      </c>
    </row>
    <row r="1386" spans="1:2" x14ac:dyDescent="0.2">
      <c r="A1386" s="160" t="s">
        <v>3203</v>
      </c>
      <c r="B1386" s="160" t="s">
        <v>3204</v>
      </c>
    </row>
    <row r="1387" spans="1:2" x14ac:dyDescent="0.2">
      <c r="A1387" s="160" t="s">
        <v>3205</v>
      </c>
      <c r="B1387" s="160" t="s">
        <v>3206</v>
      </c>
    </row>
    <row r="1388" spans="1:2" x14ac:dyDescent="0.2">
      <c r="A1388" s="160" t="s">
        <v>3207</v>
      </c>
      <c r="B1388" s="160" t="s">
        <v>3208</v>
      </c>
    </row>
    <row r="1389" spans="1:2" x14ac:dyDescent="0.2">
      <c r="A1389" s="160" t="s">
        <v>3209</v>
      </c>
      <c r="B1389" s="160" t="s">
        <v>3210</v>
      </c>
    </row>
    <row r="1390" spans="1:2" x14ac:dyDescent="0.2">
      <c r="A1390" s="160" t="s">
        <v>3211</v>
      </c>
      <c r="B1390" s="160" t="s">
        <v>3212</v>
      </c>
    </row>
    <row r="1391" spans="1:2" x14ac:dyDescent="0.2">
      <c r="A1391" s="160" t="s">
        <v>3213</v>
      </c>
      <c r="B1391" s="160" t="s">
        <v>3214</v>
      </c>
    </row>
    <row r="1392" spans="1:2" x14ac:dyDescent="0.2">
      <c r="A1392" s="160" t="s">
        <v>3215</v>
      </c>
      <c r="B1392" s="160" t="s">
        <v>3216</v>
      </c>
    </row>
    <row r="1393" spans="1:2" x14ac:dyDescent="0.2">
      <c r="A1393" s="160" t="s">
        <v>3217</v>
      </c>
      <c r="B1393" s="160" t="s">
        <v>3218</v>
      </c>
    </row>
    <row r="1394" spans="1:2" x14ac:dyDescent="0.2">
      <c r="A1394" s="160" t="s">
        <v>6559</v>
      </c>
      <c r="B1394" s="160" t="s">
        <v>6560</v>
      </c>
    </row>
    <row r="1395" spans="1:2" x14ac:dyDescent="0.2">
      <c r="A1395" s="160" t="s">
        <v>6561</v>
      </c>
      <c r="B1395" s="160" t="s">
        <v>6562</v>
      </c>
    </row>
    <row r="1396" spans="1:2" x14ac:dyDescent="0.2">
      <c r="A1396" s="160" t="s">
        <v>3219</v>
      </c>
      <c r="B1396" s="160" t="s">
        <v>3220</v>
      </c>
    </row>
    <row r="1397" spans="1:2" x14ac:dyDescent="0.2">
      <c r="A1397" s="160" t="s">
        <v>3221</v>
      </c>
      <c r="B1397" s="160" t="s">
        <v>3222</v>
      </c>
    </row>
    <row r="1398" spans="1:2" x14ac:dyDescent="0.2">
      <c r="A1398" s="160" t="s">
        <v>3223</v>
      </c>
      <c r="B1398" s="160" t="s">
        <v>3224</v>
      </c>
    </row>
    <row r="1399" spans="1:2" x14ac:dyDescent="0.2">
      <c r="A1399" s="160" t="s">
        <v>3225</v>
      </c>
      <c r="B1399" s="160" t="s">
        <v>3226</v>
      </c>
    </row>
    <row r="1400" spans="1:2" x14ac:dyDescent="0.2">
      <c r="A1400" s="160" t="s">
        <v>3227</v>
      </c>
      <c r="B1400" s="160" t="s">
        <v>3228</v>
      </c>
    </row>
    <row r="1401" spans="1:2" x14ac:dyDescent="0.2">
      <c r="A1401" s="160" t="s">
        <v>3229</v>
      </c>
      <c r="B1401" s="160" t="s">
        <v>3230</v>
      </c>
    </row>
    <row r="1402" spans="1:2" x14ac:dyDescent="0.2">
      <c r="A1402" s="160" t="s">
        <v>3231</v>
      </c>
      <c r="B1402" s="160" t="s">
        <v>3232</v>
      </c>
    </row>
    <row r="1403" spans="1:2" x14ac:dyDescent="0.2">
      <c r="A1403" s="160" t="s">
        <v>3233</v>
      </c>
      <c r="B1403" s="160" t="s">
        <v>3234</v>
      </c>
    </row>
    <row r="1404" spans="1:2" x14ac:dyDescent="0.2">
      <c r="A1404" s="160" t="s">
        <v>6563</v>
      </c>
      <c r="B1404" s="160" t="s">
        <v>6564</v>
      </c>
    </row>
    <row r="1405" spans="1:2" x14ac:dyDescent="0.2">
      <c r="A1405" s="160" t="s">
        <v>3235</v>
      </c>
      <c r="B1405" s="160" t="s">
        <v>3236</v>
      </c>
    </row>
    <row r="1406" spans="1:2" x14ac:dyDescent="0.2">
      <c r="A1406" s="160" t="s">
        <v>3237</v>
      </c>
      <c r="B1406" s="160" t="s">
        <v>3238</v>
      </c>
    </row>
    <row r="1407" spans="1:2" x14ac:dyDescent="0.2">
      <c r="A1407" s="160" t="s">
        <v>3239</v>
      </c>
      <c r="B1407" s="160" t="s">
        <v>3240</v>
      </c>
    </row>
    <row r="1408" spans="1:2" x14ac:dyDescent="0.2">
      <c r="A1408" s="160" t="s">
        <v>3241</v>
      </c>
      <c r="B1408" s="160" t="s">
        <v>3242</v>
      </c>
    </row>
    <row r="1409" spans="1:2" x14ac:dyDescent="0.2">
      <c r="A1409" s="160" t="s">
        <v>3243</v>
      </c>
      <c r="B1409" s="160" t="s">
        <v>3244</v>
      </c>
    </row>
    <row r="1410" spans="1:2" x14ac:dyDescent="0.2">
      <c r="A1410" s="160" t="s">
        <v>3245</v>
      </c>
      <c r="B1410" s="160" t="s">
        <v>3246</v>
      </c>
    </row>
    <row r="1411" spans="1:2" x14ac:dyDescent="0.2">
      <c r="A1411" s="160" t="s">
        <v>6565</v>
      </c>
      <c r="B1411" s="160" t="s">
        <v>6566</v>
      </c>
    </row>
    <row r="1412" spans="1:2" x14ac:dyDescent="0.2">
      <c r="A1412" s="160" t="s">
        <v>6567</v>
      </c>
      <c r="B1412" s="160" t="s">
        <v>6568</v>
      </c>
    </row>
    <row r="1413" spans="1:2" x14ac:dyDescent="0.2">
      <c r="A1413" s="160" t="s">
        <v>6569</v>
      </c>
      <c r="B1413" s="160" t="s">
        <v>6570</v>
      </c>
    </row>
    <row r="1414" spans="1:2" x14ac:dyDescent="0.2">
      <c r="A1414" s="160" t="s">
        <v>3247</v>
      </c>
      <c r="B1414" s="160" t="s">
        <v>3248</v>
      </c>
    </row>
    <row r="1415" spans="1:2" x14ac:dyDescent="0.2">
      <c r="A1415" s="160" t="s">
        <v>3249</v>
      </c>
      <c r="B1415" s="160" t="s">
        <v>3250</v>
      </c>
    </row>
    <row r="1416" spans="1:2" x14ac:dyDescent="0.2">
      <c r="A1416" s="160" t="s">
        <v>3251</v>
      </c>
      <c r="B1416" s="160" t="s">
        <v>3252</v>
      </c>
    </row>
    <row r="1417" spans="1:2" x14ac:dyDescent="0.2">
      <c r="A1417" s="160" t="s">
        <v>3253</v>
      </c>
      <c r="B1417" s="160" t="s">
        <v>3254</v>
      </c>
    </row>
    <row r="1418" spans="1:2" x14ac:dyDescent="0.2">
      <c r="A1418" s="160" t="s">
        <v>6571</v>
      </c>
      <c r="B1418" s="160" t="s">
        <v>6572</v>
      </c>
    </row>
    <row r="1419" spans="1:2" x14ac:dyDescent="0.2">
      <c r="A1419" s="160" t="s">
        <v>3255</v>
      </c>
      <c r="B1419" s="160" t="s">
        <v>3256</v>
      </c>
    </row>
    <row r="1420" spans="1:2" x14ac:dyDescent="0.2">
      <c r="A1420" s="160" t="s">
        <v>3257</v>
      </c>
      <c r="B1420" s="160" t="s">
        <v>3258</v>
      </c>
    </row>
    <row r="1421" spans="1:2" x14ac:dyDescent="0.2">
      <c r="A1421" s="160" t="s">
        <v>6573</v>
      </c>
      <c r="B1421" s="160" t="s">
        <v>6574</v>
      </c>
    </row>
    <row r="1422" spans="1:2" x14ac:dyDescent="0.2">
      <c r="A1422" s="160" t="s">
        <v>3259</v>
      </c>
      <c r="B1422" s="160" t="s">
        <v>3260</v>
      </c>
    </row>
    <row r="1423" spans="1:2" x14ac:dyDescent="0.2">
      <c r="A1423" s="160" t="s">
        <v>3261</v>
      </c>
      <c r="B1423" s="160" t="s">
        <v>3262</v>
      </c>
    </row>
    <row r="1424" spans="1:2" x14ac:dyDescent="0.2">
      <c r="A1424" s="160" t="s">
        <v>3263</v>
      </c>
      <c r="B1424" s="160" t="s">
        <v>3264</v>
      </c>
    </row>
    <row r="1425" spans="1:2" x14ac:dyDescent="0.2">
      <c r="A1425" s="160" t="s">
        <v>6575</v>
      </c>
      <c r="B1425" s="160" t="s">
        <v>6576</v>
      </c>
    </row>
    <row r="1426" spans="1:2" x14ac:dyDescent="0.2">
      <c r="A1426" s="160" t="s">
        <v>3265</v>
      </c>
      <c r="B1426" s="160" t="s">
        <v>3266</v>
      </c>
    </row>
    <row r="1427" spans="1:2" x14ac:dyDescent="0.2">
      <c r="A1427" s="160" t="s">
        <v>3267</v>
      </c>
      <c r="B1427" s="160" t="s">
        <v>3268</v>
      </c>
    </row>
    <row r="1428" spans="1:2" x14ac:dyDescent="0.2">
      <c r="A1428" s="160" t="s">
        <v>3269</v>
      </c>
      <c r="B1428" s="160" t="s">
        <v>3270</v>
      </c>
    </row>
    <row r="1429" spans="1:2" x14ac:dyDescent="0.2">
      <c r="A1429" s="160" t="s">
        <v>3271</v>
      </c>
      <c r="B1429" s="160" t="s">
        <v>3272</v>
      </c>
    </row>
    <row r="1430" spans="1:2" x14ac:dyDescent="0.2">
      <c r="A1430" s="160" t="s">
        <v>3273</v>
      </c>
      <c r="B1430" s="160" t="s">
        <v>3274</v>
      </c>
    </row>
    <row r="1431" spans="1:2" x14ac:dyDescent="0.2">
      <c r="A1431" s="160" t="s">
        <v>3275</v>
      </c>
      <c r="B1431" s="160" t="s">
        <v>3276</v>
      </c>
    </row>
    <row r="1432" spans="1:2" x14ac:dyDescent="0.2">
      <c r="A1432" s="160" t="s">
        <v>3277</v>
      </c>
      <c r="B1432" s="160" t="s">
        <v>3278</v>
      </c>
    </row>
    <row r="1433" spans="1:2" x14ac:dyDescent="0.2">
      <c r="A1433" s="160" t="s">
        <v>3279</v>
      </c>
      <c r="B1433" s="160" t="s">
        <v>3280</v>
      </c>
    </row>
    <row r="1434" spans="1:2" x14ac:dyDescent="0.2">
      <c r="A1434" s="160" t="s">
        <v>3281</v>
      </c>
      <c r="B1434" s="160" t="s">
        <v>3282</v>
      </c>
    </row>
    <row r="1435" spans="1:2" x14ac:dyDescent="0.2">
      <c r="A1435" s="160" t="s">
        <v>3283</v>
      </c>
      <c r="B1435" s="160" t="s">
        <v>3284</v>
      </c>
    </row>
    <row r="1436" spans="1:2" x14ac:dyDescent="0.2">
      <c r="A1436" s="160" t="s">
        <v>3285</v>
      </c>
      <c r="B1436" s="160" t="s">
        <v>3286</v>
      </c>
    </row>
    <row r="1437" spans="1:2" x14ac:dyDescent="0.2">
      <c r="A1437" s="160" t="s">
        <v>3287</v>
      </c>
      <c r="B1437" s="160" t="s">
        <v>3288</v>
      </c>
    </row>
    <row r="1438" spans="1:2" x14ac:dyDescent="0.2">
      <c r="A1438" s="160" t="s">
        <v>3289</v>
      </c>
      <c r="B1438" s="160" t="s">
        <v>3290</v>
      </c>
    </row>
    <row r="1439" spans="1:2" x14ac:dyDescent="0.2">
      <c r="A1439" s="160" t="s">
        <v>3291</v>
      </c>
      <c r="B1439" s="160" t="s">
        <v>3292</v>
      </c>
    </row>
    <row r="1440" spans="1:2" x14ac:dyDescent="0.2">
      <c r="A1440" s="160" t="s">
        <v>3293</v>
      </c>
      <c r="B1440" s="160" t="s">
        <v>3294</v>
      </c>
    </row>
    <row r="1441" spans="1:2" x14ac:dyDescent="0.2">
      <c r="A1441" s="160" t="s">
        <v>3295</v>
      </c>
      <c r="B1441" s="160" t="s">
        <v>3296</v>
      </c>
    </row>
    <row r="1442" spans="1:2" x14ac:dyDescent="0.2">
      <c r="A1442" s="160" t="s">
        <v>3297</v>
      </c>
      <c r="B1442" s="160" t="s">
        <v>3298</v>
      </c>
    </row>
    <row r="1443" spans="1:2" x14ac:dyDescent="0.2">
      <c r="A1443" s="160" t="s">
        <v>3299</v>
      </c>
      <c r="B1443" s="160" t="s">
        <v>3300</v>
      </c>
    </row>
    <row r="1444" spans="1:2" x14ac:dyDescent="0.2">
      <c r="A1444" s="160" t="s">
        <v>3301</v>
      </c>
      <c r="B1444" s="160" t="s">
        <v>3302</v>
      </c>
    </row>
    <row r="1445" spans="1:2" x14ac:dyDescent="0.2">
      <c r="A1445" s="160" t="s">
        <v>3303</v>
      </c>
      <c r="B1445" s="160" t="s">
        <v>3304</v>
      </c>
    </row>
    <row r="1446" spans="1:2" x14ac:dyDescent="0.2">
      <c r="A1446" s="160" t="s">
        <v>3305</v>
      </c>
      <c r="B1446" s="160" t="s">
        <v>3306</v>
      </c>
    </row>
    <row r="1447" spans="1:2" x14ac:dyDescent="0.2">
      <c r="A1447" s="160" t="s">
        <v>3307</v>
      </c>
      <c r="B1447" s="160" t="s">
        <v>3308</v>
      </c>
    </row>
    <row r="1448" spans="1:2" x14ac:dyDescent="0.2">
      <c r="A1448" s="160" t="s">
        <v>3309</v>
      </c>
      <c r="B1448" s="160" t="s">
        <v>3310</v>
      </c>
    </row>
    <row r="1449" spans="1:2" x14ac:dyDescent="0.2">
      <c r="A1449" s="160" t="s">
        <v>3311</v>
      </c>
      <c r="B1449" s="160" t="s">
        <v>3312</v>
      </c>
    </row>
    <row r="1450" spans="1:2" x14ac:dyDescent="0.2">
      <c r="A1450" s="160" t="s">
        <v>3313</v>
      </c>
      <c r="B1450" s="160" t="s">
        <v>3314</v>
      </c>
    </row>
    <row r="1451" spans="1:2" x14ac:dyDescent="0.2">
      <c r="A1451" s="160" t="s">
        <v>3315</v>
      </c>
      <c r="B1451" s="160" t="s">
        <v>3316</v>
      </c>
    </row>
    <row r="1452" spans="1:2" x14ac:dyDescent="0.2">
      <c r="A1452" s="160" t="s">
        <v>3317</v>
      </c>
      <c r="B1452" s="160" t="s">
        <v>3318</v>
      </c>
    </row>
    <row r="1453" spans="1:2" x14ac:dyDescent="0.2">
      <c r="A1453" s="160" t="s">
        <v>3319</v>
      </c>
      <c r="B1453" s="160" t="s">
        <v>3320</v>
      </c>
    </row>
    <row r="1454" spans="1:2" x14ac:dyDescent="0.2">
      <c r="A1454" s="160" t="s">
        <v>3321</v>
      </c>
      <c r="B1454" s="160" t="s">
        <v>3322</v>
      </c>
    </row>
    <row r="1455" spans="1:2" x14ac:dyDescent="0.2">
      <c r="A1455" s="160" t="s">
        <v>3323</v>
      </c>
      <c r="B1455" s="160" t="s">
        <v>3324</v>
      </c>
    </row>
    <row r="1456" spans="1:2" x14ac:dyDescent="0.2">
      <c r="A1456" s="160" t="s">
        <v>3325</v>
      </c>
      <c r="B1456" s="160" t="s">
        <v>3326</v>
      </c>
    </row>
    <row r="1457" spans="1:2" x14ac:dyDescent="0.2">
      <c r="A1457" s="160" t="s">
        <v>3327</v>
      </c>
      <c r="B1457" s="160" t="s">
        <v>3328</v>
      </c>
    </row>
    <row r="1458" spans="1:2" x14ac:dyDescent="0.2">
      <c r="A1458" s="160" t="s">
        <v>3329</v>
      </c>
      <c r="B1458" s="160" t="s">
        <v>3330</v>
      </c>
    </row>
    <row r="1459" spans="1:2" x14ac:dyDescent="0.2">
      <c r="A1459" s="160" t="s">
        <v>3331</v>
      </c>
      <c r="B1459" s="160" t="s">
        <v>3332</v>
      </c>
    </row>
    <row r="1460" spans="1:2" x14ac:dyDescent="0.2">
      <c r="A1460" s="160" t="s">
        <v>3333</v>
      </c>
      <c r="B1460" s="160" t="s">
        <v>3334</v>
      </c>
    </row>
    <row r="1461" spans="1:2" x14ac:dyDescent="0.2">
      <c r="A1461" s="160" t="s">
        <v>3335</v>
      </c>
      <c r="B1461" s="160" t="s">
        <v>3336</v>
      </c>
    </row>
    <row r="1462" spans="1:2" x14ac:dyDescent="0.2">
      <c r="A1462" s="160" t="s">
        <v>3337</v>
      </c>
      <c r="B1462" s="160" t="s">
        <v>3338</v>
      </c>
    </row>
    <row r="1463" spans="1:2" x14ac:dyDescent="0.2">
      <c r="A1463" s="160" t="s">
        <v>6577</v>
      </c>
      <c r="B1463" s="160" t="s">
        <v>6578</v>
      </c>
    </row>
    <row r="1464" spans="1:2" x14ac:dyDescent="0.2">
      <c r="A1464" s="160" t="s">
        <v>3339</v>
      </c>
      <c r="B1464" s="160" t="s">
        <v>3340</v>
      </c>
    </row>
    <row r="1465" spans="1:2" x14ac:dyDescent="0.2">
      <c r="A1465" s="160" t="s">
        <v>3341</v>
      </c>
      <c r="B1465" s="160" t="s">
        <v>3342</v>
      </c>
    </row>
    <row r="1466" spans="1:2" x14ac:dyDescent="0.2">
      <c r="A1466" s="160" t="s">
        <v>3343</v>
      </c>
      <c r="B1466" s="160" t="s">
        <v>3344</v>
      </c>
    </row>
    <row r="1467" spans="1:2" x14ac:dyDescent="0.2">
      <c r="A1467" s="160" t="s">
        <v>3345</v>
      </c>
      <c r="B1467" s="160" t="s">
        <v>3346</v>
      </c>
    </row>
    <row r="1468" spans="1:2" x14ac:dyDescent="0.2">
      <c r="A1468" s="160" t="s">
        <v>3347</v>
      </c>
      <c r="B1468" s="160" t="s">
        <v>3348</v>
      </c>
    </row>
    <row r="1469" spans="1:2" x14ac:dyDescent="0.2">
      <c r="A1469" s="160" t="s">
        <v>3349</v>
      </c>
      <c r="B1469" s="160" t="s">
        <v>3350</v>
      </c>
    </row>
    <row r="1470" spans="1:2" x14ac:dyDescent="0.2">
      <c r="A1470" s="160" t="s">
        <v>3351</v>
      </c>
      <c r="B1470" s="160" t="s">
        <v>3352</v>
      </c>
    </row>
    <row r="1471" spans="1:2" x14ac:dyDescent="0.2">
      <c r="A1471" s="160" t="s">
        <v>3353</v>
      </c>
      <c r="B1471" s="160" t="s">
        <v>3354</v>
      </c>
    </row>
    <row r="1472" spans="1:2" x14ac:dyDescent="0.2">
      <c r="A1472" s="160" t="s">
        <v>3355</v>
      </c>
      <c r="B1472" s="160" t="s">
        <v>3356</v>
      </c>
    </row>
    <row r="1473" spans="1:2" x14ac:dyDescent="0.2">
      <c r="A1473" s="160" t="s">
        <v>3357</v>
      </c>
      <c r="B1473" s="160" t="s">
        <v>3358</v>
      </c>
    </row>
    <row r="1474" spans="1:2" x14ac:dyDescent="0.2">
      <c r="A1474" s="160" t="s">
        <v>3359</v>
      </c>
      <c r="B1474" s="160" t="s">
        <v>3360</v>
      </c>
    </row>
    <row r="1475" spans="1:2" x14ac:dyDescent="0.2">
      <c r="A1475" s="160" t="s">
        <v>3361</v>
      </c>
      <c r="B1475" s="160" t="s">
        <v>3362</v>
      </c>
    </row>
    <row r="1476" spans="1:2" x14ac:dyDescent="0.2">
      <c r="A1476" s="160" t="s">
        <v>3363</v>
      </c>
      <c r="B1476" s="160" t="s">
        <v>3364</v>
      </c>
    </row>
    <row r="1477" spans="1:2" x14ac:dyDescent="0.2">
      <c r="A1477" s="160" t="s">
        <v>3365</v>
      </c>
      <c r="B1477" s="160" t="s">
        <v>3366</v>
      </c>
    </row>
    <row r="1478" spans="1:2" x14ac:dyDescent="0.2">
      <c r="A1478" s="160" t="s">
        <v>3367</v>
      </c>
      <c r="B1478" s="160" t="s">
        <v>6579</v>
      </c>
    </row>
    <row r="1479" spans="1:2" x14ac:dyDescent="0.2">
      <c r="A1479" s="160" t="s">
        <v>6580</v>
      </c>
      <c r="B1479" s="160" t="s">
        <v>6581</v>
      </c>
    </row>
    <row r="1480" spans="1:2" x14ac:dyDescent="0.2">
      <c r="A1480" s="160" t="s">
        <v>3368</v>
      </c>
      <c r="B1480" s="160" t="s">
        <v>3369</v>
      </c>
    </row>
    <row r="1481" spans="1:2" x14ac:dyDescent="0.2">
      <c r="A1481" s="160" t="s">
        <v>3370</v>
      </c>
      <c r="B1481" s="160" t="s">
        <v>3371</v>
      </c>
    </row>
    <row r="1482" spans="1:2" x14ac:dyDescent="0.2">
      <c r="A1482" s="160" t="s">
        <v>3372</v>
      </c>
      <c r="B1482" s="160" t="s">
        <v>3373</v>
      </c>
    </row>
    <row r="1483" spans="1:2" x14ac:dyDescent="0.2">
      <c r="A1483" s="160" t="s">
        <v>6582</v>
      </c>
      <c r="B1483" s="160" t="s">
        <v>6583</v>
      </c>
    </row>
    <row r="1484" spans="1:2" x14ac:dyDescent="0.2">
      <c r="A1484" s="160" t="s">
        <v>3374</v>
      </c>
      <c r="B1484" s="160" t="s">
        <v>3375</v>
      </c>
    </row>
    <row r="1485" spans="1:2" x14ac:dyDescent="0.2">
      <c r="A1485" s="160" t="s">
        <v>3376</v>
      </c>
      <c r="B1485" s="160" t="s">
        <v>3377</v>
      </c>
    </row>
    <row r="1486" spans="1:2" x14ac:dyDescent="0.2">
      <c r="A1486" s="160" t="s">
        <v>3378</v>
      </c>
      <c r="B1486" s="160" t="s">
        <v>3379</v>
      </c>
    </row>
    <row r="1487" spans="1:2" x14ac:dyDescent="0.2">
      <c r="A1487" s="160" t="s">
        <v>3380</v>
      </c>
      <c r="B1487" s="160" t="s">
        <v>3381</v>
      </c>
    </row>
    <row r="1488" spans="1:2" x14ac:dyDescent="0.2">
      <c r="A1488" s="160" t="s">
        <v>3382</v>
      </c>
      <c r="B1488" s="160" t="s">
        <v>3383</v>
      </c>
    </row>
    <row r="1489" spans="1:2" x14ac:dyDescent="0.2">
      <c r="A1489" s="160" t="s">
        <v>3384</v>
      </c>
      <c r="B1489" s="160" t="s">
        <v>3385</v>
      </c>
    </row>
    <row r="1490" spans="1:2" x14ac:dyDescent="0.2">
      <c r="A1490" s="160" t="s">
        <v>3386</v>
      </c>
      <c r="B1490" s="160" t="s">
        <v>3387</v>
      </c>
    </row>
    <row r="1491" spans="1:2" x14ac:dyDescent="0.2">
      <c r="A1491" s="160" t="s">
        <v>3388</v>
      </c>
      <c r="B1491" s="160" t="s">
        <v>3389</v>
      </c>
    </row>
    <row r="1492" spans="1:2" x14ac:dyDescent="0.2">
      <c r="A1492" s="160" t="s">
        <v>3390</v>
      </c>
      <c r="B1492" s="160" t="s">
        <v>3391</v>
      </c>
    </row>
    <row r="1493" spans="1:2" x14ac:dyDescent="0.2">
      <c r="A1493" s="160" t="s">
        <v>3392</v>
      </c>
      <c r="B1493" s="160" t="s">
        <v>3393</v>
      </c>
    </row>
    <row r="1494" spans="1:2" x14ac:dyDescent="0.2">
      <c r="A1494" s="160" t="s">
        <v>3394</v>
      </c>
      <c r="B1494" s="160" t="s">
        <v>3395</v>
      </c>
    </row>
    <row r="1495" spans="1:2" x14ac:dyDescent="0.2">
      <c r="A1495" s="160" t="s">
        <v>3396</v>
      </c>
      <c r="B1495" s="160" t="s">
        <v>3397</v>
      </c>
    </row>
    <row r="1496" spans="1:2" x14ac:dyDescent="0.2">
      <c r="A1496" s="160" t="s">
        <v>3398</v>
      </c>
      <c r="B1496" s="160" t="s">
        <v>3399</v>
      </c>
    </row>
    <row r="1497" spans="1:2" x14ac:dyDescent="0.2">
      <c r="A1497" s="160" t="s">
        <v>3400</v>
      </c>
      <c r="B1497" s="160" t="s">
        <v>3401</v>
      </c>
    </row>
    <row r="1498" spans="1:2" x14ac:dyDescent="0.2">
      <c r="A1498" s="160" t="s">
        <v>3402</v>
      </c>
      <c r="B1498" s="160" t="s">
        <v>3403</v>
      </c>
    </row>
    <row r="1499" spans="1:2" x14ac:dyDescent="0.2">
      <c r="A1499" s="160" t="s">
        <v>3404</v>
      </c>
      <c r="B1499" s="160" t="s">
        <v>3405</v>
      </c>
    </row>
    <row r="1500" spans="1:2" x14ac:dyDescent="0.2">
      <c r="A1500" s="160" t="s">
        <v>6584</v>
      </c>
      <c r="B1500" s="160" t="s">
        <v>6585</v>
      </c>
    </row>
    <row r="1501" spans="1:2" x14ac:dyDescent="0.2">
      <c r="A1501" s="160" t="s">
        <v>3406</v>
      </c>
      <c r="B1501" s="160" t="s">
        <v>3407</v>
      </c>
    </row>
    <row r="1502" spans="1:2" x14ac:dyDescent="0.2">
      <c r="A1502" s="160" t="s">
        <v>3408</v>
      </c>
      <c r="B1502" s="160" t="s">
        <v>3409</v>
      </c>
    </row>
    <row r="1503" spans="1:2" x14ac:dyDescent="0.2">
      <c r="A1503" s="160" t="s">
        <v>3410</v>
      </c>
      <c r="B1503" s="160" t="s">
        <v>3411</v>
      </c>
    </row>
    <row r="1504" spans="1:2" x14ac:dyDescent="0.2">
      <c r="A1504" s="160" t="s">
        <v>3412</v>
      </c>
      <c r="B1504" s="160" t="s">
        <v>3413</v>
      </c>
    </row>
    <row r="1505" spans="1:2" x14ac:dyDescent="0.2">
      <c r="A1505" s="160" t="s">
        <v>3414</v>
      </c>
      <c r="B1505" s="160" t="s">
        <v>3415</v>
      </c>
    </row>
    <row r="1506" spans="1:2" x14ac:dyDescent="0.2">
      <c r="A1506" s="160" t="s">
        <v>3416</v>
      </c>
      <c r="B1506" s="160" t="s">
        <v>3417</v>
      </c>
    </row>
    <row r="1507" spans="1:2" x14ac:dyDescent="0.2">
      <c r="A1507" s="160" t="s">
        <v>3418</v>
      </c>
      <c r="B1507" s="160" t="s">
        <v>3419</v>
      </c>
    </row>
    <row r="1508" spans="1:2" x14ac:dyDescent="0.2">
      <c r="A1508" s="160" t="s">
        <v>3420</v>
      </c>
      <c r="B1508" s="160" t="s">
        <v>3421</v>
      </c>
    </row>
    <row r="1509" spans="1:2" x14ac:dyDescent="0.2">
      <c r="A1509" s="160" t="s">
        <v>3422</v>
      </c>
      <c r="B1509" s="160" t="s">
        <v>3423</v>
      </c>
    </row>
    <row r="1510" spans="1:2" x14ac:dyDescent="0.2">
      <c r="A1510" s="160" t="s">
        <v>3424</v>
      </c>
      <c r="B1510" s="160" t="s">
        <v>3425</v>
      </c>
    </row>
    <row r="1511" spans="1:2" x14ac:dyDescent="0.2">
      <c r="A1511" s="160" t="s">
        <v>3426</v>
      </c>
      <c r="B1511" s="160" t="s">
        <v>3427</v>
      </c>
    </row>
    <row r="1512" spans="1:2" x14ac:dyDescent="0.2">
      <c r="A1512" s="160" t="s">
        <v>3428</v>
      </c>
      <c r="B1512" s="160" t="s">
        <v>3429</v>
      </c>
    </row>
    <row r="1513" spans="1:2" x14ac:dyDescent="0.2">
      <c r="A1513" s="160" t="s">
        <v>3430</v>
      </c>
      <c r="B1513" s="160" t="s">
        <v>3431</v>
      </c>
    </row>
    <row r="1514" spans="1:2" x14ac:dyDescent="0.2">
      <c r="A1514" s="160" t="s">
        <v>3432</v>
      </c>
      <c r="B1514" s="160" t="s">
        <v>3433</v>
      </c>
    </row>
    <row r="1515" spans="1:2" x14ac:dyDescent="0.2">
      <c r="A1515" s="160" t="s">
        <v>3434</v>
      </c>
      <c r="B1515" s="160" t="s">
        <v>3435</v>
      </c>
    </row>
    <row r="1516" spans="1:2" x14ac:dyDescent="0.2">
      <c r="A1516" s="160" t="s">
        <v>3436</v>
      </c>
      <c r="B1516" s="160" t="s">
        <v>3437</v>
      </c>
    </row>
    <row r="1517" spans="1:2" x14ac:dyDescent="0.2">
      <c r="A1517" s="160" t="s">
        <v>3438</v>
      </c>
      <c r="B1517" s="160" t="s">
        <v>3439</v>
      </c>
    </row>
    <row r="1518" spans="1:2" x14ac:dyDescent="0.2">
      <c r="A1518" s="160" t="s">
        <v>3440</v>
      </c>
      <c r="B1518" s="160" t="s">
        <v>3441</v>
      </c>
    </row>
    <row r="1519" spans="1:2" x14ac:dyDescent="0.2">
      <c r="A1519" s="160" t="s">
        <v>3442</v>
      </c>
      <c r="B1519" s="160" t="s">
        <v>3443</v>
      </c>
    </row>
    <row r="1520" spans="1:2" x14ac:dyDescent="0.2">
      <c r="A1520" s="160" t="s">
        <v>3444</v>
      </c>
      <c r="B1520" s="160" t="s">
        <v>3445</v>
      </c>
    </row>
    <row r="1521" spans="1:2" x14ac:dyDescent="0.2">
      <c r="A1521" s="160" t="s">
        <v>3446</v>
      </c>
      <c r="B1521" s="160" t="s">
        <v>3447</v>
      </c>
    </row>
    <row r="1522" spans="1:2" x14ac:dyDescent="0.2">
      <c r="A1522" s="160" t="s">
        <v>3448</v>
      </c>
      <c r="B1522" s="160" t="s">
        <v>3449</v>
      </c>
    </row>
    <row r="1523" spans="1:2" x14ac:dyDescent="0.2">
      <c r="A1523" s="160" t="s">
        <v>3450</v>
      </c>
      <c r="B1523" s="160" t="s">
        <v>3451</v>
      </c>
    </row>
    <row r="1524" spans="1:2" x14ac:dyDescent="0.2">
      <c r="A1524" s="160" t="s">
        <v>3452</v>
      </c>
      <c r="B1524" s="160" t="s">
        <v>3453</v>
      </c>
    </row>
    <row r="1525" spans="1:2" x14ac:dyDescent="0.2">
      <c r="A1525" s="160" t="s">
        <v>3454</v>
      </c>
      <c r="B1525" s="160" t="s">
        <v>3455</v>
      </c>
    </row>
    <row r="1526" spans="1:2" x14ac:dyDescent="0.2">
      <c r="A1526" s="160" t="s">
        <v>3456</v>
      </c>
      <c r="B1526" s="160" t="s">
        <v>3457</v>
      </c>
    </row>
    <row r="1527" spans="1:2" x14ac:dyDescent="0.2">
      <c r="A1527" s="160" t="s">
        <v>6586</v>
      </c>
      <c r="B1527" s="160" t="s">
        <v>6587</v>
      </c>
    </row>
    <row r="1528" spans="1:2" x14ac:dyDescent="0.2">
      <c r="A1528" s="160" t="s">
        <v>3458</v>
      </c>
      <c r="B1528" s="160" t="s">
        <v>3459</v>
      </c>
    </row>
    <row r="1529" spans="1:2" x14ac:dyDescent="0.2">
      <c r="A1529" s="160" t="s">
        <v>3460</v>
      </c>
      <c r="B1529" s="160" t="s">
        <v>3461</v>
      </c>
    </row>
    <row r="1530" spans="1:2" x14ac:dyDescent="0.2">
      <c r="A1530" s="160" t="s">
        <v>3462</v>
      </c>
      <c r="B1530" s="160" t="s">
        <v>3463</v>
      </c>
    </row>
    <row r="1531" spans="1:2" x14ac:dyDescent="0.2">
      <c r="A1531" s="160" t="s">
        <v>3464</v>
      </c>
      <c r="B1531" s="160" t="s">
        <v>3465</v>
      </c>
    </row>
    <row r="1532" spans="1:2" x14ac:dyDescent="0.2">
      <c r="A1532" s="160" t="s">
        <v>3466</v>
      </c>
      <c r="B1532" s="160" t="s">
        <v>3467</v>
      </c>
    </row>
    <row r="1533" spans="1:2" x14ac:dyDescent="0.2">
      <c r="A1533" s="160" t="s">
        <v>3468</v>
      </c>
      <c r="B1533" s="160" t="s">
        <v>3469</v>
      </c>
    </row>
    <row r="1534" spans="1:2" x14ac:dyDescent="0.2">
      <c r="A1534" s="160" t="s">
        <v>3470</v>
      </c>
      <c r="B1534" s="160" t="s">
        <v>3471</v>
      </c>
    </row>
    <row r="1535" spans="1:2" x14ac:dyDescent="0.2">
      <c r="A1535" s="160" t="s">
        <v>3472</v>
      </c>
      <c r="B1535" s="160" t="s">
        <v>3473</v>
      </c>
    </row>
    <row r="1536" spans="1:2" x14ac:dyDescent="0.2">
      <c r="A1536" s="160" t="s">
        <v>3474</v>
      </c>
      <c r="B1536" s="160" t="s">
        <v>3475</v>
      </c>
    </row>
    <row r="1537" spans="1:2" x14ac:dyDescent="0.2">
      <c r="A1537" s="160" t="s">
        <v>3476</v>
      </c>
      <c r="B1537" s="160" t="s">
        <v>3477</v>
      </c>
    </row>
    <row r="1538" spans="1:2" x14ac:dyDescent="0.2">
      <c r="A1538" s="160" t="s">
        <v>3478</v>
      </c>
      <c r="B1538" s="160" t="s">
        <v>3479</v>
      </c>
    </row>
    <row r="1539" spans="1:2" x14ac:dyDescent="0.2">
      <c r="A1539" s="160" t="s">
        <v>6588</v>
      </c>
      <c r="B1539" s="160" t="s">
        <v>6589</v>
      </c>
    </row>
    <row r="1540" spans="1:2" x14ac:dyDescent="0.2">
      <c r="A1540" s="160" t="s">
        <v>3480</v>
      </c>
      <c r="B1540" s="160" t="s">
        <v>3481</v>
      </c>
    </row>
    <row r="1541" spans="1:2" x14ac:dyDescent="0.2">
      <c r="A1541" s="160" t="s">
        <v>3482</v>
      </c>
      <c r="B1541" s="160" t="s">
        <v>3483</v>
      </c>
    </row>
    <row r="1542" spans="1:2" x14ac:dyDescent="0.2">
      <c r="A1542" s="160" t="s">
        <v>3484</v>
      </c>
      <c r="B1542" s="160" t="s">
        <v>3485</v>
      </c>
    </row>
    <row r="1543" spans="1:2" x14ac:dyDescent="0.2">
      <c r="A1543" s="160" t="s">
        <v>3486</v>
      </c>
      <c r="B1543" s="160" t="s">
        <v>3487</v>
      </c>
    </row>
    <row r="1544" spans="1:2" x14ac:dyDescent="0.2">
      <c r="A1544" s="160" t="s">
        <v>3488</v>
      </c>
      <c r="B1544" s="160" t="s">
        <v>3489</v>
      </c>
    </row>
    <row r="1545" spans="1:2" x14ac:dyDescent="0.2">
      <c r="A1545" s="160" t="s">
        <v>3490</v>
      </c>
      <c r="B1545" s="160" t="s">
        <v>3491</v>
      </c>
    </row>
    <row r="1546" spans="1:2" x14ac:dyDescent="0.2">
      <c r="A1546" s="160" t="s">
        <v>3492</v>
      </c>
      <c r="B1546" s="160" t="s">
        <v>3493</v>
      </c>
    </row>
    <row r="1547" spans="1:2" x14ac:dyDescent="0.2">
      <c r="A1547" s="160" t="s">
        <v>3494</v>
      </c>
      <c r="B1547" s="160" t="s">
        <v>3495</v>
      </c>
    </row>
    <row r="1548" spans="1:2" x14ac:dyDescent="0.2">
      <c r="A1548" s="160" t="s">
        <v>3496</v>
      </c>
      <c r="B1548" s="160" t="s">
        <v>3497</v>
      </c>
    </row>
    <row r="1549" spans="1:2" x14ac:dyDescent="0.2">
      <c r="A1549" s="160" t="s">
        <v>3498</v>
      </c>
      <c r="B1549" s="160" t="s">
        <v>3499</v>
      </c>
    </row>
    <row r="1550" spans="1:2" x14ac:dyDescent="0.2">
      <c r="A1550" s="160" t="s">
        <v>3500</v>
      </c>
      <c r="B1550" s="160" t="s">
        <v>3501</v>
      </c>
    </row>
    <row r="1551" spans="1:2" x14ac:dyDescent="0.2">
      <c r="A1551" s="160" t="s">
        <v>3502</v>
      </c>
      <c r="B1551" s="160" t="s">
        <v>3503</v>
      </c>
    </row>
    <row r="1552" spans="1:2" x14ac:dyDescent="0.2">
      <c r="A1552" s="160" t="s">
        <v>3504</v>
      </c>
      <c r="B1552" s="160" t="s">
        <v>3505</v>
      </c>
    </row>
    <row r="1553" spans="1:2" x14ac:dyDescent="0.2">
      <c r="A1553" s="160" t="s">
        <v>3506</v>
      </c>
      <c r="B1553" s="160" t="s">
        <v>3507</v>
      </c>
    </row>
    <row r="1554" spans="1:2" x14ac:dyDescent="0.2">
      <c r="A1554" s="160" t="s">
        <v>3508</v>
      </c>
      <c r="B1554" s="160" t="s">
        <v>3509</v>
      </c>
    </row>
    <row r="1555" spans="1:2" x14ac:dyDescent="0.2">
      <c r="A1555" s="160" t="s">
        <v>3510</v>
      </c>
      <c r="B1555" s="160" t="s">
        <v>3511</v>
      </c>
    </row>
    <row r="1556" spans="1:2" x14ac:dyDescent="0.2">
      <c r="A1556" s="160" t="s">
        <v>3512</v>
      </c>
      <c r="B1556" s="160" t="s">
        <v>3513</v>
      </c>
    </row>
    <row r="1557" spans="1:2" x14ac:dyDescent="0.2">
      <c r="A1557" s="160" t="s">
        <v>3514</v>
      </c>
      <c r="B1557" s="160" t="s">
        <v>3515</v>
      </c>
    </row>
    <row r="1558" spans="1:2" x14ac:dyDescent="0.2">
      <c r="A1558" s="160" t="s">
        <v>3516</v>
      </c>
      <c r="B1558" s="160" t="s">
        <v>3517</v>
      </c>
    </row>
    <row r="1559" spans="1:2" x14ac:dyDescent="0.2">
      <c r="A1559" s="160" t="s">
        <v>3518</v>
      </c>
      <c r="B1559" s="160" t="s">
        <v>3519</v>
      </c>
    </row>
    <row r="1560" spans="1:2" x14ac:dyDescent="0.2">
      <c r="A1560" s="160" t="s">
        <v>3520</v>
      </c>
      <c r="B1560" s="160" t="s">
        <v>3521</v>
      </c>
    </row>
    <row r="1561" spans="1:2" x14ac:dyDescent="0.2">
      <c r="A1561" s="160" t="s">
        <v>3522</v>
      </c>
      <c r="B1561" s="160" t="s">
        <v>3523</v>
      </c>
    </row>
    <row r="1562" spans="1:2" x14ac:dyDescent="0.2">
      <c r="A1562" s="160" t="s">
        <v>3524</v>
      </c>
      <c r="B1562" s="160" t="s">
        <v>3525</v>
      </c>
    </row>
    <row r="1563" spans="1:2" x14ac:dyDescent="0.2">
      <c r="A1563" s="160" t="s">
        <v>3526</v>
      </c>
      <c r="B1563" s="160" t="s">
        <v>3527</v>
      </c>
    </row>
    <row r="1564" spans="1:2" x14ac:dyDescent="0.2">
      <c r="A1564" s="160" t="s">
        <v>3528</v>
      </c>
      <c r="B1564" s="160" t="s">
        <v>3529</v>
      </c>
    </row>
    <row r="1565" spans="1:2" x14ac:dyDescent="0.2">
      <c r="A1565" s="160" t="s">
        <v>3530</v>
      </c>
      <c r="B1565" s="160" t="s">
        <v>3531</v>
      </c>
    </row>
    <row r="1566" spans="1:2" x14ac:dyDescent="0.2">
      <c r="A1566" s="160" t="s">
        <v>3532</v>
      </c>
      <c r="B1566" s="160" t="s">
        <v>3533</v>
      </c>
    </row>
    <row r="1567" spans="1:2" x14ac:dyDescent="0.2">
      <c r="A1567" s="160" t="s">
        <v>3534</v>
      </c>
      <c r="B1567" s="160" t="s">
        <v>3535</v>
      </c>
    </row>
    <row r="1568" spans="1:2" x14ac:dyDescent="0.2">
      <c r="A1568" s="160" t="s">
        <v>3536</v>
      </c>
      <c r="B1568" s="160" t="s">
        <v>3537</v>
      </c>
    </row>
    <row r="1569" spans="1:2" x14ac:dyDescent="0.2">
      <c r="A1569" s="160" t="s">
        <v>3538</v>
      </c>
      <c r="B1569" s="160" t="s">
        <v>3539</v>
      </c>
    </row>
    <row r="1570" spans="1:2" x14ac:dyDescent="0.2">
      <c r="A1570" s="160" t="s">
        <v>6590</v>
      </c>
      <c r="B1570" s="160" t="s">
        <v>6591</v>
      </c>
    </row>
    <row r="1571" spans="1:2" x14ac:dyDescent="0.2">
      <c r="A1571" s="160" t="s">
        <v>3540</v>
      </c>
      <c r="B1571" s="160" t="s">
        <v>3541</v>
      </c>
    </row>
    <row r="1572" spans="1:2" x14ac:dyDescent="0.2">
      <c r="A1572" s="160" t="s">
        <v>3542</v>
      </c>
      <c r="B1572" s="160" t="s">
        <v>3543</v>
      </c>
    </row>
    <row r="1573" spans="1:2" x14ac:dyDescent="0.2">
      <c r="A1573" s="160" t="s">
        <v>3544</v>
      </c>
      <c r="B1573" s="160" t="s">
        <v>3545</v>
      </c>
    </row>
    <row r="1574" spans="1:2" x14ac:dyDescent="0.2">
      <c r="A1574" s="160" t="s">
        <v>3546</v>
      </c>
      <c r="B1574" s="160" t="s">
        <v>3547</v>
      </c>
    </row>
    <row r="1575" spans="1:2" x14ac:dyDescent="0.2">
      <c r="A1575" s="160" t="s">
        <v>3548</v>
      </c>
      <c r="B1575" s="160" t="s">
        <v>3549</v>
      </c>
    </row>
    <row r="1576" spans="1:2" x14ac:dyDescent="0.2">
      <c r="A1576" s="160" t="s">
        <v>3550</v>
      </c>
      <c r="B1576" s="160" t="s">
        <v>3551</v>
      </c>
    </row>
    <row r="1577" spans="1:2" x14ac:dyDescent="0.2">
      <c r="A1577" s="160" t="s">
        <v>3552</v>
      </c>
      <c r="B1577" s="160" t="s">
        <v>3553</v>
      </c>
    </row>
    <row r="1578" spans="1:2" x14ac:dyDescent="0.2">
      <c r="A1578" s="160" t="s">
        <v>3554</v>
      </c>
      <c r="B1578" s="160" t="s">
        <v>3555</v>
      </c>
    </row>
    <row r="1579" spans="1:2" x14ac:dyDescent="0.2">
      <c r="A1579" s="160" t="s">
        <v>3556</v>
      </c>
      <c r="B1579" s="160" t="s">
        <v>3557</v>
      </c>
    </row>
    <row r="1580" spans="1:2" x14ac:dyDescent="0.2">
      <c r="A1580" s="160" t="s">
        <v>3558</v>
      </c>
      <c r="B1580" s="160" t="s">
        <v>3559</v>
      </c>
    </row>
    <row r="1581" spans="1:2" x14ac:dyDescent="0.2">
      <c r="A1581" s="160" t="s">
        <v>3560</v>
      </c>
      <c r="B1581" s="160" t="s">
        <v>3561</v>
      </c>
    </row>
    <row r="1582" spans="1:2" x14ac:dyDescent="0.2">
      <c r="A1582" s="160" t="s">
        <v>3562</v>
      </c>
      <c r="B1582" s="160" t="s">
        <v>3563</v>
      </c>
    </row>
    <row r="1583" spans="1:2" x14ac:dyDescent="0.2">
      <c r="A1583" s="160" t="s">
        <v>3564</v>
      </c>
      <c r="B1583" s="160" t="s">
        <v>3565</v>
      </c>
    </row>
    <row r="1584" spans="1:2" x14ac:dyDescent="0.2">
      <c r="A1584" s="160" t="s">
        <v>3566</v>
      </c>
      <c r="B1584" s="160" t="s">
        <v>3567</v>
      </c>
    </row>
    <row r="1585" spans="1:2" x14ac:dyDescent="0.2">
      <c r="A1585" s="160" t="s">
        <v>3568</v>
      </c>
      <c r="B1585" s="160" t="s">
        <v>3569</v>
      </c>
    </row>
    <row r="1586" spans="1:2" x14ac:dyDescent="0.2">
      <c r="A1586" s="160" t="s">
        <v>3570</v>
      </c>
      <c r="B1586" s="160" t="s">
        <v>3571</v>
      </c>
    </row>
    <row r="1587" spans="1:2" x14ac:dyDescent="0.2">
      <c r="A1587" s="160" t="s">
        <v>3572</v>
      </c>
      <c r="B1587" s="160" t="s">
        <v>3573</v>
      </c>
    </row>
    <row r="1588" spans="1:2" x14ac:dyDescent="0.2">
      <c r="A1588" s="160" t="s">
        <v>3574</v>
      </c>
      <c r="B1588" s="160" t="s">
        <v>3575</v>
      </c>
    </row>
    <row r="1589" spans="1:2" x14ac:dyDescent="0.2">
      <c r="A1589" s="160" t="s">
        <v>3576</v>
      </c>
      <c r="B1589" s="160" t="s">
        <v>3577</v>
      </c>
    </row>
    <row r="1590" spans="1:2" x14ac:dyDescent="0.2">
      <c r="A1590" s="160" t="s">
        <v>3578</v>
      </c>
      <c r="B1590" s="160" t="s">
        <v>3579</v>
      </c>
    </row>
    <row r="1591" spans="1:2" x14ac:dyDescent="0.2">
      <c r="A1591" s="160" t="s">
        <v>3580</v>
      </c>
      <c r="B1591" s="160" t="s">
        <v>3581</v>
      </c>
    </row>
    <row r="1592" spans="1:2" x14ac:dyDescent="0.2">
      <c r="A1592" s="160" t="s">
        <v>3582</v>
      </c>
      <c r="B1592" s="160" t="s">
        <v>3583</v>
      </c>
    </row>
    <row r="1593" spans="1:2" x14ac:dyDescent="0.2">
      <c r="A1593" s="160" t="s">
        <v>3584</v>
      </c>
      <c r="B1593" s="160" t="s">
        <v>3585</v>
      </c>
    </row>
    <row r="1594" spans="1:2" x14ac:dyDescent="0.2">
      <c r="A1594" s="160" t="s">
        <v>3586</v>
      </c>
      <c r="B1594" s="160" t="s">
        <v>3587</v>
      </c>
    </row>
    <row r="1595" spans="1:2" x14ac:dyDescent="0.2">
      <c r="A1595" s="160" t="s">
        <v>3588</v>
      </c>
      <c r="B1595" s="160" t="s">
        <v>3589</v>
      </c>
    </row>
    <row r="1596" spans="1:2" x14ac:dyDescent="0.2">
      <c r="A1596" s="160" t="s">
        <v>3590</v>
      </c>
      <c r="B1596" s="160" t="s">
        <v>3591</v>
      </c>
    </row>
    <row r="1597" spans="1:2" x14ac:dyDescent="0.2">
      <c r="A1597" s="160" t="s">
        <v>3592</v>
      </c>
      <c r="B1597" s="160" t="s">
        <v>3593</v>
      </c>
    </row>
    <row r="1598" spans="1:2" x14ac:dyDescent="0.2">
      <c r="A1598" s="160" t="s">
        <v>3594</v>
      </c>
      <c r="B1598" s="160" t="s">
        <v>3595</v>
      </c>
    </row>
    <row r="1599" spans="1:2" x14ac:dyDescent="0.2">
      <c r="A1599" s="160" t="s">
        <v>3596</v>
      </c>
      <c r="B1599" s="160" t="s">
        <v>3597</v>
      </c>
    </row>
    <row r="1600" spans="1:2" x14ac:dyDescent="0.2">
      <c r="A1600" s="160" t="s">
        <v>3598</v>
      </c>
      <c r="B1600" s="160" t="s">
        <v>3599</v>
      </c>
    </row>
    <row r="1601" spans="1:2" x14ac:dyDescent="0.2">
      <c r="A1601" s="160" t="s">
        <v>3600</v>
      </c>
      <c r="B1601" s="160" t="s">
        <v>3601</v>
      </c>
    </row>
    <row r="1602" spans="1:2" x14ac:dyDescent="0.2">
      <c r="A1602" s="160" t="s">
        <v>3602</v>
      </c>
      <c r="B1602" s="160" t="s">
        <v>3603</v>
      </c>
    </row>
    <row r="1603" spans="1:2" x14ac:dyDescent="0.2">
      <c r="A1603" s="160" t="s">
        <v>3604</v>
      </c>
      <c r="B1603" s="160" t="s">
        <v>3605</v>
      </c>
    </row>
    <row r="1604" spans="1:2" x14ac:dyDescent="0.2">
      <c r="A1604" s="160" t="s">
        <v>3606</v>
      </c>
      <c r="B1604" s="160" t="s">
        <v>3607</v>
      </c>
    </row>
    <row r="1605" spans="1:2" x14ac:dyDescent="0.2">
      <c r="A1605" s="160" t="s">
        <v>3608</v>
      </c>
      <c r="B1605" s="160" t="s">
        <v>3609</v>
      </c>
    </row>
    <row r="1606" spans="1:2" x14ac:dyDescent="0.2">
      <c r="A1606" s="160" t="s">
        <v>3610</v>
      </c>
      <c r="B1606" s="160" t="s">
        <v>3611</v>
      </c>
    </row>
    <row r="1607" spans="1:2" x14ac:dyDescent="0.2">
      <c r="A1607" s="160" t="s">
        <v>3612</v>
      </c>
      <c r="B1607" s="160" t="s">
        <v>3613</v>
      </c>
    </row>
    <row r="1608" spans="1:2" x14ac:dyDescent="0.2">
      <c r="A1608" s="160" t="s">
        <v>3614</v>
      </c>
      <c r="B1608" s="160" t="s">
        <v>3615</v>
      </c>
    </row>
    <row r="1609" spans="1:2" x14ac:dyDescent="0.2">
      <c r="A1609" s="160" t="s">
        <v>3616</v>
      </c>
      <c r="B1609" s="160" t="s">
        <v>3617</v>
      </c>
    </row>
    <row r="1610" spans="1:2" x14ac:dyDescent="0.2">
      <c r="A1610" s="160" t="s">
        <v>3618</v>
      </c>
      <c r="B1610" s="160" t="s">
        <v>3619</v>
      </c>
    </row>
    <row r="1611" spans="1:2" x14ac:dyDescent="0.2">
      <c r="A1611" s="160" t="s">
        <v>3620</v>
      </c>
      <c r="B1611" s="160" t="s">
        <v>3621</v>
      </c>
    </row>
    <row r="1612" spans="1:2" x14ac:dyDescent="0.2">
      <c r="A1612" s="160" t="s">
        <v>3622</v>
      </c>
      <c r="B1612" s="160" t="s">
        <v>3623</v>
      </c>
    </row>
    <row r="1613" spans="1:2" x14ac:dyDescent="0.2">
      <c r="A1613" s="160" t="s">
        <v>3624</v>
      </c>
      <c r="B1613" s="160" t="s">
        <v>3625</v>
      </c>
    </row>
    <row r="1614" spans="1:2" x14ac:dyDescent="0.2">
      <c r="A1614" s="160" t="s">
        <v>3626</v>
      </c>
      <c r="B1614" s="160" t="s">
        <v>3627</v>
      </c>
    </row>
    <row r="1615" spans="1:2" x14ac:dyDescent="0.2">
      <c r="A1615" s="160" t="s">
        <v>3628</v>
      </c>
      <c r="B1615" s="160" t="s">
        <v>3629</v>
      </c>
    </row>
    <row r="1616" spans="1:2" x14ac:dyDescent="0.2">
      <c r="A1616" s="160" t="s">
        <v>3630</v>
      </c>
      <c r="B1616" s="160" t="s">
        <v>3631</v>
      </c>
    </row>
    <row r="1617" spans="1:2" x14ac:dyDescent="0.2">
      <c r="A1617" s="160" t="s">
        <v>3632</v>
      </c>
      <c r="B1617" s="160" t="s">
        <v>3633</v>
      </c>
    </row>
    <row r="1618" spans="1:2" x14ac:dyDescent="0.2">
      <c r="A1618" s="160" t="s">
        <v>3634</v>
      </c>
      <c r="B1618" s="160" t="s">
        <v>3635</v>
      </c>
    </row>
    <row r="1619" spans="1:2" x14ac:dyDescent="0.2">
      <c r="A1619" s="160" t="s">
        <v>3636</v>
      </c>
      <c r="B1619" s="160" t="s">
        <v>3637</v>
      </c>
    </row>
    <row r="1620" spans="1:2" x14ac:dyDescent="0.2">
      <c r="A1620" s="160" t="s">
        <v>3638</v>
      </c>
      <c r="B1620" s="160" t="s">
        <v>3639</v>
      </c>
    </row>
    <row r="1621" spans="1:2" x14ac:dyDescent="0.2">
      <c r="A1621" s="160" t="s">
        <v>3640</v>
      </c>
      <c r="B1621" s="160" t="s">
        <v>3641</v>
      </c>
    </row>
    <row r="1622" spans="1:2" x14ac:dyDescent="0.2">
      <c r="A1622" s="160" t="s">
        <v>3642</v>
      </c>
      <c r="B1622" s="160" t="s">
        <v>3643</v>
      </c>
    </row>
    <row r="1623" spans="1:2" x14ac:dyDescent="0.2">
      <c r="A1623" s="160" t="s">
        <v>3644</v>
      </c>
      <c r="B1623" s="160" t="s">
        <v>3645</v>
      </c>
    </row>
    <row r="1624" spans="1:2" x14ac:dyDescent="0.2">
      <c r="A1624" s="160" t="s">
        <v>3646</v>
      </c>
      <c r="B1624" s="160" t="s">
        <v>3647</v>
      </c>
    </row>
    <row r="1625" spans="1:2" x14ac:dyDescent="0.2">
      <c r="A1625" s="160" t="s">
        <v>3648</v>
      </c>
      <c r="B1625" s="160" t="s">
        <v>3649</v>
      </c>
    </row>
    <row r="1626" spans="1:2" x14ac:dyDescent="0.2">
      <c r="A1626" s="160" t="s">
        <v>3650</v>
      </c>
      <c r="B1626" s="160" t="s">
        <v>3651</v>
      </c>
    </row>
    <row r="1627" spans="1:2" x14ac:dyDescent="0.2">
      <c r="A1627" s="160" t="s">
        <v>3652</v>
      </c>
      <c r="B1627" s="160" t="s">
        <v>3653</v>
      </c>
    </row>
    <row r="1628" spans="1:2" x14ac:dyDescent="0.2">
      <c r="A1628" s="160" t="s">
        <v>3654</v>
      </c>
      <c r="B1628" s="160" t="s">
        <v>3655</v>
      </c>
    </row>
    <row r="1629" spans="1:2" x14ac:dyDescent="0.2">
      <c r="A1629" s="160" t="s">
        <v>3656</v>
      </c>
      <c r="B1629" s="160" t="s">
        <v>3657</v>
      </c>
    </row>
    <row r="1630" spans="1:2" x14ac:dyDescent="0.2">
      <c r="A1630" s="160" t="s">
        <v>3658</v>
      </c>
      <c r="B1630" s="160" t="s">
        <v>3659</v>
      </c>
    </row>
    <row r="1631" spans="1:2" x14ac:dyDescent="0.2">
      <c r="A1631" s="160" t="s">
        <v>3660</v>
      </c>
      <c r="B1631" s="160" t="s">
        <v>3661</v>
      </c>
    </row>
    <row r="1632" spans="1:2" x14ac:dyDescent="0.2">
      <c r="A1632" s="160" t="s">
        <v>3662</v>
      </c>
      <c r="B1632" s="160" t="s">
        <v>3663</v>
      </c>
    </row>
    <row r="1633" spans="1:2" x14ac:dyDescent="0.2">
      <c r="A1633" s="160" t="s">
        <v>3664</v>
      </c>
      <c r="B1633" s="160" t="s">
        <v>3665</v>
      </c>
    </row>
    <row r="1634" spans="1:2" x14ac:dyDescent="0.2">
      <c r="A1634" s="160" t="s">
        <v>3666</v>
      </c>
      <c r="B1634" s="160" t="s">
        <v>3667</v>
      </c>
    </row>
    <row r="1635" spans="1:2" x14ac:dyDescent="0.2">
      <c r="A1635" s="160" t="s">
        <v>6592</v>
      </c>
      <c r="B1635" s="160" t="s">
        <v>6593</v>
      </c>
    </row>
    <row r="1636" spans="1:2" x14ac:dyDescent="0.2">
      <c r="A1636" s="160" t="s">
        <v>3668</v>
      </c>
      <c r="B1636" s="160" t="s">
        <v>3669</v>
      </c>
    </row>
    <row r="1637" spans="1:2" x14ac:dyDescent="0.2">
      <c r="A1637" s="160" t="s">
        <v>3670</v>
      </c>
      <c r="B1637" s="160" t="s">
        <v>3671</v>
      </c>
    </row>
    <row r="1638" spans="1:2" x14ac:dyDescent="0.2">
      <c r="A1638" s="160" t="s">
        <v>3672</v>
      </c>
      <c r="B1638" s="160" t="s">
        <v>3673</v>
      </c>
    </row>
    <row r="1639" spans="1:2" x14ac:dyDescent="0.2">
      <c r="A1639" s="160" t="s">
        <v>3674</v>
      </c>
      <c r="B1639" s="160" t="s">
        <v>3675</v>
      </c>
    </row>
    <row r="1640" spans="1:2" x14ac:dyDescent="0.2">
      <c r="A1640" s="160" t="s">
        <v>3676</v>
      </c>
      <c r="B1640" s="160" t="s">
        <v>3677</v>
      </c>
    </row>
    <row r="1641" spans="1:2" x14ac:dyDescent="0.2">
      <c r="A1641" s="160" t="s">
        <v>3678</v>
      </c>
      <c r="B1641" s="160" t="s">
        <v>3679</v>
      </c>
    </row>
    <row r="1642" spans="1:2" x14ac:dyDescent="0.2">
      <c r="A1642" s="160" t="s">
        <v>3680</v>
      </c>
      <c r="B1642" s="160" t="s">
        <v>3681</v>
      </c>
    </row>
    <row r="1643" spans="1:2" x14ac:dyDescent="0.2">
      <c r="A1643" s="160" t="s">
        <v>3682</v>
      </c>
      <c r="B1643" s="160" t="s">
        <v>3683</v>
      </c>
    </row>
    <row r="1644" spans="1:2" x14ac:dyDescent="0.2">
      <c r="A1644" s="160" t="s">
        <v>3684</v>
      </c>
      <c r="B1644" s="160" t="s">
        <v>3685</v>
      </c>
    </row>
    <row r="1645" spans="1:2" x14ac:dyDescent="0.2">
      <c r="A1645" s="160" t="s">
        <v>3686</v>
      </c>
      <c r="B1645" s="160" t="s">
        <v>3687</v>
      </c>
    </row>
    <row r="1646" spans="1:2" x14ac:dyDescent="0.2">
      <c r="A1646" s="160" t="s">
        <v>3688</v>
      </c>
      <c r="B1646" s="160" t="s">
        <v>3689</v>
      </c>
    </row>
    <row r="1647" spans="1:2" x14ac:dyDescent="0.2">
      <c r="A1647" s="160" t="s">
        <v>3690</v>
      </c>
      <c r="B1647" s="160" t="s">
        <v>3691</v>
      </c>
    </row>
    <row r="1648" spans="1:2" x14ac:dyDescent="0.2">
      <c r="A1648" s="160" t="s">
        <v>3692</v>
      </c>
      <c r="B1648" s="160" t="s">
        <v>3693</v>
      </c>
    </row>
    <row r="1649" spans="1:2" x14ac:dyDescent="0.2">
      <c r="A1649" s="160" t="s">
        <v>3694</v>
      </c>
      <c r="B1649" s="160" t="s">
        <v>3695</v>
      </c>
    </row>
    <row r="1650" spans="1:2" x14ac:dyDescent="0.2">
      <c r="A1650" s="160" t="s">
        <v>3696</v>
      </c>
      <c r="B1650" s="160" t="s">
        <v>3697</v>
      </c>
    </row>
    <row r="1651" spans="1:2" x14ac:dyDescent="0.2">
      <c r="A1651" s="160" t="s">
        <v>3698</v>
      </c>
      <c r="B1651" s="160" t="s">
        <v>3699</v>
      </c>
    </row>
    <row r="1652" spans="1:2" x14ac:dyDescent="0.2">
      <c r="A1652" s="160" t="s">
        <v>3700</v>
      </c>
      <c r="B1652" s="160" t="s">
        <v>3701</v>
      </c>
    </row>
    <row r="1653" spans="1:2" x14ac:dyDescent="0.2">
      <c r="A1653" s="160" t="s">
        <v>3702</v>
      </c>
      <c r="B1653" s="160" t="s">
        <v>3703</v>
      </c>
    </row>
    <row r="1654" spans="1:2" x14ac:dyDescent="0.2">
      <c r="A1654" s="160" t="s">
        <v>3704</v>
      </c>
      <c r="B1654" s="160" t="s">
        <v>3705</v>
      </c>
    </row>
    <row r="1655" spans="1:2" x14ac:dyDescent="0.2">
      <c r="A1655" s="160" t="s">
        <v>3706</v>
      </c>
      <c r="B1655" s="160" t="s">
        <v>3707</v>
      </c>
    </row>
    <row r="1656" spans="1:2" x14ac:dyDescent="0.2">
      <c r="A1656" s="160" t="s">
        <v>3708</v>
      </c>
      <c r="B1656" s="160" t="s">
        <v>3709</v>
      </c>
    </row>
    <row r="1657" spans="1:2" x14ac:dyDescent="0.2">
      <c r="A1657" s="160" t="s">
        <v>3710</v>
      </c>
      <c r="B1657" s="160" t="s">
        <v>3711</v>
      </c>
    </row>
    <row r="1658" spans="1:2" x14ac:dyDescent="0.2">
      <c r="A1658" s="160" t="s">
        <v>3712</v>
      </c>
      <c r="B1658" s="160" t="s">
        <v>3713</v>
      </c>
    </row>
    <row r="1659" spans="1:2" x14ac:dyDescent="0.2">
      <c r="A1659" s="160" t="s">
        <v>3714</v>
      </c>
      <c r="B1659" s="160" t="s">
        <v>3715</v>
      </c>
    </row>
    <row r="1660" spans="1:2" x14ac:dyDescent="0.2">
      <c r="A1660" s="160" t="s">
        <v>3716</v>
      </c>
      <c r="B1660" s="160" t="s">
        <v>3717</v>
      </c>
    </row>
    <row r="1661" spans="1:2" x14ac:dyDescent="0.2">
      <c r="A1661" s="160" t="s">
        <v>3718</v>
      </c>
      <c r="B1661" s="160" t="s">
        <v>3719</v>
      </c>
    </row>
    <row r="1662" spans="1:2" x14ac:dyDescent="0.2">
      <c r="A1662" s="160" t="s">
        <v>3720</v>
      </c>
      <c r="B1662" s="160" t="s">
        <v>3721</v>
      </c>
    </row>
    <row r="1663" spans="1:2" x14ac:dyDescent="0.2">
      <c r="A1663" s="160" t="s">
        <v>3722</v>
      </c>
      <c r="B1663" s="160" t="s">
        <v>3723</v>
      </c>
    </row>
    <row r="1664" spans="1:2" x14ac:dyDescent="0.2">
      <c r="A1664" s="160" t="s">
        <v>6594</v>
      </c>
      <c r="B1664" s="160" t="s">
        <v>6595</v>
      </c>
    </row>
    <row r="1665" spans="1:2" x14ac:dyDescent="0.2">
      <c r="A1665" s="160" t="s">
        <v>3724</v>
      </c>
      <c r="B1665" s="160" t="s">
        <v>3725</v>
      </c>
    </row>
    <row r="1666" spans="1:2" x14ac:dyDescent="0.2">
      <c r="A1666" s="160" t="s">
        <v>3726</v>
      </c>
      <c r="B1666" s="160" t="s">
        <v>3727</v>
      </c>
    </row>
    <row r="1667" spans="1:2" x14ac:dyDescent="0.2">
      <c r="A1667" s="160" t="s">
        <v>3728</v>
      </c>
      <c r="B1667" s="160" t="s">
        <v>3729</v>
      </c>
    </row>
    <row r="1668" spans="1:2" x14ac:dyDescent="0.2">
      <c r="A1668" s="160" t="s">
        <v>3730</v>
      </c>
      <c r="B1668" s="160" t="s">
        <v>3731</v>
      </c>
    </row>
    <row r="1669" spans="1:2" x14ac:dyDescent="0.2">
      <c r="A1669" s="160" t="s">
        <v>3732</v>
      </c>
      <c r="B1669" s="160" t="s">
        <v>3733</v>
      </c>
    </row>
    <row r="1670" spans="1:2" x14ac:dyDescent="0.2">
      <c r="A1670" s="160" t="s">
        <v>3734</v>
      </c>
      <c r="B1670" s="160" t="s">
        <v>3735</v>
      </c>
    </row>
    <row r="1671" spans="1:2" x14ac:dyDescent="0.2">
      <c r="A1671" s="160" t="s">
        <v>3736</v>
      </c>
      <c r="B1671" s="160" t="s">
        <v>3737</v>
      </c>
    </row>
    <row r="1672" spans="1:2" x14ac:dyDescent="0.2">
      <c r="A1672" s="160" t="s">
        <v>3738</v>
      </c>
      <c r="B1672" s="160" t="s">
        <v>3739</v>
      </c>
    </row>
    <row r="1673" spans="1:2" x14ac:dyDescent="0.2">
      <c r="A1673" s="160" t="s">
        <v>3740</v>
      </c>
      <c r="B1673" s="160" t="s">
        <v>3741</v>
      </c>
    </row>
    <row r="1674" spans="1:2" x14ac:dyDescent="0.2">
      <c r="A1674" s="160" t="s">
        <v>3742</v>
      </c>
      <c r="B1674" s="160" t="s">
        <v>3743</v>
      </c>
    </row>
    <row r="1675" spans="1:2" x14ac:dyDescent="0.2">
      <c r="A1675" s="160" t="s">
        <v>3744</v>
      </c>
      <c r="B1675" s="160" t="s">
        <v>3745</v>
      </c>
    </row>
    <row r="1676" spans="1:2" x14ac:dyDescent="0.2">
      <c r="A1676" s="160" t="s">
        <v>3746</v>
      </c>
      <c r="B1676" s="160" t="s">
        <v>3747</v>
      </c>
    </row>
    <row r="1677" spans="1:2" x14ac:dyDescent="0.2">
      <c r="A1677" s="160" t="s">
        <v>3748</v>
      </c>
      <c r="B1677" s="160" t="s">
        <v>3749</v>
      </c>
    </row>
    <row r="1678" spans="1:2" x14ac:dyDescent="0.2">
      <c r="A1678" s="160" t="s">
        <v>6596</v>
      </c>
      <c r="B1678" s="160" t="s">
        <v>6597</v>
      </c>
    </row>
    <row r="1679" spans="1:2" x14ac:dyDescent="0.2">
      <c r="A1679" s="160" t="s">
        <v>3750</v>
      </c>
      <c r="B1679" s="160" t="s">
        <v>3751</v>
      </c>
    </row>
    <row r="1680" spans="1:2" x14ac:dyDescent="0.2">
      <c r="A1680" s="160" t="s">
        <v>3752</v>
      </c>
      <c r="B1680" s="160" t="s">
        <v>3753</v>
      </c>
    </row>
    <row r="1681" spans="1:2" x14ac:dyDescent="0.2">
      <c r="A1681" s="160" t="s">
        <v>3754</v>
      </c>
      <c r="B1681" s="160" t="s">
        <v>3755</v>
      </c>
    </row>
    <row r="1682" spans="1:2" x14ac:dyDescent="0.2">
      <c r="A1682" s="160" t="s">
        <v>3756</v>
      </c>
      <c r="B1682" s="160" t="s">
        <v>3757</v>
      </c>
    </row>
    <row r="1683" spans="1:2" x14ac:dyDescent="0.2">
      <c r="A1683" s="160" t="s">
        <v>3758</v>
      </c>
      <c r="B1683" s="160" t="s">
        <v>3759</v>
      </c>
    </row>
    <row r="1684" spans="1:2" x14ac:dyDescent="0.2">
      <c r="A1684" s="160" t="s">
        <v>3760</v>
      </c>
      <c r="B1684" s="160" t="s">
        <v>3761</v>
      </c>
    </row>
    <row r="1685" spans="1:2" x14ac:dyDescent="0.2">
      <c r="A1685" s="160" t="s">
        <v>3762</v>
      </c>
      <c r="B1685" s="160" t="s">
        <v>3763</v>
      </c>
    </row>
    <row r="1686" spans="1:2" x14ac:dyDescent="0.2">
      <c r="A1686" s="160" t="s">
        <v>3764</v>
      </c>
      <c r="B1686" s="160" t="s">
        <v>3765</v>
      </c>
    </row>
    <row r="1687" spans="1:2" x14ac:dyDescent="0.2">
      <c r="A1687" s="160" t="s">
        <v>3766</v>
      </c>
      <c r="B1687" s="160" t="s">
        <v>3767</v>
      </c>
    </row>
    <row r="1688" spans="1:2" x14ac:dyDescent="0.2">
      <c r="A1688" s="160" t="s">
        <v>3768</v>
      </c>
      <c r="B1688" s="160" t="s">
        <v>3769</v>
      </c>
    </row>
    <row r="1689" spans="1:2" x14ac:dyDescent="0.2">
      <c r="A1689" s="160" t="s">
        <v>3770</v>
      </c>
      <c r="B1689" s="160" t="s">
        <v>3771</v>
      </c>
    </row>
    <row r="1690" spans="1:2" x14ac:dyDescent="0.2">
      <c r="A1690" s="160" t="s">
        <v>3772</v>
      </c>
      <c r="B1690" s="160" t="s">
        <v>3773</v>
      </c>
    </row>
    <row r="1691" spans="1:2" x14ac:dyDescent="0.2">
      <c r="A1691" s="160" t="s">
        <v>3774</v>
      </c>
      <c r="B1691" s="160" t="s">
        <v>3775</v>
      </c>
    </row>
    <row r="1692" spans="1:2" x14ac:dyDescent="0.2">
      <c r="A1692" s="160" t="s">
        <v>3776</v>
      </c>
      <c r="B1692" s="160" t="s">
        <v>3777</v>
      </c>
    </row>
    <row r="1693" spans="1:2" x14ac:dyDescent="0.2">
      <c r="A1693" s="160" t="s">
        <v>3778</v>
      </c>
      <c r="B1693" s="160" t="s">
        <v>3779</v>
      </c>
    </row>
    <row r="1694" spans="1:2" x14ac:dyDescent="0.2">
      <c r="A1694" s="160" t="s">
        <v>3780</v>
      </c>
      <c r="B1694" s="160" t="s">
        <v>3781</v>
      </c>
    </row>
    <row r="1695" spans="1:2" x14ac:dyDescent="0.2">
      <c r="A1695" s="160" t="s">
        <v>3782</v>
      </c>
      <c r="B1695" s="160" t="s">
        <v>3783</v>
      </c>
    </row>
    <row r="1696" spans="1:2" x14ac:dyDescent="0.2">
      <c r="A1696" s="160" t="s">
        <v>3784</v>
      </c>
      <c r="B1696" s="160" t="s">
        <v>3785</v>
      </c>
    </row>
    <row r="1697" spans="1:2" x14ac:dyDescent="0.2">
      <c r="A1697" s="160" t="s">
        <v>3786</v>
      </c>
      <c r="B1697" s="160" t="s">
        <v>3787</v>
      </c>
    </row>
    <row r="1698" spans="1:2" x14ac:dyDescent="0.2">
      <c r="A1698" s="160" t="s">
        <v>3788</v>
      </c>
      <c r="B1698" s="160" t="s">
        <v>3789</v>
      </c>
    </row>
    <row r="1699" spans="1:2" x14ac:dyDescent="0.2">
      <c r="A1699" s="160" t="s">
        <v>3790</v>
      </c>
      <c r="B1699" s="160" t="s">
        <v>3791</v>
      </c>
    </row>
    <row r="1700" spans="1:2" x14ac:dyDescent="0.2">
      <c r="A1700" s="160" t="s">
        <v>3792</v>
      </c>
      <c r="B1700" s="160" t="s">
        <v>3793</v>
      </c>
    </row>
    <row r="1701" spans="1:2" x14ac:dyDescent="0.2">
      <c r="A1701" s="160" t="s">
        <v>3794</v>
      </c>
      <c r="B1701" s="160" t="s">
        <v>3795</v>
      </c>
    </row>
    <row r="1702" spans="1:2" x14ac:dyDescent="0.2">
      <c r="A1702" s="160" t="s">
        <v>3796</v>
      </c>
      <c r="B1702" s="160" t="s">
        <v>3797</v>
      </c>
    </row>
    <row r="1703" spans="1:2" x14ac:dyDescent="0.2">
      <c r="A1703" s="160" t="s">
        <v>3798</v>
      </c>
      <c r="B1703" s="160" t="s">
        <v>3799</v>
      </c>
    </row>
    <row r="1704" spans="1:2" x14ac:dyDescent="0.2">
      <c r="A1704" s="160" t="s">
        <v>3800</v>
      </c>
      <c r="B1704" s="160" t="s">
        <v>3801</v>
      </c>
    </row>
    <row r="1705" spans="1:2" x14ac:dyDescent="0.2">
      <c r="A1705" s="160" t="s">
        <v>3802</v>
      </c>
      <c r="B1705" s="160" t="s">
        <v>3803</v>
      </c>
    </row>
    <row r="1706" spans="1:2" x14ac:dyDescent="0.2">
      <c r="A1706" s="160" t="s">
        <v>3804</v>
      </c>
      <c r="B1706" s="160" t="s">
        <v>3805</v>
      </c>
    </row>
    <row r="1707" spans="1:2" x14ac:dyDescent="0.2">
      <c r="A1707" s="160" t="s">
        <v>3806</v>
      </c>
      <c r="B1707" s="160" t="s">
        <v>3807</v>
      </c>
    </row>
    <row r="1708" spans="1:2" x14ac:dyDescent="0.2">
      <c r="A1708" s="160" t="s">
        <v>3808</v>
      </c>
      <c r="B1708" s="160" t="s">
        <v>3809</v>
      </c>
    </row>
    <row r="1709" spans="1:2" x14ac:dyDescent="0.2">
      <c r="A1709" s="160" t="s">
        <v>3810</v>
      </c>
      <c r="B1709" s="160" t="s">
        <v>3811</v>
      </c>
    </row>
    <row r="1710" spans="1:2" x14ac:dyDescent="0.2">
      <c r="A1710" s="160" t="s">
        <v>3812</v>
      </c>
      <c r="B1710" s="160" t="s">
        <v>3813</v>
      </c>
    </row>
    <row r="1711" spans="1:2" x14ac:dyDescent="0.2">
      <c r="A1711" s="160" t="s">
        <v>6598</v>
      </c>
      <c r="B1711" s="160" t="s">
        <v>6599</v>
      </c>
    </row>
    <row r="1712" spans="1:2" x14ac:dyDescent="0.2">
      <c r="A1712" s="160" t="s">
        <v>3814</v>
      </c>
      <c r="B1712" s="160" t="s">
        <v>3815</v>
      </c>
    </row>
    <row r="1713" spans="1:2" x14ac:dyDescent="0.2">
      <c r="A1713" s="160" t="s">
        <v>3816</v>
      </c>
      <c r="B1713" s="160" t="s">
        <v>3817</v>
      </c>
    </row>
    <row r="1714" spans="1:2" x14ac:dyDescent="0.2">
      <c r="A1714" s="160" t="s">
        <v>3818</v>
      </c>
      <c r="B1714" s="160" t="s">
        <v>3819</v>
      </c>
    </row>
    <row r="1715" spans="1:2" x14ac:dyDescent="0.2">
      <c r="A1715" s="160" t="s">
        <v>3820</v>
      </c>
      <c r="B1715" s="160" t="s">
        <v>3821</v>
      </c>
    </row>
    <row r="1716" spans="1:2" x14ac:dyDescent="0.2">
      <c r="A1716" s="160" t="s">
        <v>3822</v>
      </c>
      <c r="B1716" s="160" t="s">
        <v>3823</v>
      </c>
    </row>
    <row r="1717" spans="1:2" x14ac:dyDescent="0.2">
      <c r="A1717" s="160" t="s">
        <v>3824</v>
      </c>
      <c r="B1717" s="160" t="s">
        <v>3825</v>
      </c>
    </row>
    <row r="1718" spans="1:2" x14ac:dyDescent="0.2">
      <c r="A1718" s="160" t="s">
        <v>3826</v>
      </c>
      <c r="B1718" s="160" t="s">
        <v>3827</v>
      </c>
    </row>
    <row r="1719" spans="1:2" x14ac:dyDescent="0.2">
      <c r="A1719" s="160" t="s">
        <v>3828</v>
      </c>
      <c r="B1719" s="160" t="s">
        <v>3829</v>
      </c>
    </row>
    <row r="1720" spans="1:2" x14ac:dyDescent="0.2">
      <c r="A1720" s="160" t="s">
        <v>3830</v>
      </c>
      <c r="B1720" s="160" t="s">
        <v>3831</v>
      </c>
    </row>
    <row r="1721" spans="1:2" x14ac:dyDescent="0.2">
      <c r="A1721" s="160" t="s">
        <v>3832</v>
      </c>
      <c r="B1721" s="160" t="s">
        <v>3833</v>
      </c>
    </row>
    <row r="1722" spans="1:2" x14ac:dyDescent="0.2">
      <c r="A1722" s="160" t="s">
        <v>3834</v>
      </c>
      <c r="B1722" s="160" t="s">
        <v>3835</v>
      </c>
    </row>
    <row r="1723" spans="1:2" x14ac:dyDescent="0.2">
      <c r="A1723" s="160" t="s">
        <v>3836</v>
      </c>
      <c r="B1723" s="160" t="s">
        <v>3837</v>
      </c>
    </row>
    <row r="1724" spans="1:2" x14ac:dyDescent="0.2">
      <c r="A1724" s="160" t="s">
        <v>3838</v>
      </c>
      <c r="B1724" s="160" t="s">
        <v>3839</v>
      </c>
    </row>
    <row r="1725" spans="1:2" x14ac:dyDescent="0.2">
      <c r="A1725" s="160" t="s">
        <v>3840</v>
      </c>
      <c r="B1725" s="160" t="s">
        <v>3841</v>
      </c>
    </row>
    <row r="1726" spans="1:2" x14ac:dyDescent="0.2">
      <c r="A1726" s="160" t="s">
        <v>3842</v>
      </c>
      <c r="B1726" s="160" t="s">
        <v>3843</v>
      </c>
    </row>
    <row r="1727" spans="1:2" x14ac:dyDescent="0.2">
      <c r="A1727" s="160" t="s">
        <v>3844</v>
      </c>
      <c r="B1727" s="160" t="s">
        <v>3845</v>
      </c>
    </row>
    <row r="1728" spans="1:2" x14ac:dyDescent="0.2">
      <c r="A1728" s="160" t="s">
        <v>3846</v>
      </c>
      <c r="B1728" s="160" t="s">
        <v>3847</v>
      </c>
    </row>
    <row r="1729" spans="1:2" x14ac:dyDescent="0.2">
      <c r="A1729" s="160" t="s">
        <v>3848</v>
      </c>
      <c r="B1729" s="160" t="s">
        <v>3849</v>
      </c>
    </row>
    <row r="1730" spans="1:2" x14ac:dyDescent="0.2">
      <c r="A1730" s="160" t="s">
        <v>3850</v>
      </c>
      <c r="B1730" s="160" t="s">
        <v>3851</v>
      </c>
    </row>
    <row r="1731" spans="1:2" x14ac:dyDescent="0.2">
      <c r="A1731" s="160" t="s">
        <v>3852</v>
      </c>
      <c r="B1731" s="160" t="s">
        <v>3853</v>
      </c>
    </row>
    <row r="1732" spans="1:2" x14ac:dyDescent="0.2">
      <c r="A1732" s="160" t="s">
        <v>3854</v>
      </c>
      <c r="B1732" s="160" t="s">
        <v>3855</v>
      </c>
    </row>
    <row r="1733" spans="1:2" x14ac:dyDescent="0.2">
      <c r="A1733" s="160" t="s">
        <v>3856</v>
      </c>
      <c r="B1733" s="160" t="s">
        <v>3857</v>
      </c>
    </row>
    <row r="1734" spans="1:2" x14ac:dyDescent="0.2">
      <c r="A1734" s="160" t="s">
        <v>3858</v>
      </c>
      <c r="B1734" s="160" t="s">
        <v>3859</v>
      </c>
    </row>
    <row r="1735" spans="1:2" x14ac:dyDescent="0.2">
      <c r="A1735" s="160" t="s">
        <v>3860</v>
      </c>
      <c r="B1735" s="160" t="s">
        <v>3861</v>
      </c>
    </row>
    <row r="1736" spans="1:2" x14ac:dyDescent="0.2">
      <c r="A1736" s="160" t="s">
        <v>3862</v>
      </c>
      <c r="B1736" s="160" t="s">
        <v>3863</v>
      </c>
    </row>
    <row r="1737" spans="1:2" x14ac:dyDescent="0.2">
      <c r="A1737" s="160" t="s">
        <v>3864</v>
      </c>
      <c r="B1737" s="160" t="s">
        <v>3865</v>
      </c>
    </row>
    <row r="1738" spans="1:2" x14ac:dyDescent="0.2">
      <c r="A1738" s="160" t="s">
        <v>3866</v>
      </c>
      <c r="B1738" s="160" t="s">
        <v>3867</v>
      </c>
    </row>
    <row r="1739" spans="1:2" x14ac:dyDescent="0.2">
      <c r="A1739" s="160" t="s">
        <v>3868</v>
      </c>
      <c r="B1739" s="160" t="s">
        <v>3869</v>
      </c>
    </row>
    <row r="1740" spans="1:2" x14ac:dyDescent="0.2">
      <c r="A1740" s="160" t="s">
        <v>3870</v>
      </c>
      <c r="B1740" s="160" t="s">
        <v>3871</v>
      </c>
    </row>
    <row r="1741" spans="1:2" x14ac:dyDescent="0.2">
      <c r="A1741" s="160" t="s">
        <v>3872</v>
      </c>
      <c r="B1741" s="160" t="s">
        <v>3873</v>
      </c>
    </row>
    <row r="1742" spans="1:2" x14ac:dyDescent="0.2">
      <c r="A1742" s="160" t="s">
        <v>6600</v>
      </c>
      <c r="B1742" s="160" t="s">
        <v>6601</v>
      </c>
    </row>
    <row r="1743" spans="1:2" x14ac:dyDescent="0.2">
      <c r="A1743" s="160" t="s">
        <v>3874</v>
      </c>
      <c r="B1743" s="160" t="s">
        <v>3875</v>
      </c>
    </row>
    <row r="1744" spans="1:2" x14ac:dyDescent="0.2">
      <c r="A1744" s="160" t="s">
        <v>3876</v>
      </c>
      <c r="B1744" s="160" t="s">
        <v>3877</v>
      </c>
    </row>
    <row r="1745" spans="1:2" x14ac:dyDescent="0.2">
      <c r="A1745" s="160" t="s">
        <v>3878</v>
      </c>
      <c r="B1745" s="160" t="s">
        <v>3879</v>
      </c>
    </row>
    <row r="1746" spans="1:2" x14ac:dyDescent="0.2">
      <c r="A1746" s="160" t="s">
        <v>3880</v>
      </c>
      <c r="B1746" s="160" t="s">
        <v>3881</v>
      </c>
    </row>
    <row r="1747" spans="1:2" x14ac:dyDescent="0.2">
      <c r="A1747" s="160" t="s">
        <v>3882</v>
      </c>
      <c r="B1747" s="160" t="s">
        <v>3883</v>
      </c>
    </row>
    <row r="1748" spans="1:2" x14ac:dyDescent="0.2">
      <c r="A1748" s="160" t="s">
        <v>3884</v>
      </c>
      <c r="B1748" s="160" t="s">
        <v>3885</v>
      </c>
    </row>
    <row r="1749" spans="1:2" x14ac:dyDescent="0.2">
      <c r="A1749" s="160" t="s">
        <v>3886</v>
      </c>
      <c r="B1749" s="160" t="s">
        <v>3887</v>
      </c>
    </row>
    <row r="1750" spans="1:2" x14ac:dyDescent="0.2">
      <c r="A1750" s="160" t="s">
        <v>6602</v>
      </c>
      <c r="B1750" s="160" t="s">
        <v>6603</v>
      </c>
    </row>
    <row r="1751" spans="1:2" x14ac:dyDescent="0.2">
      <c r="A1751" s="160" t="s">
        <v>3888</v>
      </c>
      <c r="B1751" s="160" t="s">
        <v>3889</v>
      </c>
    </row>
    <row r="1752" spans="1:2" x14ac:dyDescent="0.2">
      <c r="A1752" s="160" t="s">
        <v>3890</v>
      </c>
      <c r="B1752" s="160" t="s">
        <v>3891</v>
      </c>
    </row>
    <row r="1753" spans="1:2" x14ac:dyDescent="0.2">
      <c r="A1753" s="160" t="s">
        <v>3892</v>
      </c>
      <c r="B1753" s="160" t="s">
        <v>3893</v>
      </c>
    </row>
    <row r="1754" spans="1:2" x14ac:dyDescent="0.2">
      <c r="A1754" s="160" t="s">
        <v>3889</v>
      </c>
      <c r="B1754" s="160" t="s">
        <v>3894</v>
      </c>
    </row>
    <row r="1755" spans="1:2" x14ac:dyDescent="0.2">
      <c r="A1755" s="160" t="s">
        <v>3895</v>
      </c>
      <c r="B1755" s="160" t="s">
        <v>3896</v>
      </c>
    </row>
    <row r="1756" spans="1:2" x14ac:dyDescent="0.2">
      <c r="A1756" s="160" t="s">
        <v>3897</v>
      </c>
      <c r="B1756" s="160" t="s">
        <v>6604</v>
      </c>
    </row>
    <row r="1757" spans="1:2" x14ac:dyDescent="0.2">
      <c r="A1757" s="160" t="s">
        <v>3898</v>
      </c>
      <c r="B1757" s="160" t="s">
        <v>3899</v>
      </c>
    </row>
    <row r="1758" spans="1:2" x14ac:dyDescent="0.2">
      <c r="A1758" s="160" t="s">
        <v>3900</v>
      </c>
      <c r="B1758" s="160" t="s">
        <v>3901</v>
      </c>
    </row>
    <row r="1759" spans="1:2" x14ac:dyDescent="0.2">
      <c r="A1759" s="160" t="s">
        <v>3902</v>
      </c>
      <c r="B1759" s="160" t="s">
        <v>3903</v>
      </c>
    </row>
    <row r="1760" spans="1:2" x14ac:dyDescent="0.2">
      <c r="A1760" s="160" t="s">
        <v>3904</v>
      </c>
      <c r="B1760" s="160" t="s">
        <v>3905</v>
      </c>
    </row>
    <row r="1761" spans="1:2" x14ac:dyDescent="0.2">
      <c r="A1761" s="160" t="s">
        <v>3906</v>
      </c>
      <c r="B1761" s="160" t="s">
        <v>3907</v>
      </c>
    </row>
    <row r="1762" spans="1:2" x14ac:dyDescent="0.2">
      <c r="A1762" s="160" t="s">
        <v>3908</v>
      </c>
      <c r="B1762" s="160" t="s">
        <v>3909</v>
      </c>
    </row>
    <row r="1763" spans="1:2" x14ac:dyDescent="0.2">
      <c r="A1763" s="160" t="s">
        <v>3910</v>
      </c>
      <c r="B1763" s="160" t="s">
        <v>3911</v>
      </c>
    </row>
    <row r="1764" spans="1:2" x14ac:dyDescent="0.2">
      <c r="A1764" s="160" t="s">
        <v>3912</v>
      </c>
      <c r="B1764" s="160" t="s">
        <v>3913</v>
      </c>
    </row>
    <row r="1765" spans="1:2" x14ac:dyDescent="0.2">
      <c r="A1765" s="160" t="s">
        <v>3914</v>
      </c>
      <c r="B1765" s="160" t="s">
        <v>3915</v>
      </c>
    </row>
    <row r="1766" spans="1:2" x14ac:dyDescent="0.2">
      <c r="A1766" s="160" t="s">
        <v>3916</v>
      </c>
      <c r="B1766" s="160" t="s">
        <v>3917</v>
      </c>
    </row>
    <row r="1767" spans="1:2" x14ac:dyDescent="0.2">
      <c r="A1767" s="160" t="s">
        <v>3918</v>
      </c>
      <c r="B1767" s="160" t="s">
        <v>3919</v>
      </c>
    </row>
    <row r="1768" spans="1:2" x14ac:dyDescent="0.2">
      <c r="A1768" s="160" t="s">
        <v>3920</v>
      </c>
      <c r="B1768" s="160" t="s">
        <v>3921</v>
      </c>
    </row>
    <row r="1769" spans="1:2" x14ac:dyDescent="0.2">
      <c r="A1769" s="160" t="s">
        <v>3922</v>
      </c>
      <c r="B1769" s="160" t="s">
        <v>3923</v>
      </c>
    </row>
    <row r="1770" spans="1:2" x14ac:dyDescent="0.2">
      <c r="A1770" s="160" t="s">
        <v>3924</v>
      </c>
      <c r="B1770" s="160" t="s">
        <v>3925</v>
      </c>
    </row>
    <row r="1771" spans="1:2" x14ac:dyDescent="0.2">
      <c r="A1771" s="160" t="s">
        <v>3926</v>
      </c>
      <c r="B1771" s="160" t="s">
        <v>3927</v>
      </c>
    </row>
    <row r="1772" spans="1:2" x14ac:dyDescent="0.2">
      <c r="A1772" s="160" t="s">
        <v>3928</v>
      </c>
      <c r="B1772" s="160" t="s">
        <v>3929</v>
      </c>
    </row>
    <row r="1773" spans="1:2" x14ac:dyDescent="0.2">
      <c r="A1773" s="160" t="s">
        <v>3930</v>
      </c>
      <c r="B1773" s="160" t="s">
        <v>3931</v>
      </c>
    </row>
    <row r="1774" spans="1:2" x14ac:dyDescent="0.2">
      <c r="A1774" s="160" t="s">
        <v>3932</v>
      </c>
      <c r="B1774" s="160" t="s">
        <v>3933</v>
      </c>
    </row>
    <row r="1775" spans="1:2" x14ac:dyDescent="0.2">
      <c r="A1775" s="160" t="s">
        <v>6605</v>
      </c>
      <c r="B1775" s="160" t="s">
        <v>6606</v>
      </c>
    </row>
    <row r="1776" spans="1:2" x14ac:dyDescent="0.2">
      <c r="A1776" s="160" t="s">
        <v>3934</v>
      </c>
      <c r="B1776" s="160" t="s">
        <v>3935</v>
      </c>
    </row>
    <row r="1777" spans="1:2" x14ac:dyDescent="0.2">
      <c r="A1777" s="160" t="s">
        <v>6607</v>
      </c>
      <c r="B1777" s="160" t="s">
        <v>6608</v>
      </c>
    </row>
    <row r="1778" spans="1:2" x14ac:dyDescent="0.2">
      <c r="A1778" s="160" t="s">
        <v>3936</v>
      </c>
      <c r="B1778" s="160" t="s">
        <v>3937</v>
      </c>
    </row>
    <row r="1779" spans="1:2" x14ac:dyDescent="0.2">
      <c r="A1779" s="160" t="s">
        <v>6609</v>
      </c>
      <c r="B1779" s="160" t="s">
        <v>6610</v>
      </c>
    </row>
    <row r="1780" spans="1:2" x14ac:dyDescent="0.2">
      <c r="A1780" s="160" t="s">
        <v>6611</v>
      </c>
      <c r="B1780" s="160" t="s">
        <v>6612</v>
      </c>
    </row>
    <row r="1781" spans="1:2" x14ac:dyDescent="0.2">
      <c r="A1781" s="160" t="s">
        <v>3938</v>
      </c>
      <c r="B1781" s="160" t="s">
        <v>3939</v>
      </c>
    </row>
    <row r="1782" spans="1:2" x14ac:dyDescent="0.2">
      <c r="A1782" s="160" t="s">
        <v>3940</v>
      </c>
      <c r="B1782" s="160" t="s">
        <v>3941</v>
      </c>
    </row>
    <row r="1783" spans="1:2" x14ac:dyDescent="0.2">
      <c r="A1783" s="160" t="s">
        <v>3942</v>
      </c>
      <c r="B1783" s="160" t="s">
        <v>3943</v>
      </c>
    </row>
    <row r="1784" spans="1:2" x14ac:dyDescent="0.2">
      <c r="A1784" s="160" t="s">
        <v>3944</v>
      </c>
      <c r="B1784" s="160" t="s">
        <v>454</v>
      </c>
    </row>
    <row r="1785" spans="1:2" x14ac:dyDescent="0.2">
      <c r="A1785" s="160" t="s">
        <v>3945</v>
      </c>
      <c r="B1785" s="160" t="s">
        <v>3946</v>
      </c>
    </row>
    <row r="1786" spans="1:2" x14ac:dyDescent="0.2">
      <c r="A1786" s="160" t="s">
        <v>3947</v>
      </c>
      <c r="B1786" s="160" t="s">
        <v>3948</v>
      </c>
    </row>
    <row r="1787" spans="1:2" x14ac:dyDescent="0.2">
      <c r="A1787" s="160" t="s">
        <v>3949</v>
      </c>
      <c r="B1787" s="160" t="s">
        <v>3950</v>
      </c>
    </row>
    <row r="1788" spans="1:2" x14ac:dyDescent="0.2">
      <c r="A1788" s="160" t="s">
        <v>3951</v>
      </c>
      <c r="B1788" s="160" t="s">
        <v>3952</v>
      </c>
    </row>
    <row r="1789" spans="1:2" x14ac:dyDescent="0.2">
      <c r="A1789" s="160" t="s">
        <v>3953</v>
      </c>
      <c r="B1789" s="160" t="s">
        <v>3954</v>
      </c>
    </row>
    <row r="1790" spans="1:2" x14ac:dyDescent="0.2">
      <c r="A1790" s="160" t="s">
        <v>3955</v>
      </c>
      <c r="B1790" s="160" t="s">
        <v>3956</v>
      </c>
    </row>
    <row r="1791" spans="1:2" x14ac:dyDescent="0.2">
      <c r="A1791" s="160" t="s">
        <v>3957</v>
      </c>
      <c r="B1791" s="160" t="s">
        <v>3958</v>
      </c>
    </row>
    <row r="1792" spans="1:2" x14ac:dyDescent="0.2">
      <c r="A1792" s="160" t="s">
        <v>3959</v>
      </c>
      <c r="B1792" s="160" t="s">
        <v>3960</v>
      </c>
    </row>
    <row r="1793" spans="1:2" x14ac:dyDescent="0.2">
      <c r="A1793" s="160" t="s">
        <v>3961</v>
      </c>
      <c r="B1793" s="160" t="s">
        <v>3962</v>
      </c>
    </row>
    <row r="1794" spans="1:2" x14ac:dyDescent="0.2">
      <c r="A1794" s="160" t="s">
        <v>3963</v>
      </c>
      <c r="B1794" s="160" t="s">
        <v>3964</v>
      </c>
    </row>
    <row r="1795" spans="1:2" x14ac:dyDescent="0.2">
      <c r="A1795" s="160" t="s">
        <v>3965</v>
      </c>
      <c r="B1795" s="160" t="s">
        <v>3966</v>
      </c>
    </row>
    <row r="1796" spans="1:2" x14ac:dyDescent="0.2">
      <c r="A1796" s="160" t="s">
        <v>6613</v>
      </c>
      <c r="B1796" s="160" t="s">
        <v>6614</v>
      </c>
    </row>
    <row r="1797" spans="1:2" x14ac:dyDescent="0.2">
      <c r="A1797" s="160" t="s">
        <v>3967</v>
      </c>
      <c r="B1797" s="160" t="s">
        <v>3968</v>
      </c>
    </row>
    <row r="1798" spans="1:2" x14ac:dyDescent="0.2">
      <c r="A1798" s="160" t="s">
        <v>3969</v>
      </c>
      <c r="B1798" s="160" t="s">
        <v>3970</v>
      </c>
    </row>
    <row r="1799" spans="1:2" x14ac:dyDescent="0.2">
      <c r="A1799" s="160" t="s">
        <v>3971</v>
      </c>
      <c r="B1799" s="160" t="s">
        <v>3972</v>
      </c>
    </row>
    <row r="1800" spans="1:2" x14ac:dyDescent="0.2">
      <c r="A1800" s="160" t="s">
        <v>3973</v>
      </c>
      <c r="B1800" s="160" t="s">
        <v>3974</v>
      </c>
    </row>
    <row r="1801" spans="1:2" x14ac:dyDescent="0.2">
      <c r="A1801" s="160" t="s">
        <v>3975</v>
      </c>
      <c r="B1801" s="160" t="s">
        <v>3976</v>
      </c>
    </row>
    <row r="1802" spans="1:2" x14ac:dyDescent="0.2">
      <c r="A1802" s="160" t="s">
        <v>3977</v>
      </c>
      <c r="B1802" s="160" t="s">
        <v>3978</v>
      </c>
    </row>
    <row r="1803" spans="1:2" x14ac:dyDescent="0.2">
      <c r="A1803" s="160" t="s">
        <v>3979</v>
      </c>
      <c r="B1803" s="160" t="s">
        <v>3980</v>
      </c>
    </row>
    <row r="1804" spans="1:2" x14ac:dyDescent="0.2">
      <c r="A1804" s="160" t="s">
        <v>3981</v>
      </c>
      <c r="B1804" s="160" t="s">
        <v>3982</v>
      </c>
    </row>
    <row r="1805" spans="1:2" x14ac:dyDescent="0.2">
      <c r="A1805" s="160" t="s">
        <v>3983</v>
      </c>
      <c r="B1805" s="160" t="s">
        <v>3984</v>
      </c>
    </row>
    <row r="1806" spans="1:2" x14ac:dyDescent="0.2">
      <c r="A1806" s="160" t="s">
        <v>3985</v>
      </c>
      <c r="B1806" s="160" t="s">
        <v>3986</v>
      </c>
    </row>
    <row r="1807" spans="1:2" x14ac:dyDescent="0.2">
      <c r="A1807" s="160" t="s">
        <v>3987</v>
      </c>
      <c r="B1807" s="160" t="s">
        <v>3988</v>
      </c>
    </row>
    <row r="1808" spans="1:2" x14ac:dyDescent="0.2">
      <c r="A1808" s="160" t="s">
        <v>3989</v>
      </c>
      <c r="B1808" s="160" t="s">
        <v>3990</v>
      </c>
    </row>
    <row r="1809" spans="1:2" x14ac:dyDescent="0.2">
      <c r="A1809" s="160" t="s">
        <v>3991</v>
      </c>
      <c r="B1809" s="160" t="s">
        <v>3992</v>
      </c>
    </row>
    <row r="1810" spans="1:2" x14ac:dyDescent="0.2">
      <c r="A1810" s="160" t="s">
        <v>3993</v>
      </c>
      <c r="B1810" s="160" t="s">
        <v>3994</v>
      </c>
    </row>
    <row r="1811" spans="1:2" x14ac:dyDescent="0.2">
      <c r="A1811" s="160" t="s">
        <v>3995</v>
      </c>
      <c r="B1811" s="160" t="s">
        <v>3996</v>
      </c>
    </row>
    <row r="1812" spans="1:2" x14ac:dyDescent="0.2">
      <c r="A1812" s="160" t="s">
        <v>3997</v>
      </c>
      <c r="B1812" s="160" t="s">
        <v>3998</v>
      </c>
    </row>
    <row r="1813" spans="1:2" x14ac:dyDescent="0.2">
      <c r="A1813" s="160" t="s">
        <v>3999</v>
      </c>
      <c r="B1813" s="160" t="s">
        <v>4000</v>
      </c>
    </row>
    <row r="1814" spans="1:2" x14ac:dyDescent="0.2">
      <c r="A1814" s="160" t="s">
        <v>4001</v>
      </c>
      <c r="B1814" s="160" t="s">
        <v>4002</v>
      </c>
    </row>
    <row r="1815" spans="1:2" x14ac:dyDescent="0.2">
      <c r="A1815" s="160" t="s">
        <v>4003</v>
      </c>
      <c r="B1815" s="160" t="s">
        <v>4004</v>
      </c>
    </row>
    <row r="1816" spans="1:2" x14ac:dyDescent="0.2">
      <c r="A1816" s="160" t="s">
        <v>4005</v>
      </c>
      <c r="B1816" s="160" t="s">
        <v>4006</v>
      </c>
    </row>
    <row r="1817" spans="1:2" x14ac:dyDescent="0.2">
      <c r="A1817" s="160" t="s">
        <v>4007</v>
      </c>
      <c r="B1817" s="160" t="s">
        <v>4008</v>
      </c>
    </row>
    <row r="1818" spans="1:2" x14ac:dyDescent="0.2">
      <c r="A1818" s="160" t="s">
        <v>4009</v>
      </c>
      <c r="B1818" s="160" t="s">
        <v>4010</v>
      </c>
    </row>
    <row r="1819" spans="1:2" x14ac:dyDescent="0.2">
      <c r="A1819" s="160" t="s">
        <v>4011</v>
      </c>
      <c r="B1819" s="160" t="s">
        <v>4012</v>
      </c>
    </row>
    <row r="1820" spans="1:2" x14ac:dyDescent="0.2">
      <c r="A1820" s="160" t="s">
        <v>4013</v>
      </c>
      <c r="B1820" s="160" t="s">
        <v>4014</v>
      </c>
    </row>
    <row r="1821" spans="1:2" x14ac:dyDescent="0.2">
      <c r="A1821" s="160" t="s">
        <v>4015</v>
      </c>
      <c r="B1821" s="160" t="s">
        <v>4016</v>
      </c>
    </row>
    <row r="1822" spans="1:2" x14ac:dyDescent="0.2">
      <c r="A1822" s="160" t="s">
        <v>4017</v>
      </c>
      <c r="B1822" s="160" t="s">
        <v>4018</v>
      </c>
    </row>
    <row r="1823" spans="1:2" x14ac:dyDescent="0.2">
      <c r="A1823" s="160" t="s">
        <v>4019</v>
      </c>
      <c r="B1823" s="160" t="s">
        <v>4020</v>
      </c>
    </row>
    <row r="1824" spans="1:2" x14ac:dyDescent="0.2">
      <c r="A1824" s="160" t="s">
        <v>4021</v>
      </c>
      <c r="B1824" s="160" t="s">
        <v>4022</v>
      </c>
    </row>
    <row r="1825" spans="1:2" x14ac:dyDescent="0.2">
      <c r="A1825" s="160" t="s">
        <v>4023</v>
      </c>
      <c r="B1825" s="160" t="s">
        <v>4024</v>
      </c>
    </row>
    <row r="1826" spans="1:2" x14ac:dyDescent="0.2">
      <c r="A1826" s="160" t="s">
        <v>4025</v>
      </c>
      <c r="B1826" s="160" t="s">
        <v>4026</v>
      </c>
    </row>
    <row r="1827" spans="1:2" x14ac:dyDescent="0.2">
      <c r="A1827" s="160" t="s">
        <v>4027</v>
      </c>
      <c r="B1827" s="160" t="s">
        <v>4028</v>
      </c>
    </row>
    <row r="1828" spans="1:2" x14ac:dyDescent="0.2">
      <c r="A1828" s="160" t="s">
        <v>4029</v>
      </c>
      <c r="B1828" s="160" t="s">
        <v>4030</v>
      </c>
    </row>
    <row r="1829" spans="1:2" x14ac:dyDescent="0.2">
      <c r="A1829" s="160" t="s">
        <v>4031</v>
      </c>
      <c r="B1829" s="160" t="s">
        <v>4032</v>
      </c>
    </row>
    <row r="1830" spans="1:2" x14ac:dyDescent="0.2">
      <c r="A1830" s="160" t="s">
        <v>4033</v>
      </c>
      <c r="B1830" s="160" t="s">
        <v>4034</v>
      </c>
    </row>
    <row r="1831" spans="1:2" x14ac:dyDescent="0.2">
      <c r="A1831" s="160" t="s">
        <v>4035</v>
      </c>
      <c r="B1831" s="160" t="s">
        <v>4036</v>
      </c>
    </row>
    <row r="1832" spans="1:2" x14ac:dyDescent="0.2">
      <c r="A1832" s="160" t="s">
        <v>4037</v>
      </c>
      <c r="B1832" s="160" t="s">
        <v>4038</v>
      </c>
    </row>
    <row r="1833" spans="1:2" x14ac:dyDescent="0.2">
      <c r="A1833" s="160" t="s">
        <v>4039</v>
      </c>
      <c r="B1833" s="160" t="s">
        <v>4040</v>
      </c>
    </row>
    <row r="1834" spans="1:2" x14ac:dyDescent="0.2">
      <c r="A1834" s="160" t="s">
        <v>4041</v>
      </c>
      <c r="B1834" s="160" t="s">
        <v>4042</v>
      </c>
    </row>
    <row r="1835" spans="1:2" x14ac:dyDescent="0.2">
      <c r="A1835" s="160" t="s">
        <v>4043</v>
      </c>
      <c r="B1835" s="160" t="s">
        <v>4044</v>
      </c>
    </row>
    <row r="1836" spans="1:2" x14ac:dyDescent="0.2">
      <c r="A1836" s="160" t="s">
        <v>4045</v>
      </c>
      <c r="B1836" s="160" t="s">
        <v>4046</v>
      </c>
    </row>
    <row r="1837" spans="1:2" x14ac:dyDescent="0.2">
      <c r="A1837" s="160" t="s">
        <v>4047</v>
      </c>
      <c r="B1837" s="160" t="s">
        <v>4048</v>
      </c>
    </row>
    <row r="1838" spans="1:2" x14ac:dyDescent="0.2">
      <c r="A1838" s="160" t="s">
        <v>4049</v>
      </c>
      <c r="B1838" s="160" t="s">
        <v>4050</v>
      </c>
    </row>
    <row r="1839" spans="1:2" x14ac:dyDescent="0.2">
      <c r="A1839" s="160" t="s">
        <v>4051</v>
      </c>
      <c r="B1839" s="160" t="s">
        <v>4052</v>
      </c>
    </row>
    <row r="1840" spans="1:2" x14ac:dyDescent="0.2">
      <c r="A1840" s="160" t="s">
        <v>4053</v>
      </c>
      <c r="B1840" s="160" t="s">
        <v>4054</v>
      </c>
    </row>
    <row r="1841" spans="1:2" x14ac:dyDescent="0.2">
      <c r="A1841" s="160" t="s">
        <v>4055</v>
      </c>
      <c r="B1841" s="160" t="s">
        <v>4056</v>
      </c>
    </row>
    <row r="1842" spans="1:2" x14ac:dyDescent="0.2">
      <c r="A1842" s="160" t="s">
        <v>4057</v>
      </c>
      <c r="B1842" s="160" t="s">
        <v>4058</v>
      </c>
    </row>
    <row r="1843" spans="1:2" x14ac:dyDescent="0.2">
      <c r="A1843" s="160" t="s">
        <v>4059</v>
      </c>
      <c r="B1843" s="160" t="s">
        <v>4060</v>
      </c>
    </row>
    <row r="1844" spans="1:2" x14ac:dyDescent="0.2">
      <c r="A1844" s="160" t="s">
        <v>4061</v>
      </c>
      <c r="B1844" s="160" t="s">
        <v>4062</v>
      </c>
    </row>
    <row r="1845" spans="1:2" x14ac:dyDescent="0.2">
      <c r="A1845" s="160" t="s">
        <v>4063</v>
      </c>
      <c r="B1845" s="160" t="s">
        <v>4064</v>
      </c>
    </row>
    <row r="1846" spans="1:2" x14ac:dyDescent="0.2">
      <c r="A1846" s="160" t="s">
        <v>4065</v>
      </c>
      <c r="B1846" s="160" t="s">
        <v>4066</v>
      </c>
    </row>
    <row r="1847" spans="1:2" x14ac:dyDescent="0.2">
      <c r="A1847" s="160" t="s">
        <v>4067</v>
      </c>
      <c r="B1847" s="160" t="s">
        <v>4068</v>
      </c>
    </row>
    <row r="1848" spans="1:2" x14ac:dyDescent="0.2">
      <c r="A1848" s="160" t="s">
        <v>4069</v>
      </c>
      <c r="B1848" s="160" t="s">
        <v>4070</v>
      </c>
    </row>
    <row r="1849" spans="1:2" x14ac:dyDescent="0.2">
      <c r="A1849" s="160" t="s">
        <v>4071</v>
      </c>
      <c r="B1849" s="160" t="s">
        <v>4072</v>
      </c>
    </row>
    <row r="1850" spans="1:2" x14ac:dyDescent="0.2">
      <c r="A1850" s="160" t="s">
        <v>4073</v>
      </c>
      <c r="B1850" s="160" t="s">
        <v>4074</v>
      </c>
    </row>
    <row r="1851" spans="1:2" x14ac:dyDescent="0.2">
      <c r="A1851" s="160" t="s">
        <v>6615</v>
      </c>
      <c r="B1851" s="160" t="s">
        <v>6616</v>
      </c>
    </row>
    <row r="1852" spans="1:2" x14ac:dyDescent="0.2">
      <c r="A1852" s="160" t="s">
        <v>4075</v>
      </c>
      <c r="B1852" s="160" t="s">
        <v>4076</v>
      </c>
    </row>
    <row r="1853" spans="1:2" x14ac:dyDescent="0.2">
      <c r="A1853" s="160" t="s">
        <v>4077</v>
      </c>
      <c r="B1853" s="160" t="s">
        <v>4078</v>
      </c>
    </row>
    <row r="1854" spans="1:2" x14ac:dyDescent="0.2">
      <c r="A1854" s="160" t="s">
        <v>4079</v>
      </c>
      <c r="B1854" s="160" t="s">
        <v>4080</v>
      </c>
    </row>
    <row r="1855" spans="1:2" x14ac:dyDescent="0.2">
      <c r="A1855" s="160" t="s">
        <v>6617</v>
      </c>
      <c r="B1855" s="160" t="s">
        <v>6618</v>
      </c>
    </row>
    <row r="1856" spans="1:2" x14ac:dyDescent="0.2">
      <c r="A1856" s="160" t="s">
        <v>6619</v>
      </c>
      <c r="B1856" s="160" t="s">
        <v>6620</v>
      </c>
    </row>
    <row r="1857" spans="1:2" x14ac:dyDescent="0.2">
      <c r="A1857" s="160" t="s">
        <v>4081</v>
      </c>
      <c r="B1857" s="160" t="s">
        <v>4082</v>
      </c>
    </row>
    <row r="1858" spans="1:2" x14ac:dyDescent="0.2">
      <c r="A1858" s="160" t="s">
        <v>4083</v>
      </c>
      <c r="B1858" s="160" t="s">
        <v>4084</v>
      </c>
    </row>
    <row r="1859" spans="1:2" x14ac:dyDescent="0.2">
      <c r="A1859" s="160" t="s">
        <v>4085</v>
      </c>
      <c r="B1859" s="160" t="s">
        <v>4086</v>
      </c>
    </row>
    <row r="1860" spans="1:2" x14ac:dyDescent="0.2">
      <c r="A1860" s="160" t="s">
        <v>6621</v>
      </c>
      <c r="B1860" s="160" t="s">
        <v>6622</v>
      </c>
    </row>
    <row r="1861" spans="1:2" x14ac:dyDescent="0.2">
      <c r="A1861" s="160" t="s">
        <v>4087</v>
      </c>
      <c r="B1861" s="160" t="s">
        <v>4088</v>
      </c>
    </row>
    <row r="1862" spans="1:2" x14ac:dyDescent="0.2">
      <c r="A1862" s="160" t="s">
        <v>4089</v>
      </c>
      <c r="B1862" s="160" t="s">
        <v>4090</v>
      </c>
    </row>
    <row r="1863" spans="1:2" x14ac:dyDescent="0.2">
      <c r="A1863" s="160" t="s">
        <v>6623</v>
      </c>
      <c r="B1863" s="160" t="s">
        <v>6624</v>
      </c>
    </row>
    <row r="1864" spans="1:2" x14ac:dyDescent="0.2">
      <c r="A1864" s="160" t="s">
        <v>4091</v>
      </c>
      <c r="B1864" s="160" t="s">
        <v>4092</v>
      </c>
    </row>
    <row r="1865" spans="1:2" x14ac:dyDescent="0.2">
      <c r="A1865" s="160" t="s">
        <v>4093</v>
      </c>
      <c r="B1865" s="160" t="s">
        <v>4094</v>
      </c>
    </row>
    <row r="1866" spans="1:2" x14ac:dyDescent="0.2">
      <c r="A1866" s="160" t="s">
        <v>4095</v>
      </c>
      <c r="B1866" s="160" t="s">
        <v>4096</v>
      </c>
    </row>
    <row r="1867" spans="1:2" x14ac:dyDescent="0.2">
      <c r="A1867" s="160" t="s">
        <v>4097</v>
      </c>
      <c r="B1867" s="160" t="s">
        <v>4098</v>
      </c>
    </row>
    <row r="1868" spans="1:2" x14ac:dyDescent="0.2">
      <c r="A1868" s="160" t="s">
        <v>4099</v>
      </c>
      <c r="B1868" s="160" t="s">
        <v>4100</v>
      </c>
    </row>
    <row r="1869" spans="1:2" x14ac:dyDescent="0.2">
      <c r="A1869" s="160" t="s">
        <v>4101</v>
      </c>
      <c r="B1869" s="160" t="s">
        <v>4102</v>
      </c>
    </row>
    <row r="1870" spans="1:2" x14ac:dyDescent="0.2">
      <c r="A1870" s="160" t="s">
        <v>4103</v>
      </c>
      <c r="B1870" s="160" t="s">
        <v>4104</v>
      </c>
    </row>
    <row r="1871" spans="1:2" x14ac:dyDescent="0.2">
      <c r="A1871" s="160" t="s">
        <v>4105</v>
      </c>
      <c r="B1871" s="160" t="s">
        <v>4106</v>
      </c>
    </row>
    <row r="1872" spans="1:2" x14ac:dyDescent="0.2">
      <c r="A1872" s="160" t="s">
        <v>4107</v>
      </c>
      <c r="B1872" s="160" t="s">
        <v>4108</v>
      </c>
    </row>
    <row r="1873" spans="1:2" x14ac:dyDescent="0.2">
      <c r="A1873" s="160" t="s">
        <v>4109</v>
      </c>
      <c r="B1873" s="160" t="s">
        <v>4110</v>
      </c>
    </row>
    <row r="1874" spans="1:2" x14ac:dyDescent="0.2">
      <c r="A1874" s="160" t="s">
        <v>4111</v>
      </c>
      <c r="B1874" s="160" t="s">
        <v>4112</v>
      </c>
    </row>
    <row r="1875" spans="1:2" x14ac:dyDescent="0.2">
      <c r="A1875" s="160" t="s">
        <v>6625</v>
      </c>
      <c r="B1875" s="160" t="s">
        <v>6626</v>
      </c>
    </row>
    <row r="1876" spans="1:2" x14ac:dyDescent="0.2">
      <c r="A1876" s="160" t="s">
        <v>4113</v>
      </c>
      <c r="B1876" s="160" t="s">
        <v>4114</v>
      </c>
    </row>
    <row r="1877" spans="1:2" x14ac:dyDescent="0.2">
      <c r="A1877" s="160" t="s">
        <v>4115</v>
      </c>
      <c r="B1877" s="160" t="s">
        <v>4116</v>
      </c>
    </row>
    <row r="1878" spans="1:2" x14ac:dyDescent="0.2">
      <c r="A1878" s="160" t="s">
        <v>4117</v>
      </c>
      <c r="B1878" s="160" t="s">
        <v>4118</v>
      </c>
    </row>
    <row r="1879" spans="1:2" x14ac:dyDescent="0.2">
      <c r="A1879" s="160" t="s">
        <v>4119</v>
      </c>
      <c r="B1879" s="160" t="s">
        <v>4120</v>
      </c>
    </row>
    <row r="1880" spans="1:2" x14ac:dyDescent="0.2">
      <c r="A1880" s="160" t="s">
        <v>4121</v>
      </c>
      <c r="B1880" s="160" t="s">
        <v>4122</v>
      </c>
    </row>
    <row r="1881" spans="1:2" x14ac:dyDescent="0.2">
      <c r="A1881" s="160" t="s">
        <v>4123</v>
      </c>
      <c r="B1881" s="160" t="s">
        <v>4124</v>
      </c>
    </row>
    <row r="1882" spans="1:2" x14ac:dyDescent="0.2">
      <c r="A1882" s="160" t="s">
        <v>4125</v>
      </c>
      <c r="B1882" s="160" t="s">
        <v>4126</v>
      </c>
    </row>
    <row r="1883" spans="1:2" x14ac:dyDescent="0.2">
      <c r="A1883" s="160" t="s">
        <v>4127</v>
      </c>
      <c r="B1883" s="160" t="s">
        <v>4128</v>
      </c>
    </row>
    <row r="1884" spans="1:2" x14ac:dyDescent="0.2">
      <c r="A1884" s="160" t="s">
        <v>4129</v>
      </c>
      <c r="B1884" s="160" t="s">
        <v>4130</v>
      </c>
    </row>
    <row r="1885" spans="1:2" x14ac:dyDescent="0.2">
      <c r="A1885" s="160" t="s">
        <v>4131</v>
      </c>
      <c r="B1885" s="160" t="s">
        <v>4132</v>
      </c>
    </row>
    <row r="1886" spans="1:2" x14ac:dyDescent="0.2">
      <c r="A1886" s="160" t="s">
        <v>4133</v>
      </c>
      <c r="B1886" s="160" t="s">
        <v>4134</v>
      </c>
    </row>
    <row r="1887" spans="1:2" x14ac:dyDescent="0.2">
      <c r="A1887" s="160" t="s">
        <v>4135</v>
      </c>
      <c r="B1887" s="160" t="s">
        <v>4136</v>
      </c>
    </row>
    <row r="1888" spans="1:2" x14ac:dyDescent="0.2">
      <c r="A1888" s="160" t="s">
        <v>4137</v>
      </c>
      <c r="B1888" s="160" t="s">
        <v>4138</v>
      </c>
    </row>
    <row r="1889" spans="1:2" x14ac:dyDescent="0.2">
      <c r="A1889" s="160" t="s">
        <v>4139</v>
      </c>
      <c r="B1889" s="160" t="s">
        <v>4140</v>
      </c>
    </row>
    <row r="1890" spans="1:2" x14ac:dyDescent="0.2">
      <c r="A1890" s="160" t="s">
        <v>4141</v>
      </c>
      <c r="B1890" s="160" t="s">
        <v>4142</v>
      </c>
    </row>
    <row r="1891" spans="1:2" x14ac:dyDescent="0.2">
      <c r="A1891" s="160" t="s">
        <v>4143</v>
      </c>
      <c r="B1891" s="160" t="s">
        <v>4144</v>
      </c>
    </row>
    <row r="1892" spans="1:2" x14ac:dyDescent="0.2">
      <c r="A1892" s="160" t="s">
        <v>4145</v>
      </c>
      <c r="B1892" s="160" t="s">
        <v>4146</v>
      </c>
    </row>
    <row r="1893" spans="1:2" x14ac:dyDescent="0.2">
      <c r="A1893" s="160" t="s">
        <v>4147</v>
      </c>
      <c r="B1893" s="160" t="s">
        <v>4148</v>
      </c>
    </row>
    <row r="1894" spans="1:2" x14ac:dyDescent="0.2">
      <c r="A1894" s="160" t="s">
        <v>4149</v>
      </c>
      <c r="B1894" s="160" t="s">
        <v>4150</v>
      </c>
    </row>
    <row r="1895" spans="1:2" x14ac:dyDescent="0.2">
      <c r="A1895" s="160" t="s">
        <v>4151</v>
      </c>
      <c r="B1895" s="160" t="s">
        <v>4152</v>
      </c>
    </row>
    <row r="1896" spans="1:2" x14ac:dyDescent="0.2">
      <c r="A1896" s="160" t="s">
        <v>4153</v>
      </c>
      <c r="B1896" s="160" t="s">
        <v>4154</v>
      </c>
    </row>
    <row r="1897" spans="1:2" x14ac:dyDescent="0.2">
      <c r="A1897" s="160" t="s">
        <v>4155</v>
      </c>
      <c r="B1897" s="160" t="s">
        <v>4156</v>
      </c>
    </row>
    <row r="1898" spans="1:2" x14ac:dyDescent="0.2">
      <c r="A1898" s="160" t="s">
        <v>4157</v>
      </c>
      <c r="B1898" s="160" t="s">
        <v>4158</v>
      </c>
    </row>
    <row r="1899" spans="1:2" x14ac:dyDescent="0.2">
      <c r="A1899" s="160" t="s">
        <v>4159</v>
      </c>
      <c r="B1899" s="160" t="s">
        <v>4160</v>
      </c>
    </row>
    <row r="1900" spans="1:2" x14ac:dyDescent="0.2">
      <c r="A1900" s="160" t="s">
        <v>6627</v>
      </c>
      <c r="B1900" s="160" t="s">
        <v>6628</v>
      </c>
    </row>
    <row r="1901" spans="1:2" x14ac:dyDescent="0.2">
      <c r="A1901" s="160" t="s">
        <v>4161</v>
      </c>
      <c r="B1901" s="160" t="s">
        <v>4162</v>
      </c>
    </row>
    <row r="1902" spans="1:2" x14ac:dyDescent="0.2">
      <c r="A1902" s="160" t="s">
        <v>4163</v>
      </c>
      <c r="B1902" s="160" t="s">
        <v>4164</v>
      </c>
    </row>
    <row r="1903" spans="1:2" x14ac:dyDescent="0.2">
      <c r="A1903" s="160" t="s">
        <v>4165</v>
      </c>
      <c r="B1903" s="160" t="s">
        <v>4166</v>
      </c>
    </row>
    <row r="1904" spans="1:2" x14ac:dyDescent="0.2">
      <c r="A1904" s="160" t="s">
        <v>4167</v>
      </c>
      <c r="B1904" s="160" t="s">
        <v>4168</v>
      </c>
    </row>
    <row r="1905" spans="1:2" x14ac:dyDescent="0.2">
      <c r="A1905" s="160" t="s">
        <v>4169</v>
      </c>
      <c r="B1905" s="160" t="s">
        <v>4170</v>
      </c>
    </row>
    <row r="1906" spans="1:2" x14ac:dyDescent="0.2">
      <c r="A1906" s="160" t="s">
        <v>4171</v>
      </c>
      <c r="B1906" s="160" t="s">
        <v>6629</v>
      </c>
    </row>
    <row r="1907" spans="1:2" x14ac:dyDescent="0.2">
      <c r="A1907" s="160" t="s">
        <v>4172</v>
      </c>
      <c r="B1907" s="160" t="s">
        <v>4172</v>
      </c>
    </row>
    <row r="1908" spans="1:2" x14ac:dyDescent="0.2">
      <c r="A1908" s="160" t="s">
        <v>4173</v>
      </c>
      <c r="B1908" s="160" t="s">
        <v>6845</v>
      </c>
    </row>
    <row r="1909" spans="1:2" x14ac:dyDescent="0.2">
      <c r="A1909" s="160" t="s">
        <v>4174</v>
      </c>
      <c r="B1909" s="160" t="s">
        <v>4175</v>
      </c>
    </row>
    <row r="1910" spans="1:2" x14ac:dyDescent="0.2">
      <c r="A1910" s="160" t="s">
        <v>4176</v>
      </c>
      <c r="B1910" s="160" t="s">
        <v>4177</v>
      </c>
    </row>
    <row r="1911" spans="1:2" x14ac:dyDescent="0.2">
      <c r="A1911" s="160" t="s">
        <v>4178</v>
      </c>
      <c r="B1911" s="160" t="s">
        <v>4179</v>
      </c>
    </row>
    <row r="1912" spans="1:2" x14ac:dyDescent="0.2">
      <c r="A1912" s="160" t="s">
        <v>4180</v>
      </c>
      <c r="B1912" s="160" t="s">
        <v>4181</v>
      </c>
    </row>
    <row r="1913" spans="1:2" x14ac:dyDescent="0.2">
      <c r="A1913" s="160" t="s">
        <v>4182</v>
      </c>
      <c r="B1913" s="160" t="s">
        <v>4183</v>
      </c>
    </row>
    <row r="1914" spans="1:2" x14ac:dyDescent="0.2">
      <c r="A1914" s="160" t="s">
        <v>4184</v>
      </c>
      <c r="B1914" s="160" t="s">
        <v>4185</v>
      </c>
    </row>
    <row r="1915" spans="1:2" x14ac:dyDescent="0.2">
      <c r="A1915" s="160" t="s">
        <v>4186</v>
      </c>
      <c r="B1915" s="160" t="s">
        <v>4187</v>
      </c>
    </row>
    <row r="1916" spans="1:2" x14ac:dyDescent="0.2">
      <c r="A1916" s="160" t="s">
        <v>4188</v>
      </c>
      <c r="B1916" s="160" t="s">
        <v>4189</v>
      </c>
    </row>
    <row r="1917" spans="1:2" x14ac:dyDescent="0.2">
      <c r="A1917" s="160" t="s">
        <v>4190</v>
      </c>
      <c r="B1917" s="160" t="s">
        <v>4191</v>
      </c>
    </row>
    <row r="1918" spans="1:2" x14ac:dyDescent="0.2">
      <c r="A1918" s="160" t="s">
        <v>4192</v>
      </c>
      <c r="B1918" s="160" t="s">
        <v>4193</v>
      </c>
    </row>
    <row r="1919" spans="1:2" x14ac:dyDescent="0.2">
      <c r="A1919" s="160" t="s">
        <v>4194</v>
      </c>
      <c r="B1919" s="160" t="s">
        <v>4195</v>
      </c>
    </row>
    <row r="1920" spans="1:2" x14ac:dyDescent="0.2">
      <c r="A1920" s="160" t="s">
        <v>4196</v>
      </c>
      <c r="B1920" s="160" t="s">
        <v>4197</v>
      </c>
    </row>
    <row r="1921" spans="1:2" x14ac:dyDescent="0.2">
      <c r="A1921" s="160" t="s">
        <v>4198</v>
      </c>
      <c r="B1921" s="160" t="s">
        <v>4199</v>
      </c>
    </row>
    <row r="1922" spans="1:2" x14ac:dyDescent="0.2">
      <c r="A1922" s="160" t="s">
        <v>4200</v>
      </c>
      <c r="B1922" s="160" t="s">
        <v>4201</v>
      </c>
    </row>
    <row r="1923" spans="1:2" x14ac:dyDescent="0.2">
      <c r="A1923" s="160" t="s">
        <v>4202</v>
      </c>
      <c r="B1923" s="160" t="s">
        <v>4203</v>
      </c>
    </row>
    <row r="1924" spans="1:2" x14ac:dyDescent="0.2">
      <c r="A1924" s="160" t="s">
        <v>4204</v>
      </c>
      <c r="B1924" s="160" t="s">
        <v>4205</v>
      </c>
    </row>
    <row r="1925" spans="1:2" x14ac:dyDescent="0.2">
      <c r="A1925" s="160" t="s">
        <v>6630</v>
      </c>
      <c r="B1925" s="160" t="s">
        <v>6631</v>
      </c>
    </row>
    <row r="1926" spans="1:2" x14ac:dyDescent="0.2">
      <c r="A1926" s="160" t="s">
        <v>4206</v>
      </c>
      <c r="B1926" s="160" t="s">
        <v>4207</v>
      </c>
    </row>
    <row r="1927" spans="1:2" x14ac:dyDescent="0.2">
      <c r="A1927" s="160" t="s">
        <v>4208</v>
      </c>
      <c r="B1927" s="160" t="s">
        <v>4209</v>
      </c>
    </row>
    <row r="1928" spans="1:2" x14ac:dyDescent="0.2">
      <c r="A1928" s="160" t="s">
        <v>4210</v>
      </c>
      <c r="B1928" s="160" t="s">
        <v>4211</v>
      </c>
    </row>
    <row r="1929" spans="1:2" x14ac:dyDescent="0.2">
      <c r="A1929" s="160" t="s">
        <v>4212</v>
      </c>
      <c r="B1929" s="160" t="s">
        <v>4213</v>
      </c>
    </row>
    <row r="1930" spans="1:2" x14ac:dyDescent="0.2">
      <c r="A1930" s="160" t="s">
        <v>4214</v>
      </c>
      <c r="B1930" s="160" t="s">
        <v>4215</v>
      </c>
    </row>
    <row r="1931" spans="1:2" x14ac:dyDescent="0.2">
      <c r="A1931" s="160" t="s">
        <v>6632</v>
      </c>
      <c r="B1931" s="160" t="s">
        <v>6633</v>
      </c>
    </row>
    <row r="1932" spans="1:2" x14ac:dyDescent="0.2">
      <c r="A1932" s="160" t="s">
        <v>4216</v>
      </c>
      <c r="B1932" s="160" t="s">
        <v>4217</v>
      </c>
    </row>
    <row r="1933" spans="1:2" x14ac:dyDescent="0.2">
      <c r="A1933" s="160" t="s">
        <v>4218</v>
      </c>
      <c r="B1933" s="160" t="s">
        <v>4219</v>
      </c>
    </row>
    <row r="1934" spans="1:2" x14ac:dyDescent="0.2">
      <c r="A1934" s="160" t="s">
        <v>4220</v>
      </c>
      <c r="B1934" s="160" t="s">
        <v>4221</v>
      </c>
    </row>
    <row r="1935" spans="1:2" x14ac:dyDescent="0.2">
      <c r="A1935" s="160" t="s">
        <v>4222</v>
      </c>
      <c r="B1935" s="160" t="s">
        <v>4223</v>
      </c>
    </row>
    <row r="1936" spans="1:2" x14ac:dyDescent="0.2">
      <c r="A1936" s="160" t="s">
        <v>6634</v>
      </c>
      <c r="B1936" s="160" t="s">
        <v>6635</v>
      </c>
    </row>
    <row r="1937" spans="1:2" x14ac:dyDescent="0.2">
      <c r="A1937" s="160" t="s">
        <v>6636</v>
      </c>
      <c r="B1937" s="160" t="s">
        <v>6637</v>
      </c>
    </row>
    <row r="1938" spans="1:2" x14ac:dyDescent="0.2">
      <c r="A1938" s="160" t="s">
        <v>4224</v>
      </c>
      <c r="B1938" s="160" t="s">
        <v>4225</v>
      </c>
    </row>
    <row r="1939" spans="1:2" x14ac:dyDescent="0.2">
      <c r="A1939" s="160" t="s">
        <v>4226</v>
      </c>
      <c r="B1939" s="160" t="s">
        <v>4227</v>
      </c>
    </row>
    <row r="1940" spans="1:2" x14ac:dyDescent="0.2">
      <c r="A1940" s="160" t="s">
        <v>4228</v>
      </c>
      <c r="B1940" s="160" t="s">
        <v>4229</v>
      </c>
    </row>
    <row r="1941" spans="1:2" x14ac:dyDescent="0.2">
      <c r="A1941" s="160" t="s">
        <v>4230</v>
      </c>
      <c r="B1941" s="160" t="s">
        <v>4231</v>
      </c>
    </row>
    <row r="1942" spans="1:2" x14ac:dyDescent="0.2">
      <c r="A1942" s="160" t="s">
        <v>4232</v>
      </c>
      <c r="B1942" s="160" t="s">
        <v>4233</v>
      </c>
    </row>
    <row r="1943" spans="1:2" x14ac:dyDescent="0.2">
      <c r="A1943" s="160" t="s">
        <v>4234</v>
      </c>
      <c r="B1943" s="160" t="s">
        <v>4235</v>
      </c>
    </row>
    <row r="1944" spans="1:2" x14ac:dyDescent="0.2">
      <c r="A1944" s="160" t="s">
        <v>4236</v>
      </c>
      <c r="B1944" s="160" t="s">
        <v>4237</v>
      </c>
    </row>
    <row r="1945" spans="1:2" x14ac:dyDescent="0.2">
      <c r="A1945" s="160" t="s">
        <v>4238</v>
      </c>
      <c r="B1945" s="160" t="s">
        <v>4239</v>
      </c>
    </row>
    <row r="1946" spans="1:2" x14ac:dyDescent="0.2">
      <c r="A1946" s="160" t="s">
        <v>4240</v>
      </c>
      <c r="B1946" s="160" t="s">
        <v>4241</v>
      </c>
    </row>
    <row r="1947" spans="1:2" x14ac:dyDescent="0.2">
      <c r="A1947" s="160" t="s">
        <v>4242</v>
      </c>
      <c r="B1947" s="160" t="s">
        <v>4243</v>
      </c>
    </row>
    <row r="1948" spans="1:2" x14ac:dyDescent="0.2">
      <c r="A1948" s="160" t="s">
        <v>4244</v>
      </c>
      <c r="B1948" s="160" t="s">
        <v>4245</v>
      </c>
    </row>
    <row r="1949" spans="1:2" x14ac:dyDescent="0.2">
      <c r="A1949" s="160" t="s">
        <v>4246</v>
      </c>
      <c r="B1949" s="160" t="s">
        <v>4247</v>
      </c>
    </row>
    <row r="1950" spans="1:2" x14ac:dyDescent="0.2">
      <c r="A1950" s="160" t="s">
        <v>4248</v>
      </c>
      <c r="B1950" s="160" t="s">
        <v>4249</v>
      </c>
    </row>
    <row r="1951" spans="1:2" x14ac:dyDescent="0.2">
      <c r="A1951" s="160" t="s">
        <v>4250</v>
      </c>
      <c r="B1951" s="160" t="s">
        <v>4251</v>
      </c>
    </row>
    <row r="1952" spans="1:2" x14ac:dyDescent="0.2">
      <c r="A1952" s="160" t="s">
        <v>4252</v>
      </c>
      <c r="B1952" s="160" t="s">
        <v>4253</v>
      </c>
    </row>
    <row r="1953" spans="1:2" x14ac:dyDescent="0.2">
      <c r="A1953" s="160" t="s">
        <v>4254</v>
      </c>
      <c r="B1953" s="160" t="s">
        <v>4255</v>
      </c>
    </row>
    <row r="1954" spans="1:2" x14ac:dyDescent="0.2">
      <c r="A1954" s="160" t="s">
        <v>4256</v>
      </c>
      <c r="B1954" s="160" t="s">
        <v>4257</v>
      </c>
    </row>
    <row r="1955" spans="1:2" x14ac:dyDescent="0.2">
      <c r="A1955" s="160" t="s">
        <v>4258</v>
      </c>
      <c r="B1955" s="160" t="s">
        <v>4259</v>
      </c>
    </row>
    <row r="1956" spans="1:2" x14ac:dyDescent="0.2">
      <c r="A1956" s="160" t="s">
        <v>4260</v>
      </c>
      <c r="B1956" s="160" t="s">
        <v>4261</v>
      </c>
    </row>
    <row r="1957" spans="1:2" x14ac:dyDescent="0.2">
      <c r="A1957" s="160" t="s">
        <v>4262</v>
      </c>
      <c r="B1957" s="160" t="s">
        <v>4263</v>
      </c>
    </row>
    <row r="1958" spans="1:2" x14ac:dyDescent="0.2">
      <c r="A1958" s="160" t="s">
        <v>4264</v>
      </c>
      <c r="B1958" s="160" t="s">
        <v>4265</v>
      </c>
    </row>
    <row r="1959" spans="1:2" x14ac:dyDescent="0.2">
      <c r="A1959" s="160" t="s">
        <v>4266</v>
      </c>
      <c r="B1959" s="160" t="s">
        <v>4267</v>
      </c>
    </row>
    <row r="1960" spans="1:2" x14ac:dyDescent="0.2">
      <c r="A1960" s="160" t="s">
        <v>4268</v>
      </c>
      <c r="B1960" s="160" t="s">
        <v>4269</v>
      </c>
    </row>
    <row r="1961" spans="1:2" x14ac:dyDescent="0.2">
      <c r="A1961" s="160" t="s">
        <v>4270</v>
      </c>
      <c r="B1961" s="160" t="s">
        <v>4271</v>
      </c>
    </row>
    <row r="1962" spans="1:2" x14ac:dyDescent="0.2">
      <c r="A1962" s="160" t="s">
        <v>4272</v>
      </c>
      <c r="B1962" s="160" t="s">
        <v>4273</v>
      </c>
    </row>
    <row r="1963" spans="1:2" x14ac:dyDescent="0.2">
      <c r="A1963" s="160" t="s">
        <v>4274</v>
      </c>
      <c r="B1963" s="160" t="s">
        <v>4275</v>
      </c>
    </row>
    <row r="1964" spans="1:2" x14ac:dyDescent="0.2">
      <c r="A1964" s="160" t="s">
        <v>4276</v>
      </c>
      <c r="B1964" s="160" t="s">
        <v>4277</v>
      </c>
    </row>
    <row r="1965" spans="1:2" x14ac:dyDescent="0.2">
      <c r="A1965" s="160" t="s">
        <v>4278</v>
      </c>
      <c r="B1965" s="160" t="s">
        <v>4279</v>
      </c>
    </row>
    <row r="1966" spans="1:2" x14ac:dyDescent="0.2">
      <c r="A1966" s="160" t="s">
        <v>4280</v>
      </c>
      <c r="B1966" s="160" t="s">
        <v>4281</v>
      </c>
    </row>
    <row r="1967" spans="1:2" x14ac:dyDescent="0.2">
      <c r="A1967" s="160" t="s">
        <v>4282</v>
      </c>
      <c r="B1967" s="160" t="s">
        <v>4283</v>
      </c>
    </row>
    <row r="1968" spans="1:2" x14ac:dyDescent="0.2">
      <c r="A1968" s="160" t="s">
        <v>4284</v>
      </c>
      <c r="B1968" s="160" t="s">
        <v>4285</v>
      </c>
    </row>
    <row r="1969" spans="1:2" x14ac:dyDescent="0.2">
      <c r="A1969" s="160" t="s">
        <v>4286</v>
      </c>
      <c r="B1969" s="160" t="s">
        <v>4287</v>
      </c>
    </row>
    <row r="1970" spans="1:2" x14ac:dyDescent="0.2">
      <c r="A1970" s="160" t="s">
        <v>4288</v>
      </c>
      <c r="B1970" s="160" t="s">
        <v>4289</v>
      </c>
    </row>
    <row r="1971" spans="1:2" x14ac:dyDescent="0.2">
      <c r="A1971" s="160" t="s">
        <v>4290</v>
      </c>
      <c r="B1971" s="160" t="s">
        <v>4291</v>
      </c>
    </row>
    <row r="1972" spans="1:2" x14ac:dyDescent="0.2">
      <c r="A1972" s="160" t="s">
        <v>4292</v>
      </c>
      <c r="B1972" s="160" t="s">
        <v>4293</v>
      </c>
    </row>
    <row r="1973" spans="1:2" x14ac:dyDescent="0.2">
      <c r="A1973" s="160" t="s">
        <v>4294</v>
      </c>
      <c r="B1973" s="160" t="s">
        <v>4295</v>
      </c>
    </row>
    <row r="1974" spans="1:2" x14ac:dyDescent="0.2">
      <c r="A1974" s="160" t="s">
        <v>4296</v>
      </c>
      <c r="B1974" s="160" t="s">
        <v>4297</v>
      </c>
    </row>
    <row r="1975" spans="1:2" x14ac:dyDescent="0.2">
      <c r="A1975" s="160" t="s">
        <v>4298</v>
      </c>
      <c r="B1975" s="160" t="s">
        <v>4299</v>
      </c>
    </row>
    <row r="1976" spans="1:2" x14ac:dyDescent="0.2">
      <c r="A1976" s="160" t="s">
        <v>4300</v>
      </c>
      <c r="B1976" s="160" t="s">
        <v>4301</v>
      </c>
    </row>
    <row r="1977" spans="1:2" x14ac:dyDescent="0.2">
      <c r="A1977" s="160" t="s">
        <v>4302</v>
      </c>
      <c r="B1977" s="160" t="s">
        <v>4303</v>
      </c>
    </row>
    <row r="1978" spans="1:2" x14ac:dyDescent="0.2">
      <c r="A1978" s="160" t="s">
        <v>4304</v>
      </c>
      <c r="B1978" s="160" t="s">
        <v>4305</v>
      </c>
    </row>
    <row r="1979" spans="1:2" x14ac:dyDescent="0.2">
      <c r="A1979" s="160" t="s">
        <v>4306</v>
      </c>
      <c r="B1979" s="160" t="s">
        <v>4307</v>
      </c>
    </row>
    <row r="1980" spans="1:2" x14ac:dyDescent="0.2">
      <c r="A1980" s="160" t="s">
        <v>4308</v>
      </c>
      <c r="B1980" s="160" t="s">
        <v>4309</v>
      </c>
    </row>
    <row r="1981" spans="1:2" x14ac:dyDescent="0.2">
      <c r="A1981" s="160" t="s">
        <v>4310</v>
      </c>
      <c r="B1981" s="160" t="s">
        <v>4311</v>
      </c>
    </row>
    <row r="1982" spans="1:2" x14ac:dyDescent="0.2">
      <c r="A1982" s="160" t="s">
        <v>4312</v>
      </c>
      <c r="B1982" s="160" t="s">
        <v>4313</v>
      </c>
    </row>
    <row r="1983" spans="1:2" x14ac:dyDescent="0.2">
      <c r="A1983" s="160" t="s">
        <v>4314</v>
      </c>
      <c r="B1983" s="160" t="s">
        <v>4315</v>
      </c>
    </row>
    <row r="1984" spans="1:2" x14ac:dyDescent="0.2">
      <c r="A1984" s="160" t="s">
        <v>4316</v>
      </c>
      <c r="B1984" s="160" t="s">
        <v>4317</v>
      </c>
    </row>
    <row r="1985" spans="1:2" x14ac:dyDescent="0.2">
      <c r="A1985" s="160" t="s">
        <v>4318</v>
      </c>
      <c r="B1985" s="160" t="s">
        <v>4319</v>
      </c>
    </row>
    <row r="1986" spans="1:2" x14ac:dyDescent="0.2">
      <c r="A1986" s="160" t="s">
        <v>4320</v>
      </c>
      <c r="B1986" s="160" t="s">
        <v>4321</v>
      </c>
    </row>
    <row r="1987" spans="1:2" x14ac:dyDescent="0.2">
      <c r="A1987" s="160" t="s">
        <v>4322</v>
      </c>
      <c r="B1987" s="160" t="s">
        <v>4323</v>
      </c>
    </row>
    <row r="1988" spans="1:2" x14ac:dyDescent="0.2">
      <c r="A1988" s="160" t="s">
        <v>4324</v>
      </c>
      <c r="B1988" s="160" t="s">
        <v>4325</v>
      </c>
    </row>
    <row r="1989" spans="1:2" x14ac:dyDescent="0.2">
      <c r="A1989" s="160" t="s">
        <v>4326</v>
      </c>
      <c r="B1989" s="160" t="s">
        <v>4327</v>
      </c>
    </row>
    <row r="1990" spans="1:2" x14ac:dyDescent="0.2">
      <c r="A1990" s="160" t="s">
        <v>4328</v>
      </c>
      <c r="B1990" s="160" t="s">
        <v>4329</v>
      </c>
    </row>
    <row r="1991" spans="1:2" x14ac:dyDescent="0.2">
      <c r="A1991" s="160" t="s">
        <v>4330</v>
      </c>
      <c r="B1991" s="160" t="s">
        <v>4331</v>
      </c>
    </row>
    <row r="1992" spans="1:2" x14ac:dyDescent="0.2">
      <c r="A1992" s="160" t="s">
        <v>4332</v>
      </c>
      <c r="B1992" s="160" t="s">
        <v>6638</v>
      </c>
    </row>
    <row r="1993" spans="1:2" x14ac:dyDescent="0.2">
      <c r="A1993" s="160" t="s">
        <v>4333</v>
      </c>
      <c r="B1993" s="160" t="s">
        <v>4334</v>
      </c>
    </row>
    <row r="1994" spans="1:2" x14ac:dyDescent="0.2">
      <c r="A1994" s="160" t="s">
        <v>4335</v>
      </c>
      <c r="B1994" s="160" t="s">
        <v>4336</v>
      </c>
    </row>
    <row r="1995" spans="1:2" x14ac:dyDescent="0.2">
      <c r="A1995" s="160" t="s">
        <v>4337</v>
      </c>
      <c r="B1995" s="160" t="s">
        <v>4338</v>
      </c>
    </row>
    <row r="1996" spans="1:2" x14ac:dyDescent="0.2">
      <c r="A1996" s="160" t="s">
        <v>4339</v>
      </c>
      <c r="B1996" s="160" t="s">
        <v>4340</v>
      </c>
    </row>
    <row r="1997" spans="1:2" x14ac:dyDescent="0.2">
      <c r="A1997" s="160" t="s">
        <v>4341</v>
      </c>
      <c r="B1997" s="160" t="s">
        <v>4342</v>
      </c>
    </row>
    <row r="1998" spans="1:2" x14ac:dyDescent="0.2">
      <c r="A1998" s="160" t="s">
        <v>4343</v>
      </c>
      <c r="B1998" s="160" t="s">
        <v>4344</v>
      </c>
    </row>
    <row r="1999" spans="1:2" x14ac:dyDescent="0.2">
      <c r="A1999" s="160" t="s">
        <v>4345</v>
      </c>
      <c r="B1999" s="160" t="s">
        <v>4346</v>
      </c>
    </row>
    <row r="2000" spans="1:2" x14ac:dyDescent="0.2">
      <c r="A2000" s="160" t="s">
        <v>4347</v>
      </c>
      <c r="B2000" s="160" t="s">
        <v>4348</v>
      </c>
    </row>
    <row r="2001" spans="1:2" x14ac:dyDescent="0.2">
      <c r="A2001" s="160" t="s">
        <v>4349</v>
      </c>
      <c r="B2001" s="160" t="s">
        <v>4350</v>
      </c>
    </row>
    <row r="2002" spans="1:2" x14ac:dyDescent="0.2">
      <c r="A2002" s="160" t="s">
        <v>4351</v>
      </c>
      <c r="B2002" s="160" t="s">
        <v>4352</v>
      </c>
    </row>
    <row r="2003" spans="1:2" x14ac:dyDescent="0.2">
      <c r="A2003" s="160" t="s">
        <v>4353</v>
      </c>
      <c r="B2003" s="160" t="s">
        <v>4354</v>
      </c>
    </row>
    <row r="2004" spans="1:2" x14ac:dyDescent="0.2">
      <c r="A2004" s="160" t="s">
        <v>6639</v>
      </c>
      <c r="B2004" s="160" t="s">
        <v>6640</v>
      </c>
    </row>
    <row r="2005" spans="1:2" x14ac:dyDescent="0.2">
      <c r="A2005" s="160" t="s">
        <v>6641</v>
      </c>
      <c r="B2005" s="160" t="s">
        <v>6642</v>
      </c>
    </row>
    <row r="2006" spans="1:2" x14ac:dyDescent="0.2">
      <c r="A2006" s="160" t="s">
        <v>4355</v>
      </c>
      <c r="B2006" s="160" t="s">
        <v>4356</v>
      </c>
    </row>
    <row r="2007" spans="1:2" x14ac:dyDescent="0.2">
      <c r="A2007" s="160" t="s">
        <v>6643</v>
      </c>
      <c r="B2007" s="160" t="s">
        <v>6644</v>
      </c>
    </row>
    <row r="2008" spans="1:2" x14ac:dyDescent="0.2">
      <c r="A2008" s="160" t="s">
        <v>4357</v>
      </c>
      <c r="B2008" s="160" t="s">
        <v>4358</v>
      </c>
    </row>
    <row r="2009" spans="1:2" x14ac:dyDescent="0.2">
      <c r="A2009" s="160" t="s">
        <v>4359</v>
      </c>
      <c r="B2009" s="160" t="s">
        <v>4360</v>
      </c>
    </row>
    <row r="2010" spans="1:2" x14ac:dyDescent="0.2">
      <c r="A2010" s="160" t="s">
        <v>4361</v>
      </c>
      <c r="B2010" s="160" t="s">
        <v>4362</v>
      </c>
    </row>
    <row r="2011" spans="1:2" x14ac:dyDescent="0.2">
      <c r="A2011" s="160" t="s">
        <v>4363</v>
      </c>
      <c r="B2011" s="160" t="s">
        <v>4364</v>
      </c>
    </row>
    <row r="2012" spans="1:2" x14ac:dyDescent="0.2">
      <c r="A2012" s="160" t="s">
        <v>4365</v>
      </c>
      <c r="B2012" s="160" t="s">
        <v>4366</v>
      </c>
    </row>
    <row r="2013" spans="1:2" x14ac:dyDescent="0.2">
      <c r="A2013" s="160" t="s">
        <v>4367</v>
      </c>
      <c r="B2013" s="160" t="s">
        <v>4368</v>
      </c>
    </row>
    <row r="2014" spans="1:2" x14ac:dyDescent="0.2">
      <c r="A2014" s="160" t="s">
        <v>4369</v>
      </c>
      <c r="B2014" s="160" t="s">
        <v>4370</v>
      </c>
    </row>
    <row r="2015" spans="1:2" x14ac:dyDescent="0.2">
      <c r="A2015" s="160" t="s">
        <v>6645</v>
      </c>
      <c r="B2015" s="160" t="s">
        <v>6646</v>
      </c>
    </row>
    <row r="2016" spans="1:2" x14ac:dyDescent="0.2">
      <c r="A2016" s="160" t="s">
        <v>6647</v>
      </c>
      <c r="B2016" s="160" t="s">
        <v>6648</v>
      </c>
    </row>
    <row r="2017" spans="1:2" x14ac:dyDescent="0.2">
      <c r="A2017" s="160" t="s">
        <v>4371</v>
      </c>
      <c r="B2017" s="160" t="s">
        <v>4372</v>
      </c>
    </row>
    <row r="2018" spans="1:2" x14ac:dyDescent="0.2">
      <c r="A2018" s="160" t="s">
        <v>4373</v>
      </c>
      <c r="B2018" s="160" t="s">
        <v>4374</v>
      </c>
    </row>
    <row r="2019" spans="1:2" x14ac:dyDescent="0.2">
      <c r="A2019" s="160" t="s">
        <v>4375</v>
      </c>
      <c r="B2019" s="160" t="s">
        <v>4376</v>
      </c>
    </row>
    <row r="2020" spans="1:2" x14ac:dyDescent="0.2">
      <c r="A2020" s="160" t="s">
        <v>4377</v>
      </c>
      <c r="B2020" s="160" t="s">
        <v>4378</v>
      </c>
    </row>
    <row r="2021" spans="1:2" x14ac:dyDescent="0.2">
      <c r="A2021" s="160" t="s">
        <v>4379</v>
      </c>
      <c r="B2021" s="160" t="s">
        <v>4380</v>
      </c>
    </row>
    <row r="2022" spans="1:2" x14ac:dyDescent="0.2">
      <c r="A2022" s="160" t="s">
        <v>4381</v>
      </c>
      <c r="B2022" s="160" t="s">
        <v>4382</v>
      </c>
    </row>
    <row r="2023" spans="1:2" x14ac:dyDescent="0.2">
      <c r="A2023" s="160" t="s">
        <v>4383</v>
      </c>
      <c r="B2023" s="160" t="s">
        <v>4384</v>
      </c>
    </row>
    <row r="2024" spans="1:2" x14ac:dyDescent="0.2">
      <c r="A2024" s="160" t="s">
        <v>4385</v>
      </c>
      <c r="B2024" s="160" t="s">
        <v>4386</v>
      </c>
    </row>
    <row r="2025" spans="1:2" x14ac:dyDescent="0.2">
      <c r="A2025" s="160" t="s">
        <v>4387</v>
      </c>
      <c r="B2025" s="160" t="s">
        <v>4388</v>
      </c>
    </row>
    <row r="2026" spans="1:2" x14ac:dyDescent="0.2">
      <c r="A2026" s="160" t="s">
        <v>4389</v>
      </c>
      <c r="B2026" s="160" t="s">
        <v>4390</v>
      </c>
    </row>
    <row r="2027" spans="1:2" x14ac:dyDescent="0.2">
      <c r="A2027" s="160" t="s">
        <v>4391</v>
      </c>
      <c r="B2027" s="160" t="s">
        <v>4392</v>
      </c>
    </row>
    <row r="2028" spans="1:2" x14ac:dyDescent="0.2">
      <c r="A2028" s="160" t="s">
        <v>4393</v>
      </c>
      <c r="B2028" s="160" t="s">
        <v>4394</v>
      </c>
    </row>
    <row r="2029" spans="1:2" x14ac:dyDescent="0.2">
      <c r="A2029" s="160" t="s">
        <v>4395</v>
      </c>
      <c r="B2029" s="160" t="s">
        <v>4396</v>
      </c>
    </row>
    <row r="2030" spans="1:2" x14ac:dyDescent="0.2">
      <c r="A2030" s="160" t="s">
        <v>4397</v>
      </c>
      <c r="B2030" s="160" t="s">
        <v>4398</v>
      </c>
    </row>
    <row r="2031" spans="1:2" x14ac:dyDescent="0.2">
      <c r="A2031" s="160" t="s">
        <v>4399</v>
      </c>
      <c r="B2031" s="160" t="s">
        <v>4400</v>
      </c>
    </row>
    <row r="2032" spans="1:2" x14ac:dyDescent="0.2">
      <c r="A2032" s="160" t="s">
        <v>4401</v>
      </c>
      <c r="B2032" s="160" t="s">
        <v>4402</v>
      </c>
    </row>
    <row r="2033" spans="1:2" x14ac:dyDescent="0.2">
      <c r="A2033" s="160" t="s">
        <v>6649</v>
      </c>
      <c r="B2033" s="160" t="s">
        <v>6650</v>
      </c>
    </row>
    <row r="2034" spans="1:2" x14ac:dyDescent="0.2">
      <c r="A2034" s="160" t="s">
        <v>4403</v>
      </c>
      <c r="B2034" s="160" t="s">
        <v>4404</v>
      </c>
    </row>
    <row r="2035" spans="1:2" x14ac:dyDescent="0.2">
      <c r="A2035" s="160" t="s">
        <v>4405</v>
      </c>
      <c r="B2035" s="160" t="s">
        <v>4406</v>
      </c>
    </row>
    <row r="2036" spans="1:2" x14ac:dyDescent="0.2">
      <c r="A2036" s="160" t="s">
        <v>4407</v>
      </c>
      <c r="B2036" s="160" t="s">
        <v>4408</v>
      </c>
    </row>
    <row r="2037" spans="1:2" x14ac:dyDescent="0.2">
      <c r="A2037" s="160" t="s">
        <v>4409</v>
      </c>
      <c r="B2037" s="160" t="s">
        <v>4410</v>
      </c>
    </row>
    <row r="2038" spans="1:2" x14ac:dyDescent="0.2">
      <c r="A2038" s="160" t="s">
        <v>4411</v>
      </c>
      <c r="B2038" s="160" t="s">
        <v>4412</v>
      </c>
    </row>
    <row r="2039" spans="1:2" x14ac:dyDescent="0.2">
      <c r="A2039" s="160" t="s">
        <v>4413</v>
      </c>
      <c r="B2039" s="160" t="s">
        <v>4414</v>
      </c>
    </row>
    <row r="2040" spans="1:2" x14ac:dyDescent="0.2">
      <c r="A2040" s="160" t="s">
        <v>4415</v>
      </c>
      <c r="B2040" s="160" t="s">
        <v>4416</v>
      </c>
    </row>
    <row r="2041" spans="1:2" x14ac:dyDescent="0.2">
      <c r="A2041" s="160" t="s">
        <v>4417</v>
      </c>
      <c r="B2041" s="160" t="s">
        <v>4418</v>
      </c>
    </row>
    <row r="2042" spans="1:2" x14ac:dyDescent="0.2">
      <c r="A2042" s="160" t="s">
        <v>4419</v>
      </c>
      <c r="B2042" s="160" t="s">
        <v>4420</v>
      </c>
    </row>
    <row r="2043" spans="1:2" x14ac:dyDescent="0.2">
      <c r="A2043" s="160" t="s">
        <v>4421</v>
      </c>
      <c r="B2043" s="160" t="s">
        <v>4422</v>
      </c>
    </row>
    <row r="2044" spans="1:2" x14ac:dyDescent="0.2">
      <c r="A2044" s="160" t="s">
        <v>4423</v>
      </c>
      <c r="B2044" s="160" t="s">
        <v>4424</v>
      </c>
    </row>
    <row r="2045" spans="1:2" x14ac:dyDescent="0.2">
      <c r="A2045" s="160" t="s">
        <v>4425</v>
      </c>
      <c r="B2045" s="160" t="s">
        <v>4426</v>
      </c>
    </row>
    <row r="2046" spans="1:2" x14ac:dyDescent="0.2">
      <c r="A2046" s="160" t="s">
        <v>4427</v>
      </c>
      <c r="B2046" s="160" t="s">
        <v>4428</v>
      </c>
    </row>
    <row r="2047" spans="1:2" x14ac:dyDescent="0.2">
      <c r="A2047" s="160" t="s">
        <v>4429</v>
      </c>
      <c r="B2047" s="160" t="s">
        <v>4430</v>
      </c>
    </row>
    <row r="2048" spans="1:2" x14ac:dyDescent="0.2">
      <c r="A2048" s="160" t="s">
        <v>4431</v>
      </c>
      <c r="B2048" s="160" t="s">
        <v>4432</v>
      </c>
    </row>
    <row r="2049" spans="1:2" x14ac:dyDescent="0.2">
      <c r="A2049" s="160" t="s">
        <v>4433</v>
      </c>
      <c r="B2049" s="160" t="s">
        <v>4434</v>
      </c>
    </row>
    <row r="2050" spans="1:2" x14ac:dyDescent="0.2">
      <c r="A2050" s="160" t="s">
        <v>4435</v>
      </c>
      <c r="B2050" s="160" t="s">
        <v>4436</v>
      </c>
    </row>
    <row r="2051" spans="1:2" x14ac:dyDescent="0.2">
      <c r="A2051" s="160" t="s">
        <v>4437</v>
      </c>
      <c r="B2051" s="160" t="s">
        <v>4438</v>
      </c>
    </row>
    <row r="2052" spans="1:2" x14ac:dyDescent="0.2">
      <c r="A2052" s="160" t="s">
        <v>4439</v>
      </c>
      <c r="B2052" s="160" t="s">
        <v>4440</v>
      </c>
    </row>
    <row r="2053" spans="1:2" x14ac:dyDescent="0.2">
      <c r="A2053" s="160" t="s">
        <v>4441</v>
      </c>
      <c r="B2053" s="160" t="s">
        <v>4442</v>
      </c>
    </row>
    <row r="2054" spans="1:2" x14ac:dyDescent="0.2">
      <c r="A2054" s="160" t="s">
        <v>4443</v>
      </c>
      <c r="B2054" s="160" t="s">
        <v>4444</v>
      </c>
    </row>
    <row r="2055" spans="1:2" x14ac:dyDescent="0.2">
      <c r="A2055" s="160" t="s">
        <v>6651</v>
      </c>
      <c r="B2055" s="160" t="s">
        <v>6652</v>
      </c>
    </row>
    <row r="2056" spans="1:2" x14ac:dyDescent="0.2">
      <c r="A2056" s="160" t="s">
        <v>4445</v>
      </c>
      <c r="B2056" s="160" t="s">
        <v>4446</v>
      </c>
    </row>
    <row r="2057" spans="1:2" x14ac:dyDescent="0.2">
      <c r="A2057" s="160" t="s">
        <v>4447</v>
      </c>
      <c r="B2057" s="160" t="s">
        <v>4448</v>
      </c>
    </row>
    <row r="2058" spans="1:2" x14ac:dyDescent="0.2">
      <c r="A2058" s="160" t="s">
        <v>4449</v>
      </c>
      <c r="B2058" s="160" t="s">
        <v>4450</v>
      </c>
    </row>
    <row r="2059" spans="1:2" x14ac:dyDescent="0.2">
      <c r="A2059" s="160" t="s">
        <v>4451</v>
      </c>
      <c r="B2059" s="160" t="s">
        <v>4452</v>
      </c>
    </row>
    <row r="2060" spans="1:2" x14ac:dyDescent="0.2">
      <c r="A2060" s="160" t="s">
        <v>4453</v>
      </c>
      <c r="B2060" s="160" t="s">
        <v>4454</v>
      </c>
    </row>
    <row r="2061" spans="1:2" x14ac:dyDescent="0.2">
      <c r="A2061" s="160" t="s">
        <v>6653</v>
      </c>
      <c r="B2061" s="160" t="s">
        <v>6654</v>
      </c>
    </row>
    <row r="2062" spans="1:2" x14ac:dyDescent="0.2">
      <c r="A2062" s="160" t="s">
        <v>6655</v>
      </c>
      <c r="B2062" s="160" t="s">
        <v>6656</v>
      </c>
    </row>
    <row r="2063" spans="1:2" x14ac:dyDescent="0.2">
      <c r="A2063" s="160" t="s">
        <v>4455</v>
      </c>
      <c r="B2063" s="160" t="s">
        <v>4456</v>
      </c>
    </row>
    <row r="2064" spans="1:2" x14ac:dyDescent="0.2">
      <c r="A2064" s="160" t="s">
        <v>4457</v>
      </c>
      <c r="B2064" s="160" t="s">
        <v>4458</v>
      </c>
    </row>
    <row r="2065" spans="1:2" x14ac:dyDescent="0.2">
      <c r="A2065" s="160" t="s">
        <v>4459</v>
      </c>
      <c r="B2065" s="160" t="s">
        <v>4460</v>
      </c>
    </row>
    <row r="2066" spans="1:2" x14ac:dyDescent="0.2">
      <c r="A2066" s="160" t="s">
        <v>4461</v>
      </c>
      <c r="B2066" s="160" t="s">
        <v>4462</v>
      </c>
    </row>
    <row r="2067" spans="1:2" x14ac:dyDescent="0.2">
      <c r="A2067" s="160" t="s">
        <v>4463</v>
      </c>
      <c r="B2067" s="160" t="s">
        <v>4464</v>
      </c>
    </row>
    <row r="2068" spans="1:2" x14ac:dyDescent="0.2">
      <c r="A2068" s="160" t="s">
        <v>4465</v>
      </c>
      <c r="B2068" s="160" t="s">
        <v>4466</v>
      </c>
    </row>
    <row r="2069" spans="1:2" x14ac:dyDescent="0.2">
      <c r="A2069" s="160" t="s">
        <v>4467</v>
      </c>
      <c r="B2069" s="160" t="s">
        <v>4468</v>
      </c>
    </row>
    <row r="2070" spans="1:2" x14ac:dyDescent="0.2">
      <c r="A2070" s="160" t="s">
        <v>4469</v>
      </c>
      <c r="B2070" s="160" t="s">
        <v>4470</v>
      </c>
    </row>
    <row r="2071" spans="1:2" x14ac:dyDescent="0.2">
      <c r="A2071" s="160" t="s">
        <v>4471</v>
      </c>
      <c r="B2071" s="160" t="s">
        <v>4472</v>
      </c>
    </row>
    <row r="2072" spans="1:2" x14ac:dyDescent="0.2">
      <c r="A2072" s="160" t="s">
        <v>4473</v>
      </c>
      <c r="B2072" s="160" t="s">
        <v>4474</v>
      </c>
    </row>
    <row r="2073" spans="1:2" x14ac:dyDescent="0.2">
      <c r="A2073" s="160" t="s">
        <v>4475</v>
      </c>
      <c r="B2073" s="160" t="s">
        <v>4476</v>
      </c>
    </row>
    <row r="2074" spans="1:2" x14ac:dyDescent="0.2">
      <c r="A2074" s="160" t="s">
        <v>4477</v>
      </c>
      <c r="B2074" s="160" t="s">
        <v>4478</v>
      </c>
    </row>
    <row r="2075" spans="1:2" x14ac:dyDescent="0.2">
      <c r="A2075" s="160" t="s">
        <v>4479</v>
      </c>
      <c r="B2075" s="160" t="s">
        <v>4480</v>
      </c>
    </row>
    <row r="2076" spans="1:2" x14ac:dyDescent="0.2">
      <c r="A2076" s="160" t="s">
        <v>4481</v>
      </c>
      <c r="B2076" s="160" t="s">
        <v>4482</v>
      </c>
    </row>
    <row r="2077" spans="1:2" x14ac:dyDescent="0.2">
      <c r="A2077" s="160" t="s">
        <v>4483</v>
      </c>
      <c r="B2077" s="160" t="s">
        <v>4484</v>
      </c>
    </row>
    <row r="2078" spans="1:2" x14ac:dyDescent="0.2">
      <c r="A2078" s="160" t="s">
        <v>4485</v>
      </c>
      <c r="B2078" s="160" t="s">
        <v>4486</v>
      </c>
    </row>
    <row r="2079" spans="1:2" x14ac:dyDescent="0.2">
      <c r="A2079" s="160" t="s">
        <v>4487</v>
      </c>
      <c r="B2079" s="160" t="s">
        <v>4488</v>
      </c>
    </row>
    <row r="2080" spans="1:2" x14ac:dyDescent="0.2">
      <c r="A2080" s="160" t="s">
        <v>4489</v>
      </c>
      <c r="B2080" s="160" t="s">
        <v>4490</v>
      </c>
    </row>
    <row r="2081" spans="1:2" x14ac:dyDescent="0.2">
      <c r="A2081" s="160" t="s">
        <v>4491</v>
      </c>
      <c r="B2081" s="160" t="s">
        <v>4492</v>
      </c>
    </row>
    <row r="2082" spans="1:2" x14ac:dyDescent="0.2">
      <c r="A2082" s="160" t="s">
        <v>4493</v>
      </c>
      <c r="B2082" s="160" t="s">
        <v>4494</v>
      </c>
    </row>
    <row r="2083" spans="1:2" x14ac:dyDescent="0.2">
      <c r="A2083" s="160" t="s">
        <v>6657</v>
      </c>
      <c r="B2083" s="160" t="s">
        <v>6658</v>
      </c>
    </row>
    <row r="2084" spans="1:2" x14ac:dyDescent="0.2">
      <c r="A2084" s="160" t="s">
        <v>4495</v>
      </c>
      <c r="B2084" s="160" t="s">
        <v>4496</v>
      </c>
    </row>
    <row r="2085" spans="1:2" x14ac:dyDescent="0.2">
      <c r="A2085" s="160" t="s">
        <v>4497</v>
      </c>
      <c r="B2085" s="160" t="s">
        <v>4498</v>
      </c>
    </row>
    <row r="2086" spans="1:2" x14ac:dyDescent="0.2">
      <c r="A2086" s="160" t="s">
        <v>4499</v>
      </c>
      <c r="B2086" s="160" t="s">
        <v>4500</v>
      </c>
    </row>
    <row r="2087" spans="1:2" x14ac:dyDescent="0.2">
      <c r="A2087" s="160" t="s">
        <v>4501</v>
      </c>
      <c r="B2087" s="160" t="s">
        <v>4502</v>
      </c>
    </row>
    <row r="2088" spans="1:2" x14ac:dyDescent="0.2">
      <c r="A2088" s="160" t="s">
        <v>4503</v>
      </c>
      <c r="B2088" s="160" t="s">
        <v>4504</v>
      </c>
    </row>
    <row r="2089" spans="1:2" x14ac:dyDescent="0.2">
      <c r="A2089" s="160" t="s">
        <v>4505</v>
      </c>
      <c r="B2089" s="160" t="s">
        <v>4506</v>
      </c>
    </row>
    <row r="2090" spans="1:2" x14ac:dyDescent="0.2">
      <c r="A2090" s="160" t="s">
        <v>4507</v>
      </c>
      <c r="B2090" s="160" t="s">
        <v>4508</v>
      </c>
    </row>
    <row r="2091" spans="1:2" x14ac:dyDescent="0.2">
      <c r="A2091" s="160" t="s">
        <v>6659</v>
      </c>
      <c r="B2091" s="160" t="s">
        <v>6660</v>
      </c>
    </row>
    <row r="2092" spans="1:2" x14ac:dyDescent="0.2">
      <c r="A2092" s="160" t="s">
        <v>4509</v>
      </c>
      <c r="B2092" s="160" t="s">
        <v>4510</v>
      </c>
    </row>
    <row r="2093" spans="1:2" x14ac:dyDescent="0.2">
      <c r="A2093" s="160" t="s">
        <v>4511</v>
      </c>
      <c r="B2093" s="160" t="s">
        <v>4512</v>
      </c>
    </row>
    <row r="2094" spans="1:2" x14ac:dyDescent="0.2">
      <c r="A2094" s="160" t="s">
        <v>4513</v>
      </c>
      <c r="B2094" s="160" t="s">
        <v>4514</v>
      </c>
    </row>
    <row r="2095" spans="1:2" x14ac:dyDescent="0.2">
      <c r="A2095" s="160" t="s">
        <v>4515</v>
      </c>
      <c r="B2095" s="160" t="s">
        <v>4516</v>
      </c>
    </row>
    <row r="2096" spans="1:2" x14ac:dyDescent="0.2">
      <c r="A2096" s="160" t="s">
        <v>4517</v>
      </c>
      <c r="B2096" s="160" t="s">
        <v>4518</v>
      </c>
    </row>
    <row r="2097" spans="1:2" x14ac:dyDescent="0.2">
      <c r="A2097" s="160" t="s">
        <v>4519</v>
      </c>
      <c r="B2097" s="160" t="s">
        <v>4520</v>
      </c>
    </row>
    <row r="2098" spans="1:2" x14ac:dyDescent="0.2">
      <c r="A2098" s="160" t="s">
        <v>4521</v>
      </c>
      <c r="B2098" s="160" t="s">
        <v>4522</v>
      </c>
    </row>
    <row r="2099" spans="1:2" x14ac:dyDescent="0.2">
      <c r="A2099" s="160" t="s">
        <v>4523</v>
      </c>
      <c r="B2099" s="160" t="s">
        <v>4524</v>
      </c>
    </row>
    <row r="2100" spans="1:2" x14ac:dyDescent="0.2">
      <c r="A2100" s="160" t="s">
        <v>6661</v>
      </c>
      <c r="B2100" s="160" t="s">
        <v>6662</v>
      </c>
    </row>
    <row r="2101" spans="1:2" x14ac:dyDescent="0.2">
      <c r="A2101" s="160" t="s">
        <v>4525</v>
      </c>
      <c r="B2101" s="160" t="s">
        <v>4526</v>
      </c>
    </row>
    <row r="2102" spans="1:2" x14ac:dyDescent="0.2">
      <c r="A2102" s="160" t="s">
        <v>4527</v>
      </c>
      <c r="B2102" s="160" t="s">
        <v>4528</v>
      </c>
    </row>
    <row r="2103" spans="1:2" x14ac:dyDescent="0.2">
      <c r="A2103" s="160" t="s">
        <v>4529</v>
      </c>
      <c r="B2103" s="160" t="s">
        <v>4530</v>
      </c>
    </row>
    <row r="2104" spans="1:2" x14ac:dyDescent="0.2">
      <c r="A2104" s="160" t="s">
        <v>4531</v>
      </c>
      <c r="B2104" s="160" t="s">
        <v>4532</v>
      </c>
    </row>
    <row r="2105" spans="1:2" x14ac:dyDescent="0.2">
      <c r="A2105" s="160" t="s">
        <v>4533</v>
      </c>
      <c r="B2105" s="160" t="s">
        <v>4534</v>
      </c>
    </row>
    <row r="2106" spans="1:2" x14ac:dyDescent="0.2">
      <c r="A2106" s="160" t="s">
        <v>4535</v>
      </c>
      <c r="B2106" s="160" t="s">
        <v>4536</v>
      </c>
    </row>
    <row r="2107" spans="1:2" x14ac:dyDescent="0.2">
      <c r="A2107" s="160" t="s">
        <v>4537</v>
      </c>
      <c r="B2107" s="160" t="s">
        <v>4538</v>
      </c>
    </row>
    <row r="2108" spans="1:2" x14ac:dyDescent="0.2">
      <c r="A2108" s="160" t="s">
        <v>4539</v>
      </c>
      <c r="B2108" s="160" t="s">
        <v>6663</v>
      </c>
    </row>
    <row r="2109" spans="1:2" x14ac:dyDescent="0.2">
      <c r="A2109" s="160" t="s">
        <v>4540</v>
      </c>
      <c r="B2109" s="160" t="s">
        <v>4541</v>
      </c>
    </row>
    <row r="2110" spans="1:2" x14ac:dyDescent="0.2">
      <c r="A2110" s="160" t="s">
        <v>4542</v>
      </c>
      <c r="B2110" s="160" t="s">
        <v>4543</v>
      </c>
    </row>
    <row r="2111" spans="1:2" x14ac:dyDescent="0.2">
      <c r="A2111" s="160" t="s">
        <v>4544</v>
      </c>
      <c r="B2111" s="160" t="s">
        <v>4545</v>
      </c>
    </row>
    <row r="2112" spans="1:2" x14ac:dyDescent="0.2">
      <c r="A2112" s="160" t="s">
        <v>4546</v>
      </c>
      <c r="B2112" s="160" t="s">
        <v>4547</v>
      </c>
    </row>
    <row r="2113" spans="1:2" x14ac:dyDescent="0.2">
      <c r="A2113" s="160" t="s">
        <v>4548</v>
      </c>
      <c r="B2113" s="160" t="s">
        <v>4549</v>
      </c>
    </row>
    <row r="2114" spans="1:2" x14ac:dyDescent="0.2">
      <c r="A2114" s="160" t="s">
        <v>4550</v>
      </c>
      <c r="B2114" s="160" t="s">
        <v>4551</v>
      </c>
    </row>
    <row r="2115" spans="1:2" x14ac:dyDescent="0.2">
      <c r="A2115" s="160" t="s">
        <v>4552</v>
      </c>
      <c r="B2115" s="160" t="s">
        <v>4553</v>
      </c>
    </row>
    <row r="2116" spans="1:2" x14ac:dyDescent="0.2">
      <c r="A2116" s="160" t="s">
        <v>4554</v>
      </c>
      <c r="B2116" s="160" t="s">
        <v>4555</v>
      </c>
    </row>
    <row r="2117" spans="1:2" x14ac:dyDescent="0.2">
      <c r="A2117" s="160" t="s">
        <v>4556</v>
      </c>
      <c r="B2117" s="160" t="s">
        <v>4557</v>
      </c>
    </row>
    <row r="2118" spans="1:2" x14ac:dyDescent="0.2">
      <c r="A2118" s="160" t="s">
        <v>4558</v>
      </c>
      <c r="B2118" s="160" t="s">
        <v>4559</v>
      </c>
    </row>
    <row r="2119" spans="1:2" x14ac:dyDescent="0.2">
      <c r="A2119" s="160" t="s">
        <v>4560</v>
      </c>
      <c r="B2119" s="160" t="s">
        <v>4561</v>
      </c>
    </row>
    <row r="2120" spans="1:2" x14ac:dyDescent="0.2">
      <c r="A2120" s="160" t="s">
        <v>4562</v>
      </c>
      <c r="B2120" s="160" t="s">
        <v>4563</v>
      </c>
    </row>
    <row r="2121" spans="1:2" x14ac:dyDescent="0.2">
      <c r="A2121" s="160" t="s">
        <v>4564</v>
      </c>
      <c r="B2121" s="160" t="s">
        <v>4565</v>
      </c>
    </row>
    <row r="2122" spans="1:2" x14ac:dyDescent="0.2">
      <c r="A2122" s="160" t="s">
        <v>4566</v>
      </c>
      <c r="B2122" s="160" t="s">
        <v>4567</v>
      </c>
    </row>
    <row r="2123" spans="1:2" x14ac:dyDescent="0.2">
      <c r="A2123" s="160" t="s">
        <v>4568</v>
      </c>
      <c r="B2123" s="160" t="s">
        <v>4569</v>
      </c>
    </row>
    <row r="2124" spans="1:2" x14ac:dyDescent="0.2">
      <c r="A2124" s="160" t="s">
        <v>4570</v>
      </c>
      <c r="B2124" s="160" t="s">
        <v>4571</v>
      </c>
    </row>
    <row r="2125" spans="1:2" x14ac:dyDescent="0.2">
      <c r="A2125" s="160" t="s">
        <v>6664</v>
      </c>
      <c r="B2125" s="160" t="s">
        <v>6665</v>
      </c>
    </row>
    <row r="2126" spans="1:2" x14ac:dyDescent="0.2">
      <c r="A2126" s="160" t="s">
        <v>4572</v>
      </c>
      <c r="B2126" s="160" t="s">
        <v>4573</v>
      </c>
    </row>
    <row r="2127" spans="1:2" x14ac:dyDescent="0.2">
      <c r="A2127" s="160" t="s">
        <v>4574</v>
      </c>
      <c r="B2127" s="160" t="s">
        <v>4575</v>
      </c>
    </row>
    <row r="2128" spans="1:2" x14ac:dyDescent="0.2">
      <c r="A2128" s="160" t="s">
        <v>4576</v>
      </c>
      <c r="B2128" s="160" t="s">
        <v>4577</v>
      </c>
    </row>
    <row r="2129" spans="1:2" x14ac:dyDescent="0.2">
      <c r="A2129" s="160" t="s">
        <v>4578</v>
      </c>
      <c r="B2129" s="160" t="s">
        <v>4579</v>
      </c>
    </row>
    <row r="2130" spans="1:2" x14ac:dyDescent="0.2">
      <c r="A2130" s="160" t="s">
        <v>4580</v>
      </c>
      <c r="B2130" s="160" t="s">
        <v>4581</v>
      </c>
    </row>
    <row r="2131" spans="1:2" x14ac:dyDescent="0.2">
      <c r="A2131" s="160" t="s">
        <v>4582</v>
      </c>
      <c r="B2131" s="160" t="s">
        <v>4583</v>
      </c>
    </row>
    <row r="2132" spans="1:2" x14ac:dyDescent="0.2">
      <c r="A2132" s="160" t="s">
        <v>4584</v>
      </c>
      <c r="B2132" s="160" t="s">
        <v>4585</v>
      </c>
    </row>
    <row r="2133" spans="1:2" x14ac:dyDescent="0.2">
      <c r="A2133" s="160" t="s">
        <v>4586</v>
      </c>
      <c r="B2133" s="160" t="s">
        <v>4587</v>
      </c>
    </row>
    <row r="2134" spans="1:2" x14ac:dyDescent="0.2">
      <c r="A2134" s="160" t="s">
        <v>4588</v>
      </c>
      <c r="B2134" s="160" t="s">
        <v>4589</v>
      </c>
    </row>
    <row r="2135" spans="1:2" x14ac:dyDescent="0.2">
      <c r="A2135" s="160" t="s">
        <v>4590</v>
      </c>
      <c r="B2135" s="160" t="s">
        <v>4591</v>
      </c>
    </row>
    <row r="2136" spans="1:2" x14ac:dyDescent="0.2">
      <c r="A2136" s="160" t="s">
        <v>6666</v>
      </c>
      <c r="B2136" s="160" t="s">
        <v>6667</v>
      </c>
    </row>
    <row r="2137" spans="1:2" x14ac:dyDescent="0.2">
      <c r="A2137" s="160" t="s">
        <v>4592</v>
      </c>
      <c r="B2137" s="160" t="s">
        <v>4593</v>
      </c>
    </row>
    <row r="2138" spans="1:2" x14ac:dyDescent="0.2">
      <c r="A2138" s="160" t="s">
        <v>6668</v>
      </c>
      <c r="B2138" s="160" t="s">
        <v>6669</v>
      </c>
    </row>
    <row r="2139" spans="1:2" x14ac:dyDescent="0.2">
      <c r="A2139" s="160" t="s">
        <v>4594</v>
      </c>
      <c r="B2139" s="160" t="s">
        <v>4595</v>
      </c>
    </row>
    <row r="2140" spans="1:2" x14ac:dyDescent="0.2">
      <c r="A2140" s="160" t="s">
        <v>4596</v>
      </c>
      <c r="B2140" s="160" t="s">
        <v>4597</v>
      </c>
    </row>
    <row r="2141" spans="1:2" x14ac:dyDescent="0.2">
      <c r="A2141" s="160" t="s">
        <v>4598</v>
      </c>
      <c r="B2141" s="160" t="s">
        <v>4599</v>
      </c>
    </row>
    <row r="2142" spans="1:2" x14ac:dyDescent="0.2">
      <c r="A2142" s="160" t="s">
        <v>4600</v>
      </c>
      <c r="B2142" s="160" t="s">
        <v>4601</v>
      </c>
    </row>
    <row r="2143" spans="1:2" x14ac:dyDescent="0.2">
      <c r="A2143" s="160" t="s">
        <v>4602</v>
      </c>
      <c r="B2143" s="160" t="s">
        <v>4603</v>
      </c>
    </row>
    <row r="2144" spans="1:2" x14ac:dyDescent="0.2">
      <c r="A2144" s="160" t="s">
        <v>4604</v>
      </c>
      <c r="B2144" s="160" t="s">
        <v>4605</v>
      </c>
    </row>
    <row r="2145" spans="1:2" x14ac:dyDescent="0.2">
      <c r="A2145" s="160" t="s">
        <v>4606</v>
      </c>
      <c r="B2145" s="160" t="s">
        <v>4607</v>
      </c>
    </row>
    <row r="2146" spans="1:2" x14ac:dyDescent="0.2">
      <c r="A2146" s="160" t="s">
        <v>4608</v>
      </c>
      <c r="B2146" s="160" t="s">
        <v>4609</v>
      </c>
    </row>
    <row r="2147" spans="1:2" x14ac:dyDescent="0.2">
      <c r="A2147" s="160" t="s">
        <v>4610</v>
      </c>
      <c r="B2147" s="160" t="s">
        <v>4611</v>
      </c>
    </row>
    <row r="2148" spans="1:2" x14ac:dyDescent="0.2">
      <c r="A2148" s="160" t="s">
        <v>4612</v>
      </c>
      <c r="B2148" s="160" t="s">
        <v>4613</v>
      </c>
    </row>
    <row r="2149" spans="1:2" x14ac:dyDescent="0.2">
      <c r="A2149" s="160" t="s">
        <v>6670</v>
      </c>
      <c r="B2149" s="160" t="s">
        <v>6671</v>
      </c>
    </row>
    <row r="2150" spans="1:2" x14ac:dyDescent="0.2">
      <c r="A2150" s="160" t="s">
        <v>4614</v>
      </c>
      <c r="B2150" s="160" t="s">
        <v>4615</v>
      </c>
    </row>
    <row r="2151" spans="1:2" x14ac:dyDescent="0.2">
      <c r="A2151" s="160" t="s">
        <v>4616</v>
      </c>
      <c r="B2151" s="160" t="s">
        <v>4617</v>
      </c>
    </row>
    <row r="2152" spans="1:2" x14ac:dyDescent="0.2">
      <c r="A2152" s="160" t="s">
        <v>4618</v>
      </c>
      <c r="B2152" s="160" t="s">
        <v>4619</v>
      </c>
    </row>
    <row r="2153" spans="1:2" x14ac:dyDescent="0.2">
      <c r="A2153" s="160" t="s">
        <v>4620</v>
      </c>
      <c r="B2153" s="160" t="s">
        <v>4621</v>
      </c>
    </row>
    <row r="2154" spans="1:2" x14ac:dyDescent="0.2">
      <c r="A2154" s="160" t="s">
        <v>4622</v>
      </c>
      <c r="B2154" s="160" t="s">
        <v>4623</v>
      </c>
    </row>
    <row r="2155" spans="1:2" x14ac:dyDescent="0.2">
      <c r="A2155" s="160" t="s">
        <v>4624</v>
      </c>
      <c r="B2155" s="160" t="s">
        <v>4625</v>
      </c>
    </row>
    <row r="2156" spans="1:2" x14ac:dyDescent="0.2">
      <c r="A2156" s="160" t="s">
        <v>4626</v>
      </c>
      <c r="B2156" s="160" t="s">
        <v>4627</v>
      </c>
    </row>
    <row r="2157" spans="1:2" x14ac:dyDescent="0.2">
      <c r="A2157" s="160" t="s">
        <v>4628</v>
      </c>
      <c r="B2157" s="160" t="s">
        <v>4629</v>
      </c>
    </row>
    <row r="2158" spans="1:2" x14ac:dyDescent="0.2">
      <c r="A2158" s="160" t="s">
        <v>4630</v>
      </c>
      <c r="B2158" s="160" t="s">
        <v>4631</v>
      </c>
    </row>
    <row r="2159" spans="1:2" x14ac:dyDescent="0.2">
      <c r="A2159" s="160" t="s">
        <v>4632</v>
      </c>
      <c r="B2159" s="160" t="s">
        <v>4633</v>
      </c>
    </row>
    <row r="2160" spans="1:2" x14ac:dyDescent="0.2">
      <c r="A2160" s="160" t="s">
        <v>4634</v>
      </c>
      <c r="B2160" s="160" t="s">
        <v>4635</v>
      </c>
    </row>
    <row r="2161" spans="1:2" x14ac:dyDescent="0.2">
      <c r="A2161" s="160" t="s">
        <v>6672</v>
      </c>
      <c r="B2161" s="160" t="s">
        <v>6673</v>
      </c>
    </row>
    <row r="2162" spans="1:2" x14ac:dyDescent="0.2">
      <c r="A2162" s="160" t="s">
        <v>4636</v>
      </c>
      <c r="B2162" s="160" t="s">
        <v>4637</v>
      </c>
    </row>
    <row r="2163" spans="1:2" x14ac:dyDescent="0.2">
      <c r="A2163" s="160" t="s">
        <v>4638</v>
      </c>
      <c r="B2163" s="160" t="s">
        <v>4639</v>
      </c>
    </row>
    <row r="2164" spans="1:2" x14ac:dyDescent="0.2">
      <c r="A2164" s="160" t="s">
        <v>4640</v>
      </c>
      <c r="B2164" s="160" t="s">
        <v>4641</v>
      </c>
    </row>
    <row r="2165" spans="1:2" x14ac:dyDescent="0.2">
      <c r="A2165" s="160" t="s">
        <v>4642</v>
      </c>
      <c r="B2165" s="160" t="s">
        <v>4643</v>
      </c>
    </row>
    <row r="2166" spans="1:2" x14ac:dyDescent="0.2">
      <c r="A2166" s="160" t="s">
        <v>4644</v>
      </c>
      <c r="B2166" s="160" t="s">
        <v>4645</v>
      </c>
    </row>
    <row r="2167" spans="1:2" x14ac:dyDescent="0.2">
      <c r="A2167" s="160" t="s">
        <v>4646</v>
      </c>
      <c r="B2167" s="160" t="s">
        <v>4647</v>
      </c>
    </row>
    <row r="2168" spans="1:2" x14ac:dyDescent="0.2">
      <c r="A2168" s="160" t="s">
        <v>4648</v>
      </c>
      <c r="B2168" s="160" t="s">
        <v>4649</v>
      </c>
    </row>
    <row r="2169" spans="1:2" x14ac:dyDescent="0.2">
      <c r="A2169" s="160" t="s">
        <v>4650</v>
      </c>
      <c r="B2169" s="160" t="s">
        <v>4651</v>
      </c>
    </row>
    <row r="2170" spans="1:2" x14ac:dyDescent="0.2">
      <c r="A2170" s="160" t="s">
        <v>4652</v>
      </c>
      <c r="B2170" s="160" t="s">
        <v>4653</v>
      </c>
    </row>
    <row r="2171" spans="1:2" x14ac:dyDescent="0.2">
      <c r="A2171" s="160" t="s">
        <v>4654</v>
      </c>
      <c r="B2171" s="160" t="s">
        <v>4655</v>
      </c>
    </row>
    <row r="2172" spans="1:2" x14ac:dyDescent="0.2">
      <c r="A2172" s="160" t="s">
        <v>4656</v>
      </c>
      <c r="B2172" s="160" t="s">
        <v>4657</v>
      </c>
    </row>
    <row r="2173" spans="1:2" x14ac:dyDescent="0.2">
      <c r="A2173" s="160" t="s">
        <v>4658</v>
      </c>
      <c r="B2173" s="160" t="s">
        <v>4659</v>
      </c>
    </row>
    <row r="2174" spans="1:2" x14ac:dyDescent="0.2">
      <c r="A2174" s="160" t="s">
        <v>4660</v>
      </c>
      <c r="B2174" s="160" t="s">
        <v>4661</v>
      </c>
    </row>
    <row r="2175" spans="1:2" x14ac:dyDescent="0.2">
      <c r="A2175" s="160" t="s">
        <v>4662</v>
      </c>
      <c r="B2175" s="160" t="s">
        <v>4663</v>
      </c>
    </row>
    <row r="2176" spans="1:2" x14ac:dyDescent="0.2">
      <c r="A2176" s="160" t="s">
        <v>4664</v>
      </c>
      <c r="B2176" s="160" t="s">
        <v>4665</v>
      </c>
    </row>
    <row r="2177" spans="1:2" x14ac:dyDescent="0.2">
      <c r="A2177" s="160" t="s">
        <v>4666</v>
      </c>
      <c r="B2177" s="160" t="s">
        <v>4667</v>
      </c>
    </row>
    <row r="2178" spans="1:2" x14ac:dyDescent="0.2">
      <c r="A2178" s="160" t="s">
        <v>4668</v>
      </c>
      <c r="B2178" s="160" t="s">
        <v>4669</v>
      </c>
    </row>
    <row r="2179" spans="1:2" x14ac:dyDescent="0.2">
      <c r="A2179" s="160" t="s">
        <v>4670</v>
      </c>
      <c r="B2179" s="160" t="s">
        <v>4671</v>
      </c>
    </row>
    <row r="2180" spans="1:2" x14ac:dyDescent="0.2">
      <c r="A2180" s="160" t="s">
        <v>4672</v>
      </c>
      <c r="B2180" s="160" t="s">
        <v>4673</v>
      </c>
    </row>
    <row r="2181" spans="1:2" x14ac:dyDescent="0.2">
      <c r="A2181" s="160" t="s">
        <v>4674</v>
      </c>
      <c r="B2181" s="160" t="s">
        <v>4675</v>
      </c>
    </row>
    <row r="2182" spans="1:2" x14ac:dyDescent="0.2">
      <c r="A2182" s="160" t="s">
        <v>4676</v>
      </c>
      <c r="B2182" s="160" t="s">
        <v>4677</v>
      </c>
    </row>
    <row r="2183" spans="1:2" x14ac:dyDescent="0.2">
      <c r="A2183" s="160" t="s">
        <v>4678</v>
      </c>
      <c r="B2183" s="160" t="s">
        <v>4679</v>
      </c>
    </row>
    <row r="2184" spans="1:2" x14ac:dyDescent="0.2">
      <c r="A2184" s="160" t="s">
        <v>4680</v>
      </c>
      <c r="B2184" s="160" t="s">
        <v>4681</v>
      </c>
    </row>
    <row r="2185" spans="1:2" x14ac:dyDescent="0.2">
      <c r="A2185" s="160" t="s">
        <v>4682</v>
      </c>
      <c r="B2185" s="160" t="s">
        <v>4683</v>
      </c>
    </row>
    <row r="2186" spans="1:2" x14ac:dyDescent="0.2">
      <c r="A2186" s="160" t="s">
        <v>6674</v>
      </c>
      <c r="B2186" s="160" t="s">
        <v>6675</v>
      </c>
    </row>
    <row r="2187" spans="1:2" x14ac:dyDescent="0.2">
      <c r="A2187" s="160" t="s">
        <v>4684</v>
      </c>
      <c r="B2187" s="160" t="s">
        <v>4685</v>
      </c>
    </row>
    <row r="2188" spans="1:2" x14ac:dyDescent="0.2">
      <c r="A2188" s="160" t="s">
        <v>4686</v>
      </c>
      <c r="B2188" s="160" t="s">
        <v>4687</v>
      </c>
    </row>
    <row r="2189" spans="1:2" x14ac:dyDescent="0.2">
      <c r="A2189" s="160" t="s">
        <v>6676</v>
      </c>
      <c r="B2189" s="160" t="s">
        <v>6677</v>
      </c>
    </row>
    <row r="2190" spans="1:2" x14ac:dyDescent="0.2">
      <c r="A2190" s="160" t="s">
        <v>4688</v>
      </c>
      <c r="B2190" s="160" t="s">
        <v>4689</v>
      </c>
    </row>
    <row r="2191" spans="1:2" x14ac:dyDescent="0.2">
      <c r="A2191" s="160" t="s">
        <v>4690</v>
      </c>
      <c r="B2191" s="160" t="s">
        <v>4691</v>
      </c>
    </row>
    <row r="2192" spans="1:2" x14ac:dyDescent="0.2">
      <c r="A2192" s="160" t="s">
        <v>6678</v>
      </c>
      <c r="B2192" s="160" t="s">
        <v>6679</v>
      </c>
    </row>
    <row r="2193" spans="1:2" x14ac:dyDescent="0.2">
      <c r="A2193" s="160" t="s">
        <v>4692</v>
      </c>
      <c r="B2193" s="160" t="s">
        <v>4693</v>
      </c>
    </row>
    <row r="2194" spans="1:2" x14ac:dyDescent="0.2">
      <c r="A2194" s="160" t="s">
        <v>4694</v>
      </c>
      <c r="B2194" s="160" t="s">
        <v>4695</v>
      </c>
    </row>
    <row r="2195" spans="1:2" x14ac:dyDescent="0.2">
      <c r="A2195" s="160" t="s">
        <v>4696</v>
      </c>
      <c r="B2195" s="160" t="s">
        <v>4697</v>
      </c>
    </row>
    <row r="2196" spans="1:2" x14ac:dyDescent="0.2">
      <c r="A2196" s="160" t="s">
        <v>4698</v>
      </c>
      <c r="B2196" s="160" t="s">
        <v>4699</v>
      </c>
    </row>
    <row r="2197" spans="1:2" x14ac:dyDescent="0.2">
      <c r="A2197" s="160" t="s">
        <v>4700</v>
      </c>
      <c r="B2197" s="160" t="s">
        <v>4701</v>
      </c>
    </row>
    <row r="2198" spans="1:2" x14ac:dyDescent="0.2">
      <c r="A2198" s="160" t="s">
        <v>4702</v>
      </c>
      <c r="B2198" s="160" t="s">
        <v>4703</v>
      </c>
    </row>
    <row r="2199" spans="1:2" x14ac:dyDescent="0.2">
      <c r="A2199" s="160" t="s">
        <v>4704</v>
      </c>
      <c r="B2199" s="160" t="s">
        <v>4705</v>
      </c>
    </row>
    <row r="2200" spans="1:2" x14ac:dyDescent="0.2">
      <c r="A2200" s="160" t="s">
        <v>4706</v>
      </c>
      <c r="B2200" s="160" t="s">
        <v>4707</v>
      </c>
    </row>
    <row r="2201" spans="1:2" x14ac:dyDescent="0.2">
      <c r="A2201" s="160" t="s">
        <v>4708</v>
      </c>
      <c r="B2201" s="160" t="s">
        <v>4709</v>
      </c>
    </row>
    <row r="2202" spans="1:2" x14ac:dyDescent="0.2">
      <c r="A2202" s="160" t="s">
        <v>6680</v>
      </c>
      <c r="B2202" s="160" t="s">
        <v>6681</v>
      </c>
    </row>
    <row r="2203" spans="1:2" x14ac:dyDescent="0.2">
      <c r="A2203" s="160" t="s">
        <v>4710</v>
      </c>
      <c r="B2203" s="160" t="s">
        <v>4711</v>
      </c>
    </row>
    <row r="2204" spans="1:2" x14ac:dyDescent="0.2">
      <c r="A2204" s="160" t="s">
        <v>4712</v>
      </c>
      <c r="B2204" s="160" t="s">
        <v>4713</v>
      </c>
    </row>
    <row r="2205" spans="1:2" x14ac:dyDescent="0.2">
      <c r="A2205" s="160" t="s">
        <v>4714</v>
      </c>
      <c r="B2205" s="160" t="s">
        <v>4715</v>
      </c>
    </row>
    <row r="2206" spans="1:2" x14ac:dyDescent="0.2">
      <c r="A2206" s="160" t="s">
        <v>4716</v>
      </c>
      <c r="B2206" s="160" t="s">
        <v>4717</v>
      </c>
    </row>
    <row r="2207" spans="1:2" x14ac:dyDescent="0.2">
      <c r="A2207" s="160" t="s">
        <v>4718</v>
      </c>
      <c r="B2207" s="160" t="s">
        <v>4719</v>
      </c>
    </row>
    <row r="2208" spans="1:2" x14ac:dyDescent="0.2">
      <c r="A2208" s="160" t="s">
        <v>6682</v>
      </c>
      <c r="B2208" s="160" t="s">
        <v>6683</v>
      </c>
    </row>
    <row r="2209" spans="1:2" x14ac:dyDescent="0.2">
      <c r="A2209" s="160" t="s">
        <v>4720</v>
      </c>
      <c r="B2209" s="160" t="s">
        <v>4721</v>
      </c>
    </row>
    <row r="2210" spans="1:2" x14ac:dyDescent="0.2">
      <c r="A2210" s="160" t="s">
        <v>4722</v>
      </c>
      <c r="B2210" s="160" t="s">
        <v>4723</v>
      </c>
    </row>
    <row r="2211" spans="1:2" x14ac:dyDescent="0.2">
      <c r="A2211" s="160" t="s">
        <v>4724</v>
      </c>
      <c r="B2211" s="160" t="s">
        <v>4725</v>
      </c>
    </row>
    <row r="2212" spans="1:2" x14ac:dyDescent="0.2">
      <c r="A2212" s="160" t="s">
        <v>4726</v>
      </c>
      <c r="B2212" s="160" t="s">
        <v>4727</v>
      </c>
    </row>
    <row r="2213" spans="1:2" x14ac:dyDescent="0.2">
      <c r="A2213" s="160" t="s">
        <v>4728</v>
      </c>
      <c r="B2213" s="160" t="s">
        <v>4729</v>
      </c>
    </row>
    <row r="2214" spans="1:2" x14ac:dyDescent="0.2">
      <c r="A2214" s="160" t="s">
        <v>4730</v>
      </c>
      <c r="B2214" s="160" t="s">
        <v>4731</v>
      </c>
    </row>
    <row r="2215" spans="1:2" x14ac:dyDescent="0.2">
      <c r="A2215" s="160" t="s">
        <v>4732</v>
      </c>
      <c r="B2215" s="160" t="s">
        <v>4733</v>
      </c>
    </row>
    <row r="2216" spans="1:2" x14ac:dyDescent="0.2">
      <c r="A2216" s="160" t="s">
        <v>4734</v>
      </c>
      <c r="B2216" s="160" t="s">
        <v>4735</v>
      </c>
    </row>
    <row r="2217" spans="1:2" x14ac:dyDescent="0.2">
      <c r="A2217" s="160" t="s">
        <v>4736</v>
      </c>
      <c r="B2217" s="160" t="s">
        <v>4737</v>
      </c>
    </row>
    <row r="2218" spans="1:2" x14ac:dyDescent="0.2">
      <c r="A2218" s="160" t="s">
        <v>4738</v>
      </c>
      <c r="B2218" s="160" t="s">
        <v>4739</v>
      </c>
    </row>
    <row r="2219" spans="1:2" x14ac:dyDescent="0.2">
      <c r="A2219" s="160" t="s">
        <v>4740</v>
      </c>
      <c r="B2219" s="160" t="s">
        <v>4741</v>
      </c>
    </row>
    <row r="2220" spans="1:2" x14ac:dyDescent="0.2">
      <c r="A2220" s="160" t="s">
        <v>4742</v>
      </c>
      <c r="B2220" s="160" t="s">
        <v>4743</v>
      </c>
    </row>
    <row r="2221" spans="1:2" x14ac:dyDescent="0.2">
      <c r="A2221" s="160" t="s">
        <v>4744</v>
      </c>
      <c r="B2221" s="160" t="s">
        <v>4745</v>
      </c>
    </row>
    <row r="2222" spans="1:2" x14ac:dyDescent="0.2">
      <c r="A2222" s="160" t="s">
        <v>4746</v>
      </c>
      <c r="B2222" s="160" t="s">
        <v>4747</v>
      </c>
    </row>
    <row r="2223" spans="1:2" x14ac:dyDescent="0.2">
      <c r="A2223" s="160" t="s">
        <v>4748</v>
      </c>
      <c r="B2223" s="160" t="s">
        <v>4749</v>
      </c>
    </row>
    <row r="2224" spans="1:2" x14ac:dyDescent="0.2">
      <c r="A2224" s="160" t="s">
        <v>4750</v>
      </c>
      <c r="B2224" s="160" t="s">
        <v>4751</v>
      </c>
    </row>
    <row r="2225" spans="1:2" x14ac:dyDescent="0.2">
      <c r="A2225" s="160" t="s">
        <v>4752</v>
      </c>
      <c r="B2225" s="160" t="s">
        <v>4753</v>
      </c>
    </row>
    <row r="2226" spans="1:2" x14ac:dyDescent="0.2">
      <c r="A2226" s="160" t="s">
        <v>4754</v>
      </c>
      <c r="B2226" s="160" t="s">
        <v>4755</v>
      </c>
    </row>
    <row r="2227" spans="1:2" x14ac:dyDescent="0.2">
      <c r="A2227" s="160" t="s">
        <v>4756</v>
      </c>
      <c r="B2227" s="160" t="s">
        <v>4757</v>
      </c>
    </row>
    <row r="2228" spans="1:2" x14ac:dyDescent="0.2">
      <c r="A2228" s="160" t="s">
        <v>6684</v>
      </c>
      <c r="B2228" s="160" t="s">
        <v>6685</v>
      </c>
    </row>
    <row r="2229" spans="1:2" x14ac:dyDescent="0.2">
      <c r="A2229" s="160" t="s">
        <v>4758</v>
      </c>
      <c r="B2229" s="160" t="s">
        <v>4759</v>
      </c>
    </row>
    <row r="2230" spans="1:2" x14ac:dyDescent="0.2">
      <c r="A2230" s="160" t="s">
        <v>4760</v>
      </c>
      <c r="B2230" s="160" t="s">
        <v>4761</v>
      </c>
    </row>
    <row r="2231" spans="1:2" x14ac:dyDescent="0.2">
      <c r="A2231" s="160" t="s">
        <v>4762</v>
      </c>
      <c r="B2231" s="160" t="s">
        <v>4763</v>
      </c>
    </row>
    <row r="2232" spans="1:2" x14ac:dyDescent="0.2">
      <c r="A2232" s="160" t="s">
        <v>4764</v>
      </c>
      <c r="B2232" s="160" t="s">
        <v>4765</v>
      </c>
    </row>
    <row r="2233" spans="1:2" x14ac:dyDescent="0.2">
      <c r="A2233" s="160" t="s">
        <v>4766</v>
      </c>
      <c r="B2233" s="160" t="s">
        <v>4767</v>
      </c>
    </row>
    <row r="2234" spans="1:2" x14ac:dyDescent="0.2">
      <c r="A2234" s="160" t="s">
        <v>4768</v>
      </c>
      <c r="B2234" s="160" t="s">
        <v>4769</v>
      </c>
    </row>
    <row r="2235" spans="1:2" x14ac:dyDescent="0.2">
      <c r="A2235" s="160" t="s">
        <v>4770</v>
      </c>
      <c r="B2235" s="160" t="s">
        <v>4771</v>
      </c>
    </row>
    <row r="2236" spans="1:2" x14ac:dyDescent="0.2">
      <c r="A2236" s="160" t="s">
        <v>4772</v>
      </c>
      <c r="B2236" s="160" t="s">
        <v>4773</v>
      </c>
    </row>
    <row r="2237" spans="1:2" x14ac:dyDescent="0.2">
      <c r="A2237" s="160" t="s">
        <v>4774</v>
      </c>
      <c r="B2237" s="160" t="s">
        <v>4775</v>
      </c>
    </row>
    <row r="2238" spans="1:2" x14ac:dyDescent="0.2">
      <c r="A2238" s="160" t="s">
        <v>4776</v>
      </c>
      <c r="B2238" s="160" t="s">
        <v>4777</v>
      </c>
    </row>
    <row r="2239" spans="1:2" x14ac:dyDescent="0.2">
      <c r="A2239" s="160" t="s">
        <v>4778</v>
      </c>
      <c r="B2239" s="160" t="s">
        <v>4779</v>
      </c>
    </row>
    <row r="2240" spans="1:2" x14ac:dyDescent="0.2">
      <c r="A2240" s="160" t="s">
        <v>4780</v>
      </c>
      <c r="B2240" s="160" t="s">
        <v>4781</v>
      </c>
    </row>
    <row r="2241" spans="1:2" x14ac:dyDescent="0.2">
      <c r="A2241" s="160" t="s">
        <v>4782</v>
      </c>
      <c r="B2241" s="160" t="s">
        <v>4783</v>
      </c>
    </row>
    <row r="2242" spans="1:2" x14ac:dyDescent="0.2">
      <c r="A2242" s="160" t="s">
        <v>4784</v>
      </c>
      <c r="B2242" s="160" t="s">
        <v>4785</v>
      </c>
    </row>
    <row r="2243" spans="1:2" x14ac:dyDescent="0.2">
      <c r="A2243" s="160" t="s">
        <v>4786</v>
      </c>
      <c r="B2243" s="160" t="s">
        <v>4787</v>
      </c>
    </row>
    <row r="2244" spans="1:2" x14ac:dyDescent="0.2">
      <c r="A2244" s="160" t="s">
        <v>4788</v>
      </c>
      <c r="B2244" s="160" t="s">
        <v>4789</v>
      </c>
    </row>
    <row r="2245" spans="1:2" x14ac:dyDescent="0.2">
      <c r="A2245" s="160" t="s">
        <v>6686</v>
      </c>
      <c r="B2245" s="160" t="s">
        <v>6687</v>
      </c>
    </row>
    <row r="2246" spans="1:2" x14ac:dyDescent="0.2">
      <c r="A2246" s="160" t="s">
        <v>6688</v>
      </c>
      <c r="B2246" s="160" t="s">
        <v>6689</v>
      </c>
    </row>
    <row r="2247" spans="1:2" x14ac:dyDescent="0.2">
      <c r="A2247" s="160" t="s">
        <v>4790</v>
      </c>
      <c r="B2247" s="160" t="s">
        <v>4791</v>
      </c>
    </row>
    <row r="2248" spans="1:2" x14ac:dyDescent="0.2">
      <c r="A2248" s="160" t="s">
        <v>4792</v>
      </c>
      <c r="B2248" s="160" t="s">
        <v>4793</v>
      </c>
    </row>
    <row r="2249" spans="1:2" x14ac:dyDescent="0.2">
      <c r="A2249" s="160" t="s">
        <v>4794</v>
      </c>
      <c r="B2249" s="160" t="s">
        <v>4795</v>
      </c>
    </row>
    <row r="2250" spans="1:2" x14ac:dyDescent="0.2">
      <c r="A2250" s="160" t="s">
        <v>4796</v>
      </c>
      <c r="B2250" s="160" t="s">
        <v>4797</v>
      </c>
    </row>
    <row r="2251" spans="1:2" x14ac:dyDescent="0.2">
      <c r="A2251" s="160" t="s">
        <v>4798</v>
      </c>
      <c r="B2251" s="160" t="s">
        <v>4799</v>
      </c>
    </row>
    <row r="2252" spans="1:2" x14ac:dyDescent="0.2">
      <c r="A2252" s="160" t="s">
        <v>6690</v>
      </c>
      <c r="B2252" s="160" t="s">
        <v>6691</v>
      </c>
    </row>
    <row r="2253" spans="1:2" x14ac:dyDescent="0.2">
      <c r="A2253" s="160" t="s">
        <v>4800</v>
      </c>
      <c r="B2253" s="160" t="s">
        <v>4801</v>
      </c>
    </row>
    <row r="2254" spans="1:2" x14ac:dyDescent="0.2">
      <c r="A2254" s="160" t="s">
        <v>4802</v>
      </c>
      <c r="B2254" s="160" t="s">
        <v>4803</v>
      </c>
    </row>
    <row r="2255" spans="1:2" x14ac:dyDescent="0.2">
      <c r="A2255" s="160" t="s">
        <v>4804</v>
      </c>
      <c r="B2255" s="160" t="s">
        <v>4805</v>
      </c>
    </row>
    <row r="2256" spans="1:2" x14ac:dyDescent="0.2">
      <c r="A2256" s="160" t="s">
        <v>4806</v>
      </c>
      <c r="B2256" s="160" t="s">
        <v>4807</v>
      </c>
    </row>
    <row r="2257" spans="1:2" x14ac:dyDescent="0.2">
      <c r="A2257" s="160" t="s">
        <v>4808</v>
      </c>
      <c r="B2257" s="160" t="s">
        <v>4809</v>
      </c>
    </row>
    <row r="2258" spans="1:2" x14ac:dyDescent="0.2">
      <c r="A2258" s="160" t="s">
        <v>4810</v>
      </c>
      <c r="B2258" s="160" t="s">
        <v>4811</v>
      </c>
    </row>
    <row r="2259" spans="1:2" x14ac:dyDescent="0.2">
      <c r="A2259" s="160" t="s">
        <v>4812</v>
      </c>
      <c r="B2259" s="160" t="s">
        <v>4813</v>
      </c>
    </row>
    <row r="2260" spans="1:2" x14ac:dyDescent="0.2">
      <c r="A2260" s="160" t="s">
        <v>4814</v>
      </c>
      <c r="B2260" s="160" t="s">
        <v>4815</v>
      </c>
    </row>
    <row r="2261" spans="1:2" x14ac:dyDescent="0.2">
      <c r="A2261" s="160" t="s">
        <v>4816</v>
      </c>
      <c r="B2261" s="160" t="s">
        <v>4817</v>
      </c>
    </row>
    <row r="2262" spans="1:2" x14ac:dyDescent="0.2">
      <c r="A2262" s="160" t="s">
        <v>4818</v>
      </c>
      <c r="B2262" s="160" t="s">
        <v>4819</v>
      </c>
    </row>
    <row r="2263" spans="1:2" x14ac:dyDescent="0.2">
      <c r="A2263" s="160" t="s">
        <v>4820</v>
      </c>
      <c r="B2263" s="160" t="s">
        <v>4821</v>
      </c>
    </row>
    <row r="2264" spans="1:2" x14ac:dyDescent="0.2">
      <c r="A2264" s="160" t="s">
        <v>6692</v>
      </c>
      <c r="B2264" s="160" t="s">
        <v>6693</v>
      </c>
    </row>
    <row r="2265" spans="1:2" x14ac:dyDescent="0.2">
      <c r="A2265" s="160" t="s">
        <v>4822</v>
      </c>
      <c r="B2265" s="160" t="s">
        <v>4823</v>
      </c>
    </row>
    <row r="2266" spans="1:2" x14ac:dyDescent="0.2">
      <c r="A2266" s="160" t="s">
        <v>4824</v>
      </c>
      <c r="B2266" s="160" t="s">
        <v>4825</v>
      </c>
    </row>
    <row r="2267" spans="1:2" x14ac:dyDescent="0.2">
      <c r="A2267" s="160" t="s">
        <v>4826</v>
      </c>
      <c r="B2267" s="160" t="s">
        <v>4827</v>
      </c>
    </row>
    <row r="2268" spans="1:2" x14ac:dyDescent="0.2">
      <c r="A2268" s="160" t="s">
        <v>4828</v>
      </c>
      <c r="B2268" s="160" t="s">
        <v>4829</v>
      </c>
    </row>
    <row r="2269" spans="1:2" x14ac:dyDescent="0.2">
      <c r="A2269" s="160" t="s">
        <v>4830</v>
      </c>
      <c r="B2269" s="160" t="s">
        <v>4831</v>
      </c>
    </row>
    <row r="2270" spans="1:2" x14ac:dyDescent="0.2">
      <c r="A2270" s="160" t="s">
        <v>4832</v>
      </c>
      <c r="B2270" s="160" t="s">
        <v>4833</v>
      </c>
    </row>
    <row r="2271" spans="1:2" x14ac:dyDescent="0.2">
      <c r="A2271" s="160" t="s">
        <v>4834</v>
      </c>
      <c r="B2271" s="160" t="s">
        <v>4835</v>
      </c>
    </row>
    <row r="2272" spans="1:2" x14ac:dyDescent="0.2">
      <c r="A2272" s="160" t="s">
        <v>4836</v>
      </c>
      <c r="B2272" s="160" t="s">
        <v>4837</v>
      </c>
    </row>
    <row r="2273" spans="1:2" x14ac:dyDescent="0.2">
      <c r="A2273" s="160" t="s">
        <v>4838</v>
      </c>
      <c r="B2273" s="160" t="s">
        <v>4839</v>
      </c>
    </row>
    <row r="2274" spans="1:2" x14ac:dyDescent="0.2">
      <c r="A2274" s="160" t="s">
        <v>4840</v>
      </c>
      <c r="B2274" s="160" t="s">
        <v>4841</v>
      </c>
    </row>
    <row r="2275" spans="1:2" x14ac:dyDescent="0.2">
      <c r="A2275" s="160" t="s">
        <v>4842</v>
      </c>
      <c r="B2275" s="160" t="s">
        <v>4843</v>
      </c>
    </row>
    <row r="2276" spans="1:2" x14ac:dyDescent="0.2">
      <c r="A2276" s="160" t="s">
        <v>4844</v>
      </c>
      <c r="B2276" s="160" t="s">
        <v>4845</v>
      </c>
    </row>
    <row r="2277" spans="1:2" x14ac:dyDescent="0.2">
      <c r="A2277" s="160" t="s">
        <v>4846</v>
      </c>
      <c r="B2277" s="160" t="s">
        <v>4847</v>
      </c>
    </row>
    <row r="2278" spans="1:2" x14ac:dyDescent="0.2">
      <c r="A2278" s="160" t="s">
        <v>4848</v>
      </c>
      <c r="B2278" s="160" t="s">
        <v>4849</v>
      </c>
    </row>
    <row r="2279" spans="1:2" x14ac:dyDescent="0.2">
      <c r="A2279" s="160" t="s">
        <v>4850</v>
      </c>
      <c r="B2279" s="160" t="s">
        <v>4851</v>
      </c>
    </row>
    <row r="2280" spans="1:2" x14ac:dyDescent="0.2">
      <c r="A2280" s="160" t="s">
        <v>4852</v>
      </c>
      <c r="B2280" s="160" t="s">
        <v>4853</v>
      </c>
    </row>
    <row r="2281" spans="1:2" x14ac:dyDescent="0.2">
      <c r="A2281" s="160" t="s">
        <v>4854</v>
      </c>
      <c r="B2281" s="160" t="s">
        <v>4855</v>
      </c>
    </row>
    <row r="2282" spans="1:2" x14ac:dyDescent="0.2">
      <c r="A2282" s="160" t="s">
        <v>4856</v>
      </c>
      <c r="B2282" s="160" t="s">
        <v>4857</v>
      </c>
    </row>
    <row r="2283" spans="1:2" x14ac:dyDescent="0.2">
      <c r="A2283" s="160" t="s">
        <v>4858</v>
      </c>
      <c r="B2283" s="160" t="s">
        <v>4859</v>
      </c>
    </row>
    <row r="2284" spans="1:2" x14ac:dyDescent="0.2">
      <c r="A2284" s="160" t="s">
        <v>4860</v>
      </c>
      <c r="B2284" s="160" t="s">
        <v>4861</v>
      </c>
    </row>
    <row r="2285" spans="1:2" x14ac:dyDescent="0.2">
      <c r="A2285" s="160" t="s">
        <v>4862</v>
      </c>
      <c r="B2285" s="160" t="s">
        <v>4863</v>
      </c>
    </row>
    <row r="2286" spans="1:2" x14ac:dyDescent="0.2">
      <c r="A2286" s="160" t="s">
        <v>4864</v>
      </c>
      <c r="B2286" s="160" t="s">
        <v>4865</v>
      </c>
    </row>
    <row r="2287" spans="1:2" x14ac:dyDescent="0.2">
      <c r="A2287" s="160" t="s">
        <v>4866</v>
      </c>
      <c r="B2287" s="160" t="s">
        <v>4867</v>
      </c>
    </row>
    <row r="2288" spans="1:2" x14ac:dyDescent="0.2">
      <c r="A2288" s="160" t="s">
        <v>4868</v>
      </c>
      <c r="B2288" s="160" t="s">
        <v>4869</v>
      </c>
    </row>
    <row r="2289" spans="1:2" x14ac:dyDescent="0.2">
      <c r="A2289" s="160" t="s">
        <v>4870</v>
      </c>
      <c r="B2289" s="160" t="s">
        <v>4871</v>
      </c>
    </row>
    <row r="2290" spans="1:2" x14ac:dyDescent="0.2">
      <c r="A2290" s="160" t="s">
        <v>6694</v>
      </c>
      <c r="B2290" s="160" t="s">
        <v>6695</v>
      </c>
    </row>
    <row r="2291" spans="1:2" x14ac:dyDescent="0.2">
      <c r="A2291" s="160" t="s">
        <v>4872</v>
      </c>
      <c r="B2291" s="160" t="s">
        <v>4873</v>
      </c>
    </row>
    <row r="2292" spans="1:2" x14ac:dyDescent="0.2">
      <c r="A2292" s="160" t="s">
        <v>4874</v>
      </c>
      <c r="B2292" s="160" t="s">
        <v>4875</v>
      </c>
    </row>
    <row r="2293" spans="1:2" x14ac:dyDescent="0.2">
      <c r="A2293" s="160" t="s">
        <v>4876</v>
      </c>
      <c r="B2293" s="160" t="s">
        <v>4877</v>
      </c>
    </row>
    <row r="2294" spans="1:2" x14ac:dyDescent="0.2">
      <c r="A2294" s="160" t="s">
        <v>4878</v>
      </c>
      <c r="B2294" s="160" t="s">
        <v>4879</v>
      </c>
    </row>
    <row r="2295" spans="1:2" x14ac:dyDescent="0.2">
      <c r="A2295" s="160" t="s">
        <v>4880</v>
      </c>
      <c r="B2295" s="160" t="s">
        <v>4881</v>
      </c>
    </row>
    <row r="2296" spans="1:2" x14ac:dyDescent="0.2">
      <c r="A2296" s="160" t="s">
        <v>4882</v>
      </c>
      <c r="B2296" s="160" t="s">
        <v>4883</v>
      </c>
    </row>
    <row r="2297" spans="1:2" x14ac:dyDescent="0.2">
      <c r="A2297" s="160" t="s">
        <v>4884</v>
      </c>
      <c r="B2297" s="160" t="s">
        <v>4885</v>
      </c>
    </row>
    <row r="2298" spans="1:2" x14ac:dyDescent="0.2">
      <c r="A2298" s="160" t="s">
        <v>4886</v>
      </c>
      <c r="B2298" s="160" t="s">
        <v>4887</v>
      </c>
    </row>
    <row r="2299" spans="1:2" x14ac:dyDescent="0.2">
      <c r="A2299" s="160" t="s">
        <v>4888</v>
      </c>
      <c r="B2299" s="160" t="s">
        <v>4889</v>
      </c>
    </row>
    <row r="2300" spans="1:2" x14ac:dyDescent="0.2">
      <c r="A2300" s="160" t="s">
        <v>4890</v>
      </c>
      <c r="B2300" s="160" t="s">
        <v>4891</v>
      </c>
    </row>
    <row r="2301" spans="1:2" x14ac:dyDescent="0.2">
      <c r="A2301" s="160" t="s">
        <v>4892</v>
      </c>
      <c r="B2301" s="160" t="s">
        <v>4893</v>
      </c>
    </row>
    <row r="2302" spans="1:2" x14ac:dyDescent="0.2">
      <c r="A2302" s="160" t="s">
        <v>4894</v>
      </c>
      <c r="B2302" s="160" t="s">
        <v>4895</v>
      </c>
    </row>
    <row r="2303" spans="1:2" x14ac:dyDescent="0.2">
      <c r="A2303" s="160" t="s">
        <v>4896</v>
      </c>
      <c r="B2303" s="160" t="s">
        <v>4897</v>
      </c>
    </row>
    <row r="2304" spans="1:2" x14ac:dyDescent="0.2">
      <c r="A2304" s="160" t="s">
        <v>4898</v>
      </c>
      <c r="B2304" s="160" t="s">
        <v>4899</v>
      </c>
    </row>
    <row r="2305" spans="1:2" x14ac:dyDescent="0.2">
      <c r="A2305" s="160" t="s">
        <v>4900</v>
      </c>
      <c r="B2305" s="160" t="s">
        <v>4901</v>
      </c>
    </row>
    <row r="2306" spans="1:2" x14ac:dyDescent="0.2">
      <c r="A2306" s="160" t="s">
        <v>4902</v>
      </c>
      <c r="B2306" s="160" t="s">
        <v>4903</v>
      </c>
    </row>
    <row r="2307" spans="1:2" x14ac:dyDescent="0.2">
      <c r="A2307" s="160" t="s">
        <v>4904</v>
      </c>
      <c r="B2307" s="160" t="s">
        <v>4905</v>
      </c>
    </row>
    <row r="2308" spans="1:2" x14ac:dyDescent="0.2">
      <c r="A2308" s="160" t="s">
        <v>4906</v>
      </c>
      <c r="B2308" s="160" t="s">
        <v>4907</v>
      </c>
    </row>
    <row r="2309" spans="1:2" x14ac:dyDescent="0.2">
      <c r="A2309" s="160" t="s">
        <v>4908</v>
      </c>
      <c r="B2309" s="160" t="s">
        <v>4909</v>
      </c>
    </row>
    <row r="2310" spans="1:2" x14ac:dyDescent="0.2">
      <c r="A2310" s="160" t="s">
        <v>4910</v>
      </c>
      <c r="B2310" s="160" t="s">
        <v>4911</v>
      </c>
    </row>
    <row r="2311" spans="1:2" x14ac:dyDescent="0.2">
      <c r="A2311" s="160" t="s">
        <v>4912</v>
      </c>
      <c r="B2311" s="160" t="s">
        <v>4913</v>
      </c>
    </row>
    <row r="2312" spans="1:2" x14ac:dyDescent="0.2">
      <c r="A2312" s="160" t="s">
        <v>4914</v>
      </c>
      <c r="B2312" s="160" t="s">
        <v>4915</v>
      </c>
    </row>
    <row r="2313" spans="1:2" x14ac:dyDescent="0.2">
      <c r="A2313" s="160" t="s">
        <v>4916</v>
      </c>
      <c r="B2313" s="160" t="s">
        <v>4917</v>
      </c>
    </row>
    <row r="2314" spans="1:2" x14ac:dyDescent="0.2">
      <c r="A2314" s="160" t="s">
        <v>4918</v>
      </c>
      <c r="B2314" s="160" t="s">
        <v>4919</v>
      </c>
    </row>
    <row r="2315" spans="1:2" x14ac:dyDescent="0.2">
      <c r="A2315" s="160" t="s">
        <v>4920</v>
      </c>
      <c r="B2315" s="160" t="s">
        <v>4921</v>
      </c>
    </row>
    <row r="2316" spans="1:2" x14ac:dyDescent="0.2">
      <c r="A2316" s="160" t="s">
        <v>4922</v>
      </c>
      <c r="B2316" s="160" t="s">
        <v>4923</v>
      </c>
    </row>
    <row r="2317" spans="1:2" x14ac:dyDescent="0.2">
      <c r="A2317" s="160" t="s">
        <v>4924</v>
      </c>
      <c r="B2317" s="160" t="s">
        <v>4925</v>
      </c>
    </row>
    <row r="2318" spans="1:2" x14ac:dyDescent="0.2">
      <c r="A2318" s="160" t="s">
        <v>4926</v>
      </c>
      <c r="B2318" s="160" t="s">
        <v>4927</v>
      </c>
    </row>
    <row r="2319" spans="1:2" x14ac:dyDescent="0.2">
      <c r="A2319" s="160" t="s">
        <v>4928</v>
      </c>
      <c r="B2319" s="160" t="s">
        <v>4929</v>
      </c>
    </row>
    <row r="2320" spans="1:2" x14ac:dyDescent="0.2">
      <c r="A2320" s="160" t="s">
        <v>4930</v>
      </c>
      <c r="B2320" s="160" t="s">
        <v>4931</v>
      </c>
    </row>
    <row r="2321" spans="1:2" x14ac:dyDescent="0.2">
      <c r="A2321" s="160" t="s">
        <v>6696</v>
      </c>
      <c r="B2321" s="160" t="s">
        <v>6697</v>
      </c>
    </row>
    <row r="2322" spans="1:2" x14ac:dyDescent="0.2">
      <c r="A2322" s="160" t="s">
        <v>4932</v>
      </c>
      <c r="B2322" s="160" t="s">
        <v>4933</v>
      </c>
    </row>
    <row r="2323" spans="1:2" x14ac:dyDescent="0.2">
      <c r="A2323" s="160" t="s">
        <v>4934</v>
      </c>
      <c r="B2323" s="160" t="s">
        <v>4935</v>
      </c>
    </row>
    <row r="2324" spans="1:2" x14ac:dyDescent="0.2">
      <c r="A2324" s="160" t="s">
        <v>4936</v>
      </c>
      <c r="B2324" s="160" t="s">
        <v>4937</v>
      </c>
    </row>
    <row r="2325" spans="1:2" x14ac:dyDescent="0.2">
      <c r="A2325" s="160" t="s">
        <v>4938</v>
      </c>
      <c r="B2325" s="160" t="s">
        <v>4939</v>
      </c>
    </row>
    <row r="2326" spans="1:2" x14ac:dyDescent="0.2">
      <c r="A2326" s="160" t="s">
        <v>4940</v>
      </c>
      <c r="B2326" s="160" t="s">
        <v>4941</v>
      </c>
    </row>
    <row r="2327" spans="1:2" x14ac:dyDescent="0.2">
      <c r="A2327" s="160" t="s">
        <v>4942</v>
      </c>
      <c r="B2327" s="160" t="s">
        <v>4943</v>
      </c>
    </row>
    <row r="2328" spans="1:2" x14ac:dyDescent="0.2">
      <c r="A2328" s="160" t="s">
        <v>4944</v>
      </c>
      <c r="B2328" s="160" t="s">
        <v>4945</v>
      </c>
    </row>
    <row r="2329" spans="1:2" x14ac:dyDescent="0.2">
      <c r="A2329" s="160" t="s">
        <v>4946</v>
      </c>
      <c r="B2329" s="160" t="s">
        <v>4947</v>
      </c>
    </row>
    <row r="2330" spans="1:2" x14ac:dyDescent="0.2">
      <c r="A2330" s="160" t="s">
        <v>4948</v>
      </c>
      <c r="B2330" s="160" t="s">
        <v>4949</v>
      </c>
    </row>
    <row r="2331" spans="1:2" x14ac:dyDescent="0.2">
      <c r="A2331" s="160" t="s">
        <v>6698</v>
      </c>
      <c r="B2331" s="160" t="s">
        <v>6699</v>
      </c>
    </row>
    <row r="2332" spans="1:2" x14ac:dyDescent="0.2">
      <c r="A2332" s="160" t="s">
        <v>6700</v>
      </c>
      <c r="B2332" s="160" t="s">
        <v>6701</v>
      </c>
    </row>
    <row r="2333" spans="1:2" x14ac:dyDescent="0.2">
      <c r="A2333" s="160" t="s">
        <v>4950</v>
      </c>
      <c r="B2333" s="160" t="s">
        <v>6702</v>
      </c>
    </row>
    <row r="2334" spans="1:2" x14ac:dyDescent="0.2">
      <c r="A2334" s="160" t="s">
        <v>4951</v>
      </c>
      <c r="B2334" s="160" t="s">
        <v>4952</v>
      </c>
    </row>
    <row r="2335" spans="1:2" x14ac:dyDescent="0.2">
      <c r="A2335" s="160" t="s">
        <v>6703</v>
      </c>
      <c r="B2335" s="160" t="s">
        <v>6704</v>
      </c>
    </row>
    <row r="2336" spans="1:2" x14ac:dyDescent="0.2">
      <c r="A2336" s="160" t="s">
        <v>4953</v>
      </c>
      <c r="B2336" s="160" t="s">
        <v>4954</v>
      </c>
    </row>
    <row r="2337" spans="1:2" x14ac:dyDescent="0.2">
      <c r="A2337" s="160" t="s">
        <v>4955</v>
      </c>
      <c r="B2337" s="160" t="s">
        <v>4956</v>
      </c>
    </row>
    <row r="2338" spans="1:2" x14ac:dyDescent="0.2">
      <c r="A2338" s="160" t="s">
        <v>4957</v>
      </c>
      <c r="B2338" s="160" t="s">
        <v>4958</v>
      </c>
    </row>
    <row r="2339" spans="1:2" x14ac:dyDescent="0.2">
      <c r="A2339" s="160" t="s">
        <v>6705</v>
      </c>
      <c r="B2339" s="160" t="s">
        <v>6706</v>
      </c>
    </row>
    <row r="2340" spans="1:2" x14ac:dyDescent="0.2">
      <c r="A2340" s="160" t="s">
        <v>4959</v>
      </c>
      <c r="B2340" s="160" t="s">
        <v>4960</v>
      </c>
    </row>
    <row r="2341" spans="1:2" x14ac:dyDescent="0.2">
      <c r="A2341" s="160" t="s">
        <v>4961</v>
      </c>
      <c r="B2341" s="160" t="s">
        <v>4962</v>
      </c>
    </row>
    <row r="2342" spans="1:2" x14ac:dyDescent="0.2">
      <c r="A2342" s="160" t="s">
        <v>4963</v>
      </c>
      <c r="B2342" s="160" t="s">
        <v>4964</v>
      </c>
    </row>
    <row r="2343" spans="1:2" x14ac:dyDescent="0.2">
      <c r="A2343" s="160" t="s">
        <v>4965</v>
      </c>
      <c r="B2343" s="160" t="s">
        <v>4966</v>
      </c>
    </row>
    <row r="2344" spans="1:2" x14ac:dyDescent="0.2">
      <c r="A2344" s="160" t="s">
        <v>4967</v>
      </c>
      <c r="B2344" s="160" t="s">
        <v>4968</v>
      </c>
    </row>
    <row r="2345" spans="1:2" x14ac:dyDescent="0.2">
      <c r="A2345" s="160" t="s">
        <v>4969</v>
      </c>
      <c r="B2345" s="160" t="s">
        <v>4970</v>
      </c>
    </row>
    <row r="2346" spans="1:2" x14ac:dyDescent="0.2">
      <c r="A2346" s="160" t="s">
        <v>4971</v>
      </c>
      <c r="B2346" s="160" t="s">
        <v>4972</v>
      </c>
    </row>
    <row r="2347" spans="1:2" x14ac:dyDescent="0.2">
      <c r="A2347" s="160" t="s">
        <v>4973</v>
      </c>
      <c r="B2347" s="160" t="s">
        <v>4974</v>
      </c>
    </row>
    <row r="2348" spans="1:2" x14ac:dyDescent="0.2">
      <c r="A2348" s="160" t="s">
        <v>4975</v>
      </c>
      <c r="B2348" s="160" t="s">
        <v>4976</v>
      </c>
    </row>
    <row r="2349" spans="1:2" x14ac:dyDescent="0.2">
      <c r="A2349" s="160" t="s">
        <v>4977</v>
      </c>
      <c r="B2349" s="160" t="s">
        <v>4978</v>
      </c>
    </row>
    <row r="2350" spans="1:2" x14ac:dyDescent="0.2">
      <c r="A2350" s="160" t="s">
        <v>4979</v>
      </c>
      <c r="B2350" s="160" t="s">
        <v>4980</v>
      </c>
    </row>
    <row r="2351" spans="1:2" x14ac:dyDescent="0.2">
      <c r="A2351" s="160" t="s">
        <v>4981</v>
      </c>
      <c r="B2351" s="160" t="s">
        <v>4982</v>
      </c>
    </row>
    <row r="2352" spans="1:2" x14ac:dyDescent="0.2">
      <c r="A2352" s="160" t="s">
        <v>4983</v>
      </c>
      <c r="B2352" s="160" t="s">
        <v>4984</v>
      </c>
    </row>
    <row r="2353" spans="1:2" x14ac:dyDescent="0.2">
      <c r="A2353" s="160" t="s">
        <v>4985</v>
      </c>
      <c r="B2353" s="160" t="s">
        <v>4986</v>
      </c>
    </row>
    <row r="2354" spans="1:2" x14ac:dyDescent="0.2">
      <c r="A2354" s="160" t="s">
        <v>4987</v>
      </c>
      <c r="B2354" s="160" t="s">
        <v>4988</v>
      </c>
    </row>
    <row r="2355" spans="1:2" x14ac:dyDescent="0.2">
      <c r="A2355" s="160" t="s">
        <v>4989</v>
      </c>
      <c r="B2355" s="160" t="s">
        <v>4990</v>
      </c>
    </row>
    <row r="2356" spans="1:2" x14ac:dyDescent="0.2">
      <c r="A2356" s="160" t="s">
        <v>4991</v>
      </c>
      <c r="B2356" s="160" t="s">
        <v>4992</v>
      </c>
    </row>
    <row r="2357" spans="1:2" x14ac:dyDescent="0.2">
      <c r="A2357" s="160" t="s">
        <v>4993</v>
      </c>
      <c r="B2357" s="160" t="s">
        <v>4994</v>
      </c>
    </row>
    <row r="2358" spans="1:2" x14ac:dyDescent="0.2">
      <c r="A2358" s="160" t="s">
        <v>4995</v>
      </c>
      <c r="B2358" s="160" t="s">
        <v>4996</v>
      </c>
    </row>
    <row r="2359" spans="1:2" x14ac:dyDescent="0.2">
      <c r="A2359" s="160" t="s">
        <v>4997</v>
      </c>
      <c r="B2359" s="160" t="s">
        <v>4998</v>
      </c>
    </row>
    <row r="2360" spans="1:2" x14ac:dyDescent="0.2">
      <c r="A2360" s="160" t="s">
        <v>4999</v>
      </c>
      <c r="B2360" s="160" t="s">
        <v>5000</v>
      </c>
    </row>
    <row r="2361" spans="1:2" x14ac:dyDescent="0.2">
      <c r="A2361" s="160" t="s">
        <v>5001</v>
      </c>
      <c r="B2361" s="160" t="s">
        <v>5002</v>
      </c>
    </row>
    <row r="2362" spans="1:2" x14ac:dyDescent="0.2">
      <c r="A2362" s="160" t="s">
        <v>5003</v>
      </c>
      <c r="B2362" s="160" t="s">
        <v>5004</v>
      </c>
    </row>
    <row r="2363" spans="1:2" x14ac:dyDescent="0.2">
      <c r="A2363" s="160" t="s">
        <v>5005</v>
      </c>
      <c r="B2363" s="160" t="s">
        <v>5006</v>
      </c>
    </row>
    <row r="2364" spans="1:2" x14ac:dyDescent="0.2">
      <c r="A2364" s="160" t="s">
        <v>5007</v>
      </c>
      <c r="B2364" s="160" t="s">
        <v>5008</v>
      </c>
    </row>
    <row r="2365" spans="1:2" x14ac:dyDescent="0.2">
      <c r="A2365" s="160" t="s">
        <v>5009</v>
      </c>
      <c r="B2365" s="160" t="s">
        <v>5010</v>
      </c>
    </row>
    <row r="2366" spans="1:2" x14ac:dyDescent="0.2">
      <c r="A2366" s="160" t="s">
        <v>5011</v>
      </c>
      <c r="B2366" s="160" t="s">
        <v>5012</v>
      </c>
    </row>
    <row r="2367" spans="1:2" x14ac:dyDescent="0.2">
      <c r="A2367" s="160" t="s">
        <v>5013</v>
      </c>
      <c r="B2367" s="160" t="s">
        <v>5014</v>
      </c>
    </row>
    <row r="2368" spans="1:2" x14ac:dyDescent="0.2">
      <c r="A2368" s="160" t="s">
        <v>5015</v>
      </c>
      <c r="B2368" s="160" t="s">
        <v>5015</v>
      </c>
    </row>
    <row r="2369" spans="1:2" x14ac:dyDescent="0.2">
      <c r="A2369" s="160" t="s">
        <v>5016</v>
      </c>
      <c r="B2369" s="160" t="s">
        <v>5017</v>
      </c>
    </row>
    <row r="2370" spans="1:2" x14ac:dyDescent="0.2">
      <c r="A2370" s="160" t="s">
        <v>5018</v>
      </c>
      <c r="B2370" s="160" t="s">
        <v>5019</v>
      </c>
    </row>
    <row r="2371" spans="1:2" x14ac:dyDescent="0.2">
      <c r="A2371" s="160" t="s">
        <v>5020</v>
      </c>
      <c r="B2371" s="160" t="s">
        <v>5021</v>
      </c>
    </row>
    <row r="2372" spans="1:2" x14ac:dyDescent="0.2">
      <c r="A2372" s="160" t="s">
        <v>5022</v>
      </c>
      <c r="B2372" s="160" t="s">
        <v>5023</v>
      </c>
    </row>
    <row r="2373" spans="1:2" x14ac:dyDescent="0.2">
      <c r="A2373" s="160" t="s">
        <v>5024</v>
      </c>
      <c r="B2373" s="160" t="s">
        <v>5025</v>
      </c>
    </row>
    <row r="2374" spans="1:2" x14ac:dyDescent="0.2">
      <c r="A2374" s="160" t="s">
        <v>6707</v>
      </c>
      <c r="B2374" s="160" t="s">
        <v>6708</v>
      </c>
    </row>
    <row r="2375" spans="1:2" x14ac:dyDescent="0.2">
      <c r="A2375" s="160" t="s">
        <v>5026</v>
      </c>
      <c r="B2375" s="160" t="s">
        <v>5027</v>
      </c>
    </row>
    <row r="2376" spans="1:2" x14ac:dyDescent="0.2">
      <c r="A2376" s="160" t="s">
        <v>5028</v>
      </c>
      <c r="B2376" s="160" t="s">
        <v>5029</v>
      </c>
    </row>
    <row r="2377" spans="1:2" x14ac:dyDescent="0.2">
      <c r="A2377" s="160" t="s">
        <v>5030</v>
      </c>
      <c r="B2377" s="160" t="s">
        <v>5031</v>
      </c>
    </row>
    <row r="2378" spans="1:2" x14ac:dyDescent="0.2">
      <c r="A2378" s="160" t="s">
        <v>6709</v>
      </c>
      <c r="B2378" s="160" t="s">
        <v>6710</v>
      </c>
    </row>
    <row r="2379" spans="1:2" x14ac:dyDescent="0.2">
      <c r="A2379" s="160" t="s">
        <v>5032</v>
      </c>
      <c r="B2379" s="160" t="s">
        <v>5033</v>
      </c>
    </row>
    <row r="2380" spans="1:2" x14ac:dyDescent="0.2">
      <c r="A2380" s="160" t="s">
        <v>5034</v>
      </c>
      <c r="B2380" s="160" t="s">
        <v>5035</v>
      </c>
    </row>
    <row r="2381" spans="1:2" x14ac:dyDescent="0.2">
      <c r="A2381" s="160" t="s">
        <v>5036</v>
      </c>
      <c r="B2381" s="160" t="s">
        <v>5037</v>
      </c>
    </row>
    <row r="2382" spans="1:2" x14ac:dyDescent="0.2">
      <c r="A2382" s="160" t="s">
        <v>5038</v>
      </c>
      <c r="B2382" s="160" t="s">
        <v>5039</v>
      </c>
    </row>
    <row r="2383" spans="1:2" x14ac:dyDescent="0.2">
      <c r="A2383" s="160" t="s">
        <v>5040</v>
      </c>
      <c r="B2383" s="160" t="s">
        <v>5041</v>
      </c>
    </row>
    <row r="2384" spans="1:2" x14ac:dyDescent="0.2">
      <c r="A2384" s="160" t="s">
        <v>5042</v>
      </c>
      <c r="B2384" s="160" t="s">
        <v>5043</v>
      </c>
    </row>
    <row r="2385" spans="1:2" x14ac:dyDescent="0.2">
      <c r="A2385" s="160" t="s">
        <v>5044</v>
      </c>
      <c r="B2385" s="160" t="s">
        <v>5045</v>
      </c>
    </row>
    <row r="2386" spans="1:2" x14ac:dyDescent="0.2">
      <c r="A2386" s="160" t="s">
        <v>5046</v>
      </c>
      <c r="B2386" s="160" t="s">
        <v>5047</v>
      </c>
    </row>
    <row r="2387" spans="1:2" x14ac:dyDescent="0.2">
      <c r="A2387" s="160" t="s">
        <v>5048</v>
      </c>
      <c r="B2387" s="160" t="s">
        <v>5049</v>
      </c>
    </row>
    <row r="2388" spans="1:2" x14ac:dyDescent="0.2">
      <c r="A2388" s="160" t="s">
        <v>5050</v>
      </c>
      <c r="B2388" s="160" t="s">
        <v>5051</v>
      </c>
    </row>
    <row r="2389" spans="1:2" x14ac:dyDescent="0.2">
      <c r="A2389" s="160" t="s">
        <v>5052</v>
      </c>
      <c r="B2389" s="160" t="s">
        <v>6711</v>
      </c>
    </row>
    <row r="2390" spans="1:2" x14ac:dyDescent="0.2">
      <c r="A2390" s="160" t="s">
        <v>5053</v>
      </c>
      <c r="B2390" s="160" t="s">
        <v>5054</v>
      </c>
    </row>
    <row r="2391" spans="1:2" x14ac:dyDescent="0.2">
      <c r="A2391" s="160" t="s">
        <v>5055</v>
      </c>
      <c r="B2391" s="160" t="s">
        <v>5056</v>
      </c>
    </row>
    <row r="2392" spans="1:2" x14ac:dyDescent="0.2">
      <c r="A2392" s="160" t="s">
        <v>6712</v>
      </c>
      <c r="B2392" s="160" t="s">
        <v>6713</v>
      </c>
    </row>
    <row r="2393" spans="1:2" x14ac:dyDescent="0.2">
      <c r="A2393" s="160" t="s">
        <v>5057</v>
      </c>
      <c r="B2393" s="160" t="s">
        <v>5058</v>
      </c>
    </row>
    <row r="2394" spans="1:2" x14ac:dyDescent="0.2">
      <c r="A2394" s="160" t="s">
        <v>5059</v>
      </c>
      <c r="B2394" s="160" t="s">
        <v>5060</v>
      </c>
    </row>
    <row r="2395" spans="1:2" x14ac:dyDescent="0.2">
      <c r="A2395" s="160" t="s">
        <v>5061</v>
      </c>
      <c r="B2395" s="160" t="s">
        <v>5062</v>
      </c>
    </row>
    <row r="2396" spans="1:2" x14ac:dyDescent="0.2">
      <c r="A2396" s="160" t="s">
        <v>5063</v>
      </c>
      <c r="B2396" s="160" t="s">
        <v>5064</v>
      </c>
    </row>
    <row r="2397" spans="1:2" x14ac:dyDescent="0.2">
      <c r="A2397" s="160" t="s">
        <v>5065</v>
      </c>
      <c r="B2397" s="160" t="s">
        <v>5066</v>
      </c>
    </row>
    <row r="2398" spans="1:2" x14ac:dyDescent="0.2">
      <c r="A2398" s="160" t="s">
        <v>5067</v>
      </c>
      <c r="B2398" s="160" t="s">
        <v>5068</v>
      </c>
    </row>
    <row r="2399" spans="1:2" x14ac:dyDescent="0.2">
      <c r="A2399" s="160" t="s">
        <v>5069</v>
      </c>
      <c r="B2399" s="160" t="s">
        <v>5070</v>
      </c>
    </row>
    <row r="2400" spans="1:2" x14ac:dyDescent="0.2">
      <c r="A2400" s="160" t="s">
        <v>5071</v>
      </c>
      <c r="B2400" s="160" t="s">
        <v>5072</v>
      </c>
    </row>
    <row r="2401" spans="1:2" x14ac:dyDescent="0.2">
      <c r="A2401" s="160" t="s">
        <v>5073</v>
      </c>
      <c r="B2401" s="160" t="s">
        <v>5074</v>
      </c>
    </row>
    <row r="2402" spans="1:2" x14ac:dyDescent="0.2">
      <c r="A2402" s="160" t="s">
        <v>5075</v>
      </c>
      <c r="B2402" s="160" t="s">
        <v>5076</v>
      </c>
    </row>
    <row r="2403" spans="1:2" x14ac:dyDescent="0.2">
      <c r="A2403" s="160" t="s">
        <v>5077</v>
      </c>
      <c r="B2403" s="160" t="s">
        <v>5078</v>
      </c>
    </row>
    <row r="2404" spans="1:2" x14ac:dyDescent="0.2">
      <c r="A2404" s="160" t="s">
        <v>5079</v>
      </c>
      <c r="B2404" s="160" t="s">
        <v>5080</v>
      </c>
    </row>
    <row r="2405" spans="1:2" x14ac:dyDescent="0.2">
      <c r="A2405" s="160" t="s">
        <v>5081</v>
      </c>
      <c r="B2405" s="160" t="s">
        <v>5082</v>
      </c>
    </row>
    <row r="2406" spans="1:2" x14ac:dyDescent="0.2">
      <c r="A2406" s="160" t="s">
        <v>5083</v>
      </c>
      <c r="B2406" s="160" t="s">
        <v>5084</v>
      </c>
    </row>
    <row r="2407" spans="1:2" x14ac:dyDescent="0.2">
      <c r="A2407" s="160" t="s">
        <v>5085</v>
      </c>
      <c r="B2407" s="160" t="s">
        <v>5086</v>
      </c>
    </row>
    <row r="2408" spans="1:2" x14ac:dyDescent="0.2">
      <c r="A2408" s="160" t="s">
        <v>5087</v>
      </c>
      <c r="B2408" s="160" t="s">
        <v>5088</v>
      </c>
    </row>
    <row r="2409" spans="1:2" x14ac:dyDescent="0.2">
      <c r="A2409" s="160" t="s">
        <v>5089</v>
      </c>
      <c r="B2409" s="160" t="s">
        <v>5090</v>
      </c>
    </row>
    <row r="2410" spans="1:2" x14ac:dyDescent="0.2">
      <c r="A2410" s="160" t="s">
        <v>5091</v>
      </c>
      <c r="B2410" s="160" t="s">
        <v>5092</v>
      </c>
    </row>
    <row r="2411" spans="1:2" x14ac:dyDescent="0.2">
      <c r="A2411" s="160" t="s">
        <v>5093</v>
      </c>
      <c r="B2411" s="160" t="s">
        <v>5094</v>
      </c>
    </row>
    <row r="2412" spans="1:2" x14ac:dyDescent="0.2">
      <c r="A2412" s="160" t="s">
        <v>5095</v>
      </c>
      <c r="B2412" s="160" t="s">
        <v>5096</v>
      </c>
    </row>
    <row r="2413" spans="1:2" x14ac:dyDescent="0.2">
      <c r="A2413" s="160" t="s">
        <v>5097</v>
      </c>
      <c r="B2413" s="160" t="s">
        <v>5098</v>
      </c>
    </row>
    <row r="2414" spans="1:2" x14ac:dyDescent="0.2">
      <c r="A2414" s="160" t="s">
        <v>5099</v>
      </c>
      <c r="B2414" s="160" t="s">
        <v>5100</v>
      </c>
    </row>
    <row r="2415" spans="1:2" x14ac:dyDescent="0.2">
      <c r="A2415" s="160" t="s">
        <v>5101</v>
      </c>
      <c r="B2415" s="160" t="s">
        <v>5102</v>
      </c>
    </row>
    <row r="2416" spans="1:2" x14ac:dyDescent="0.2">
      <c r="A2416" s="160" t="s">
        <v>5103</v>
      </c>
      <c r="B2416" s="160" t="s">
        <v>5104</v>
      </c>
    </row>
    <row r="2417" spans="1:2" x14ac:dyDescent="0.2">
      <c r="A2417" s="160" t="s">
        <v>5105</v>
      </c>
      <c r="B2417" s="160" t="s">
        <v>5106</v>
      </c>
    </row>
    <row r="2418" spans="1:2" x14ac:dyDescent="0.2">
      <c r="A2418" s="160" t="s">
        <v>5107</v>
      </c>
      <c r="B2418" s="160" t="s">
        <v>5108</v>
      </c>
    </row>
    <row r="2419" spans="1:2" x14ac:dyDescent="0.2">
      <c r="A2419" s="160" t="s">
        <v>5110</v>
      </c>
      <c r="B2419" s="160" t="s">
        <v>5111</v>
      </c>
    </row>
    <row r="2420" spans="1:2" x14ac:dyDescent="0.2">
      <c r="A2420" s="160" t="s">
        <v>5112</v>
      </c>
      <c r="B2420" s="160" t="s">
        <v>5113</v>
      </c>
    </row>
    <row r="2421" spans="1:2" x14ac:dyDescent="0.2">
      <c r="A2421" s="160" t="s">
        <v>5114</v>
      </c>
      <c r="B2421" s="160" t="s">
        <v>5115</v>
      </c>
    </row>
    <row r="2422" spans="1:2" x14ac:dyDescent="0.2">
      <c r="A2422" s="160" t="s">
        <v>5116</v>
      </c>
      <c r="B2422" s="160" t="s">
        <v>5117</v>
      </c>
    </row>
    <row r="2423" spans="1:2" x14ac:dyDescent="0.2">
      <c r="A2423" s="160" t="s">
        <v>5118</v>
      </c>
      <c r="B2423" s="160" t="s">
        <v>5119</v>
      </c>
    </row>
    <row r="2424" spans="1:2" x14ac:dyDescent="0.2">
      <c r="A2424" s="160" t="s">
        <v>5120</v>
      </c>
      <c r="B2424" s="160" t="s">
        <v>5121</v>
      </c>
    </row>
    <row r="2425" spans="1:2" x14ac:dyDescent="0.2">
      <c r="A2425" s="160" t="s">
        <v>5122</v>
      </c>
      <c r="B2425" s="160" t="s">
        <v>5123</v>
      </c>
    </row>
    <row r="2426" spans="1:2" x14ac:dyDescent="0.2">
      <c r="A2426" s="160" t="s">
        <v>5124</v>
      </c>
      <c r="B2426" s="160" t="s">
        <v>5125</v>
      </c>
    </row>
    <row r="2427" spans="1:2" x14ac:dyDescent="0.2">
      <c r="A2427" s="160" t="s">
        <v>5126</v>
      </c>
      <c r="B2427" s="160" t="s">
        <v>5127</v>
      </c>
    </row>
    <row r="2428" spans="1:2" x14ac:dyDescent="0.2">
      <c r="A2428" s="160" t="s">
        <v>5128</v>
      </c>
      <c r="B2428" s="160" t="s">
        <v>5129</v>
      </c>
    </row>
    <row r="2429" spans="1:2" x14ac:dyDescent="0.2">
      <c r="A2429" s="160" t="s">
        <v>5130</v>
      </c>
      <c r="B2429" s="160" t="s">
        <v>5131</v>
      </c>
    </row>
    <row r="2430" spans="1:2" x14ac:dyDescent="0.2">
      <c r="A2430" s="160" t="s">
        <v>5132</v>
      </c>
      <c r="B2430" s="160" t="s">
        <v>5133</v>
      </c>
    </row>
    <row r="2431" spans="1:2" x14ac:dyDescent="0.2">
      <c r="A2431" s="160" t="s">
        <v>5134</v>
      </c>
      <c r="B2431" s="160" t="s">
        <v>5135</v>
      </c>
    </row>
    <row r="2432" spans="1:2" x14ac:dyDescent="0.2">
      <c r="A2432" s="160" t="s">
        <v>5136</v>
      </c>
      <c r="B2432" s="160" t="s">
        <v>5137</v>
      </c>
    </row>
    <row r="2433" spans="1:2" x14ac:dyDescent="0.2">
      <c r="A2433" s="160" t="s">
        <v>5138</v>
      </c>
      <c r="B2433" s="160" t="s">
        <v>5139</v>
      </c>
    </row>
    <row r="2434" spans="1:2" x14ac:dyDescent="0.2">
      <c r="A2434" s="160" t="s">
        <v>5140</v>
      </c>
      <c r="B2434" s="160" t="s">
        <v>5141</v>
      </c>
    </row>
    <row r="2435" spans="1:2" x14ac:dyDescent="0.2">
      <c r="A2435" s="160" t="s">
        <v>5142</v>
      </c>
      <c r="B2435" s="160" t="s">
        <v>5143</v>
      </c>
    </row>
    <row r="2436" spans="1:2" x14ac:dyDescent="0.2">
      <c r="A2436" s="160" t="s">
        <v>6714</v>
      </c>
      <c r="B2436" s="160" t="s">
        <v>6715</v>
      </c>
    </row>
    <row r="2437" spans="1:2" x14ac:dyDescent="0.2">
      <c r="A2437" s="160" t="s">
        <v>5144</v>
      </c>
      <c r="B2437" s="160" t="s">
        <v>5145</v>
      </c>
    </row>
    <row r="2438" spans="1:2" x14ac:dyDescent="0.2">
      <c r="A2438" s="160" t="s">
        <v>5146</v>
      </c>
      <c r="B2438" s="160" t="s">
        <v>5147</v>
      </c>
    </row>
    <row r="2439" spans="1:2" x14ac:dyDescent="0.2">
      <c r="A2439" s="160" t="s">
        <v>5148</v>
      </c>
      <c r="B2439" s="160" t="s">
        <v>5149</v>
      </c>
    </row>
    <row r="2440" spans="1:2" x14ac:dyDescent="0.2">
      <c r="A2440" s="160" t="s">
        <v>5150</v>
      </c>
      <c r="B2440" s="160" t="s">
        <v>5151</v>
      </c>
    </row>
    <row r="2441" spans="1:2" x14ac:dyDescent="0.2">
      <c r="A2441" s="160" t="s">
        <v>5152</v>
      </c>
      <c r="B2441" s="160" t="s">
        <v>5153</v>
      </c>
    </row>
    <row r="2442" spans="1:2" x14ac:dyDescent="0.2">
      <c r="A2442" s="160" t="s">
        <v>5154</v>
      </c>
      <c r="B2442" s="160" t="s">
        <v>5155</v>
      </c>
    </row>
    <row r="2443" spans="1:2" x14ac:dyDescent="0.2">
      <c r="A2443" s="160" t="s">
        <v>5156</v>
      </c>
      <c r="B2443" s="160" t="s">
        <v>5157</v>
      </c>
    </row>
    <row r="2444" spans="1:2" x14ac:dyDescent="0.2">
      <c r="A2444" s="160" t="s">
        <v>5158</v>
      </c>
      <c r="B2444" s="160" t="s">
        <v>5159</v>
      </c>
    </row>
    <row r="2445" spans="1:2" x14ac:dyDescent="0.2">
      <c r="A2445" s="160" t="s">
        <v>5160</v>
      </c>
      <c r="B2445" s="160" t="s">
        <v>5161</v>
      </c>
    </row>
    <row r="2446" spans="1:2" x14ac:dyDescent="0.2">
      <c r="A2446" s="160" t="s">
        <v>5162</v>
      </c>
      <c r="B2446" s="160" t="s">
        <v>5163</v>
      </c>
    </row>
    <row r="2447" spans="1:2" x14ac:dyDescent="0.2">
      <c r="A2447" s="160" t="s">
        <v>5164</v>
      </c>
      <c r="B2447" s="160" t="s">
        <v>5165</v>
      </c>
    </row>
    <row r="2448" spans="1:2" x14ac:dyDescent="0.2">
      <c r="A2448" s="160" t="s">
        <v>5166</v>
      </c>
      <c r="B2448" s="160" t="s">
        <v>5167</v>
      </c>
    </row>
    <row r="2449" spans="1:2" x14ac:dyDescent="0.2">
      <c r="A2449" s="160" t="s">
        <v>5168</v>
      </c>
      <c r="B2449" s="160" t="s">
        <v>5169</v>
      </c>
    </row>
    <row r="2450" spans="1:2" x14ac:dyDescent="0.2">
      <c r="A2450" s="160" t="s">
        <v>5170</v>
      </c>
      <c r="B2450" s="160" t="s">
        <v>5171</v>
      </c>
    </row>
    <row r="2451" spans="1:2" x14ac:dyDescent="0.2">
      <c r="A2451" s="160" t="s">
        <v>5172</v>
      </c>
      <c r="B2451" s="160" t="s">
        <v>5173</v>
      </c>
    </row>
    <row r="2452" spans="1:2" x14ac:dyDescent="0.2">
      <c r="A2452" s="160" t="s">
        <v>5174</v>
      </c>
      <c r="B2452" s="160" t="s">
        <v>5175</v>
      </c>
    </row>
    <row r="2453" spans="1:2" x14ac:dyDescent="0.2">
      <c r="A2453" s="160" t="s">
        <v>5176</v>
      </c>
      <c r="B2453" s="160" t="s">
        <v>5177</v>
      </c>
    </row>
    <row r="2454" spans="1:2" x14ac:dyDescent="0.2">
      <c r="A2454" s="160" t="s">
        <v>5178</v>
      </c>
      <c r="B2454" s="160" t="s">
        <v>5179</v>
      </c>
    </row>
    <row r="2455" spans="1:2" x14ac:dyDescent="0.2">
      <c r="A2455" s="160" t="s">
        <v>5180</v>
      </c>
      <c r="B2455" s="160" t="s">
        <v>5181</v>
      </c>
    </row>
    <row r="2456" spans="1:2" x14ac:dyDescent="0.2">
      <c r="A2456" s="160" t="s">
        <v>5182</v>
      </c>
      <c r="B2456" s="160" t="s">
        <v>5183</v>
      </c>
    </row>
    <row r="2457" spans="1:2" x14ac:dyDescent="0.2">
      <c r="A2457" s="160" t="s">
        <v>5184</v>
      </c>
      <c r="B2457" s="160" t="s">
        <v>5185</v>
      </c>
    </row>
    <row r="2458" spans="1:2" x14ac:dyDescent="0.2">
      <c r="A2458" s="160" t="s">
        <v>5186</v>
      </c>
      <c r="B2458" s="160" t="s">
        <v>5187</v>
      </c>
    </row>
    <row r="2459" spans="1:2" x14ac:dyDescent="0.2">
      <c r="A2459" s="160" t="s">
        <v>5188</v>
      </c>
      <c r="B2459" s="160" t="s">
        <v>5189</v>
      </c>
    </row>
    <row r="2460" spans="1:2" x14ac:dyDescent="0.2">
      <c r="A2460" s="160" t="s">
        <v>5190</v>
      </c>
      <c r="B2460" s="160" t="s">
        <v>5191</v>
      </c>
    </row>
    <row r="2461" spans="1:2" x14ac:dyDescent="0.2">
      <c r="A2461" s="160" t="s">
        <v>6716</v>
      </c>
      <c r="B2461" s="160" t="s">
        <v>6717</v>
      </c>
    </row>
    <row r="2462" spans="1:2" x14ac:dyDescent="0.2">
      <c r="A2462" s="160" t="s">
        <v>5192</v>
      </c>
      <c r="B2462" s="160" t="s">
        <v>5193</v>
      </c>
    </row>
    <row r="2463" spans="1:2" x14ac:dyDescent="0.2">
      <c r="A2463" s="160" t="s">
        <v>6718</v>
      </c>
      <c r="B2463" s="160" t="s">
        <v>6719</v>
      </c>
    </row>
    <row r="2464" spans="1:2" x14ac:dyDescent="0.2">
      <c r="A2464" s="160" t="s">
        <v>6720</v>
      </c>
      <c r="B2464" s="160" t="s">
        <v>6721</v>
      </c>
    </row>
    <row r="2465" spans="1:2" x14ac:dyDescent="0.2">
      <c r="A2465" s="160" t="s">
        <v>6722</v>
      </c>
      <c r="B2465" s="160" t="s">
        <v>6723</v>
      </c>
    </row>
    <row r="2466" spans="1:2" x14ac:dyDescent="0.2">
      <c r="A2466" s="160" t="s">
        <v>5194</v>
      </c>
      <c r="B2466" s="160" t="s">
        <v>5195</v>
      </c>
    </row>
    <row r="2467" spans="1:2" x14ac:dyDescent="0.2">
      <c r="A2467" s="160" t="s">
        <v>5196</v>
      </c>
      <c r="B2467" s="160" t="s">
        <v>5197</v>
      </c>
    </row>
    <row r="2468" spans="1:2" x14ac:dyDescent="0.2">
      <c r="A2468" s="160" t="s">
        <v>5198</v>
      </c>
      <c r="B2468" s="160" t="s">
        <v>5199</v>
      </c>
    </row>
    <row r="2469" spans="1:2" x14ac:dyDescent="0.2">
      <c r="A2469" s="160" t="s">
        <v>5200</v>
      </c>
      <c r="B2469" s="160" t="s">
        <v>5201</v>
      </c>
    </row>
    <row r="2470" spans="1:2" x14ac:dyDescent="0.2">
      <c r="A2470" s="160" t="s">
        <v>5202</v>
      </c>
      <c r="B2470" s="160" t="s">
        <v>5203</v>
      </c>
    </row>
    <row r="2471" spans="1:2" x14ac:dyDescent="0.2">
      <c r="A2471" s="160" t="s">
        <v>5204</v>
      </c>
      <c r="B2471" s="160" t="s">
        <v>5205</v>
      </c>
    </row>
    <row r="2472" spans="1:2" x14ac:dyDescent="0.2">
      <c r="A2472" s="160" t="s">
        <v>5206</v>
      </c>
      <c r="B2472" s="160" t="s">
        <v>5207</v>
      </c>
    </row>
    <row r="2473" spans="1:2" x14ac:dyDescent="0.2">
      <c r="A2473" s="160" t="s">
        <v>5208</v>
      </c>
      <c r="B2473" s="160" t="s">
        <v>5209</v>
      </c>
    </row>
    <row r="2474" spans="1:2" x14ac:dyDescent="0.2">
      <c r="A2474" s="160" t="s">
        <v>5210</v>
      </c>
      <c r="B2474" s="160" t="s">
        <v>5211</v>
      </c>
    </row>
    <row r="2475" spans="1:2" x14ac:dyDescent="0.2">
      <c r="A2475" s="160" t="s">
        <v>5212</v>
      </c>
      <c r="B2475" s="160" t="s">
        <v>5213</v>
      </c>
    </row>
    <row r="2476" spans="1:2" x14ac:dyDescent="0.2">
      <c r="A2476" s="160" t="s">
        <v>5214</v>
      </c>
      <c r="B2476" s="160" t="s">
        <v>5215</v>
      </c>
    </row>
    <row r="2477" spans="1:2" x14ac:dyDescent="0.2">
      <c r="A2477" s="160" t="s">
        <v>5216</v>
      </c>
      <c r="B2477" s="160" t="s">
        <v>5217</v>
      </c>
    </row>
    <row r="2478" spans="1:2" x14ac:dyDescent="0.2">
      <c r="A2478" s="160" t="s">
        <v>5218</v>
      </c>
      <c r="B2478" s="160" t="s">
        <v>5219</v>
      </c>
    </row>
    <row r="2479" spans="1:2" x14ac:dyDescent="0.2">
      <c r="A2479" s="160" t="s">
        <v>5220</v>
      </c>
      <c r="B2479" s="160" t="s">
        <v>5221</v>
      </c>
    </row>
    <row r="2480" spans="1:2" x14ac:dyDescent="0.2">
      <c r="A2480" s="160" t="s">
        <v>5222</v>
      </c>
      <c r="B2480" s="160" t="s">
        <v>5223</v>
      </c>
    </row>
    <row r="2481" spans="1:2" x14ac:dyDescent="0.2">
      <c r="A2481" s="160" t="s">
        <v>5224</v>
      </c>
      <c r="B2481" s="160" t="s">
        <v>5225</v>
      </c>
    </row>
    <row r="2482" spans="1:2" x14ac:dyDescent="0.2">
      <c r="A2482" s="160" t="s">
        <v>5226</v>
      </c>
      <c r="B2482" s="160" t="s">
        <v>5227</v>
      </c>
    </row>
    <row r="2483" spans="1:2" x14ac:dyDescent="0.2">
      <c r="A2483" s="160" t="s">
        <v>5228</v>
      </c>
      <c r="B2483" s="160" t="s">
        <v>5229</v>
      </c>
    </row>
    <row r="2484" spans="1:2" x14ac:dyDescent="0.2">
      <c r="A2484" s="160" t="s">
        <v>5230</v>
      </c>
      <c r="B2484" s="160" t="s">
        <v>5231</v>
      </c>
    </row>
    <row r="2485" spans="1:2" x14ac:dyDescent="0.2">
      <c r="A2485" s="160" t="s">
        <v>6724</v>
      </c>
      <c r="B2485" s="160" t="s">
        <v>6725</v>
      </c>
    </row>
    <row r="2486" spans="1:2" x14ac:dyDescent="0.2">
      <c r="A2486" s="160" t="s">
        <v>5232</v>
      </c>
      <c r="B2486" s="160" t="s">
        <v>5233</v>
      </c>
    </row>
    <row r="2487" spans="1:2" x14ac:dyDescent="0.2">
      <c r="A2487" s="160" t="s">
        <v>5234</v>
      </c>
      <c r="B2487" s="160" t="s">
        <v>5235</v>
      </c>
    </row>
    <row r="2488" spans="1:2" x14ac:dyDescent="0.2">
      <c r="A2488" s="160" t="s">
        <v>5236</v>
      </c>
      <c r="B2488" s="160" t="s">
        <v>5237</v>
      </c>
    </row>
    <row r="2489" spans="1:2" x14ac:dyDescent="0.2">
      <c r="A2489" s="160" t="s">
        <v>5238</v>
      </c>
      <c r="B2489" s="160" t="s">
        <v>5239</v>
      </c>
    </row>
    <row r="2490" spans="1:2" x14ac:dyDescent="0.2">
      <c r="A2490" s="160" t="s">
        <v>5240</v>
      </c>
      <c r="B2490" s="160" t="s">
        <v>5241</v>
      </c>
    </row>
    <row r="2491" spans="1:2" x14ac:dyDescent="0.2">
      <c r="A2491" s="160" t="s">
        <v>5242</v>
      </c>
      <c r="B2491" s="160" t="s">
        <v>5243</v>
      </c>
    </row>
    <row r="2492" spans="1:2" x14ac:dyDescent="0.2">
      <c r="A2492" s="160" t="s">
        <v>5244</v>
      </c>
      <c r="B2492" s="160" t="s">
        <v>5245</v>
      </c>
    </row>
    <row r="2493" spans="1:2" x14ac:dyDescent="0.2">
      <c r="A2493" s="160" t="s">
        <v>5246</v>
      </c>
      <c r="B2493" s="160" t="s">
        <v>5247</v>
      </c>
    </row>
    <row r="2494" spans="1:2" x14ac:dyDescent="0.2">
      <c r="A2494" s="160" t="s">
        <v>5248</v>
      </c>
      <c r="B2494" s="160" t="s">
        <v>5249</v>
      </c>
    </row>
    <row r="2495" spans="1:2" x14ac:dyDescent="0.2">
      <c r="A2495" s="160" t="s">
        <v>5250</v>
      </c>
      <c r="B2495" s="160" t="s">
        <v>5251</v>
      </c>
    </row>
    <row r="2496" spans="1:2" x14ac:dyDescent="0.2">
      <c r="A2496" s="160" t="s">
        <v>5252</v>
      </c>
      <c r="B2496" s="160" t="s">
        <v>5253</v>
      </c>
    </row>
    <row r="2497" spans="1:2" x14ac:dyDescent="0.2">
      <c r="A2497" s="160" t="s">
        <v>5254</v>
      </c>
      <c r="B2497" s="160" t="s">
        <v>5255</v>
      </c>
    </row>
    <row r="2498" spans="1:2" x14ac:dyDescent="0.2">
      <c r="A2498" s="160" t="s">
        <v>5256</v>
      </c>
      <c r="B2498" s="160" t="s">
        <v>5257</v>
      </c>
    </row>
    <row r="2499" spans="1:2" x14ac:dyDescent="0.2">
      <c r="A2499" s="160" t="s">
        <v>5258</v>
      </c>
      <c r="B2499" s="160" t="s">
        <v>5259</v>
      </c>
    </row>
    <row r="2500" spans="1:2" x14ac:dyDescent="0.2">
      <c r="A2500" s="160" t="s">
        <v>5260</v>
      </c>
      <c r="B2500" s="160" t="s">
        <v>5261</v>
      </c>
    </row>
    <row r="2501" spans="1:2" x14ac:dyDescent="0.2">
      <c r="A2501" s="160" t="s">
        <v>5262</v>
      </c>
      <c r="B2501" s="160" t="s">
        <v>5263</v>
      </c>
    </row>
    <row r="2502" spans="1:2" x14ac:dyDescent="0.2">
      <c r="A2502" s="160" t="s">
        <v>6726</v>
      </c>
      <c r="B2502" s="160" t="s">
        <v>6727</v>
      </c>
    </row>
    <row r="2503" spans="1:2" x14ac:dyDescent="0.2">
      <c r="A2503" s="160" t="s">
        <v>5264</v>
      </c>
      <c r="B2503" s="160" t="s">
        <v>5265</v>
      </c>
    </row>
    <row r="2504" spans="1:2" x14ac:dyDescent="0.2">
      <c r="A2504" s="160" t="s">
        <v>6728</v>
      </c>
      <c r="B2504" s="160" t="s">
        <v>6729</v>
      </c>
    </row>
    <row r="2505" spans="1:2" x14ac:dyDescent="0.2">
      <c r="A2505" s="160" t="s">
        <v>5266</v>
      </c>
      <c r="B2505" s="160" t="s">
        <v>5267</v>
      </c>
    </row>
    <row r="2506" spans="1:2" x14ac:dyDescent="0.2">
      <c r="A2506" s="160" t="s">
        <v>5268</v>
      </c>
      <c r="B2506" s="160" t="s">
        <v>5269</v>
      </c>
    </row>
    <row r="2507" spans="1:2" x14ac:dyDescent="0.2">
      <c r="A2507" s="160" t="s">
        <v>5270</v>
      </c>
      <c r="B2507" s="160" t="s">
        <v>5271</v>
      </c>
    </row>
    <row r="2508" spans="1:2" x14ac:dyDescent="0.2">
      <c r="A2508" s="160" t="s">
        <v>5272</v>
      </c>
      <c r="B2508" s="160" t="s">
        <v>5273</v>
      </c>
    </row>
    <row r="2509" spans="1:2" x14ac:dyDescent="0.2">
      <c r="A2509" s="160" t="s">
        <v>5274</v>
      </c>
      <c r="B2509" s="160" t="s">
        <v>5275</v>
      </c>
    </row>
    <row r="2510" spans="1:2" x14ac:dyDescent="0.2">
      <c r="A2510" s="160" t="s">
        <v>6730</v>
      </c>
      <c r="B2510" s="160" t="s">
        <v>5109</v>
      </c>
    </row>
    <row r="2511" spans="1:2" x14ac:dyDescent="0.2">
      <c r="A2511" s="160" t="s">
        <v>5276</v>
      </c>
      <c r="B2511" s="160" t="s">
        <v>5277</v>
      </c>
    </row>
    <row r="2512" spans="1:2" x14ac:dyDescent="0.2">
      <c r="A2512" s="160" t="s">
        <v>6731</v>
      </c>
      <c r="B2512" s="160" t="s">
        <v>6732</v>
      </c>
    </row>
    <row r="2513" spans="1:2" x14ac:dyDescent="0.2">
      <c r="A2513" s="160" t="s">
        <v>5278</v>
      </c>
      <c r="B2513" s="160" t="s">
        <v>5279</v>
      </c>
    </row>
    <row r="2514" spans="1:2" x14ac:dyDescent="0.2">
      <c r="A2514" s="160" t="s">
        <v>5280</v>
      </c>
      <c r="B2514" s="160" t="s">
        <v>5281</v>
      </c>
    </row>
    <row r="2515" spans="1:2" x14ac:dyDescent="0.2">
      <c r="A2515" s="160" t="s">
        <v>5282</v>
      </c>
      <c r="B2515" s="160" t="s">
        <v>5283</v>
      </c>
    </row>
    <row r="2516" spans="1:2" x14ac:dyDescent="0.2">
      <c r="A2516" s="160" t="s">
        <v>5284</v>
      </c>
      <c r="B2516" s="160" t="s">
        <v>5285</v>
      </c>
    </row>
    <row r="2517" spans="1:2" x14ac:dyDescent="0.2">
      <c r="A2517" s="160" t="s">
        <v>5286</v>
      </c>
      <c r="B2517" s="160" t="s">
        <v>5287</v>
      </c>
    </row>
    <row r="2518" spans="1:2" x14ac:dyDescent="0.2">
      <c r="A2518" s="160" t="s">
        <v>5288</v>
      </c>
      <c r="B2518" s="160" t="s">
        <v>5289</v>
      </c>
    </row>
    <row r="2519" spans="1:2" x14ac:dyDescent="0.2">
      <c r="A2519" s="160" t="s">
        <v>5290</v>
      </c>
      <c r="B2519" s="160" t="s">
        <v>5291</v>
      </c>
    </row>
    <row r="2520" spans="1:2" x14ac:dyDescent="0.2">
      <c r="A2520" s="160" t="s">
        <v>6733</v>
      </c>
      <c r="B2520" s="160" t="s">
        <v>6734</v>
      </c>
    </row>
    <row r="2521" spans="1:2" x14ac:dyDescent="0.2">
      <c r="A2521" s="160" t="s">
        <v>5292</v>
      </c>
      <c r="B2521" s="160" t="s">
        <v>5293</v>
      </c>
    </row>
    <row r="2522" spans="1:2" x14ac:dyDescent="0.2">
      <c r="A2522" s="160" t="s">
        <v>5294</v>
      </c>
      <c r="B2522" s="160" t="s">
        <v>5295</v>
      </c>
    </row>
    <row r="2523" spans="1:2" x14ac:dyDescent="0.2">
      <c r="A2523" s="160" t="s">
        <v>5296</v>
      </c>
      <c r="B2523" s="160" t="s">
        <v>5297</v>
      </c>
    </row>
    <row r="2524" spans="1:2" x14ac:dyDescent="0.2">
      <c r="A2524" s="160" t="s">
        <v>6735</v>
      </c>
      <c r="B2524" s="160" t="s">
        <v>6736</v>
      </c>
    </row>
    <row r="2525" spans="1:2" x14ac:dyDescent="0.2">
      <c r="A2525" s="160" t="s">
        <v>5298</v>
      </c>
      <c r="B2525" s="160" t="s">
        <v>5299</v>
      </c>
    </row>
    <row r="2526" spans="1:2" x14ac:dyDescent="0.2">
      <c r="A2526" s="160" t="s">
        <v>5300</v>
      </c>
      <c r="B2526" s="160" t="s">
        <v>5301</v>
      </c>
    </row>
    <row r="2527" spans="1:2" x14ac:dyDescent="0.2">
      <c r="A2527" s="160" t="s">
        <v>5302</v>
      </c>
      <c r="B2527" s="160" t="s">
        <v>5303</v>
      </c>
    </row>
    <row r="2528" spans="1:2" x14ac:dyDescent="0.2">
      <c r="A2528" s="160" t="s">
        <v>5304</v>
      </c>
      <c r="B2528" s="160" t="s">
        <v>5305</v>
      </c>
    </row>
    <row r="2529" spans="1:2" x14ac:dyDescent="0.2">
      <c r="A2529" s="160" t="s">
        <v>5306</v>
      </c>
      <c r="B2529" s="160" t="s">
        <v>5307</v>
      </c>
    </row>
    <row r="2530" spans="1:2" x14ac:dyDescent="0.2">
      <c r="A2530" s="160" t="s">
        <v>5308</v>
      </c>
      <c r="B2530" s="160" t="s">
        <v>5309</v>
      </c>
    </row>
    <row r="2531" spans="1:2" x14ac:dyDescent="0.2">
      <c r="A2531" s="160" t="s">
        <v>6737</v>
      </c>
      <c r="B2531" s="160" t="s">
        <v>6738</v>
      </c>
    </row>
    <row r="2532" spans="1:2" x14ac:dyDescent="0.2">
      <c r="A2532" s="160" t="s">
        <v>5311</v>
      </c>
      <c r="B2532" s="160" t="s">
        <v>5312</v>
      </c>
    </row>
    <row r="2533" spans="1:2" x14ac:dyDescent="0.2">
      <c r="A2533" s="160" t="s">
        <v>5313</v>
      </c>
      <c r="B2533" s="160" t="s">
        <v>5314</v>
      </c>
    </row>
    <row r="2534" spans="1:2" x14ac:dyDescent="0.2">
      <c r="A2534" s="160" t="s">
        <v>5315</v>
      </c>
      <c r="B2534" s="160" t="s">
        <v>5316</v>
      </c>
    </row>
    <row r="2535" spans="1:2" x14ac:dyDescent="0.2">
      <c r="A2535" s="160" t="s">
        <v>6739</v>
      </c>
      <c r="B2535" s="160" t="s">
        <v>5310</v>
      </c>
    </row>
    <row r="2536" spans="1:2" x14ac:dyDescent="0.2">
      <c r="A2536" s="160" t="s">
        <v>5317</v>
      </c>
      <c r="B2536" s="160" t="s">
        <v>5318</v>
      </c>
    </row>
    <row r="2537" spans="1:2" x14ac:dyDescent="0.2">
      <c r="A2537" s="160" t="s">
        <v>5319</v>
      </c>
      <c r="B2537" s="160" t="s">
        <v>5320</v>
      </c>
    </row>
    <row r="2538" spans="1:2" x14ac:dyDescent="0.2">
      <c r="A2538" s="160" t="s">
        <v>5321</v>
      </c>
      <c r="B2538" s="160" t="s">
        <v>5322</v>
      </c>
    </row>
    <row r="2539" spans="1:2" x14ac:dyDescent="0.2">
      <c r="A2539" s="160" t="s">
        <v>5323</v>
      </c>
      <c r="B2539" s="160" t="s">
        <v>5324</v>
      </c>
    </row>
    <row r="2540" spans="1:2" x14ac:dyDescent="0.2">
      <c r="A2540" s="160" t="s">
        <v>5325</v>
      </c>
      <c r="B2540" s="160" t="s">
        <v>5326</v>
      </c>
    </row>
    <row r="2541" spans="1:2" x14ac:dyDescent="0.2">
      <c r="A2541" s="160" t="s">
        <v>5327</v>
      </c>
      <c r="B2541" s="160" t="s">
        <v>5188</v>
      </c>
    </row>
    <row r="2542" spans="1:2" x14ac:dyDescent="0.2">
      <c r="A2542" s="160" t="s">
        <v>5328</v>
      </c>
      <c r="B2542" s="160" t="s">
        <v>5329</v>
      </c>
    </row>
    <row r="2543" spans="1:2" x14ac:dyDescent="0.2">
      <c r="A2543" s="160" t="s">
        <v>5330</v>
      </c>
      <c r="B2543" s="160" t="s">
        <v>5331</v>
      </c>
    </row>
    <row r="2544" spans="1:2" x14ac:dyDescent="0.2">
      <c r="A2544" s="160" t="s">
        <v>5332</v>
      </c>
      <c r="B2544" s="160" t="s">
        <v>5333</v>
      </c>
    </row>
    <row r="2545" spans="1:2" x14ac:dyDescent="0.2">
      <c r="A2545" s="160" t="s">
        <v>5334</v>
      </c>
      <c r="B2545" s="160" t="s">
        <v>5335</v>
      </c>
    </row>
    <row r="2546" spans="1:2" x14ac:dyDescent="0.2">
      <c r="A2546" s="160" t="s">
        <v>5336</v>
      </c>
      <c r="B2546" s="160" t="s">
        <v>5337</v>
      </c>
    </row>
    <row r="2547" spans="1:2" x14ac:dyDescent="0.2">
      <c r="A2547" s="160" t="s">
        <v>5338</v>
      </c>
      <c r="B2547" s="160" t="s">
        <v>5339</v>
      </c>
    </row>
    <row r="2548" spans="1:2" x14ac:dyDescent="0.2">
      <c r="A2548" s="160" t="s">
        <v>5340</v>
      </c>
      <c r="B2548" s="160" t="s">
        <v>5341</v>
      </c>
    </row>
    <row r="2549" spans="1:2" x14ac:dyDescent="0.2">
      <c r="A2549" s="160" t="s">
        <v>5342</v>
      </c>
      <c r="B2549" s="160" t="s">
        <v>5343</v>
      </c>
    </row>
    <row r="2550" spans="1:2" x14ac:dyDescent="0.2">
      <c r="A2550" s="160" t="s">
        <v>5344</v>
      </c>
      <c r="B2550" s="160" t="s">
        <v>5345</v>
      </c>
    </row>
    <row r="2551" spans="1:2" x14ac:dyDescent="0.2">
      <c r="A2551" s="160" t="s">
        <v>5346</v>
      </c>
      <c r="B2551" s="160" t="s">
        <v>5347</v>
      </c>
    </row>
    <row r="2552" spans="1:2" x14ac:dyDescent="0.2">
      <c r="A2552" s="160" t="s">
        <v>5348</v>
      </c>
      <c r="B2552" s="160" t="s">
        <v>5349</v>
      </c>
    </row>
    <row r="2553" spans="1:2" x14ac:dyDescent="0.2">
      <c r="A2553" s="160" t="s">
        <v>5350</v>
      </c>
      <c r="B2553" s="160" t="s">
        <v>5351</v>
      </c>
    </row>
    <row r="2554" spans="1:2" x14ac:dyDescent="0.2">
      <c r="A2554" s="160" t="s">
        <v>5352</v>
      </c>
      <c r="B2554" s="160" t="s">
        <v>5353</v>
      </c>
    </row>
    <row r="2555" spans="1:2" x14ac:dyDescent="0.2">
      <c r="A2555" s="160" t="s">
        <v>5354</v>
      </c>
      <c r="B2555" s="160" t="s">
        <v>5355</v>
      </c>
    </row>
    <row r="2556" spans="1:2" x14ac:dyDescent="0.2">
      <c r="A2556" s="160" t="s">
        <v>5356</v>
      </c>
      <c r="B2556" s="160" t="s">
        <v>5357</v>
      </c>
    </row>
    <row r="2557" spans="1:2" x14ac:dyDescent="0.2">
      <c r="A2557" s="160" t="s">
        <v>5358</v>
      </c>
      <c r="B2557" s="160" t="s">
        <v>5359</v>
      </c>
    </row>
    <row r="2558" spans="1:2" x14ac:dyDescent="0.2">
      <c r="A2558" s="160" t="s">
        <v>5360</v>
      </c>
      <c r="B2558" s="160" t="s">
        <v>5361</v>
      </c>
    </row>
    <row r="2559" spans="1:2" x14ac:dyDescent="0.2">
      <c r="A2559" s="160" t="s">
        <v>5362</v>
      </c>
      <c r="B2559" s="160" t="s">
        <v>5363</v>
      </c>
    </row>
    <row r="2560" spans="1:2" x14ac:dyDescent="0.2">
      <c r="A2560" s="160" t="s">
        <v>5364</v>
      </c>
      <c r="B2560" s="160" t="s">
        <v>5365</v>
      </c>
    </row>
    <row r="2561" spans="1:2" x14ac:dyDescent="0.2">
      <c r="A2561" s="160" t="s">
        <v>5366</v>
      </c>
      <c r="B2561" s="160" t="s">
        <v>5367</v>
      </c>
    </row>
    <row r="2562" spans="1:2" x14ac:dyDescent="0.2">
      <c r="A2562" s="160" t="s">
        <v>5368</v>
      </c>
      <c r="B2562" s="160" t="s">
        <v>5369</v>
      </c>
    </row>
    <row r="2563" spans="1:2" x14ac:dyDescent="0.2">
      <c r="A2563" s="160" t="s">
        <v>5370</v>
      </c>
      <c r="B2563" s="160" t="s">
        <v>5371</v>
      </c>
    </row>
    <row r="2564" spans="1:2" x14ac:dyDescent="0.2">
      <c r="A2564" s="160" t="s">
        <v>5372</v>
      </c>
      <c r="B2564" s="160" t="s">
        <v>5373</v>
      </c>
    </row>
    <row r="2565" spans="1:2" x14ac:dyDescent="0.2">
      <c r="A2565" s="160" t="s">
        <v>5374</v>
      </c>
      <c r="B2565" s="160" t="s">
        <v>5375</v>
      </c>
    </row>
    <row r="2566" spans="1:2" x14ac:dyDescent="0.2">
      <c r="A2566" s="160" t="s">
        <v>5376</v>
      </c>
      <c r="B2566" s="160" t="s">
        <v>5377</v>
      </c>
    </row>
    <row r="2567" spans="1:2" x14ac:dyDescent="0.2">
      <c r="A2567" s="160" t="s">
        <v>5378</v>
      </c>
      <c r="B2567" s="160" t="s">
        <v>5379</v>
      </c>
    </row>
    <row r="2568" spans="1:2" x14ac:dyDescent="0.2">
      <c r="A2568" s="160" t="s">
        <v>5380</v>
      </c>
      <c r="B2568" s="160" t="s">
        <v>5381</v>
      </c>
    </row>
    <row r="2569" spans="1:2" x14ac:dyDescent="0.2">
      <c r="A2569" s="160" t="s">
        <v>5382</v>
      </c>
      <c r="B2569" s="160" t="s">
        <v>5383</v>
      </c>
    </row>
    <row r="2570" spans="1:2" x14ac:dyDescent="0.2">
      <c r="A2570" s="160" t="s">
        <v>5384</v>
      </c>
      <c r="B2570" s="160" t="s">
        <v>5385</v>
      </c>
    </row>
    <row r="2571" spans="1:2" x14ac:dyDescent="0.2">
      <c r="A2571" s="160" t="s">
        <v>5386</v>
      </c>
      <c r="B2571" s="160" t="s">
        <v>5387</v>
      </c>
    </row>
    <row r="2572" spans="1:2" x14ac:dyDescent="0.2">
      <c r="A2572" s="160" t="s">
        <v>5388</v>
      </c>
      <c r="B2572" s="160" t="s">
        <v>5389</v>
      </c>
    </row>
    <row r="2573" spans="1:2" x14ac:dyDescent="0.2">
      <c r="A2573" s="160" t="s">
        <v>6740</v>
      </c>
      <c r="B2573" s="160" t="s">
        <v>6741</v>
      </c>
    </row>
    <row r="2574" spans="1:2" x14ac:dyDescent="0.2">
      <c r="A2574" s="160" t="s">
        <v>5390</v>
      </c>
      <c r="B2574" s="160" t="s">
        <v>5391</v>
      </c>
    </row>
    <row r="2575" spans="1:2" x14ac:dyDescent="0.2">
      <c r="A2575" s="160" t="s">
        <v>6742</v>
      </c>
      <c r="B2575" s="160" t="s">
        <v>6743</v>
      </c>
    </row>
    <row r="2576" spans="1:2" x14ac:dyDescent="0.2">
      <c r="A2576" s="160" t="s">
        <v>5392</v>
      </c>
      <c r="B2576" s="160" t="s">
        <v>5393</v>
      </c>
    </row>
    <row r="2577" spans="1:2" x14ac:dyDescent="0.2">
      <c r="A2577" s="160" t="s">
        <v>5394</v>
      </c>
      <c r="B2577" s="160" t="s">
        <v>5395</v>
      </c>
    </row>
    <row r="2578" spans="1:2" x14ac:dyDescent="0.2">
      <c r="A2578" s="160" t="s">
        <v>5396</v>
      </c>
      <c r="B2578" s="160" t="s">
        <v>5397</v>
      </c>
    </row>
    <row r="2579" spans="1:2" x14ac:dyDescent="0.2">
      <c r="A2579" s="160" t="s">
        <v>5398</v>
      </c>
      <c r="B2579" s="160" t="s">
        <v>5399</v>
      </c>
    </row>
    <row r="2580" spans="1:2" x14ac:dyDescent="0.2">
      <c r="A2580" s="160" t="s">
        <v>5400</v>
      </c>
      <c r="B2580" s="160" t="s">
        <v>5401</v>
      </c>
    </row>
    <row r="2581" spans="1:2" x14ac:dyDescent="0.2">
      <c r="A2581" s="160" t="s">
        <v>5402</v>
      </c>
      <c r="B2581" s="160" t="s">
        <v>5403</v>
      </c>
    </row>
    <row r="2582" spans="1:2" x14ac:dyDescent="0.2">
      <c r="A2582" s="160" t="s">
        <v>5404</v>
      </c>
      <c r="B2582" s="160" t="s">
        <v>5405</v>
      </c>
    </row>
    <row r="2583" spans="1:2" x14ac:dyDescent="0.2">
      <c r="A2583" s="160" t="s">
        <v>5406</v>
      </c>
      <c r="B2583" s="160" t="s">
        <v>5407</v>
      </c>
    </row>
    <row r="2584" spans="1:2" x14ac:dyDescent="0.2">
      <c r="A2584" s="160" t="s">
        <v>5408</v>
      </c>
      <c r="B2584" s="160" t="s">
        <v>5409</v>
      </c>
    </row>
    <row r="2585" spans="1:2" x14ac:dyDescent="0.2">
      <c r="A2585" s="160" t="s">
        <v>5410</v>
      </c>
      <c r="B2585" s="160" t="s">
        <v>5411</v>
      </c>
    </row>
    <row r="2586" spans="1:2" x14ac:dyDescent="0.2">
      <c r="A2586" s="160" t="s">
        <v>5412</v>
      </c>
      <c r="B2586" s="160" t="s">
        <v>5413</v>
      </c>
    </row>
    <row r="2587" spans="1:2" x14ac:dyDescent="0.2">
      <c r="A2587" s="160" t="s">
        <v>5414</v>
      </c>
      <c r="B2587" s="160" t="s">
        <v>5415</v>
      </c>
    </row>
    <row r="2588" spans="1:2" x14ac:dyDescent="0.2">
      <c r="A2588" s="160" t="s">
        <v>5416</v>
      </c>
      <c r="B2588" s="160" t="s">
        <v>5417</v>
      </c>
    </row>
    <row r="2589" spans="1:2" x14ac:dyDescent="0.2">
      <c r="A2589" s="160" t="s">
        <v>5418</v>
      </c>
      <c r="B2589" s="160" t="s">
        <v>5419</v>
      </c>
    </row>
    <row r="2590" spans="1:2" x14ac:dyDescent="0.2">
      <c r="A2590" s="160" t="s">
        <v>5420</v>
      </c>
      <c r="B2590" s="160" t="s">
        <v>5421</v>
      </c>
    </row>
    <row r="2591" spans="1:2" x14ac:dyDescent="0.2">
      <c r="A2591" s="160" t="s">
        <v>5422</v>
      </c>
      <c r="B2591" s="160" t="s">
        <v>5423</v>
      </c>
    </row>
    <row r="2592" spans="1:2" x14ac:dyDescent="0.2">
      <c r="A2592" s="160" t="s">
        <v>5424</v>
      </c>
      <c r="B2592" s="160" t="s">
        <v>5425</v>
      </c>
    </row>
    <row r="2593" spans="1:2" x14ac:dyDescent="0.2">
      <c r="A2593" s="160" t="s">
        <v>5426</v>
      </c>
      <c r="B2593" s="160" t="s">
        <v>5427</v>
      </c>
    </row>
    <row r="2594" spans="1:2" x14ac:dyDescent="0.2">
      <c r="A2594" s="160" t="s">
        <v>5428</v>
      </c>
      <c r="B2594" s="160" t="s">
        <v>5429</v>
      </c>
    </row>
    <row r="2595" spans="1:2" x14ac:dyDescent="0.2">
      <c r="A2595" s="160" t="s">
        <v>6744</v>
      </c>
      <c r="B2595" s="160" t="s">
        <v>6745</v>
      </c>
    </row>
    <row r="2596" spans="1:2" x14ac:dyDescent="0.2">
      <c r="A2596" s="160" t="s">
        <v>5430</v>
      </c>
      <c r="B2596" s="160" t="s">
        <v>5431</v>
      </c>
    </row>
    <row r="2597" spans="1:2" x14ac:dyDescent="0.2">
      <c r="A2597" s="160" t="s">
        <v>5432</v>
      </c>
      <c r="B2597" s="160" t="s">
        <v>5433</v>
      </c>
    </row>
    <row r="2598" spans="1:2" x14ac:dyDescent="0.2">
      <c r="A2598" s="160" t="s">
        <v>5434</v>
      </c>
      <c r="B2598" s="160" t="s">
        <v>5435</v>
      </c>
    </row>
    <row r="2599" spans="1:2" x14ac:dyDescent="0.2">
      <c r="A2599" s="160" t="s">
        <v>5436</v>
      </c>
      <c r="B2599" s="160" t="s">
        <v>5437</v>
      </c>
    </row>
    <row r="2600" spans="1:2" x14ac:dyDescent="0.2">
      <c r="A2600" s="160" t="s">
        <v>5438</v>
      </c>
      <c r="B2600" s="160" t="s">
        <v>5439</v>
      </c>
    </row>
    <row r="2601" spans="1:2" x14ac:dyDescent="0.2">
      <c r="A2601" s="160" t="s">
        <v>5440</v>
      </c>
      <c r="B2601" s="160" t="s">
        <v>5441</v>
      </c>
    </row>
    <row r="2602" spans="1:2" x14ac:dyDescent="0.2">
      <c r="A2602" s="160" t="s">
        <v>5442</v>
      </c>
      <c r="B2602" s="160" t="s">
        <v>5443</v>
      </c>
    </row>
    <row r="2603" spans="1:2" x14ac:dyDescent="0.2">
      <c r="A2603" s="160" t="s">
        <v>5444</v>
      </c>
      <c r="B2603" s="160" t="s">
        <v>5445</v>
      </c>
    </row>
    <row r="2604" spans="1:2" x14ac:dyDescent="0.2">
      <c r="A2604" s="160" t="s">
        <v>6746</v>
      </c>
      <c r="B2604" s="160" t="s">
        <v>6747</v>
      </c>
    </row>
    <row r="2605" spans="1:2" x14ac:dyDescent="0.2">
      <c r="A2605" s="160" t="s">
        <v>6748</v>
      </c>
      <c r="B2605" s="160" t="s">
        <v>6749</v>
      </c>
    </row>
    <row r="2606" spans="1:2" x14ac:dyDescent="0.2">
      <c r="A2606" s="160" t="s">
        <v>5446</v>
      </c>
      <c r="B2606" s="160" t="s">
        <v>5447</v>
      </c>
    </row>
    <row r="2607" spans="1:2" x14ac:dyDescent="0.2">
      <c r="A2607" s="160" t="s">
        <v>6750</v>
      </c>
      <c r="B2607" s="160" t="s">
        <v>6751</v>
      </c>
    </row>
    <row r="2608" spans="1:2" x14ac:dyDescent="0.2">
      <c r="A2608" s="160" t="s">
        <v>5448</v>
      </c>
      <c r="B2608" s="160" t="s">
        <v>5449</v>
      </c>
    </row>
    <row r="2609" spans="1:2" x14ac:dyDescent="0.2">
      <c r="A2609" s="160" t="s">
        <v>5450</v>
      </c>
      <c r="B2609" s="160" t="s">
        <v>5451</v>
      </c>
    </row>
    <row r="2610" spans="1:2" x14ac:dyDescent="0.2">
      <c r="A2610" s="160" t="s">
        <v>5452</v>
      </c>
      <c r="B2610" s="160" t="s">
        <v>5453</v>
      </c>
    </row>
    <row r="2611" spans="1:2" x14ac:dyDescent="0.2">
      <c r="A2611" s="160" t="s">
        <v>5454</v>
      </c>
      <c r="B2611" s="160" t="s">
        <v>5455</v>
      </c>
    </row>
    <row r="2612" spans="1:2" x14ac:dyDescent="0.2">
      <c r="A2612" s="160" t="s">
        <v>5456</v>
      </c>
      <c r="B2612" s="160" t="s">
        <v>5457</v>
      </c>
    </row>
    <row r="2613" spans="1:2" x14ac:dyDescent="0.2">
      <c r="A2613" s="160" t="s">
        <v>5458</v>
      </c>
      <c r="B2613" s="160" t="s">
        <v>5459</v>
      </c>
    </row>
    <row r="2614" spans="1:2" x14ac:dyDescent="0.2">
      <c r="A2614" s="160" t="s">
        <v>5460</v>
      </c>
      <c r="B2614" s="160" t="s">
        <v>5461</v>
      </c>
    </row>
    <row r="2615" spans="1:2" x14ac:dyDescent="0.2">
      <c r="A2615" s="160" t="s">
        <v>5462</v>
      </c>
      <c r="B2615" s="160" t="s">
        <v>5463</v>
      </c>
    </row>
    <row r="2616" spans="1:2" x14ac:dyDescent="0.2">
      <c r="A2616" s="160" t="s">
        <v>5464</v>
      </c>
      <c r="B2616" s="160" t="s">
        <v>5465</v>
      </c>
    </row>
    <row r="2617" spans="1:2" x14ac:dyDescent="0.2">
      <c r="A2617" s="160" t="s">
        <v>5466</v>
      </c>
      <c r="B2617" s="160" t="s">
        <v>5467</v>
      </c>
    </row>
    <row r="2618" spans="1:2" x14ac:dyDescent="0.2">
      <c r="A2618" s="160" t="s">
        <v>6752</v>
      </c>
      <c r="B2618" s="160" t="s">
        <v>6753</v>
      </c>
    </row>
    <row r="2619" spans="1:2" x14ac:dyDescent="0.2">
      <c r="A2619" s="160" t="s">
        <v>5468</v>
      </c>
      <c r="B2619" s="160" t="s">
        <v>5469</v>
      </c>
    </row>
    <row r="2620" spans="1:2" x14ac:dyDescent="0.2">
      <c r="A2620" s="160" t="s">
        <v>5470</v>
      </c>
      <c r="B2620" s="160" t="s">
        <v>5471</v>
      </c>
    </row>
    <row r="2621" spans="1:2" x14ac:dyDescent="0.2">
      <c r="A2621" s="160" t="s">
        <v>6754</v>
      </c>
      <c r="B2621" s="160" t="s">
        <v>6755</v>
      </c>
    </row>
    <row r="2622" spans="1:2" x14ac:dyDescent="0.2">
      <c r="A2622" s="160" t="s">
        <v>5472</v>
      </c>
      <c r="B2622" s="160" t="s">
        <v>5473</v>
      </c>
    </row>
    <row r="2623" spans="1:2" x14ac:dyDescent="0.2">
      <c r="A2623" s="160" t="s">
        <v>6756</v>
      </c>
      <c r="B2623" s="160" t="s">
        <v>6757</v>
      </c>
    </row>
    <row r="2624" spans="1:2" x14ac:dyDescent="0.2">
      <c r="A2624" s="160" t="s">
        <v>5474</v>
      </c>
      <c r="B2624" s="160" t="s">
        <v>5475</v>
      </c>
    </row>
    <row r="2625" spans="1:2" x14ac:dyDescent="0.2">
      <c r="A2625" s="160" t="s">
        <v>5476</v>
      </c>
      <c r="B2625" s="160" t="s">
        <v>5477</v>
      </c>
    </row>
    <row r="2626" spans="1:2" x14ac:dyDescent="0.2">
      <c r="A2626" s="160" t="s">
        <v>6758</v>
      </c>
      <c r="B2626" s="160" t="s">
        <v>6759</v>
      </c>
    </row>
    <row r="2627" spans="1:2" x14ac:dyDescent="0.2">
      <c r="A2627" s="160" t="s">
        <v>5478</v>
      </c>
      <c r="B2627" s="160" t="s">
        <v>5479</v>
      </c>
    </row>
    <row r="2628" spans="1:2" x14ac:dyDescent="0.2">
      <c r="A2628" s="160" t="s">
        <v>5480</v>
      </c>
      <c r="B2628" s="160" t="s">
        <v>5481</v>
      </c>
    </row>
    <row r="2629" spans="1:2" x14ac:dyDescent="0.2">
      <c r="A2629" s="160" t="s">
        <v>5482</v>
      </c>
      <c r="B2629" s="160" t="s">
        <v>5483</v>
      </c>
    </row>
    <row r="2630" spans="1:2" x14ac:dyDescent="0.2">
      <c r="A2630" s="160" t="s">
        <v>5484</v>
      </c>
      <c r="B2630" s="160" t="s">
        <v>5485</v>
      </c>
    </row>
    <row r="2631" spans="1:2" x14ac:dyDescent="0.2">
      <c r="A2631" s="160" t="s">
        <v>6760</v>
      </c>
      <c r="B2631" s="160" t="s">
        <v>6761</v>
      </c>
    </row>
    <row r="2632" spans="1:2" x14ac:dyDescent="0.2">
      <c r="A2632" s="160" t="s">
        <v>5486</v>
      </c>
      <c r="B2632" s="160" t="s">
        <v>5487</v>
      </c>
    </row>
    <row r="2633" spans="1:2" x14ac:dyDescent="0.2">
      <c r="A2633" s="160" t="s">
        <v>5488</v>
      </c>
      <c r="B2633" s="160" t="s">
        <v>5489</v>
      </c>
    </row>
    <row r="2634" spans="1:2" x14ac:dyDescent="0.2">
      <c r="A2634" s="160" t="s">
        <v>5490</v>
      </c>
      <c r="B2634" s="160" t="s">
        <v>5491</v>
      </c>
    </row>
    <row r="2635" spans="1:2" x14ac:dyDescent="0.2">
      <c r="A2635" s="160" t="s">
        <v>6762</v>
      </c>
      <c r="B2635" s="160" t="s">
        <v>6763</v>
      </c>
    </row>
    <row r="2636" spans="1:2" x14ac:dyDescent="0.2">
      <c r="A2636" s="160" t="s">
        <v>5492</v>
      </c>
      <c r="B2636" s="160" t="s">
        <v>5493</v>
      </c>
    </row>
    <row r="2637" spans="1:2" x14ac:dyDescent="0.2">
      <c r="A2637" s="160" t="s">
        <v>5494</v>
      </c>
      <c r="B2637" s="160" t="s">
        <v>5495</v>
      </c>
    </row>
    <row r="2638" spans="1:2" x14ac:dyDescent="0.2">
      <c r="A2638" s="160" t="s">
        <v>5496</v>
      </c>
      <c r="B2638" s="160" t="s">
        <v>5497</v>
      </c>
    </row>
    <row r="2639" spans="1:2" x14ac:dyDescent="0.2">
      <c r="A2639" s="160" t="s">
        <v>5498</v>
      </c>
      <c r="B2639" s="160" t="s">
        <v>5499</v>
      </c>
    </row>
    <row r="2640" spans="1:2" x14ac:dyDescent="0.2">
      <c r="A2640" s="160" t="s">
        <v>5500</v>
      </c>
      <c r="B2640" s="160" t="s">
        <v>5501</v>
      </c>
    </row>
    <row r="2641" spans="1:2" x14ac:dyDescent="0.2">
      <c r="A2641" s="160" t="s">
        <v>5502</v>
      </c>
      <c r="B2641" s="160" t="s">
        <v>5503</v>
      </c>
    </row>
    <row r="2642" spans="1:2" x14ac:dyDescent="0.2">
      <c r="A2642" s="160" t="s">
        <v>5504</v>
      </c>
      <c r="B2642" s="160" t="s">
        <v>5505</v>
      </c>
    </row>
    <row r="2643" spans="1:2" x14ac:dyDescent="0.2">
      <c r="A2643" s="160" t="s">
        <v>5506</v>
      </c>
      <c r="B2643" s="160" t="s">
        <v>5507</v>
      </c>
    </row>
    <row r="2644" spans="1:2" x14ac:dyDescent="0.2">
      <c r="A2644" s="160" t="s">
        <v>5508</v>
      </c>
      <c r="B2644" s="160" t="s">
        <v>5509</v>
      </c>
    </row>
    <row r="2645" spans="1:2" x14ac:dyDescent="0.2">
      <c r="A2645" s="160" t="s">
        <v>5510</v>
      </c>
      <c r="B2645" s="160" t="s">
        <v>5511</v>
      </c>
    </row>
    <row r="2646" spans="1:2" x14ac:dyDescent="0.2">
      <c r="A2646" s="160" t="s">
        <v>5512</v>
      </c>
      <c r="B2646" s="160" t="s">
        <v>5513</v>
      </c>
    </row>
    <row r="2647" spans="1:2" x14ac:dyDescent="0.2">
      <c r="A2647" s="160" t="s">
        <v>5514</v>
      </c>
      <c r="B2647" s="160" t="s">
        <v>5515</v>
      </c>
    </row>
    <row r="2648" spans="1:2" x14ac:dyDescent="0.2">
      <c r="A2648" s="160" t="s">
        <v>5516</v>
      </c>
      <c r="B2648" s="160" t="s">
        <v>5517</v>
      </c>
    </row>
    <row r="2649" spans="1:2" x14ac:dyDescent="0.2">
      <c r="A2649" s="160" t="s">
        <v>5518</v>
      </c>
      <c r="B2649" s="160" t="s">
        <v>5519</v>
      </c>
    </row>
    <row r="2650" spans="1:2" x14ac:dyDescent="0.2">
      <c r="A2650" s="160" t="s">
        <v>5520</v>
      </c>
      <c r="B2650" s="160" t="s">
        <v>5521</v>
      </c>
    </row>
    <row r="2651" spans="1:2" x14ac:dyDescent="0.2">
      <c r="A2651" s="160" t="s">
        <v>5522</v>
      </c>
      <c r="B2651" s="160" t="s">
        <v>5523</v>
      </c>
    </row>
    <row r="2652" spans="1:2" x14ac:dyDescent="0.2">
      <c r="A2652" s="160" t="s">
        <v>5524</v>
      </c>
      <c r="B2652" s="160" t="s">
        <v>5525</v>
      </c>
    </row>
    <row r="2653" spans="1:2" x14ac:dyDescent="0.2">
      <c r="A2653" s="160" t="s">
        <v>5526</v>
      </c>
      <c r="B2653" s="160" t="s">
        <v>5527</v>
      </c>
    </row>
    <row r="2654" spans="1:2" x14ac:dyDescent="0.2">
      <c r="A2654" s="160" t="s">
        <v>5528</v>
      </c>
      <c r="B2654" s="160" t="s">
        <v>5529</v>
      </c>
    </row>
    <row r="2655" spans="1:2" x14ac:dyDescent="0.2">
      <c r="A2655" s="160" t="s">
        <v>5530</v>
      </c>
      <c r="B2655" s="160" t="s">
        <v>6764</v>
      </c>
    </row>
    <row r="2656" spans="1:2" x14ac:dyDescent="0.2">
      <c r="A2656" s="160" t="s">
        <v>5531</v>
      </c>
      <c r="B2656" s="160" t="s">
        <v>5532</v>
      </c>
    </row>
    <row r="2657" spans="1:2" x14ac:dyDescent="0.2">
      <c r="A2657" s="160" t="s">
        <v>5533</v>
      </c>
      <c r="B2657" s="160" t="s">
        <v>5534</v>
      </c>
    </row>
    <row r="2658" spans="1:2" x14ac:dyDescent="0.2">
      <c r="A2658" s="160" t="s">
        <v>5535</v>
      </c>
      <c r="B2658" s="160" t="s">
        <v>5536</v>
      </c>
    </row>
    <row r="2659" spans="1:2" x14ac:dyDescent="0.2">
      <c r="A2659" s="160" t="s">
        <v>6765</v>
      </c>
      <c r="B2659" s="160" t="s">
        <v>6766</v>
      </c>
    </row>
    <row r="2660" spans="1:2" x14ac:dyDescent="0.2">
      <c r="A2660" s="160" t="s">
        <v>5537</v>
      </c>
      <c r="B2660" s="160" t="s">
        <v>5538</v>
      </c>
    </row>
    <row r="2661" spans="1:2" x14ac:dyDescent="0.2">
      <c r="A2661" s="160" t="s">
        <v>5539</v>
      </c>
      <c r="B2661" s="160" t="s">
        <v>5540</v>
      </c>
    </row>
    <row r="2662" spans="1:2" x14ac:dyDescent="0.2">
      <c r="A2662" s="160" t="s">
        <v>5541</v>
      </c>
      <c r="B2662" s="160" t="s">
        <v>5542</v>
      </c>
    </row>
    <row r="2663" spans="1:2" x14ac:dyDescent="0.2">
      <c r="A2663" s="160" t="s">
        <v>5543</v>
      </c>
      <c r="B2663" s="160" t="s">
        <v>5544</v>
      </c>
    </row>
    <row r="2664" spans="1:2" x14ac:dyDescent="0.2">
      <c r="A2664" s="160" t="s">
        <v>5545</v>
      </c>
      <c r="B2664" s="160" t="s">
        <v>5546</v>
      </c>
    </row>
    <row r="2665" spans="1:2" x14ac:dyDescent="0.2">
      <c r="A2665" s="160" t="s">
        <v>5547</v>
      </c>
      <c r="B2665" s="160" t="s">
        <v>5548</v>
      </c>
    </row>
    <row r="2666" spans="1:2" x14ac:dyDescent="0.2">
      <c r="A2666" s="160" t="s">
        <v>5549</v>
      </c>
      <c r="B2666" s="160" t="s">
        <v>5550</v>
      </c>
    </row>
    <row r="2667" spans="1:2" x14ac:dyDescent="0.2">
      <c r="A2667" s="160" t="s">
        <v>5551</v>
      </c>
      <c r="B2667" s="160" t="s">
        <v>5552</v>
      </c>
    </row>
    <row r="2668" spans="1:2" x14ac:dyDescent="0.2">
      <c r="A2668" s="160" t="s">
        <v>5553</v>
      </c>
      <c r="B2668" s="160" t="s">
        <v>5554</v>
      </c>
    </row>
    <row r="2669" spans="1:2" x14ac:dyDescent="0.2">
      <c r="A2669" s="160" t="s">
        <v>5555</v>
      </c>
      <c r="B2669" s="160" t="s">
        <v>5556</v>
      </c>
    </row>
    <row r="2670" spans="1:2" x14ac:dyDescent="0.2">
      <c r="A2670" s="160" t="s">
        <v>5557</v>
      </c>
      <c r="B2670" s="160" t="s">
        <v>5558</v>
      </c>
    </row>
    <row r="2671" spans="1:2" x14ac:dyDescent="0.2">
      <c r="A2671" s="160" t="s">
        <v>5559</v>
      </c>
      <c r="B2671" s="160" t="s">
        <v>5560</v>
      </c>
    </row>
    <row r="2672" spans="1:2" x14ac:dyDescent="0.2">
      <c r="A2672" s="160" t="s">
        <v>5561</v>
      </c>
      <c r="B2672" s="160" t="s">
        <v>5562</v>
      </c>
    </row>
    <row r="2673" spans="1:2" x14ac:dyDescent="0.2">
      <c r="A2673" s="160" t="s">
        <v>5563</v>
      </c>
      <c r="B2673" s="160" t="s">
        <v>5564</v>
      </c>
    </row>
    <row r="2674" spans="1:2" x14ac:dyDescent="0.2">
      <c r="A2674" s="160" t="s">
        <v>6767</v>
      </c>
      <c r="B2674" s="160" t="s">
        <v>6768</v>
      </c>
    </row>
    <row r="2675" spans="1:2" x14ac:dyDescent="0.2">
      <c r="A2675" s="160" t="s">
        <v>5565</v>
      </c>
      <c r="B2675" s="160" t="s">
        <v>5566</v>
      </c>
    </row>
    <row r="2676" spans="1:2" x14ac:dyDescent="0.2">
      <c r="A2676" s="160" t="s">
        <v>6769</v>
      </c>
      <c r="B2676" s="160" t="s">
        <v>6770</v>
      </c>
    </row>
    <row r="2677" spans="1:2" x14ac:dyDescent="0.2">
      <c r="A2677" s="160" t="s">
        <v>5567</v>
      </c>
      <c r="B2677" s="160" t="s">
        <v>5568</v>
      </c>
    </row>
    <row r="2678" spans="1:2" x14ac:dyDescent="0.2">
      <c r="A2678" s="160" t="s">
        <v>5569</v>
      </c>
      <c r="B2678" s="160" t="s">
        <v>5570</v>
      </c>
    </row>
    <row r="2679" spans="1:2" x14ac:dyDescent="0.2">
      <c r="A2679" s="160" t="s">
        <v>5571</v>
      </c>
      <c r="B2679" s="160" t="s">
        <v>5572</v>
      </c>
    </row>
    <row r="2680" spans="1:2" x14ac:dyDescent="0.2">
      <c r="A2680" s="160" t="s">
        <v>5573</v>
      </c>
      <c r="B2680" s="160" t="s">
        <v>5574</v>
      </c>
    </row>
    <row r="2681" spans="1:2" x14ac:dyDescent="0.2">
      <c r="A2681" s="160" t="s">
        <v>5575</v>
      </c>
      <c r="B2681" s="160" t="s">
        <v>5576</v>
      </c>
    </row>
    <row r="2682" spans="1:2" x14ac:dyDescent="0.2">
      <c r="A2682" s="160" t="s">
        <v>5577</v>
      </c>
      <c r="B2682" s="160" t="s">
        <v>5578</v>
      </c>
    </row>
    <row r="2683" spans="1:2" x14ac:dyDescent="0.2">
      <c r="A2683" s="160" t="s">
        <v>5579</v>
      </c>
      <c r="B2683" s="160" t="s">
        <v>5580</v>
      </c>
    </row>
    <row r="2684" spans="1:2" x14ac:dyDescent="0.2">
      <c r="A2684" s="160" t="s">
        <v>5581</v>
      </c>
      <c r="B2684" s="160" t="s">
        <v>5582</v>
      </c>
    </row>
    <row r="2685" spans="1:2" x14ac:dyDescent="0.2">
      <c r="A2685" s="160" t="s">
        <v>5583</v>
      </c>
      <c r="B2685" s="160" t="s">
        <v>5584</v>
      </c>
    </row>
    <row r="2686" spans="1:2" x14ac:dyDescent="0.2">
      <c r="A2686" s="160" t="s">
        <v>5585</v>
      </c>
      <c r="B2686" s="160" t="s">
        <v>5586</v>
      </c>
    </row>
    <row r="2687" spans="1:2" x14ac:dyDescent="0.2">
      <c r="A2687" s="160" t="s">
        <v>5587</v>
      </c>
      <c r="B2687" s="160" t="s">
        <v>5588</v>
      </c>
    </row>
    <row r="2688" spans="1:2" x14ac:dyDescent="0.2">
      <c r="A2688" s="160" t="s">
        <v>5589</v>
      </c>
      <c r="B2688" s="160" t="s">
        <v>5590</v>
      </c>
    </row>
    <row r="2689" spans="1:2" x14ac:dyDescent="0.2">
      <c r="A2689" s="160" t="s">
        <v>5591</v>
      </c>
      <c r="B2689" s="160" t="s">
        <v>5592</v>
      </c>
    </row>
    <row r="2690" spans="1:2" x14ac:dyDescent="0.2">
      <c r="A2690" s="160" t="s">
        <v>5593</v>
      </c>
      <c r="B2690" s="160" t="s">
        <v>5594</v>
      </c>
    </row>
    <row r="2691" spans="1:2" x14ac:dyDescent="0.2">
      <c r="A2691" s="160" t="s">
        <v>5595</v>
      </c>
      <c r="B2691" s="160" t="s">
        <v>5596</v>
      </c>
    </row>
    <row r="2692" spans="1:2" x14ac:dyDescent="0.2">
      <c r="A2692" s="160" t="s">
        <v>5597</v>
      </c>
      <c r="B2692" s="160" t="s">
        <v>5598</v>
      </c>
    </row>
    <row r="2693" spans="1:2" x14ac:dyDescent="0.2">
      <c r="A2693" s="160" t="s">
        <v>5599</v>
      </c>
      <c r="B2693" s="160" t="s">
        <v>5600</v>
      </c>
    </row>
    <row r="2694" spans="1:2" x14ac:dyDescent="0.2">
      <c r="A2694" s="160" t="s">
        <v>5601</v>
      </c>
      <c r="B2694" s="160" t="s">
        <v>5602</v>
      </c>
    </row>
    <row r="2695" spans="1:2" x14ac:dyDescent="0.2">
      <c r="A2695" s="160" t="s">
        <v>5603</v>
      </c>
      <c r="B2695" s="160" t="s">
        <v>5604</v>
      </c>
    </row>
    <row r="2696" spans="1:2" x14ac:dyDescent="0.2">
      <c r="A2696" s="160" t="s">
        <v>5605</v>
      </c>
      <c r="B2696" s="160" t="s">
        <v>5606</v>
      </c>
    </row>
    <row r="2697" spans="1:2" x14ac:dyDescent="0.2">
      <c r="A2697" s="160" t="s">
        <v>5607</v>
      </c>
      <c r="B2697" s="160" t="s">
        <v>5608</v>
      </c>
    </row>
    <row r="2698" spans="1:2" x14ac:dyDescent="0.2">
      <c r="A2698" s="160" t="s">
        <v>5609</v>
      </c>
      <c r="B2698" s="160" t="s">
        <v>5610</v>
      </c>
    </row>
    <row r="2699" spans="1:2" x14ac:dyDescent="0.2">
      <c r="A2699" s="160" t="s">
        <v>5611</v>
      </c>
      <c r="B2699" s="160" t="s">
        <v>5612</v>
      </c>
    </row>
    <row r="2700" spans="1:2" x14ac:dyDescent="0.2">
      <c r="A2700" s="160" t="s">
        <v>5613</v>
      </c>
      <c r="B2700" s="160" t="s">
        <v>5614</v>
      </c>
    </row>
    <row r="2701" spans="1:2" x14ac:dyDescent="0.2">
      <c r="A2701" s="160" t="s">
        <v>5615</v>
      </c>
      <c r="B2701" s="160" t="s">
        <v>5616</v>
      </c>
    </row>
    <row r="2702" spans="1:2" x14ac:dyDescent="0.2">
      <c r="A2702" s="160" t="s">
        <v>5617</v>
      </c>
      <c r="B2702" s="160" t="s">
        <v>5618</v>
      </c>
    </row>
    <row r="2703" spans="1:2" x14ac:dyDescent="0.2">
      <c r="A2703" s="160" t="s">
        <v>5619</v>
      </c>
      <c r="B2703" s="160" t="s">
        <v>5620</v>
      </c>
    </row>
    <row r="2704" spans="1:2" x14ac:dyDescent="0.2">
      <c r="A2704" s="160" t="s">
        <v>5621</v>
      </c>
      <c r="B2704" s="160" t="s">
        <v>5622</v>
      </c>
    </row>
    <row r="2705" spans="1:2" x14ac:dyDescent="0.2">
      <c r="A2705" s="160" t="s">
        <v>5623</v>
      </c>
      <c r="B2705" s="160" t="s">
        <v>5624</v>
      </c>
    </row>
    <row r="2706" spans="1:2" x14ac:dyDescent="0.2">
      <c r="A2706" s="160" t="s">
        <v>5625</v>
      </c>
      <c r="B2706" s="160" t="s">
        <v>5626</v>
      </c>
    </row>
    <row r="2707" spans="1:2" x14ac:dyDescent="0.2">
      <c r="A2707" s="160" t="s">
        <v>5627</v>
      </c>
      <c r="B2707" s="160" t="s">
        <v>5628</v>
      </c>
    </row>
    <row r="2708" spans="1:2" x14ac:dyDescent="0.2">
      <c r="A2708" s="160" t="s">
        <v>6771</v>
      </c>
      <c r="B2708" s="160" t="s">
        <v>6772</v>
      </c>
    </row>
    <row r="2709" spans="1:2" x14ac:dyDescent="0.2">
      <c r="A2709" s="160" t="s">
        <v>5629</v>
      </c>
      <c r="B2709" s="160" t="s">
        <v>5630</v>
      </c>
    </row>
    <row r="2710" spans="1:2" x14ac:dyDescent="0.2">
      <c r="A2710" s="160" t="s">
        <v>5631</v>
      </c>
      <c r="B2710" s="160" t="s">
        <v>5632</v>
      </c>
    </row>
    <row r="2711" spans="1:2" x14ac:dyDescent="0.2">
      <c r="A2711" s="160" t="s">
        <v>5633</v>
      </c>
      <c r="B2711" s="160" t="s">
        <v>5634</v>
      </c>
    </row>
    <row r="2712" spans="1:2" x14ac:dyDescent="0.2">
      <c r="A2712" s="160" t="s">
        <v>6773</v>
      </c>
      <c r="B2712" s="160" t="s">
        <v>6774</v>
      </c>
    </row>
    <row r="2713" spans="1:2" x14ac:dyDescent="0.2">
      <c r="A2713" s="160" t="s">
        <v>6775</v>
      </c>
      <c r="B2713" s="160" t="s">
        <v>6776</v>
      </c>
    </row>
    <row r="2714" spans="1:2" x14ac:dyDescent="0.2">
      <c r="A2714" s="160" t="s">
        <v>5635</v>
      </c>
      <c r="B2714" s="160" t="s">
        <v>5636</v>
      </c>
    </row>
    <row r="2715" spans="1:2" x14ac:dyDescent="0.2">
      <c r="A2715" s="160" t="s">
        <v>5637</v>
      </c>
      <c r="B2715" s="160" t="s">
        <v>5638</v>
      </c>
    </row>
    <row r="2716" spans="1:2" x14ac:dyDescent="0.2">
      <c r="A2716" s="160" t="s">
        <v>5639</v>
      </c>
      <c r="B2716" s="160" t="s">
        <v>5640</v>
      </c>
    </row>
    <row r="2717" spans="1:2" x14ac:dyDescent="0.2">
      <c r="A2717" s="160" t="s">
        <v>6777</v>
      </c>
      <c r="B2717" s="160" t="s">
        <v>6115</v>
      </c>
    </row>
    <row r="2718" spans="1:2" x14ac:dyDescent="0.2">
      <c r="A2718" s="160" t="s">
        <v>5641</v>
      </c>
      <c r="B2718" s="160" t="s">
        <v>5642</v>
      </c>
    </row>
    <row r="2719" spans="1:2" x14ac:dyDescent="0.2">
      <c r="A2719" s="160" t="s">
        <v>5643</v>
      </c>
      <c r="B2719" s="160" t="s">
        <v>5644</v>
      </c>
    </row>
    <row r="2720" spans="1:2" x14ac:dyDescent="0.2">
      <c r="A2720" s="160" t="s">
        <v>5645</v>
      </c>
      <c r="B2720" s="160" t="s">
        <v>5646</v>
      </c>
    </row>
    <row r="2721" spans="1:2" x14ac:dyDescent="0.2">
      <c r="A2721" s="160" t="s">
        <v>5647</v>
      </c>
      <c r="B2721" s="160" t="s">
        <v>5648</v>
      </c>
    </row>
    <row r="2722" spans="1:2" x14ac:dyDescent="0.2">
      <c r="A2722" s="160" t="s">
        <v>5649</v>
      </c>
      <c r="B2722" s="160" t="s">
        <v>5650</v>
      </c>
    </row>
    <row r="2723" spans="1:2" x14ac:dyDescent="0.2">
      <c r="A2723" s="160" t="s">
        <v>5651</v>
      </c>
      <c r="B2723" s="160" t="s">
        <v>5652</v>
      </c>
    </row>
    <row r="2724" spans="1:2" x14ac:dyDescent="0.2">
      <c r="A2724" s="160" t="s">
        <v>6778</v>
      </c>
      <c r="B2724" s="160" t="s">
        <v>6779</v>
      </c>
    </row>
    <row r="2725" spans="1:2" x14ac:dyDescent="0.2">
      <c r="A2725" s="160" t="s">
        <v>5653</v>
      </c>
      <c r="B2725" s="160" t="s">
        <v>5654</v>
      </c>
    </row>
    <row r="2726" spans="1:2" x14ac:dyDescent="0.2">
      <c r="A2726" s="160" t="s">
        <v>5655</v>
      </c>
      <c r="B2726" s="160" t="s">
        <v>5656</v>
      </c>
    </row>
    <row r="2727" spans="1:2" x14ac:dyDescent="0.2">
      <c r="A2727" s="160" t="s">
        <v>5657</v>
      </c>
      <c r="B2727" s="160" t="s">
        <v>5658</v>
      </c>
    </row>
    <row r="2728" spans="1:2" x14ac:dyDescent="0.2">
      <c r="A2728" s="160" t="s">
        <v>5659</v>
      </c>
      <c r="B2728" s="160" t="s">
        <v>5660</v>
      </c>
    </row>
    <row r="2729" spans="1:2" x14ac:dyDescent="0.2">
      <c r="A2729" s="160" t="s">
        <v>5661</v>
      </c>
      <c r="B2729" s="160" t="s">
        <v>5662</v>
      </c>
    </row>
    <row r="2730" spans="1:2" x14ac:dyDescent="0.2">
      <c r="A2730" s="160" t="s">
        <v>5663</v>
      </c>
      <c r="B2730" s="160" t="s">
        <v>5664</v>
      </c>
    </row>
    <row r="2731" spans="1:2" x14ac:dyDescent="0.2">
      <c r="A2731" s="160" t="s">
        <v>5665</v>
      </c>
      <c r="B2731" s="160" t="s">
        <v>5666</v>
      </c>
    </row>
    <row r="2732" spans="1:2" x14ac:dyDescent="0.2">
      <c r="A2732" s="160" t="s">
        <v>5667</v>
      </c>
      <c r="B2732" s="160" t="s">
        <v>5668</v>
      </c>
    </row>
    <row r="2733" spans="1:2" x14ac:dyDescent="0.2">
      <c r="A2733" s="160" t="s">
        <v>5669</v>
      </c>
      <c r="B2733" s="160" t="s">
        <v>5670</v>
      </c>
    </row>
    <row r="2734" spans="1:2" x14ac:dyDescent="0.2">
      <c r="A2734" s="160" t="s">
        <v>5671</v>
      </c>
      <c r="B2734" s="160" t="s">
        <v>5672</v>
      </c>
    </row>
    <row r="2735" spans="1:2" x14ac:dyDescent="0.2">
      <c r="A2735" s="160" t="s">
        <v>6780</v>
      </c>
      <c r="B2735" s="160" t="s">
        <v>6781</v>
      </c>
    </row>
    <row r="2736" spans="1:2" x14ac:dyDescent="0.2">
      <c r="A2736" s="160" t="s">
        <v>5673</v>
      </c>
      <c r="B2736" s="160" t="s">
        <v>5674</v>
      </c>
    </row>
    <row r="2737" spans="1:2" x14ac:dyDescent="0.2">
      <c r="A2737" s="160" t="s">
        <v>5675</v>
      </c>
      <c r="B2737" s="160" t="s">
        <v>5676</v>
      </c>
    </row>
    <row r="2738" spans="1:2" x14ac:dyDescent="0.2">
      <c r="A2738" s="160" t="s">
        <v>5677</v>
      </c>
      <c r="B2738" s="160" t="s">
        <v>5678</v>
      </c>
    </row>
    <row r="2739" spans="1:2" x14ac:dyDescent="0.2">
      <c r="A2739" s="160" t="s">
        <v>5679</v>
      </c>
      <c r="B2739" s="160" t="s">
        <v>5680</v>
      </c>
    </row>
    <row r="2740" spans="1:2" x14ac:dyDescent="0.2">
      <c r="A2740" s="160" t="s">
        <v>5681</v>
      </c>
      <c r="B2740" s="160" t="s">
        <v>6782</v>
      </c>
    </row>
    <row r="2741" spans="1:2" x14ac:dyDescent="0.2">
      <c r="A2741" s="160" t="s">
        <v>6783</v>
      </c>
      <c r="B2741" s="160" t="s">
        <v>6784</v>
      </c>
    </row>
    <row r="2742" spans="1:2" x14ac:dyDescent="0.2">
      <c r="A2742" s="160" t="s">
        <v>5682</v>
      </c>
      <c r="B2742" s="160" t="s">
        <v>5683</v>
      </c>
    </row>
    <row r="2743" spans="1:2" x14ac:dyDescent="0.2">
      <c r="A2743" s="160" t="s">
        <v>5684</v>
      </c>
      <c r="B2743" s="160" t="s">
        <v>5685</v>
      </c>
    </row>
    <row r="2744" spans="1:2" x14ac:dyDescent="0.2">
      <c r="A2744" s="160" t="s">
        <v>5686</v>
      </c>
      <c r="B2744" s="160" t="s">
        <v>5687</v>
      </c>
    </row>
    <row r="2745" spans="1:2" x14ac:dyDescent="0.2">
      <c r="A2745" s="160" t="s">
        <v>5688</v>
      </c>
      <c r="B2745" s="160" t="s">
        <v>5689</v>
      </c>
    </row>
    <row r="2746" spans="1:2" x14ac:dyDescent="0.2">
      <c r="A2746" s="160" t="s">
        <v>5690</v>
      </c>
      <c r="B2746" s="160" t="s">
        <v>5691</v>
      </c>
    </row>
    <row r="2747" spans="1:2" x14ac:dyDescent="0.2">
      <c r="A2747" s="160" t="s">
        <v>5692</v>
      </c>
      <c r="B2747" s="160" t="s">
        <v>5693</v>
      </c>
    </row>
    <row r="2748" spans="1:2" x14ac:dyDescent="0.2">
      <c r="A2748" s="160" t="s">
        <v>5694</v>
      </c>
      <c r="B2748" s="160" t="s">
        <v>5695</v>
      </c>
    </row>
    <row r="2749" spans="1:2" x14ac:dyDescent="0.2">
      <c r="A2749" s="160" t="s">
        <v>5696</v>
      </c>
      <c r="B2749" s="160" t="s">
        <v>5697</v>
      </c>
    </row>
    <row r="2750" spans="1:2" x14ac:dyDescent="0.2">
      <c r="A2750" s="160" t="s">
        <v>6785</v>
      </c>
      <c r="B2750" s="160" t="s">
        <v>6786</v>
      </c>
    </row>
    <row r="2751" spans="1:2" x14ac:dyDescent="0.2">
      <c r="A2751" s="160" t="s">
        <v>5698</v>
      </c>
      <c r="B2751" s="160" t="s">
        <v>5699</v>
      </c>
    </row>
    <row r="2752" spans="1:2" x14ac:dyDescent="0.2">
      <c r="A2752" s="160" t="s">
        <v>5700</v>
      </c>
      <c r="B2752" s="160" t="s">
        <v>5701</v>
      </c>
    </row>
    <row r="2753" spans="1:2" x14ac:dyDescent="0.2">
      <c r="A2753" s="160" t="s">
        <v>5702</v>
      </c>
      <c r="B2753" s="160" t="s">
        <v>5703</v>
      </c>
    </row>
    <row r="2754" spans="1:2" x14ac:dyDescent="0.2">
      <c r="A2754" s="160" t="s">
        <v>6787</v>
      </c>
      <c r="B2754" s="160" t="s">
        <v>6788</v>
      </c>
    </row>
    <row r="2755" spans="1:2" x14ac:dyDescent="0.2">
      <c r="A2755" s="160" t="s">
        <v>5704</v>
      </c>
      <c r="B2755" s="160" t="s">
        <v>5705</v>
      </c>
    </row>
    <row r="2756" spans="1:2" x14ac:dyDescent="0.2">
      <c r="A2756" s="160" t="s">
        <v>5706</v>
      </c>
      <c r="B2756" s="160" t="s">
        <v>5707</v>
      </c>
    </row>
    <row r="2757" spans="1:2" x14ac:dyDescent="0.2">
      <c r="A2757" s="160" t="s">
        <v>5708</v>
      </c>
      <c r="B2757" s="160" t="s">
        <v>5709</v>
      </c>
    </row>
    <row r="2758" spans="1:2" x14ac:dyDescent="0.2">
      <c r="A2758" s="160" t="s">
        <v>5710</v>
      </c>
      <c r="B2758" s="160" t="s">
        <v>5711</v>
      </c>
    </row>
    <row r="2759" spans="1:2" x14ac:dyDescent="0.2">
      <c r="A2759" s="160" t="s">
        <v>5712</v>
      </c>
      <c r="B2759" s="160" t="s">
        <v>5713</v>
      </c>
    </row>
    <row r="2760" spans="1:2" x14ac:dyDescent="0.2">
      <c r="A2760" s="160" t="s">
        <v>5714</v>
      </c>
      <c r="B2760" s="160" t="s">
        <v>5715</v>
      </c>
    </row>
    <row r="2761" spans="1:2" x14ac:dyDescent="0.2">
      <c r="A2761" s="160" t="s">
        <v>5716</v>
      </c>
      <c r="B2761" s="160" t="s">
        <v>5717</v>
      </c>
    </row>
    <row r="2762" spans="1:2" x14ac:dyDescent="0.2">
      <c r="A2762" s="160" t="s">
        <v>5718</v>
      </c>
      <c r="B2762" s="160" t="s">
        <v>5719</v>
      </c>
    </row>
    <row r="2763" spans="1:2" x14ac:dyDescent="0.2">
      <c r="A2763" s="160" t="s">
        <v>5720</v>
      </c>
      <c r="B2763" s="160" t="s">
        <v>5721</v>
      </c>
    </row>
    <row r="2764" spans="1:2" x14ac:dyDescent="0.2">
      <c r="A2764" s="160" t="s">
        <v>5722</v>
      </c>
      <c r="B2764" s="160" t="s">
        <v>5723</v>
      </c>
    </row>
    <row r="2765" spans="1:2" x14ac:dyDescent="0.2">
      <c r="A2765" s="160" t="s">
        <v>5724</v>
      </c>
      <c r="B2765" s="160" t="s">
        <v>5725</v>
      </c>
    </row>
    <row r="2766" spans="1:2" x14ac:dyDescent="0.2">
      <c r="A2766" s="160" t="s">
        <v>5726</v>
      </c>
      <c r="B2766" s="160" t="s">
        <v>5727</v>
      </c>
    </row>
    <row r="2767" spans="1:2" x14ac:dyDescent="0.2">
      <c r="A2767" s="160" t="s">
        <v>5728</v>
      </c>
      <c r="B2767" s="160" t="s">
        <v>5729</v>
      </c>
    </row>
    <row r="2768" spans="1:2" x14ac:dyDescent="0.2">
      <c r="A2768" s="160" t="s">
        <v>5730</v>
      </c>
      <c r="B2768" s="160" t="s">
        <v>5731</v>
      </c>
    </row>
    <row r="2769" spans="1:2" x14ac:dyDescent="0.2">
      <c r="A2769" s="160" t="s">
        <v>5732</v>
      </c>
      <c r="B2769" s="160" t="s">
        <v>5733</v>
      </c>
    </row>
    <row r="2770" spans="1:2" x14ac:dyDescent="0.2">
      <c r="A2770" s="160" t="s">
        <v>5734</v>
      </c>
      <c r="B2770" s="160" t="s">
        <v>5735</v>
      </c>
    </row>
    <row r="2771" spans="1:2" x14ac:dyDescent="0.2">
      <c r="A2771" s="160" t="s">
        <v>5736</v>
      </c>
      <c r="B2771" s="160" t="s">
        <v>5737</v>
      </c>
    </row>
    <row r="2772" spans="1:2" x14ac:dyDescent="0.2">
      <c r="A2772" s="160" t="s">
        <v>5738</v>
      </c>
      <c r="B2772" s="160" t="s">
        <v>5739</v>
      </c>
    </row>
    <row r="2773" spans="1:2" x14ac:dyDescent="0.2">
      <c r="A2773" s="160" t="s">
        <v>5740</v>
      </c>
      <c r="B2773" s="160" t="s">
        <v>5741</v>
      </c>
    </row>
    <row r="2774" spans="1:2" x14ac:dyDescent="0.2">
      <c r="A2774" s="160" t="s">
        <v>5742</v>
      </c>
      <c r="B2774" s="160" t="s">
        <v>5743</v>
      </c>
    </row>
    <row r="2775" spans="1:2" x14ac:dyDescent="0.2">
      <c r="A2775" s="160" t="s">
        <v>5744</v>
      </c>
      <c r="B2775" s="160" t="s">
        <v>5745</v>
      </c>
    </row>
    <row r="2776" spans="1:2" x14ac:dyDescent="0.2">
      <c r="A2776" s="160" t="s">
        <v>5746</v>
      </c>
      <c r="B2776" s="160" t="s">
        <v>5747</v>
      </c>
    </row>
    <row r="2777" spans="1:2" x14ac:dyDescent="0.2">
      <c r="A2777" s="160" t="s">
        <v>6789</v>
      </c>
      <c r="B2777" s="160" t="s">
        <v>6790</v>
      </c>
    </row>
    <row r="2778" spans="1:2" x14ac:dyDescent="0.2">
      <c r="A2778" s="160" t="s">
        <v>5748</v>
      </c>
      <c r="B2778" s="160" t="s">
        <v>5749</v>
      </c>
    </row>
    <row r="2779" spans="1:2" x14ac:dyDescent="0.2">
      <c r="A2779" s="160" t="s">
        <v>5750</v>
      </c>
      <c r="B2779" s="160" t="s">
        <v>5751</v>
      </c>
    </row>
    <row r="2780" spans="1:2" x14ac:dyDescent="0.2">
      <c r="A2780" s="160" t="s">
        <v>5752</v>
      </c>
      <c r="B2780" s="160" t="s">
        <v>5753</v>
      </c>
    </row>
    <row r="2781" spans="1:2" x14ac:dyDescent="0.2">
      <c r="A2781" s="160" t="s">
        <v>6791</v>
      </c>
      <c r="B2781" s="160" t="s">
        <v>6792</v>
      </c>
    </row>
    <row r="2782" spans="1:2" x14ac:dyDescent="0.2">
      <c r="A2782" s="160" t="s">
        <v>5754</v>
      </c>
      <c r="B2782" s="160" t="s">
        <v>5755</v>
      </c>
    </row>
    <row r="2783" spans="1:2" x14ac:dyDescent="0.2">
      <c r="A2783" s="160" t="s">
        <v>5756</v>
      </c>
      <c r="B2783" s="160" t="s">
        <v>5757</v>
      </c>
    </row>
    <row r="2784" spans="1:2" x14ac:dyDescent="0.2">
      <c r="A2784" s="160" t="s">
        <v>6793</v>
      </c>
      <c r="B2784" s="160" t="s">
        <v>6794</v>
      </c>
    </row>
    <row r="2785" spans="1:2" x14ac:dyDescent="0.2">
      <c r="A2785" s="160" t="s">
        <v>5758</v>
      </c>
      <c r="B2785" s="160" t="s">
        <v>5759</v>
      </c>
    </row>
    <row r="2786" spans="1:2" x14ac:dyDescent="0.2">
      <c r="A2786" s="160" t="s">
        <v>5760</v>
      </c>
      <c r="B2786" s="160" t="s">
        <v>5761</v>
      </c>
    </row>
    <row r="2787" spans="1:2" x14ac:dyDescent="0.2">
      <c r="A2787" s="160" t="s">
        <v>5762</v>
      </c>
      <c r="B2787" s="160" t="s">
        <v>5763</v>
      </c>
    </row>
    <row r="2788" spans="1:2" x14ac:dyDescent="0.2">
      <c r="A2788" s="160" t="s">
        <v>6795</v>
      </c>
      <c r="B2788" s="160" t="s">
        <v>6796</v>
      </c>
    </row>
    <row r="2789" spans="1:2" x14ac:dyDescent="0.2">
      <c r="A2789" s="160" t="s">
        <v>5764</v>
      </c>
      <c r="B2789" s="160" t="s">
        <v>5765</v>
      </c>
    </row>
    <row r="2790" spans="1:2" x14ac:dyDescent="0.2">
      <c r="A2790" s="160" t="s">
        <v>5766</v>
      </c>
      <c r="B2790" s="160" t="s">
        <v>5767</v>
      </c>
    </row>
    <row r="2791" spans="1:2" x14ac:dyDescent="0.2">
      <c r="A2791" s="160" t="s">
        <v>5768</v>
      </c>
      <c r="B2791" s="160" t="s">
        <v>5769</v>
      </c>
    </row>
    <row r="2792" spans="1:2" x14ac:dyDescent="0.2">
      <c r="A2792" s="160" t="s">
        <v>5770</v>
      </c>
      <c r="B2792" s="160" t="s">
        <v>5771</v>
      </c>
    </row>
    <row r="2793" spans="1:2" x14ac:dyDescent="0.2">
      <c r="A2793" s="160" t="s">
        <v>5772</v>
      </c>
      <c r="B2793" s="160" t="s">
        <v>5773</v>
      </c>
    </row>
    <row r="2794" spans="1:2" x14ac:dyDescent="0.2">
      <c r="A2794" s="160" t="s">
        <v>5774</v>
      </c>
      <c r="B2794" s="160" t="s">
        <v>5775</v>
      </c>
    </row>
    <row r="2795" spans="1:2" x14ac:dyDescent="0.2">
      <c r="A2795" s="160" t="s">
        <v>5776</v>
      </c>
      <c r="B2795" s="160" t="s">
        <v>5777</v>
      </c>
    </row>
    <row r="2796" spans="1:2" x14ac:dyDescent="0.2">
      <c r="A2796" s="160" t="s">
        <v>5778</v>
      </c>
      <c r="B2796" s="160" t="s">
        <v>5779</v>
      </c>
    </row>
    <row r="2797" spans="1:2" x14ac:dyDescent="0.2">
      <c r="A2797" s="160" t="s">
        <v>5780</v>
      </c>
      <c r="B2797" s="160" t="s">
        <v>5781</v>
      </c>
    </row>
    <row r="2798" spans="1:2" x14ac:dyDescent="0.2">
      <c r="A2798" s="160" t="s">
        <v>5782</v>
      </c>
      <c r="B2798" s="160" t="s">
        <v>5783</v>
      </c>
    </row>
    <row r="2799" spans="1:2" x14ac:dyDescent="0.2">
      <c r="A2799" s="160" t="s">
        <v>5784</v>
      </c>
      <c r="B2799" s="160" t="s">
        <v>5785</v>
      </c>
    </row>
    <row r="2800" spans="1:2" x14ac:dyDescent="0.2">
      <c r="A2800" s="160" t="s">
        <v>5786</v>
      </c>
      <c r="B2800" s="160" t="s">
        <v>5787</v>
      </c>
    </row>
    <row r="2801" spans="1:2" x14ac:dyDescent="0.2">
      <c r="A2801" s="160" t="s">
        <v>5788</v>
      </c>
      <c r="B2801" s="160" t="s">
        <v>5789</v>
      </c>
    </row>
    <row r="2802" spans="1:2" x14ac:dyDescent="0.2">
      <c r="A2802" s="160" t="s">
        <v>5790</v>
      </c>
      <c r="B2802" s="160" t="s">
        <v>5791</v>
      </c>
    </row>
    <row r="2803" spans="1:2" x14ac:dyDescent="0.2">
      <c r="A2803" s="160" t="s">
        <v>5792</v>
      </c>
      <c r="B2803" s="160" t="s">
        <v>5793</v>
      </c>
    </row>
    <row r="2804" spans="1:2" x14ac:dyDescent="0.2">
      <c r="A2804" s="160" t="s">
        <v>5794</v>
      </c>
      <c r="B2804" s="160" t="s">
        <v>5795</v>
      </c>
    </row>
    <row r="2805" spans="1:2" x14ac:dyDescent="0.2">
      <c r="A2805" s="160" t="s">
        <v>5796</v>
      </c>
      <c r="B2805" s="160" t="s">
        <v>5797</v>
      </c>
    </row>
    <row r="2806" spans="1:2" x14ac:dyDescent="0.2">
      <c r="A2806" s="160" t="s">
        <v>5798</v>
      </c>
      <c r="B2806" s="160" t="s">
        <v>5799</v>
      </c>
    </row>
    <row r="2807" spans="1:2" x14ac:dyDescent="0.2">
      <c r="A2807" s="160" t="s">
        <v>5800</v>
      </c>
      <c r="B2807" s="160" t="s">
        <v>5801</v>
      </c>
    </row>
    <row r="2808" spans="1:2" x14ac:dyDescent="0.2">
      <c r="A2808" s="160" t="s">
        <v>5802</v>
      </c>
      <c r="B2808" s="160" t="s">
        <v>5803</v>
      </c>
    </row>
    <row r="2809" spans="1:2" x14ac:dyDescent="0.2">
      <c r="A2809" s="160" t="s">
        <v>5804</v>
      </c>
      <c r="B2809" s="160" t="s">
        <v>5805</v>
      </c>
    </row>
    <row r="2810" spans="1:2" x14ac:dyDescent="0.2">
      <c r="A2810" s="160" t="s">
        <v>5806</v>
      </c>
      <c r="B2810" s="160" t="s">
        <v>5807</v>
      </c>
    </row>
    <row r="2811" spans="1:2" x14ac:dyDescent="0.2">
      <c r="A2811" s="160" t="s">
        <v>5808</v>
      </c>
      <c r="B2811" s="160" t="s">
        <v>5809</v>
      </c>
    </row>
    <row r="2812" spans="1:2" x14ac:dyDescent="0.2">
      <c r="A2812" s="160" t="s">
        <v>5810</v>
      </c>
      <c r="B2812" s="160" t="s">
        <v>5811</v>
      </c>
    </row>
    <row r="2813" spans="1:2" x14ac:dyDescent="0.2">
      <c r="A2813" s="160" t="s">
        <v>5812</v>
      </c>
      <c r="B2813" s="160" t="s">
        <v>5813</v>
      </c>
    </row>
    <row r="2814" spans="1:2" x14ac:dyDescent="0.2">
      <c r="A2814" s="160" t="s">
        <v>5814</v>
      </c>
      <c r="B2814" s="160" t="s">
        <v>5815</v>
      </c>
    </row>
    <row r="2815" spans="1:2" x14ac:dyDescent="0.2">
      <c r="A2815" s="160" t="s">
        <v>5816</v>
      </c>
      <c r="B2815" s="160" t="s">
        <v>5817</v>
      </c>
    </row>
    <row r="2816" spans="1:2" x14ac:dyDescent="0.2">
      <c r="A2816" s="160" t="s">
        <v>5818</v>
      </c>
      <c r="B2816" s="160" t="s">
        <v>5819</v>
      </c>
    </row>
    <row r="2817" spans="1:2" x14ac:dyDescent="0.2">
      <c r="A2817" s="160" t="s">
        <v>5820</v>
      </c>
      <c r="B2817" s="160" t="s">
        <v>5821</v>
      </c>
    </row>
    <row r="2818" spans="1:2" x14ac:dyDescent="0.2">
      <c r="A2818" s="160" t="s">
        <v>5822</v>
      </c>
      <c r="B2818" s="160" t="s">
        <v>5823</v>
      </c>
    </row>
    <row r="2819" spans="1:2" x14ac:dyDescent="0.2">
      <c r="A2819" s="160" t="s">
        <v>5824</v>
      </c>
      <c r="B2819" s="160" t="s">
        <v>5825</v>
      </c>
    </row>
    <row r="2820" spans="1:2" x14ac:dyDescent="0.2">
      <c r="A2820" s="160" t="s">
        <v>5826</v>
      </c>
      <c r="B2820" s="160" t="s">
        <v>5827</v>
      </c>
    </row>
    <row r="2821" spans="1:2" x14ac:dyDescent="0.2">
      <c r="A2821" s="160" t="s">
        <v>5828</v>
      </c>
      <c r="B2821" s="160" t="s">
        <v>5829</v>
      </c>
    </row>
    <row r="2822" spans="1:2" x14ac:dyDescent="0.2">
      <c r="A2822" s="160" t="s">
        <v>5830</v>
      </c>
      <c r="B2822" s="160" t="s">
        <v>5831</v>
      </c>
    </row>
    <row r="2823" spans="1:2" x14ac:dyDescent="0.2">
      <c r="A2823" s="160" t="s">
        <v>5832</v>
      </c>
      <c r="B2823" s="160" t="s">
        <v>5833</v>
      </c>
    </row>
    <row r="2824" spans="1:2" x14ac:dyDescent="0.2">
      <c r="A2824" s="160" t="s">
        <v>5834</v>
      </c>
      <c r="B2824" s="160" t="s">
        <v>5835</v>
      </c>
    </row>
    <row r="2825" spans="1:2" x14ac:dyDescent="0.2">
      <c r="A2825" s="160" t="s">
        <v>5836</v>
      </c>
      <c r="B2825" s="160" t="s">
        <v>5837</v>
      </c>
    </row>
    <row r="2826" spans="1:2" x14ac:dyDescent="0.2">
      <c r="A2826" s="160" t="s">
        <v>5838</v>
      </c>
      <c r="B2826" s="160" t="s">
        <v>5838</v>
      </c>
    </row>
    <row r="2827" spans="1:2" x14ac:dyDescent="0.2">
      <c r="A2827" s="160" t="s">
        <v>5839</v>
      </c>
      <c r="B2827" s="160" t="s">
        <v>5840</v>
      </c>
    </row>
    <row r="2828" spans="1:2" x14ac:dyDescent="0.2">
      <c r="A2828" s="160" t="s">
        <v>5841</v>
      </c>
      <c r="B2828" s="160" t="s">
        <v>5842</v>
      </c>
    </row>
    <row r="2829" spans="1:2" x14ac:dyDescent="0.2">
      <c r="A2829" s="160" t="s">
        <v>5843</v>
      </c>
      <c r="B2829" s="160" t="s">
        <v>5844</v>
      </c>
    </row>
    <row r="2830" spans="1:2" x14ac:dyDescent="0.2">
      <c r="A2830" s="160" t="s">
        <v>5845</v>
      </c>
      <c r="B2830" s="160" t="s">
        <v>5846</v>
      </c>
    </row>
    <row r="2831" spans="1:2" x14ac:dyDescent="0.2">
      <c r="A2831" s="160" t="s">
        <v>5847</v>
      </c>
      <c r="B2831" s="160" t="s">
        <v>5848</v>
      </c>
    </row>
    <row r="2832" spans="1:2" x14ac:dyDescent="0.2">
      <c r="A2832" s="160" t="s">
        <v>5849</v>
      </c>
      <c r="B2832" s="160" t="s">
        <v>5850</v>
      </c>
    </row>
    <row r="2833" spans="1:2" x14ac:dyDescent="0.2">
      <c r="A2833" s="160" t="s">
        <v>5851</v>
      </c>
      <c r="B2833" s="160" t="s">
        <v>5852</v>
      </c>
    </row>
    <row r="2834" spans="1:2" x14ac:dyDescent="0.2">
      <c r="A2834" s="160" t="s">
        <v>5853</v>
      </c>
      <c r="B2834" s="160" t="s">
        <v>5854</v>
      </c>
    </row>
    <row r="2835" spans="1:2" x14ac:dyDescent="0.2">
      <c r="A2835" s="160" t="s">
        <v>5855</v>
      </c>
      <c r="B2835" s="160" t="s">
        <v>5856</v>
      </c>
    </row>
    <row r="2836" spans="1:2" x14ac:dyDescent="0.2">
      <c r="A2836" s="160" t="s">
        <v>5857</v>
      </c>
      <c r="B2836" s="160" t="s">
        <v>5858</v>
      </c>
    </row>
    <row r="2837" spans="1:2" x14ac:dyDescent="0.2">
      <c r="A2837" s="160" t="s">
        <v>5859</v>
      </c>
      <c r="B2837" s="160" t="s">
        <v>6797</v>
      </c>
    </row>
    <row r="2838" spans="1:2" x14ac:dyDescent="0.2">
      <c r="A2838" s="160" t="s">
        <v>5860</v>
      </c>
      <c r="B2838" s="160" t="s">
        <v>5861</v>
      </c>
    </row>
    <row r="2839" spans="1:2" x14ac:dyDescent="0.2">
      <c r="A2839" s="160" t="s">
        <v>5862</v>
      </c>
      <c r="B2839" s="160" t="s">
        <v>5863</v>
      </c>
    </row>
    <row r="2840" spans="1:2" x14ac:dyDescent="0.2">
      <c r="A2840" s="160" t="s">
        <v>5864</v>
      </c>
      <c r="B2840" s="160" t="s">
        <v>5865</v>
      </c>
    </row>
    <row r="2841" spans="1:2" x14ac:dyDescent="0.2">
      <c r="A2841" s="160" t="s">
        <v>5866</v>
      </c>
      <c r="B2841" s="160" t="s">
        <v>5867</v>
      </c>
    </row>
    <row r="2842" spans="1:2" x14ac:dyDescent="0.2">
      <c r="A2842" s="160" t="s">
        <v>5868</v>
      </c>
      <c r="B2842" s="160" t="s">
        <v>5869</v>
      </c>
    </row>
    <row r="2843" spans="1:2" x14ac:dyDescent="0.2">
      <c r="A2843" s="160" t="s">
        <v>6798</v>
      </c>
      <c r="B2843" s="160" t="s">
        <v>6799</v>
      </c>
    </row>
    <row r="2844" spans="1:2" x14ac:dyDescent="0.2">
      <c r="A2844" s="160" t="s">
        <v>5870</v>
      </c>
      <c r="B2844" s="160" t="s">
        <v>5871</v>
      </c>
    </row>
    <row r="2845" spans="1:2" x14ac:dyDescent="0.2">
      <c r="A2845" s="160" t="s">
        <v>5872</v>
      </c>
      <c r="B2845" s="160" t="s">
        <v>5873</v>
      </c>
    </row>
    <row r="2846" spans="1:2" x14ac:dyDescent="0.2">
      <c r="A2846" s="160" t="s">
        <v>5874</v>
      </c>
      <c r="B2846" s="160" t="s">
        <v>5875</v>
      </c>
    </row>
    <row r="2847" spans="1:2" x14ac:dyDescent="0.2">
      <c r="A2847" s="160" t="s">
        <v>5876</v>
      </c>
      <c r="B2847" s="160" t="s">
        <v>5877</v>
      </c>
    </row>
    <row r="2848" spans="1:2" x14ac:dyDescent="0.2">
      <c r="A2848" s="160" t="s">
        <v>5878</v>
      </c>
      <c r="B2848" s="160" t="s">
        <v>5879</v>
      </c>
    </row>
    <row r="2849" spans="1:2" x14ac:dyDescent="0.2">
      <c r="A2849" s="160" t="s">
        <v>5880</v>
      </c>
      <c r="B2849" s="160" t="s">
        <v>5881</v>
      </c>
    </row>
    <row r="2850" spans="1:2" x14ac:dyDescent="0.2">
      <c r="A2850" s="160" t="s">
        <v>5882</v>
      </c>
      <c r="B2850" s="160" t="s">
        <v>5883</v>
      </c>
    </row>
    <row r="2851" spans="1:2" x14ac:dyDescent="0.2">
      <c r="A2851" s="160" t="s">
        <v>5884</v>
      </c>
      <c r="B2851" s="160" t="s">
        <v>5885</v>
      </c>
    </row>
    <row r="2852" spans="1:2" x14ac:dyDescent="0.2">
      <c r="A2852" s="160" t="s">
        <v>5886</v>
      </c>
      <c r="B2852" s="160" t="s">
        <v>5887</v>
      </c>
    </row>
    <row r="2853" spans="1:2" x14ac:dyDescent="0.2">
      <c r="A2853" s="160" t="s">
        <v>5888</v>
      </c>
      <c r="B2853" s="160" t="s">
        <v>5889</v>
      </c>
    </row>
    <row r="2854" spans="1:2" x14ac:dyDescent="0.2">
      <c r="A2854" s="160" t="s">
        <v>5890</v>
      </c>
      <c r="B2854" s="160" t="s">
        <v>5891</v>
      </c>
    </row>
    <row r="2855" spans="1:2" x14ac:dyDescent="0.2">
      <c r="A2855" s="160" t="s">
        <v>5892</v>
      </c>
      <c r="B2855" s="160" t="s">
        <v>5893</v>
      </c>
    </row>
    <row r="2856" spans="1:2" x14ac:dyDescent="0.2">
      <c r="A2856" s="160" t="s">
        <v>5894</v>
      </c>
      <c r="B2856" s="160" t="s">
        <v>5895</v>
      </c>
    </row>
    <row r="2857" spans="1:2" x14ac:dyDescent="0.2">
      <c r="A2857" s="160" t="s">
        <v>5896</v>
      </c>
      <c r="B2857" s="160" t="s">
        <v>5897</v>
      </c>
    </row>
    <row r="2858" spans="1:2" x14ac:dyDescent="0.2">
      <c r="A2858" s="160" t="s">
        <v>5898</v>
      </c>
      <c r="B2858" s="160" t="s">
        <v>5899</v>
      </c>
    </row>
    <row r="2859" spans="1:2" x14ac:dyDescent="0.2">
      <c r="A2859" s="160" t="s">
        <v>5900</v>
      </c>
      <c r="B2859" s="160" t="s">
        <v>5901</v>
      </c>
    </row>
    <row r="2860" spans="1:2" x14ac:dyDescent="0.2">
      <c r="A2860" s="160" t="s">
        <v>5902</v>
      </c>
      <c r="B2860" s="160" t="s">
        <v>5903</v>
      </c>
    </row>
    <row r="2861" spans="1:2" x14ac:dyDescent="0.2">
      <c r="A2861" s="160" t="s">
        <v>5904</v>
      </c>
      <c r="B2861" s="160" t="s">
        <v>5905</v>
      </c>
    </row>
    <row r="2862" spans="1:2" x14ac:dyDescent="0.2">
      <c r="A2862" s="160" t="s">
        <v>5906</v>
      </c>
      <c r="B2862" s="160" t="s">
        <v>5907</v>
      </c>
    </row>
    <row r="2863" spans="1:2" x14ac:dyDescent="0.2">
      <c r="A2863" s="160" t="s">
        <v>6800</v>
      </c>
      <c r="B2863" s="160" t="s">
        <v>6801</v>
      </c>
    </row>
    <row r="2864" spans="1:2" x14ac:dyDescent="0.2">
      <c r="A2864" s="160" t="s">
        <v>5908</v>
      </c>
      <c r="B2864" s="160" t="s">
        <v>5909</v>
      </c>
    </row>
    <row r="2865" spans="1:2" x14ac:dyDescent="0.2">
      <c r="A2865" s="160" t="s">
        <v>5910</v>
      </c>
      <c r="B2865" s="160" t="s">
        <v>5911</v>
      </c>
    </row>
    <row r="2866" spans="1:2" x14ac:dyDescent="0.2">
      <c r="A2866" s="160" t="s">
        <v>5912</v>
      </c>
      <c r="B2866" s="160" t="s">
        <v>5913</v>
      </c>
    </row>
    <row r="2867" spans="1:2" x14ac:dyDescent="0.2">
      <c r="A2867" s="160" t="s">
        <v>6802</v>
      </c>
      <c r="B2867" s="160" t="s">
        <v>6803</v>
      </c>
    </row>
    <row r="2868" spans="1:2" x14ac:dyDescent="0.2">
      <c r="A2868" s="160" t="s">
        <v>5914</v>
      </c>
      <c r="B2868" s="160" t="s">
        <v>5915</v>
      </c>
    </row>
    <row r="2869" spans="1:2" x14ac:dyDescent="0.2">
      <c r="A2869" s="160" t="s">
        <v>5916</v>
      </c>
      <c r="B2869" s="160" t="s">
        <v>5917</v>
      </c>
    </row>
    <row r="2870" spans="1:2" x14ac:dyDescent="0.2">
      <c r="A2870" s="160" t="s">
        <v>5918</v>
      </c>
      <c r="B2870" s="160" t="s">
        <v>5919</v>
      </c>
    </row>
    <row r="2871" spans="1:2" x14ac:dyDescent="0.2">
      <c r="A2871" s="160" t="s">
        <v>5920</v>
      </c>
      <c r="B2871" s="160" t="s">
        <v>5921</v>
      </c>
    </row>
    <row r="2872" spans="1:2" x14ac:dyDescent="0.2">
      <c r="A2872" s="160" t="s">
        <v>5922</v>
      </c>
      <c r="B2872" s="160" t="s">
        <v>5923</v>
      </c>
    </row>
    <row r="2873" spans="1:2" x14ac:dyDescent="0.2">
      <c r="A2873" s="160" t="s">
        <v>5924</v>
      </c>
      <c r="B2873" s="160" t="s">
        <v>5925</v>
      </c>
    </row>
    <row r="2874" spans="1:2" x14ac:dyDescent="0.2">
      <c r="A2874" s="160" t="s">
        <v>5926</v>
      </c>
      <c r="B2874" s="160" t="s">
        <v>5927</v>
      </c>
    </row>
    <row r="2875" spans="1:2" x14ac:dyDescent="0.2">
      <c r="A2875" s="160" t="s">
        <v>5928</v>
      </c>
      <c r="B2875" s="160" t="s">
        <v>5929</v>
      </c>
    </row>
    <row r="2876" spans="1:2" x14ac:dyDescent="0.2">
      <c r="A2876" s="160" t="s">
        <v>5930</v>
      </c>
      <c r="B2876" s="160" t="s">
        <v>5931</v>
      </c>
    </row>
    <row r="2877" spans="1:2" x14ac:dyDescent="0.2">
      <c r="A2877" s="160" t="s">
        <v>5932</v>
      </c>
      <c r="B2877" s="160" t="s">
        <v>5933</v>
      </c>
    </row>
    <row r="2878" spans="1:2" x14ac:dyDescent="0.2">
      <c r="A2878" s="160" t="s">
        <v>5934</v>
      </c>
      <c r="B2878" s="160" t="s">
        <v>5935</v>
      </c>
    </row>
    <row r="2879" spans="1:2" x14ac:dyDescent="0.2">
      <c r="A2879" s="160" t="s">
        <v>5936</v>
      </c>
      <c r="B2879" s="160" t="s">
        <v>5937</v>
      </c>
    </row>
    <row r="2880" spans="1:2" x14ac:dyDescent="0.2">
      <c r="A2880" s="160" t="s">
        <v>5938</v>
      </c>
      <c r="B2880" s="160" t="s">
        <v>5939</v>
      </c>
    </row>
    <row r="2881" spans="1:2" x14ac:dyDescent="0.2">
      <c r="A2881" s="160" t="s">
        <v>5940</v>
      </c>
      <c r="B2881" s="160" t="s">
        <v>5941</v>
      </c>
    </row>
    <row r="2882" spans="1:2" x14ac:dyDescent="0.2">
      <c r="A2882" s="160" t="s">
        <v>5942</v>
      </c>
      <c r="B2882" s="160" t="s">
        <v>5943</v>
      </c>
    </row>
    <row r="2883" spans="1:2" x14ac:dyDescent="0.2">
      <c r="A2883" s="160" t="s">
        <v>5944</v>
      </c>
      <c r="B2883" s="160" t="s">
        <v>5945</v>
      </c>
    </row>
    <row r="2884" spans="1:2" x14ac:dyDescent="0.2">
      <c r="A2884" s="160" t="s">
        <v>5946</v>
      </c>
      <c r="B2884" s="160" t="s">
        <v>5947</v>
      </c>
    </row>
    <row r="2885" spans="1:2" x14ac:dyDescent="0.2">
      <c r="A2885" s="160" t="s">
        <v>5948</v>
      </c>
      <c r="B2885" s="160" t="s">
        <v>5949</v>
      </c>
    </row>
    <row r="2886" spans="1:2" x14ac:dyDescent="0.2">
      <c r="A2886" s="160" t="s">
        <v>5950</v>
      </c>
      <c r="B2886" s="160" t="s">
        <v>5951</v>
      </c>
    </row>
    <row r="2887" spans="1:2" x14ac:dyDescent="0.2">
      <c r="A2887" s="160" t="s">
        <v>5952</v>
      </c>
      <c r="B2887" s="160" t="s">
        <v>5953</v>
      </c>
    </row>
    <row r="2888" spans="1:2" x14ac:dyDescent="0.2">
      <c r="A2888" s="160" t="s">
        <v>5954</v>
      </c>
      <c r="B2888" s="160" t="s">
        <v>5954</v>
      </c>
    </row>
    <row r="2889" spans="1:2" x14ac:dyDescent="0.2">
      <c r="A2889" s="160" t="s">
        <v>5955</v>
      </c>
      <c r="B2889" s="160" t="s">
        <v>5956</v>
      </c>
    </row>
    <row r="2890" spans="1:2" x14ac:dyDescent="0.2">
      <c r="A2890" s="160" t="s">
        <v>5957</v>
      </c>
      <c r="B2890" s="160" t="s">
        <v>5958</v>
      </c>
    </row>
    <row r="2891" spans="1:2" x14ac:dyDescent="0.2">
      <c r="A2891" s="160" t="s">
        <v>5959</v>
      </c>
      <c r="B2891" s="160" t="s">
        <v>5960</v>
      </c>
    </row>
    <row r="2892" spans="1:2" x14ac:dyDescent="0.2">
      <c r="A2892" s="160" t="s">
        <v>5961</v>
      </c>
      <c r="B2892" s="160" t="s">
        <v>5962</v>
      </c>
    </row>
    <row r="2893" spans="1:2" x14ac:dyDescent="0.2">
      <c r="A2893" s="160" t="s">
        <v>5963</v>
      </c>
      <c r="B2893" s="160" t="s">
        <v>5964</v>
      </c>
    </row>
    <row r="2894" spans="1:2" x14ac:dyDescent="0.2">
      <c r="A2894" s="160" t="s">
        <v>5965</v>
      </c>
      <c r="B2894" s="160" t="s">
        <v>5966</v>
      </c>
    </row>
    <row r="2895" spans="1:2" x14ac:dyDescent="0.2">
      <c r="A2895" s="160" t="s">
        <v>5967</v>
      </c>
      <c r="B2895" s="160" t="s">
        <v>5968</v>
      </c>
    </row>
    <row r="2896" spans="1:2" x14ac:dyDescent="0.2">
      <c r="A2896" s="160" t="s">
        <v>5969</v>
      </c>
      <c r="B2896" s="160" t="s">
        <v>5970</v>
      </c>
    </row>
    <row r="2897" spans="1:2" x14ac:dyDescent="0.2">
      <c r="A2897" s="160" t="s">
        <v>5971</v>
      </c>
      <c r="B2897" s="160" t="s">
        <v>5972</v>
      </c>
    </row>
    <row r="2898" spans="1:2" x14ac:dyDescent="0.2">
      <c r="A2898" s="160" t="s">
        <v>5973</v>
      </c>
      <c r="B2898" s="160" t="s">
        <v>5974</v>
      </c>
    </row>
    <row r="2899" spans="1:2" x14ac:dyDescent="0.2">
      <c r="A2899" s="160" t="s">
        <v>6804</v>
      </c>
      <c r="B2899" s="160" t="s">
        <v>6805</v>
      </c>
    </row>
    <row r="2900" spans="1:2" x14ac:dyDescent="0.2">
      <c r="A2900" s="160" t="s">
        <v>5975</v>
      </c>
      <c r="B2900" s="160" t="s">
        <v>5976</v>
      </c>
    </row>
    <row r="2901" spans="1:2" x14ac:dyDescent="0.2">
      <c r="A2901" s="160" t="s">
        <v>5977</v>
      </c>
      <c r="B2901" s="160" t="s">
        <v>5978</v>
      </c>
    </row>
    <row r="2902" spans="1:2" x14ac:dyDescent="0.2">
      <c r="A2902" s="160" t="s">
        <v>5979</v>
      </c>
      <c r="B2902" s="160" t="s">
        <v>5980</v>
      </c>
    </row>
    <row r="2903" spans="1:2" x14ac:dyDescent="0.2">
      <c r="A2903" s="160" t="s">
        <v>5981</v>
      </c>
      <c r="B2903" s="160" t="s">
        <v>5982</v>
      </c>
    </row>
    <row r="2904" spans="1:2" x14ac:dyDescent="0.2">
      <c r="A2904" s="160" t="s">
        <v>5983</v>
      </c>
      <c r="B2904" s="160" t="s">
        <v>5984</v>
      </c>
    </row>
    <row r="2905" spans="1:2" x14ac:dyDescent="0.2">
      <c r="A2905" s="160" t="s">
        <v>5985</v>
      </c>
      <c r="B2905" s="160" t="s">
        <v>5986</v>
      </c>
    </row>
    <row r="2906" spans="1:2" x14ac:dyDescent="0.2">
      <c r="A2906" s="160" t="s">
        <v>5987</v>
      </c>
      <c r="B2906" s="160" t="s">
        <v>5988</v>
      </c>
    </row>
    <row r="2907" spans="1:2" x14ac:dyDescent="0.2">
      <c r="A2907" s="160" t="s">
        <v>5989</v>
      </c>
      <c r="B2907" s="160" t="s">
        <v>5990</v>
      </c>
    </row>
    <row r="2908" spans="1:2" x14ac:dyDescent="0.2">
      <c r="A2908" s="160" t="s">
        <v>5991</v>
      </c>
      <c r="B2908" s="160" t="s">
        <v>5992</v>
      </c>
    </row>
    <row r="2909" spans="1:2" x14ac:dyDescent="0.2">
      <c r="A2909" s="160" t="s">
        <v>5993</v>
      </c>
      <c r="B2909" s="160" t="s">
        <v>5994</v>
      </c>
    </row>
    <row r="2910" spans="1:2" x14ac:dyDescent="0.2">
      <c r="A2910" s="160" t="s">
        <v>5995</v>
      </c>
      <c r="B2910" s="160" t="s">
        <v>686</v>
      </c>
    </row>
    <row r="2911" spans="1:2" x14ac:dyDescent="0.2">
      <c r="A2911" s="160" t="s">
        <v>5996</v>
      </c>
      <c r="B2911" s="160" t="s">
        <v>5997</v>
      </c>
    </row>
    <row r="2912" spans="1:2" x14ac:dyDescent="0.2">
      <c r="A2912" s="160" t="s">
        <v>5992</v>
      </c>
      <c r="B2912" s="160" t="s">
        <v>5998</v>
      </c>
    </row>
    <row r="2913" spans="1:2" x14ac:dyDescent="0.2">
      <c r="A2913" s="160" t="s">
        <v>5999</v>
      </c>
      <c r="B2913" s="160" t="s">
        <v>6000</v>
      </c>
    </row>
    <row r="2914" spans="1:2" x14ac:dyDescent="0.2">
      <c r="A2914" s="160" t="s">
        <v>6001</v>
      </c>
      <c r="B2914" s="160" t="s">
        <v>6002</v>
      </c>
    </row>
    <row r="2915" spans="1:2" x14ac:dyDescent="0.2">
      <c r="A2915" s="160" t="s">
        <v>6003</v>
      </c>
      <c r="B2915" s="160" t="s">
        <v>6004</v>
      </c>
    </row>
    <row r="2916" spans="1:2" x14ac:dyDescent="0.2">
      <c r="A2916" s="160" t="s">
        <v>6005</v>
      </c>
      <c r="B2916" s="160" t="s">
        <v>6006</v>
      </c>
    </row>
    <row r="2917" spans="1:2" x14ac:dyDescent="0.2">
      <c r="A2917" s="160" t="s">
        <v>6007</v>
      </c>
      <c r="B2917" s="160" t="s">
        <v>6008</v>
      </c>
    </row>
    <row r="2918" spans="1:2" x14ac:dyDescent="0.2">
      <c r="A2918" s="160" t="s">
        <v>6009</v>
      </c>
      <c r="B2918" s="160" t="s">
        <v>6010</v>
      </c>
    </row>
    <row r="2919" spans="1:2" x14ac:dyDescent="0.2">
      <c r="A2919" s="160" t="s">
        <v>6011</v>
      </c>
      <c r="B2919" s="160" t="s">
        <v>6012</v>
      </c>
    </row>
    <row r="2920" spans="1:2" x14ac:dyDescent="0.2">
      <c r="A2920" s="160" t="s">
        <v>6013</v>
      </c>
      <c r="B2920" s="160" t="s">
        <v>6014</v>
      </c>
    </row>
    <row r="2921" spans="1:2" x14ac:dyDescent="0.2">
      <c r="A2921" s="160" t="s">
        <v>6806</v>
      </c>
      <c r="B2921" s="160" t="s">
        <v>6807</v>
      </c>
    </row>
    <row r="2922" spans="1:2" x14ac:dyDescent="0.2">
      <c r="A2922" s="160" t="s">
        <v>6015</v>
      </c>
      <c r="B2922" s="160" t="s">
        <v>6016</v>
      </c>
    </row>
    <row r="2923" spans="1:2" x14ac:dyDescent="0.2">
      <c r="A2923" s="160" t="s">
        <v>6808</v>
      </c>
      <c r="B2923" s="160" t="s">
        <v>6809</v>
      </c>
    </row>
    <row r="2924" spans="1:2" x14ac:dyDescent="0.2">
      <c r="A2924" s="160" t="s">
        <v>6017</v>
      </c>
      <c r="B2924" s="160" t="s">
        <v>6018</v>
      </c>
    </row>
    <row r="2925" spans="1:2" x14ac:dyDescent="0.2">
      <c r="A2925" s="160" t="s">
        <v>6019</v>
      </c>
      <c r="B2925" s="160" t="s">
        <v>6020</v>
      </c>
    </row>
    <row r="2926" spans="1:2" x14ac:dyDescent="0.2">
      <c r="A2926" s="160" t="s">
        <v>6021</v>
      </c>
      <c r="B2926" s="160" t="s">
        <v>6022</v>
      </c>
    </row>
    <row r="2927" spans="1:2" x14ac:dyDescent="0.2">
      <c r="A2927" s="160" t="s">
        <v>6023</v>
      </c>
      <c r="B2927" s="160" t="s">
        <v>6024</v>
      </c>
    </row>
    <row r="2928" spans="1:2" x14ac:dyDescent="0.2">
      <c r="A2928" s="160" t="s">
        <v>6025</v>
      </c>
      <c r="B2928" s="160" t="s">
        <v>6026</v>
      </c>
    </row>
    <row r="2929" spans="1:2" x14ac:dyDescent="0.2">
      <c r="A2929" s="160" t="s">
        <v>6027</v>
      </c>
      <c r="B2929" s="160" t="s">
        <v>6028</v>
      </c>
    </row>
    <row r="2930" spans="1:2" x14ac:dyDescent="0.2">
      <c r="A2930" s="160" t="s">
        <v>6029</v>
      </c>
      <c r="B2930" s="160" t="s">
        <v>6030</v>
      </c>
    </row>
    <row r="2931" spans="1:2" x14ac:dyDescent="0.2">
      <c r="A2931" s="160" t="s">
        <v>6031</v>
      </c>
      <c r="B2931" s="160" t="s">
        <v>6032</v>
      </c>
    </row>
    <row r="2932" spans="1:2" x14ac:dyDescent="0.2">
      <c r="A2932" s="160" t="s">
        <v>6033</v>
      </c>
      <c r="B2932" s="160" t="s">
        <v>6034</v>
      </c>
    </row>
    <row r="2933" spans="1:2" x14ac:dyDescent="0.2">
      <c r="A2933" s="160" t="s">
        <v>6035</v>
      </c>
      <c r="B2933" s="160" t="s">
        <v>6036</v>
      </c>
    </row>
    <row r="2934" spans="1:2" x14ac:dyDescent="0.2">
      <c r="A2934" s="160" t="s">
        <v>6037</v>
      </c>
      <c r="B2934" s="160" t="s">
        <v>6038</v>
      </c>
    </row>
    <row r="2935" spans="1:2" x14ac:dyDescent="0.2">
      <c r="A2935" s="160" t="s">
        <v>6039</v>
      </c>
      <c r="B2935" s="160" t="s">
        <v>6040</v>
      </c>
    </row>
    <row r="2936" spans="1:2" x14ac:dyDescent="0.2">
      <c r="A2936" s="160" t="s">
        <v>6041</v>
      </c>
      <c r="B2936" s="160" t="s">
        <v>6042</v>
      </c>
    </row>
    <row r="2937" spans="1:2" x14ac:dyDescent="0.2">
      <c r="A2937" s="160" t="s">
        <v>6043</v>
      </c>
      <c r="B2937" s="160" t="s">
        <v>6044</v>
      </c>
    </row>
    <row r="2938" spans="1:2" x14ac:dyDescent="0.2">
      <c r="A2938" s="160" t="s">
        <v>6045</v>
      </c>
      <c r="B2938" s="160" t="s">
        <v>6046</v>
      </c>
    </row>
    <row r="2939" spans="1:2" x14ac:dyDescent="0.2">
      <c r="A2939" s="160" t="s">
        <v>6047</v>
      </c>
      <c r="B2939" s="160" t="s">
        <v>6048</v>
      </c>
    </row>
    <row r="2940" spans="1:2" x14ac:dyDescent="0.2">
      <c r="A2940" s="160" t="s">
        <v>6049</v>
      </c>
      <c r="B2940" s="160" t="s">
        <v>6050</v>
      </c>
    </row>
    <row r="2941" spans="1:2" x14ac:dyDescent="0.2">
      <c r="A2941" s="160" t="s">
        <v>6051</v>
      </c>
      <c r="B2941" s="160" t="s">
        <v>6052</v>
      </c>
    </row>
    <row r="2942" spans="1:2" x14ac:dyDescent="0.2">
      <c r="A2942" s="160" t="s">
        <v>6053</v>
      </c>
      <c r="B2942" s="160" t="s">
        <v>6054</v>
      </c>
    </row>
    <row r="2943" spans="1:2" x14ac:dyDescent="0.2">
      <c r="A2943" s="160" t="s">
        <v>6055</v>
      </c>
      <c r="B2943" s="160" t="s">
        <v>6056</v>
      </c>
    </row>
    <row r="2944" spans="1:2" x14ac:dyDescent="0.2">
      <c r="A2944" s="160" t="s">
        <v>6057</v>
      </c>
      <c r="B2944" s="160" t="s">
        <v>6058</v>
      </c>
    </row>
    <row r="2945" spans="1:2" x14ac:dyDescent="0.2">
      <c r="A2945" s="160" t="s">
        <v>6059</v>
      </c>
      <c r="B2945" s="160" t="s">
        <v>6060</v>
      </c>
    </row>
    <row r="2946" spans="1:2" x14ac:dyDescent="0.2">
      <c r="A2946" s="160" t="s">
        <v>6061</v>
      </c>
      <c r="B2946" s="160" t="s">
        <v>6062</v>
      </c>
    </row>
    <row r="2947" spans="1:2" x14ac:dyDescent="0.2">
      <c r="A2947" s="160" t="s">
        <v>6810</v>
      </c>
      <c r="B2947" s="160" t="s">
        <v>6811</v>
      </c>
    </row>
    <row r="2948" spans="1:2" x14ac:dyDescent="0.2">
      <c r="A2948" s="160" t="s">
        <v>6063</v>
      </c>
      <c r="B2948" s="160" t="s">
        <v>6064</v>
      </c>
    </row>
    <row r="2949" spans="1:2" x14ac:dyDescent="0.2">
      <c r="A2949" s="160" t="s">
        <v>6065</v>
      </c>
      <c r="B2949" s="160" t="s">
        <v>6066</v>
      </c>
    </row>
    <row r="2950" spans="1:2" x14ac:dyDescent="0.2">
      <c r="A2950" s="160" t="s">
        <v>6067</v>
      </c>
      <c r="B2950" s="160" t="s">
        <v>6068</v>
      </c>
    </row>
    <row r="2951" spans="1:2" x14ac:dyDescent="0.2">
      <c r="A2951" s="160" t="s">
        <v>6069</v>
      </c>
      <c r="B2951" s="160" t="s">
        <v>6070</v>
      </c>
    </row>
    <row r="2952" spans="1:2" x14ac:dyDescent="0.2">
      <c r="A2952" s="160" t="s">
        <v>6071</v>
      </c>
      <c r="B2952" s="160" t="s">
        <v>6072</v>
      </c>
    </row>
    <row r="2953" spans="1:2" x14ac:dyDescent="0.2">
      <c r="A2953" s="160" t="s">
        <v>6073</v>
      </c>
      <c r="B2953" s="160" t="s">
        <v>6074</v>
      </c>
    </row>
    <row r="2954" spans="1:2" x14ac:dyDescent="0.2">
      <c r="A2954" s="160" t="s">
        <v>6075</v>
      </c>
      <c r="B2954" s="160" t="s">
        <v>6076</v>
      </c>
    </row>
    <row r="2955" spans="1:2" x14ac:dyDescent="0.2">
      <c r="A2955" s="160" t="s">
        <v>6812</v>
      </c>
      <c r="B2955" s="160" t="s">
        <v>6813</v>
      </c>
    </row>
    <row r="2956" spans="1:2" x14ac:dyDescent="0.2">
      <c r="A2956" s="160" t="s">
        <v>6077</v>
      </c>
      <c r="B2956" s="160" t="s">
        <v>6078</v>
      </c>
    </row>
    <row r="2957" spans="1:2" x14ac:dyDescent="0.2">
      <c r="A2957" s="160" t="s">
        <v>6079</v>
      </c>
      <c r="B2957" s="160" t="s">
        <v>6080</v>
      </c>
    </row>
    <row r="2958" spans="1:2" x14ac:dyDescent="0.2">
      <c r="A2958" s="160" t="s">
        <v>6081</v>
      </c>
      <c r="B2958" s="160" t="s">
        <v>6082</v>
      </c>
    </row>
    <row r="2959" spans="1:2" x14ac:dyDescent="0.2">
      <c r="A2959" s="160" t="s">
        <v>6083</v>
      </c>
      <c r="B2959" s="160" t="s">
        <v>6084</v>
      </c>
    </row>
    <row r="2960" spans="1:2" x14ac:dyDescent="0.2">
      <c r="A2960" s="160" t="s">
        <v>6085</v>
      </c>
      <c r="B2960" s="160" t="s">
        <v>6086</v>
      </c>
    </row>
    <row r="2961" spans="1:2" x14ac:dyDescent="0.2">
      <c r="A2961" s="160" t="s">
        <v>6087</v>
      </c>
      <c r="B2961" s="160" t="s">
        <v>6088</v>
      </c>
    </row>
    <row r="2962" spans="1:2" x14ac:dyDescent="0.2">
      <c r="A2962" s="160" t="s">
        <v>6089</v>
      </c>
      <c r="B2962" s="160" t="s">
        <v>6090</v>
      </c>
    </row>
    <row r="2963" spans="1:2" x14ac:dyDescent="0.2">
      <c r="A2963" s="160" t="s">
        <v>6091</v>
      </c>
      <c r="B2963" s="160" t="s">
        <v>6092</v>
      </c>
    </row>
    <row r="2964" spans="1:2" x14ac:dyDescent="0.2">
      <c r="A2964" s="160" t="s">
        <v>6093</v>
      </c>
      <c r="B2964" s="160" t="s">
        <v>6094</v>
      </c>
    </row>
    <row r="2965" spans="1:2" x14ac:dyDescent="0.2">
      <c r="A2965" s="160" t="s">
        <v>6095</v>
      </c>
      <c r="B2965" s="160" t="s">
        <v>6096</v>
      </c>
    </row>
    <row r="2966" spans="1:2" x14ac:dyDescent="0.2">
      <c r="A2966" s="160" t="s">
        <v>6097</v>
      </c>
      <c r="B2966" s="160" t="s">
        <v>6098</v>
      </c>
    </row>
    <row r="2967" spans="1:2" x14ac:dyDescent="0.2">
      <c r="A2967" s="160" t="s">
        <v>6099</v>
      </c>
      <c r="B2967" s="160" t="s">
        <v>6100</v>
      </c>
    </row>
    <row r="2968" spans="1:2" x14ac:dyDescent="0.2">
      <c r="A2968" s="160" t="s">
        <v>6101</v>
      </c>
      <c r="B2968" s="160" t="s">
        <v>6102</v>
      </c>
    </row>
    <row r="2969" spans="1:2" x14ac:dyDescent="0.2">
      <c r="A2969" s="160" t="s">
        <v>6103</v>
      </c>
      <c r="B2969" s="160" t="s">
        <v>6104</v>
      </c>
    </row>
    <row r="2970" spans="1:2" x14ac:dyDescent="0.2">
      <c r="A2970" s="160" t="s">
        <v>6105</v>
      </c>
      <c r="B2970" s="160" t="s">
        <v>6106</v>
      </c>
    </row>
    <row r="2971" spans="1:2" x14ac:dyDescent="0.2">
      <c r="A2971" s="160" t="s">
        <v>6107</v>
      </c>
      <c r="B2971" s="160" t="s">
        <v>6108</v>
      </c>
    </row>
    <row r="2972" spans="1:2" x14ac:dyDescent="0.2">
      <c r="A2972" s="160" t="s">
        <v>6109</v>
      </c>
      <c r="B2972" s="160" t="s">
        <v>6110</v>
      </c>
    </row>
    <row r="2973" spans="1:2" x14ac:dyDescent="0.2">
      <c r="A2973" s="160" t="s">
        <v>6111</v>
      </c>
      <c r="B2973" s="160" t="s">
        <v>6112</v>
      </c>
    </row>
    <row r="2974" spans="1:2" x14ac:dyDescent="0.2">
      <c r="A2974" s="160" t="s">
        <v>6113</v>
      </c>
      <c r="B2974" s="160" t="s">
        <v>6114</v>
      </c>
    </row>
    <row r="2975" spans="1:2" x14ac:dyDescent="0.2">
      <c r="A2975" s="160" t="s">
        <v>6814</v>
      </c>
      <c r="B2975" s="160" t="s">
        <v>6815</v>
      </c>
    </row>
    <row r="2976" spans="1:2" x14ac:dyDescent="0.2">
      <c r="A2976" s="160" t="s">
        <v>6116</v>
      </c>
      <c r="B2976" s="160" t="s">
        <v>6117</v>
      </c>
    </row>
    <row r="2977" spans="1:2" x14ac:dyDescent="0.2">
      <c r="A2977" s="160" t="s">
        <v>6118</v>
      </c>
      <c r="B2977" s="160" t="s">
        <v>6119</v>
      </c>
    </row>
    <row r="2978" spans="1:2" x14ac:dyDescent="0.2">
      <c r="A2978" s="160" t="s">
        <v>6120</v>
      </c>
      <c r="B2978" s="160" t="s">
        <v>6121</v>
      </c>
    </row>
    <row r="2979" spans="1:2" x14ac:dyDescent="0.2">
      <c r="A2979" s="160" t="s">
        <v>6122</v>
      </c>
      <c r="B2979" s="160" t="s">
        <v>6123</v>
      </c>
    </row>
    <row r="2980" spans="1:2" x14ac:dyDescent="0.2">
      <c r="A2980" s="160" t="s">
        <v>6124</v>
      </c>
      <c r="B2980" s="160" t="s">
        <v>6125</v>
      </c>
    </row>
    <row r="2981" spans="1:2" x14ac:dyDescent="0.2">
      <c r="A2981" s="160" t="s">
        <v>6126</v>
      </c>
      <c r="B2981" s="160" t="s">
        <v>6816</v>
      </c>
    </row>
    <row r="2982" spans="1:2" x14ac:dyDescent="0.2">
      <c r="A2982" s="160" t="s">
        <v>6817</v>
      </c>
      <c r="B2982" s="160" t="s">
        <v>6818</v>
      </c>
    </row>
    <row r="2983" spans="1:2" x14ac:dyDescent="0.2">
      <c r="A2983" s="160" t="s">
        <v>6127</v>
      </c>
      <c r="B2983" s="160" t="s">
        <v>6128</v>
      </c>
    </row>
    <row r="2984" spans="1:2" x14ac:dyDescent="0.2">
      <c r="A2984" s="160" t="s">
        <v>6129</v>
      </c>
      <c r="B2984" s="160" t="s">
        <v>6130</v>
      </c>
    </row>
    <row r="2985" spans="1:2" x14ac:dyDescent="0.2">
      <c r="A2985" s="160" t="s">
        <v>6131</v>
      </c>
      <c r="B2985" s="160" t="s">
        <v>6132</v>
      </c>
    </row>
    <row r="2986" spans="1:2" x14ac:dyDescent="0.2">
      <c r="A2986" s="160" t="s">
        <v>6819</v>
      </c>
      <c r="B2986" s="160" t="s">
        <v>6820</v>
      </c>
    </row>
    <row r="2987" spans="1:2" x14ac:dyDescent="0.2">
      <c r="A2987" s="160" t="s">
        <v>6821</v>
      </c>
      <c r="B2987" s="160" t="s">
        <v>6822</v>
      </c>
    </row>
    <row r="2988" spans="1:2" x14ac:dyDescent="0.2">
      <c r="A2988" s="160" t="s">
        <v>6133</v>
      </c>
      <c r="B2988" s="160" t="s">
        <v>6134</v>
      </c>
    </row>
    <row r="2989" spans="1:2" x14ac:dyDescent="0.2">
      <c r="A2989" s="160" t="s">
        <v>6135</v>
      </c>
      <c r="B2989" s="160" t="s">
        <v>6136</v>
      </c>
    </row>
    <row r="2990" spans="1:2" x14ac:dyDescent="0.2">
      <c r="A2990" s="160" t="s">
        <v>6823</v>
      </c>
      <c r="B2990" s="160" t="s">
        <v>6824</v>
      </c>
    </row>
    <row r="2991" spans="1:2" x14ac:dyDescent="0.2">
      <c r="A2991" s="160" t="s">
        <v>6137</v>
      </c>
      <c r="B2991" s="160" t="s">
        <v>6138</v>
      </c>
    </row>
    <row r="2992" spans="1:2" x14ac:dyDescent="0.2">
      <c r="A2992" s="160" t="s">
        <v>6139</v>
      </c>
      <c r="B2992" s="160" t="s">
        <v>6140</v>
      </c>
    </row>
    <row r="2993" spans="1:2" x14ac:dyDescent="0.2">
      <c r="A2993" s="160" t="s">
        <v>6141</v>
      </c>
      <c r="B2993" s="160" t="s">
        <v>6142</v>
      </c>
    </row>
    <row r="2994" spans="1:2" x14ac:dyDescent="0.2">
      <c r="A2994" s="160" t="s">
        <v>6143</v>
      </c>
      <c r="B2994" s="160" t="s">
        <v>6144</v>
      </c>
    </row>
    <row r="2995" spans="1:2" x14ac:dyDescent="0.2">
      <c r="A2995" s="160" t="s">
        <v>6145</v>
      </c>
      <c r="B2995" s="160" t="s">
        <v>6146</v>
      </c>
    </row>
    <row r="2996" spans="1:2" x14ac:dyDescent="0.2">
      <c r="A2996" s="160" t="s">
        <v>6147</v>
      </c>
      <c r="B2996" s="160" t="s">
        <v>6148</v>
      </c>
    </row>
    <row r="2997" spans="1:2" x14ac:dyDescent="0.2">
      <c r="A2997" s="160" t="s">
        <v>6825</v>
      </c>
      <c r="B2997" s="160" t="s">
        <v>6826</v>
      </c>
    </row>
    <row r="2998" spans="1:2" x14ac:dyDescent="0.2">
      <c r="A2998" s="160" t="s">
        <v>6149</v>
      </c>
      <c r="B2998" s="160" t="s">
        <v>6150</v>
      </c>
    </row>
    <row r="2999" spans="1:2" x14ac:dyDescent="0.2">
      <c r="A2999" s="160" t="s">
        <v>6151</v>
      </c>
      <c r="B2999" s="160" t="s">
        <v>6152</v>
      </c>
    </row>
    <row r="3000" spans="1:2" x14ac:dyDescent="0.2">
      <c r="A3000" s="160" t="s">
        <v>6153</v>
      </c>
      <c r="B3000" s="160" t="s">
        <v>6154</v>
      </c>
    </row>
    <row r="3001" spans="1:2" x14ac:dyDescent="0.2">
      <c r="A3001" s="160" t="s">
        <v>6155</v>
      </c>
      <c r="B3001" s="160" t="s">
        <v>6156</v>
      </c>
    </row>
    <row r="3002" spans="1:2" x14ac:dyDescent="0.2">
      <c r="A3002" s="160" t="s">
        <v>6157</v>
      </c>
      <c r="B3002" s="160" t="s">
        <v>6158</v>
      </c>
    </row>
    <row r="3003" spans="1:2" x14ac:dyDescent="0.2">
      <c r="A3003" s="160" t="s">
        <v>6159</v>
      </c>
      <c r="B3003" s="160" t="s">
        <v>6160</v>
      </c>
    </row>
    <row r="3004" spans="1:2" x14ac:dyDescent="0.2">
      <c r="A3004" s="160" t="s">
        <v>6161</v>
      </c>
      <c r="B3004" s="160" t="s">
        <v>6162</v>
      </c>
    </row>
    <row r="3005" spans="1:2" x14ac:dyDescent="0.2">
      <c r="A3005" s="160" t="s">
        <v>6163</v>
      </c>
      <c r="B3005" s="160" t="s">
        <v>6164</v>
      </c>
    </row>
    <row r="3006" spans="1:2" x14ac:dyDescent="0.2">
      <c r="A3006" s="160" t="s">
        <v>6165</v>
      </c>
      <c r="B3006" s="160" t="s">
        <v>6166</v>
      </c>
    </row>
    <row r="3007" spans="1:2" x14ac:dyDescent="0.2">
      <c r="A3007" s="160" t="s">
        <v>6167</v>
      </c>
      <c r="B3007" s="160" t="s">
        <v>6168</v>
      </c>
    </row>
    <row r="3008" spans="1:2" x14ac:dyDescent="0.2">
      <c r="A3008" s="160" t="s">
        <v>6169</v>
      </c>
      <c r="B3008" s="160" t="s">
        <v>6170</v>
      </c>
    </row>
    <row r="3009" spans="1:2" x14ac:dyDescent="0.2">
      <c r="A3009" s="160" t="s">
        <v>6171</v>
      </c>
      <c r="B3009" s="160" t="s">
        <v>6172</v>
      </c>
    </row>
    <row r="3010" spans="1:2" x14ac:dyDescent="0.2">
      <c r="A3010" s="160" t="s">
        <v>6173</v>
      </c>
      <c r="B3010" s="160" t="s">
        <v>6174</v>
      </c>
    </row>
    <row r="3011" spans="1:2" x14ac:dyDescent="0.2">
      <c r="A3011" s="160" t="s">
        <v>6827</v>
      </c>
      <c r="B3011" s="160" t="s">
        <v>6828</v>
      </c>
    </row>
    <row r="3012" spans="1:2" x14ac:dyDescent="0.2">
      <c r="A3012" s="160" t="s">
        <v>6175</v>
      </c>
      <c r="B3012" s="160" t="s">
        <v>6176</v>
      </c>
    </row>
    <row r="3013" spans="1:2" x14ac:dyDescent="0.2">
      <c r="A3013" s="160" t="s">
        <v>6177</v>
      </c>
      <c r="B3013" s="160" t="s">
        <v>6178</v>
      </c>
    </row>
    <row r="3014" spans="1:2" x14ac:dyDescent="0.2">
      <c r="A3014" s="160" t="s">
        <v>6179</v>
      </c>
      <c r="B3014" s="160" t="s">
        <v>6180</v>
      </c>
    </row>
    <row r="3015" spans="1:2" x14ac:dyDescent="0.2">
      <c r="A3015" s="160" t="s">
        <v>6181</v>
      </c>
      <c r="B3015" s="160" t="s">
        <v>6182</v>
      </c>
    </row>
    <row r="3016" spans="1:2" x14ac:dyDescent="0.2">
      <c r="A3016" s="160" t="s">
        <v>6183</v>
      </c>
      <c r="B3016" s="160" t="s">
        <v>6184</v>
      </c>
    </row>
    <row r="3017" spans="1:2" x14ac:dyDescent="0.2">
      <c r="A3017" s="160" t="s">
        <v>6185</v>
      </c>
      <c r="B3017" s="160" t="s">
        <v>6186</v>
      </c>
    </row>
    <row r="3018" spans="1:2" x14ac:dyDescent="0.2">
      <c r="A3018" s="160" t="s">
        <v>6187</v>
      </c>
      <c r="B3018" s="160" t="s">
        <v>6188</v>
      </c>
    </row>
    <row r="3019" spans="1:2" x14ac:dyDescent="0.2">
      <c r="A3019" s="160" t="s">
        <v>6189</v>
      </c>
      <c r="B3019" s="160" t="s">
        <v>6189</v>
      </c>
    </row>
    <row r="3020" spans="1:2" x14ac:dyDescent="0.2">
      <c r="A3020" s="160" t="s">
        <v>6190</v>
      </c>
      <c r="B3020" s="160" t="s">
        <v>6191</v>
      </c>
    </row>
    <row r="3021" spans="1:2" x14ac:dyDescent="0.2">
      <c r="A3021" s="160" t="s">
        <v>6192</v>
      </c>
      <c r="B3021" s="160" t="s">
        <v>6193</v>
      </c>
    </row>
    <row r="3022" spans="1:2" x14ac:dyDescent="0.2">
      <c r="A3022" s="160" t="s">
        <v>6194</v>
      </c>
      <c r="B3022" s="160" t="s">
        <v>6195</v>
      </c>
    </row>
    <row r="3023" spans="1:2" x14ac:dyDescent="0.2">
      <c r="A3023" s="160" t="s">
        <v>6196</v>
      </c>
      <c r="B3023" s="160" t="s">
        <v>6197</v>
      </c>
    </row>
    <row r="3024" spans="1:2" x14ac:dyDescent="0.2">
      <c r="A3024" s="160" t="s">
        <v>6198</v>
      </c>
      <c r="B3024" s="160" t="s">
        <v>6199</v>
      </c>
    </row>
    <row r="3025" spans="1:2" x14ac:dyDescent="0.2">
      <c r="A3025" s="160" t="s">
        <v>6200</v>
      </c>
      <c r="B3025" s="160" t="s">
        <v>6201</v>
      </c>
    </row>
    <row r="3026" spans="1:2" x14ac:dyDescent="0.2">
      <c r="A3026" s="160" t="s">
        <v>6202</v>
      </c>
      <c r="B3026" s="160" t="s">
        <v>6203</v>
      </c>
    </row>
    <row r="3027" spans="1:2" x14ac:dyDescent="0.2">
      <c r="A3027" s="160" t="s">
        <v>6204</v>
      </c>
      <c r="B3027" s="160" t="s">
        <v>6205</v>
      </c>
    </row>
    <row r="3028" spans="1:2" x14ac:dyDescent="0.2">
      <c r="A3028" s="160" t="s">
        <v>6206</v>
      </c>
      <c r="B3028" s="160" t="s">
        <v>6207</v>
      </c>
    </row>
    <row r="3029" spans="1:2" x14ac:dyDescent="0.2">
      <c r="A3029" s="160" t="s">
        <v>6208</v>
      </c>
      <c r="B3029" s="160" t="s">
        <v>6209</v>
      </c>
    </row>
    <row r="3030" spans="1:2" x14ac:dyDescent="0.2">
      <c r="A3030" s="160" t="s">
        <v>6210</v>
      </c>
      <c r="B3030" s="160" t="s">
        <v>6211</v>
      </c>
    </row>
    <row r="3031" spans="1:2" x14ac:dyDescent="0.2">
      <c r="A3031" s="160" t="s">
        <v>6212</v>
      </c>
      <c r="B3031" s="160" t="s">
        <v>6213</v>
      </c>
    </row>
    <row r="3032" spans="1:2" x14ac:dyDescent="0.2">
      <c r="A3032" s="160" t="s">
        <v>6214</v>
      </c>
      <c r="B3032" s="160" t="s">
        <v>6215</v>
      </c>
    </row>
    <row r="3033" spans="1:2" x14ac:dyDescent="0.2">
      <c r="A3033" s="160" t="s">
        <v>6216</v>
      </c>
      <c r="B3033" s="160" t="s">
        <v>6217</v>
      </c>
    </row>
    <row r="3034" spans="1:2" x14ac:dyDescent="0.2">
      <c r="A3034" s="160" t="s">
        <v>6829</v>
      </c>
      <c r="B3034" s="160" t="s">
        <v>6830</v>
      </c>
    </row>
    <row r="3035" spans="1:2" x14ac:dyDescent="0.2">
      <c r="A3035" s="160" t="s">
        <v>6218</v>
      </c>
      <c r="B3035" s="160" t="s">
        <v>6219</v>
      </c>
    </row>
    <row r="3036" spans="1:2" x14ac:dyDescent="0.2">
      <c r="A3036" s="160" t="s">
        <v>6220</v>
      </c>
      <c r="B3036" s="160" t="s">
        <v>6221</v>
      </c>
    </row>
    <row r="3037" spans="1:2" x14ac:dyDescent="0.2">
      <c r="A3037" s="160" t="s">
        <v>6222</v>
      </c>
      <c r="B3037" s="160" t="s">
        <v>6223</v>
      </c>
    </row>
    <row r="3038" spans="1:2" x14ac:dyDescent="0.2">
      <c r="A3038" s="160" t="s">
        <v>6224</v>
      </c>
      <c r="B3038" s="160" t="s">
        <v>6225</v>
      </c>
    </row>
    <row r="3039" spans="1:2" x14ac:dyDescent="0.2">
      <c r="A3039" s="160" t="s">
        <v>6226</v>
      </c>
      <c r="B3039" s="160" t="s">
        <v>6227</v>
      </c>
    </row>
    <row r="3040" spans="1:2" x14ac:dyDescent="0.2">
      <c r="A3040" s="160" t="s">
        <v>6228</v>
      </c>
      <c r="B3040" s="160" t="s">
        <v>6229</v>
      </c>
    </row>
    <row r="3041" spans="1:2" x14ac:dyDescent="0.2">
      <c r="A3041" s="160" t="s">
        <v>6831</v>
      </c>
      <c r="B3041" s="160" t="s">
        <v>6832</v>
      </c>
    </row>
    <row r="3042" spans="1:2" x14ac:dyDescent="0.2">
      <c r="A3042" s="160" t="s">
        <v>6833</v>
      </c>
      <c r="B3042" s="160" t="s">
        <v>6834</v>
      </c>
    </row>
    <row r="3043" spans="1:2" x14ac:dyDescent="0.2">
      <c r="A3043" s="160" t="s">
        <v>6230</v>
      </c>
      <c r="B3043" s="160" t="s">
        <v>6231</v>
      </c>
    </row>
    <row r="3044" spans="1:2" x14ac:dyDescent="0.2">
      <c r="A3044" s="160" t="s">
        <v>6835</v>
      </c>
      <c r="B3044" s="160" t="s">
        <v>6836</v>
      </c>
    </row>
    <row r="3045" spans="1:2" x14ac:dyDescent="0.2">
      <c r="A3045" s="160" t="s">
        <v>6232</v>
      </c>
      <c r="B3045" s="160" t="s">
        <v>6233</v>
      </c>
    </row>
    <row r="3046" spans="1:2" x14ac:dyDescent="0.2">
      <c r="A3046" s="160" t="s">
        <v>6234</v>
      </c>
      <c r="B3046" s="160" t="s">
        <v>6235</v>
      </c>
    </row>
    <row r="3047" spans="1:2" x14ac:dyDescent="0.2">
      <c r="A3047" s="160" t="s">
        <v>6837</v>
      </c>
      <c r="B3047" s="160" t="s">
        <v>6838</v>
      </c>
    </row>
    <row r="3048" spans="1:2" x14ac:dyDescent="0.2">
      <c r="A3048" s="160" t="s">
        <v>6236</v>
      </c>
      <c r="B3048" s="160" t="s">
        <v>6237</v>
      </c>
    </row>
    <row r="3049" spans="1:2" x14ac:dyDescent="0.2">
      <c r="A3049" s="160" t="s">
        <v>6238</v>
      </c>
      <c r="B3049" s="160" t="s">
        <v>6239</v>
      </c>
    </row>
    <row r="3050" spans="1:2" x14ac:dyDescent="0.2">
      <c r="A3050" s="160" t="s">
        <v>6240</v>
      </c>
      <c r="B3050" s="160" t="s">
        <v>6241</v>
      </c>
    </row>
    <row r="3051" spans="1:2" x14ac:dyDescent="0.2">
      <c r="A3051" s="160" t="s">
        <v>6839</v>
      </c>
      <c r="B3051" s="160" t="s">
        <v>6840</v>
      </c>
    </row>
    <row r="3052" spans="1:2" x14ac:dyDescent="0.2">
      <c r="A3052" s="160" t="s">
        <v>6242</v>
      </c>
      <c r="B3052" s="160" t="s">
        <v>6243</v>
      </c>
    </row>
    <row r="3053" spans="1:2" x14ac:dyDescent="0.2">
      <c r="A3053" s="160" t="s">
        <v>6244</v>
      </c>
      <c r="B3053" s="160" t="s">
        <v>6245</v>
      </c>
    </row>
    <row r="3054" spans="1:2" x14ac:dyDescent="0.2">
      <c r="A3054" s="160" t="s">
        <v>6841</v>
      </c>
      <c r="B3054" s="160" t="s">
        <v>6842</v>
      </c>
    </row>
    <row r="3055" spans="1:2" x14ac:dyDescent="0.2">
      <c r="A3055" s="160" t="s">
        <v>6843</v>
      </c>
      <c r="B3055" s="160" t="s">
        <v>6844</v>
      </c>
    </row>
    <row r="3056" spans="1:2" x14ac:dyDescent="0.2">
      <c r="A3056" s="160" t="s">
        <v>6246</v>
      </c>
      <c r="B3056" s="160" t="s">
        <v>6247</v>
      </c>
    </row>
    <row r="3057" spans="1:2" x14ac:dyDescent="0.2">
      <c r="A3057" s="160" t="s">
        <v>6248</v>
      </c>
      <c r="B3057" s="160" t="s">
        <v>6247</v>
      </c>
    </row>
    <row r="3058" spans="1:2" x14ac:dyDescent="0.2">
      <c r="A3058" s="160" t="s">
        <v>6249</v>
      </c>
      <c r="B3058" s="160" t="s">
        <v>6250</v>
      </c>
    </row>
    <row r="3059" spans="1:2" x14ac:dyDescent="0.2">
      <c r="A3059" s="160" t="s">
        <v>6251</v>
      </c>
      <c r="B3059" s="160" t="s">
        <v>6252</v>
      </c>
    </row>
    <row r="3060" spans="1:2" x14ac:dyDescent="0.2">
      <c r="A3060" s="160" t="s">
        <v>6253</v>
      </c>
      <c r="B3060" s="160" t="s">
        <v>6254</v>
      </c>
    </row>
    <row r="3061" spans="1:2" x14ac:dyDescent="0.2">
      <c r="A3061" s="160" t="s">
        <v>6255</v>
      </c>
      <c r="B3061" s="160" t="s">
        <v>6256</v>
      </c>
    </row>
    <row r="3062" spans="1:2" x14ac:dyDescent="0.2">
      <c r="A3062" s="160" t="s">
        <v>6257</v>
      </c>
      <c r="B3062" s="160" t="s">
        <v>6258</v>
      </c>
    </row>
    <row r="3063" spans="1:2" x14ac:dyDescent="0.2">
      <c r="A3063" s="160" t="s">
        <v>6259</v>
      </c>
      <c r="B3063" s="160" t="s">
        <v>6260</v>
      </c>
    </row>
  </sheetData>
  <sheetProtection password="DAFD" sheet="1" objects="1" scenarios="1" formatCells="0" selectLockedCells="1"/>
  <pageMargins left="0.59055118110236227" right="0.47244094488188981" top="0.70866141732283472" bottom="0.55118110236220474" header="0.31496062992125984" footer="0.19685039370078741"/>
  <pageSetup paperSize="9" scale="97" orientation="portrait" r:id="rId1"/>
  <headerFooter alignWithMargins="0">
    <oddFooter>&amp;L&amp;8QRF-121 J2450 Quality Evaluation Report
Revision: 12&amp;C&amp;8Page &amp;P
Classification: 2&amp;R&amp;8Revision Date: 19/02/2014
Approved by: P. McManus &amp; C. Burkimsher</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5:O24"/>
  <sheetViews>
    <sheetView workbookViewId="0">
      <selection activeCell="K62" sqref="K62"/>
    </sheetView>
  </sheetViews>
  <sheetFormatPr defaultRowHeight="12.75" x14ac:dyDescent="0.2"/>
  <cols>
    <col min="2" max="2" width="28" customWidth="1"/>
    <col min="5" max="5" width="26.42578125" customWidth="1"/>
    <col min="6" max="6" width="9.140625" customWidth="1"/>
    <col min="11" max="11" width="14.7109375" customWidth="1"/>
    <col min="13" max="13" width="21.5703125" customWidth="1"/>
  </cols>
  <sheetData>
    <row r="5" spans="2:15" x14ac:dyDescent="0.2">
      <c r="B5" s="153" t="s">
        <v>6298</v>
      </c>
      <c r="C5" s="153"/>
      <c r="D5" s="153"/>
      <c r="E5" s="153" t="s">
        <v>6299</v>
      </c>
      <c r="F5" s="153"/>
      <c r="G5" s="153"/>
      <c r="H5" s="149"/>
      <c r="I5" s="149"/>
      <c r="J5" s="149"/>
      <c r="K5" s="149"/>
      <c r="L5" s="149"/>
      <c r="M5" s="149"/>
      <c r="N5" s="149"/>
      <c r="O5" s="149"/>
    </row>
    <row r="6" spans="2:15" ht="24" hidden="1" thickBot="1" x14ac:dyDescent="0.4">
      <c r="B6" s="479" t="s">
        <v>6300</v>
      </c>
      <c r="C6" s="480"/>
      <c r="D6" s="481"/>
      <c r="E6" s="479" t="s">
        <v>6301</v>
      </c>
      <c r="F6" s="480"/>
      <c r="G6" s="481"/>
      <c r="H6" s="149"/>
      <c r="I6" s="149"/>
      <c r="J6" s="149"/>
      <c r="K6" s="149"/>
      <c r="L6" s="149"/>
      <c r="M6" s="149"/>
      <c r="N6" s="149"/>
      <c r="O6" s="149"/>
    </row>
    <row r="7" spans="2:15" ht="15.75" hidden="1" customHeight="1" thickBot="1" x14ac:dyDescent="0.25">
      <c r="B7" s="154" t="s">
        <v>6273</v>
      </c>
      <c r="C7" s="477" t="s">
        <v>6274</v>
      </c>
      <c r="D7" s="478"/>
      <c r="E7" s="154" t="s">
        <v>6273</v>
      </c>
      <c r="F7" s="477" t="s">
        <v>6274</v>
      </c>
      <c r="G7" s="478"/>
      <c r="H7" s="149"/>
      <c r="I7" s="149"/>
      <c r="J7" s="149"/>
      <c r="K7" s="149"/>
      <c r="L7" s="149"/>
      <c r="M7" s="149"/>
      <c r="N7" s="149"/>
      <c r="O7" s="149"/>
    </row>
    <row r="8" spans="2:15" ht="15.75" hidden="1" thickBot="1" x14ac:dyDescent="0.25">
      <c r="B8" s="154"/>
      <c r="C8" s="154" t="s">
        <v>6270</v>
      </c>
      <c r="D8" s="154" t="s">
        <v>6271</v>
      </c>
      <c r="E8" s="154"/>
      <c r="F8" s="154" t="s">
        <v>6270</v>
      </c>
      <c r="G8" s="154" t="s">
        <v>6271</v>
      </c>
      <c r="H8" s="149"/>
      <c r="I8" s="149"/>
      <c r="J8" s="149"/>
      <c r="K8" s="149"/>
      <c r="L8" s="149"/>
      <c r="M8" s="149"/>
      <c r="N8" s="149" t="s">
        <v>6270</v>
      </c>
      <c r="O8" s="149" t="s">
        <v>6271</v>
      </c>
    </row>
    <row r="9" spans="2:15" ht="15.75" hidden="1" thickBot="1" x14ac:dyDescent="0.25">
      <c r="B9" s="155" t="s">
        <v>46</v>
      </c>
      <c r="C9" s="154">
        <v>2</v>
      </c>
      <c r="D9" s="154">
        <v>5</v>
      </c>
      <c r="E9" s="155" t="s">
        <v>46</v>
      </c>
      <c r="F9" s="154">
        <v>2</v>
      </c>
      <c r="G9" s="154">
        <v>5</v>
      </c>
      <c r="H9" s="149"/>
      <c r="I9" s="149"/>
      <c r="J9" s="149"/>
      <c r="K9" s="149"/>
      <c r="L9" s="149"/>
      <c r="M9" s="149" t="str">
        <f>"Understandable" &amp; B9</f>
        <v>UnderstandableWrong Term</v>
      </c>
      <c r="N9" s="156">
        <v>2</v>
      </c>
      <c r="O9" s="156">
        <v>5</v>
      </c>
    </row>
    <row r="10" spans="2:15" ht="15.75" hidden="1" thickBot="1" x14ac:dyDescent="0.25">
      <c r="B10" s="155" t="s">
        <v>47</v>
      </c>
      <c r="C10" s="154">
        <v>2</v>
      </c>
      <c r="D10" s="154">
        <v>5</v>
      </c>
      <c r="E10" s="155" t="s">
        <v>47</v>
      </c>
      <c r="F10" s="154">
        <v>2</v>
      </c>
      <c r="G10" s="154">
        <v>5</v>
      </c>
      <c r="H10" s="149"/>
      <c r="I10" s="149"/>
      <c r="J10" s="149"/>
      <c r="K10" s="149" t="s">
        <v>6303</v>
      </c>
      <c r="L10" s="149"/>
      <c r="M10" s="149" t="str">
        <f t="shared" ref="M10:M16" si="0">"Understandable" &amp; B10</f>
        <v>UnderstandableWrong Meaning</v>
      </c>
      <c r="N10" s="156">
        <v>2</v>
      </c>
      <c r="O10" s="156">
        <v>4</v>
      </c>
    </row>
    <row r="11" spans="2:15" ht="15.75" hidden="1" thickBot="1" x14ac:dyDescent="0.25">
      <c r="B11" s="155" t="s">
        <v>48</v>
      </c>
      <c r="C11" s="154">
        <v>2</v>
      </c>
      <c r="D11" s="154">
        <v>4</v>
      </c>
      <c r="E11" s="155" t="s">
        <v>48</v>
      </c>
      <c r="F11" s="154">
        <v>2</v>
      </c>
      <c r="G11" s="154">
        <v>4</v>
      </c>
      <c r="H11" s="149"/>
      <c r="I11" s="149"/>
      <c r="J11" s="149"/>
      <c r="K11" s="149"/>
      <c r="L11" s="149"/>
      <c r="M11" s="149" t="str">
        <f t="shared" si="0"/>
        <v>UnderstandableOmission</v>
      </c>
      <c r="N11" s="156">
        <v>2</v>
      </c>
      <c r="O11" s="156">
        <v>4</v>
      </c>
    </row>
    <row r="12" spans="2:15" ht="15.75" hidden="1" thickBot="1" x14ac:dyDescent="0.25">
      <c r="B12" s="155" t="s">
        <v>49</v>
      </c>
      <c r="C12" s="154">
        <v>2</v>
      </c>
      <c r="D12" s="154">
        <v>4</v>
      </c>
      <c r="E12" s="155" t="s">
        <v>49</v>
      </c>
      <c r="F12" s="154">
        <v>1</v>
      </c>
      <c r="G12" s="154">
        <v>2</v>
      </c>
      <c r="H12" s="149"/>
      <c r="I12" s="149"/>
      <c r="J12" s="149"/>
      <c r="K12" s="149"/>
      <c r="L12" s="149"/>
      <c r="M12" s="149" t="str">
        <f t="shared" si="0"/>
        <v>UnderstandableStructural Error</v>
      </c>
      <c r="N12" s="156">
        <v>1</v>
      </c>
      <c r="O12" s="156">
        <v>2</v>
      </c>
    </row>
    <row r="13" spans="2:15" ht="15.75" hidden="1" thickBot="1" x14ac:dyDescent="0.25">
      <c r="B13" s="155" t="s">
        <v>50</v>
      </c>
      <c r="C13" s="154">
        <v>1</v>
      </c>
      <c r="D13" s="154">
        <v>3</v>
      </c>
      <c r="E13" s="155" t="s">
        <v>50</v>
      </c>
      <c r="F13" s="154">
        <v>1</v>
      </c>
      <c r="G13" s="154">
        <v>2</v>
      </c>
      <c r="H13" s="149"/>
      <c r="I13" s="149"/>
      <c r="J13" s="149"/>
      <c r="K13" s="149"/>
      <c r="L13" s="149"/>
      <c r="M13" s="149" t="str">
        <f t="shared" si="0"/>
        <v>UnderstandableMisspelling</v>
      </c>
      <c r="N13" s="156">
        <v>1</v>
      </c>
      <c r="O13" s="156">
        <v>2</v>
      </c>
    </row>
    <row r="14" spans="2:15" ht="15.75" hidden="1" thickBot="1" x14ac:dyDescent="0.25">
      <c r="B14" s="155" t="s">
        <v>7</v>
      </c>
      <c r="C14" s="154">
        <v>1</v>
      </c>
      <c r="D14" s="154">
        <v>2</v>
      </c>
      <c r="E14" s="155" t="s">
        <v>7</v>
      </c>
      <c r="F14" s="154">
        <v>0.5</v>
      </c>
      <c r="G14" s="154">
        <v>1</v>
      </c>
      <c r="H14" s="149"/>
      <c r="I14" s="149"/>
      <c r="J14" s="149"/>
      <c r="K14" s="149"/>
      <c r="L14" s="149"/>
      <c r="M14" s="149" t="str">
        <f t="shared" si="0"/>
        <v>UnderstandablePunctuation</v>
      </c>
      <c r="N14" s="156">
        <v>0.5</v>
      </c>
      <c r="O14" s="156">
        <v>1</v>
      </c>
    </row>
    <row r="15" spans="2:15" ht="15.75" hidden="1" thickBot="1" x14ac:dyDescent="0.25">
      <c r="B15" s="155" t="s">
        <v>5</v>
      </c>
      <c r="C15" s="154">
        <v>1</v>
      </c>
      <c r="D15" s="154">
        <v>2</v>
      </c>
      <c r="E15" s="155" t="s">
        <v>63</v>
      </c>
      <c r="F15" s="154">
        <v>0</v>
      </c>
      <c r="G15" s="154">
        <v>0</v>
      </c>
      <c r="H15" s="149"/>
      <c r="I15" s="149"/>
      <c r="J15" s="149"/>
      <c r="K15" s="149"/>
      <c r="L15" s="149"/>
      <c r="M15" s="149" t="str">
        <f t="shared" si="0"/>
        <v>UnderstandableStyle</v>
      </c>
      <c r="N15" s="157">
        <v>0</v>
      </c>
      <c r="O15" s="157">
        <v>0</v>
      </c>
    </row>
    <row r="16" spans="2:15" ht="15.75" hidden="1" thickBot="1" x14ac:dyDescent="0.25">
      <c r="B16" s="155" t="s">
        <v>64</v>
      </c>
      <c r="C16" s="154">
        <v>1</v>
      </c>
      <c r="D16" s="154">
        <v>3</v>
      </c>
      <c r="E16" s="155" t="s">
        <v>6305</v>
      </c>
      <c r="F16" s="154">
        <v>0</v>
      </c>
      <c r="G16" s="154">
        <v>0</v>
      </c>
      <c r="H16" s="149"/>
      <c r="I16" s="149"/>
      <c r="J16" s="149"/>
      <c r="K16" s="149"/>
      <c r="L16" s="149"/>
      <c r="M16" s="149" t="str">
        <f t="shared" si="0"/>
        <v>UnderstandableMiscellaneous</v>
      </c>
      <c r="N16" s="157">
        <v>0</v>
      </c>
      <c r="O16" s="157">
        <v>0</v>
      </c>
    </row>
    <row r="17" spans="2:15" ht="14.25" hidden="1" customHeight="1" thickBot="1" x14ac:dyDescent="0.25">
      <c r="B17" s="155" t="s">
        <v>63</v>
      </c>
      <c r="C17" s="154">
        <v>0</v>
      </c>
      <c r="D17" s="154">
        <v>0</v>
      </c>
      <c r="E17" s="155" t="s">
        <v>6306</v>
      </c>
      <c r="F17" s="154">
        <v>0</v>
      </c>
      <c r="G17" s="154">
        <v>0</v>
      </c>
      <c r="H17" s="149"/>
      <c r="I17" s="149"/>
      <c r="J17" s="149"/>
      <c r="K17" s="149"/>
      <c r="L17" s="149"/>
      <c r="M17" s="149" t="str">
        <f>"Publishable" &amp; B9</f>
        <v>PublishableWrong Term</v>
      </c>
      <c r="N17" s="156">
        <v>2</v>
      </c>
      <c r="O17" s="156">
        <v>5</v>
      </c>
    </row>
    <row r="18" spans="2:15" ht="15.75" hidden="1" thickBot="1" x14ac:dyDescent="0.25">
      <c r="B18" s="155" t="s">
        <v>6305</v>
      </c>
      <c r="C18" s="154">
        <v>0</v>
      </c>
      <c r="D18" s="154">
        <v>0</v>
      </c>
      <c r="E18" s="150"/>
      <c r="F18" s="150"/>
      <c r="G18" s="150"/>
      <c r="H18" s="149"/>
      <c r="I18" s="149"/>
      <c r="J18" s="149"/>
      <c r="K18" s="149" t="s">
        <v>6302</v>
      </c>
      <c r="L18" s="149"/>
      <c r="M18" s="149" t="str">
        <f t="shared" ref="M18:M24" si="1">"Publishable" &amp; B10</f>
        <v>PublishableWrong Meaning</v>
      </c>
      <c r="N18" s="156">
        <v>2</v>
      </c>
      <c r="O18" s="156">
        <v>5</v>
      </c>
    </row>
    <row r="19" spans="2:15" ht="15.75" hidden="1" customHeight="1" thickBot="1" x14ac:dyDescent="0.25">
      <c r="B19" s="155" t="s">
        <v>6306</v>
      </c>
      <c r="C19" s="154">
        <v>0</v>
      </c>
      <c r="D19" s="154">
        <v>0</v>
      </c>
      <c r="E19" s="151"/>
      <c r="F19" s="151"/>
      <c r="G19" s="151"/>
      <c r="H19" s="149"/>
      <c r="I19" s="149"/>
      <c r="J19" s="149"/>
      <c r="K19" s="149"/>
      <c r="L19" s="149"/>
      <c r="M19" s="149" t="str">
        <f t="shared" si="1"/>
        <v>PublishableOmission</v>
      </c>
      <c r="N19" s="156">
        <v>2</v>
      </c>
      <c r="O19" s="156">
        <v>4</v>
      </c>
    </row>
    <row r="20" spans="2:15" ht="60.75" hidden="1" thickBot="1" x14ac:dyDescent="0.25">
      <c r="B20" s="155" t="s">
        <v>6275</v>
      </c>
      <c r="C20" s="154" t="s">
        <v>6276</v>
      </c>
      <c r="D20" s="158">
        <v>0.99</v>
      </c>
      <c r="E20" s="155" t="s">
        <v>6275</v>
      </c>
      <c r="F20" s="154" t="s">
        <v>6276</v>
      </c>
      <c r="G20" s="158">
        <v>0.99</v>
      </c>
      <c r="H20" s="149"/>
      <c r="I20" s="149"/>
      <c r="J20" s="149"/>
      <c r="K20" s="149"/>
      <c r="L20" s="149"/>
      <c r="M20" s="149" t="str">
        <f t="shared" si="1"/>
        <v>PublishableStructural Error</v>
      </c>
      <c r="N20" s="156">
        <v>2</v>
      </c>
      <c r="O20" s="156">
        <v>4</v>
      </c>
    </row>
    <row r="21" spans="2:15" ht="15.75" hidden="1" thickBot="1" x14ac:dyDescent="0.25">
      <c r="B21" s="153"/>
      <c r="C21" s="153"/>
      <c r="D21" s="153">
        <v>0.99</v>
      </c>
      <c r="E21" s="153"/>
      <c r="F21" s="159"/>
      <c r="G21" s="153">
        <v>0.99</v>
      </c>
      <c r="H21" s="149"/>
      <c r="I21" s="149"/>
      <c r="J21" s="149"/>
      <c r="K21" s="149"/>
      <c r="L21" s="149"/>
      <c r="M21" s="149" t="str">
        <f t="shared" si="1"/>
        <v>PublishableMisspelling</v>
      </c>
      <c r="N21" s="156">
        <v>1</v>
      </c>
      <c r="O21" s="156">
        <v>3</v>
      </c>
    </row>
    <row r="22" spans="2:15" ht="15.75" hidden="1" thickBot="1" x14ac:dyDescent="0.25">
      <c r="B22" s="149"/>
      <c r="C22" s="149"/>
      <c r="D22" s="152"/>
      <c r="E22" s="149"/>
      <c r="F22" s="149"/>
      <c r="G22" s="149"/>
      <c r="H22" s="149"/>
      <c r="I22" s="149"/>
      <c r="J22" s="149"/>
      <c r="K22" s="149"/>
      <c r="L22" s="149"/>
      <c r="M22" s="149" t="str">
        <f t="shared" si="1"/>
        <v>PublishablePunctuation</v>
      </c>
      <c r="N22" s="156">
        <v>1</v>
      </c>
      <c r="O22" s="156">
        <v>2</v>
      </c>
    </row>
    <row r="23" spans="2:15" ht="15.75" hidden="1" thickBot="1" x14ac:dyDescent="0.25">
      <c r="B23" s="149"/>
      <c r="C23" s="149"/>
      <c r="D23" s="149"/>
      <c r="E23" s="149"/>
      <c r="F23" s="149"/>
      <c r="G23" s="149"/>
      <c r="H23" s="149"/>
      <c r="I23" s="149"/>
      <c r="J23" s="149"/>
      <c r="K23" s="149"/>
      <c r="L23" s="149"/>
      <c r="M23" s="149" t="str">
        <f t="shared" si="1"/>
        <v>PublishableStyle</v>
      </c>
      <c r="N23" s="156">
        <v>1</v>
      </c>
      <c r="O23" s="156">
        <v>2</v>
      </c>
    </row>
    <row r="24" spans="2:15" ht="15.75" hidden="1" thickBot="1" x14ac:dyDescent="0.25">
      <c r="B24" s="149"/>
      <c r="C24" s="149"/>
      <c r="D24" s="149"/>
      <c r="E24" s="149"/>
      <c r="F24" s="149"/>
      <c r="G24" s="149"/>
      <c r="H24" s="149"/>
      <c r="I24" s="149"/>
      <c r="J24" s="149"/>
      <c r="K24" s="149"/>
      <c r="L24" s="149"/>
      <c r="M24" s="149" t="str">
        <f t="shared" si="1"/>
        <v>PublishableMiscellaneous</v>
      </c>
      <c r="N24" s="156">
        <v>1</v>
      </c>
      <c r="O24" s="156">
        <v>3</v>
      </c>
    </row>
  </sheetData>
  <sheetProtection password="DAFD" sheet="1" objects="1" scenarios="1"/>
  <mergeCells count="4">
    <mergeCell ref="C7:D7"/>
    <mergeCell ref="F7:G7"/>
    <mergeCell ref="B6:D6"/>
    <mergeCell ref="E6:G6"/>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D34A2734D60D469D2FE551A8C2793A" ma:contentTypeVersion="0" ma:contentTypeDescription="Create a new document." ma:contentTypeScope="" ma:versionID="7c11abd8e5e412fb17d5318f12612b18">
  <xsd:schema xmlns:xsd="http://www.w3.org/2001/XMLSchema" xmlns:p="http://schemas.microsoft.com/office/2006/metadata/properties" targetNamespace="http://schemas.microsoft.com/office/2006/metadata/properties" ma:root="true" ma:fieldsID="10a8fccf6a99452d9dcc5ef71bd163a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Document 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E309BC9-84D4-47CA-A64E-5562960F95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A98E0338-ECB5-4A29-AC52-2B2E922F67A0}">
  <ds:schemaRefs>
    <ds:schemaRef ds:uri="http://purl.org/dc/elements/1.1/"/>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BE7301F6-9B86-4E19-9E32-D26330F52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22</vt:i4>
      </vt:variant>
    </vt:vector>
  </HeadingPairs>
  <TitlesOfParts>
    <vt:vector size="33" baseType="lpstr">
      <vt:lpstr>Evaluation Report_Initial</vt:lpstr>
      <vt:lpstr>Evaluation Report_Final Result</vt:lpstr>
      <vt:lpstr>Evaluation details_input</vt:lpstr>
      <vt:lpstr>Errors &amp; Weighting definition</vt:lpstr>
      <vt:lpstr>More definitions with examples</vt:lpstr>
      <vt:lpstr>RCA form</vt:lpstr>
      <vt:lpstr>Sheet1</vt:lpstr>
      <vt:lpstr>Client-specific requirements</vt:lpstr>
      <vt:lpstr>Office mapping</vt:lpstr>
      <vt:lpstr>VLOOKUP</vt:lpstr>
      <vt:lpstr>Adequacy scoring</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definition'!Print_Area</vt:lpstr>
      <vt:lpstr>'Evaluation details_input'!Print_Area</vt:lpstr>
      <vt:lpstr>'Evaluation Report_Final Result'!Print_Area</vt:lpstr>
      <vt:lpstr>'More definitions with examples'!Print_Area</vt:lpstr>
      <vt:lpstr>Sheet1!Print_Area</vt:lpstr>
      <vt:lpstr>SECTOR</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Kacper Peka</cp:lastModifiedBy>
  <cp:lastPrinted>2015-01-13T13:45:35Z</cp:lastPrinted>
  <dcterms:created xsi:type="dcterms:W3CDTF">1999-07-14T09:26:35Z</dcterms:created>
  <dcterms:modified xsi:type="dcterms:W3CDTF">2016-09-09T13:53:20Z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0x0101006BD34A2734D60D469D2FE551A8C2793A</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ies>
</file>